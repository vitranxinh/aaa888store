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vitran/Documents/New project/"/>
    </mc:Choice>
  </mc:AlternateContent>
  <xr:revisionPtr revIDLastSave="0" documentId="13_ncr:1_{89C6CE5B-83E0-FA4C-BB64-5DAA9FD9BBBA}" xr6:coauthVersionLast="47" xr6:coauthVersionMax="47" xr10:uidLastSave="{00000000-0000-0000-0000-000000000000}"/>
  <bookViews>
    <workbookView xWindow="4340" yWindow="500" windowWidth="24460" windowHeight="17500" xr2:uid="{00000000-000D-0000-FFFF-FFFF00000000}"/>
  </bookViews>
  <sheets>
    <sheet name="SỔ_THU_CHI" sheetId="13" r:id="rId1"/>
    <sheet name="DANH_MỤC" sheetId="12" r:id="rId2"/>
    <sheet name="PHIẾU_THU_CHI" sheetId="11" r:id="rId3"/>
    <sheet name="TẠO_HÓA_ĐƠN" sheetId="10" r:id="rId4"/>
    <sheet name="DASHBOARD" sheetId="9" r:id="rId5"/>
    <sheet name="MENU" sheetId="8" r:id="rId6"/>
    <sheet name="LÊN HÓA ĐƠN" sheetId="1" r:id="rId7"/>
    <sheet name="SỬA HÓA ĐƠN" sheetId="2" r:id="rId8"/>
    <sheet name="CHI TIẾT HÓA ĐƠN" sheetId="3" r:id="rId9"/>
    <sheet name="CÔNG NỢ THEO HÓA ĐƠN" sheetId="4" r:id="rId10"/>
    <sheet name="KHÁCH HÀNG" sheetId="5" r:id="rId11"/>
    <sheet name="HÀNG HÓA" sheetId="6" r:id="rId12"/>
    <sheet name="Hàng Q302" sheetId="7" r:id="rId13"/>
  </sheets>
  <definedNames>
    <definedName name="_xlnm._FilterDatabase" localSheetId="11" hidden="1">'HÀNG HÓA'!$A$1:$F$4061</definedName>
    <definedName name="_xlnm._FilterDatabase" localSheetId="12" hidden="1">'Hàng Q302'!$G$1:$G$910</definedName>
    <definedName name="_xlnm._FilterDatabase" localSheetId="10" hidden="1">'KHÁCH HÀNG'!$A$1:$H$947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9" l="1"/>
  <c r="B3" i="9"/>
  <c r="B4" i="9"/>
  <c r="B5" i="9"/>
  <c r="B6" i="9"/>
  <c r="D476" i="5"/>
  <c r="D86" i="5"/>
  <c r="B12" i="2" a="1"/>
  <c r="B12" i="2" s="1"/>
  <c r="B11" i="2" a="1"/>
  <c r="B11" i="2" s="1"/>
  <c r="F21" i="1" a="1"/>
  <c r="F21" i="1" s="1"/>
  <c r="G21" i="1" s="1"/>
  <c r="D21" i="1" a="1"/>
  <c r="D21" i="1" s="1"/>
  <c r="B21" i="1" a="1"/>
  <c r="B21" i="1" s="1"/>
  <c r="F20" i="1" a="1"/>
  <c r="F20" i="1"/>
  <c r="G20" i="1" s="1"/>
  <c r="D20" i="1" a="1"/>
  <c r="D20" i="1"/>
  <c r="B20" i="1" a="1"/>
  <c r="B20" i="1" s="1"/>
  <c r="G19" i="1"/>
  <c r="D19" i="1" a="1"/>
  <c r="D19" i="1"/>
  <c r="G18" i="1"/>
  <c r="D18" i="1" a="1"/>
  <c r="D18" i="1" s="1"/>
  <c r="F17" i="1" a="1"/>
  <c r="F17" i="1" s="1"/>
  <c r="G17" i="1" s="1"/>
  <c r="D17" i="1" a="1"/>
  <c r="D17" i="1" s="1"/>
  <c r="B17" i="1" a="1"/>
  <c r="B17" i="1" s="1"/>
  <c r="F16" i="1" a="1"/>
  <c r="F16" i="1" s="1"/>
  <c r="G16" i="1" s="1"/>
  <c r="D16" i="1" a="1"/>
  <c r="D16" i="1"/>
  <c r="B16" i="1" a="1"/>
  <c r="B16" i="1" s="1"/>
  <c r="F15" i="1" a="1"/>
  <c r="F15" i="1" s="1"/>
  <c r="G15" i="1" s="1"/>
  <c r="D15" i="1" a="1"/>
  <c r="D15" i="1" s="1"/>
  <c r="B15" i="1" a="1"/>
  <c r="B15" i="1" s="1"/>
  <c r="B10" i="1"/>
  <c r="B9" i="1" s="1" a="1"/>
  <c r="B9" i="1" s="1"/>
  <c r="B11" i="1" l="1" a="1"/>
  <c r="B11" i="1" s="1"/>
  <c r="B12" i="1" a="1"/>
  <c r="B12" i="1" s="1"/>
  <c r="B34" i="1" a="1"/>
  <c r="B34" i="1" s="1"/>
  <c r="G22" i="1"/>
  <c r="G28" i="1" s="1"/>
</calcChain>
</file>

<file path=xl/sharedStrings.xml><?xml version="1.0" encoding="utf-8"?>
<sst xmlns="http://schemas.openxmlformats.org/spreadsheetml/2006/main" count="25643" uniqueCount="16072">
  <si>
    <t>Quầy 302 Hapulico</t>
  </si>
  <si>
    <t>Địa chỉ: Tòa nhà Hapulico, Thanh Xuân, Hà Nội</t>
  </si>
  <si>
    <t>Hotline: 0918377022</t>
  </si>
  <si>
    <t>HÓA ĐƠN BÁN HÀNG</t>
  </si>
  <si>
    <t>HD0029</t>
  </si>
  <si>
    <t>Mã khách hàng</t>
  </si>
  <si>
    <t xml:space="preserve">Khách hàng: </t>
  </si>
  <si>
    <t>C Liên Nghệ An</t>
  </si>
  <si>
    <t xml:space="preserve">Địa chỉ: </t>
  </si>
  <si>
    <t xml:space="preserve">SĐT: </t>
  </si>
  <si>
    <t>STT</t>
  </si>
  <si>
    <t>MÃ HÀNG</t>
  </si>
  <si>
    <t>TÊN HÀNG</t>
  </si>
  <si>
    <t>HÌNH ẢNH</t>
  </si>
  <si>
    <t>SỐ LƯỢNG</t>
  </si>
  <si>
    <t>ĐƠN GIÁ</t>
  </si>
  <si>
    <t>THÀNH TIỀN</t>
  </si>
  <si>
    <t>Pharkavita extra hộp 60 viên</t>
  </si>
  <si>
    <t>Men vi sinh TGS-Bio lacto hộp 20 ống 10ml</t>
  </si>
  <si>
    <t>Tổng cộng:</t>
  </si>
  <si>
    <t>Giảm giá:</t>
  </si>
  <si>
    <t>Thu khác:</t>
  </si>
  <si>
    <t xml:space="preserve">Nợ đơn cũ:                                  </t>
  </si>
  <si>
    <t xml:space="preserve">Hàng mua hộ:                                  </t>
  </si>
  <si>
    <t>Số tiền đã trả</t>
  </si>
  <si>
    <t xml:space="preserve">TỔNG THANH TOÁN:         </t>
  </si>
  <si>
    <t>KHÔNG NHẬN TRẢ HÀNG TRỪ TRƯỜNG HỢP LỖI TỪ NHÀ SẢN XUẤT VÀ QUẦY</t>
  </si>
  <si>
    <t>Ghi chú:</t>
  </si>
  <si>
    <t>Quý khách vui lòng quay video khi nhận hàng để giải quyết khiếu nại nếu phát sinh.</t>
  </si>
  <si>
    <t>Mọi khiếu nại xin phản hồi trong vòng 7 ngày kể từ ngày nhận hàng.</t>
  </si>
  <si>
    <t>Sau thời gian này Quầy xin phép không giải quyết.</t>
  </si>
  <si>
    <t>Hotline: 0855558886</t>
  </si>
  <si>
    <t>HD0026</t>
  </si>
  <si>
    <t>KH302775136</t>
  </si>
  <si>
    <t>A Định 1089 (N)</t>
  </si>
  <si>
    <t>SP64856122</t>
  </si>
  <si>
    <t>Tổng thanh toán bằng chữ: .......................................</t>
  </si>
  <si>
    <t>Mã hóa đơn</t>
  </si>
  <si>
    <t>Ngày giờ</t>
  </si>
  <si>
    <t>Tên Khách hàng</t>
  </si>
  <si>
    <t>Mã Sản phẩm</t>
  </si>
  <si>
    <t>Tên sản phẩm</t>
  </si>
  <si>
    <t>Số lượng</t>
  </si>
  <si>
    <t>Đơn giá</t>
  </si>
  <si>
    <t>Thành tiền</t>
  </si>
  <si>
    <t>Tổng tiền hóa đơn</t>
  </si>
  <si>
    <t>HD0027</t>
  </si>
  <si>
    <t>KH302775137</t>
  </si>
  <si>
    <t>NT Phượng Chín Yên Bái</t>
  </si>
  <si>
    <t>SP64856009</t>
  </si>
  <si>
    <t>Cà Gai Leo tam thất - xạ đen_h50v_Rostex date 2/2028 ( )</t>
  </si>
  <si>
    <t>SP64856070</t>
  </si>
  <si>
    <t>12B ginseng linzhi hộp 100 viên ( )</t>
  </si>
  <si>
    <t>SP64856014</t>
  </si>
  <si>
    <t>Biotin Nutriday Hàn Quốc hàng nhập khẩu ( )</t>
  </si>
  <si>
    <t>HD0028</t>
  </si>
  <si>
    <t>KH302775123</t>
  </si>
  <si>
    <t>SP64856064</t>
  </si>
  <si>
    <t>Đại tràng mộc hoa trắng lọ 30 viên ( )</t>
  </si>
  <si>
    <t>Mã Hóa đơn</t>
  </si>
  <si>
    <t>Ngày</t>
  </si>
  <si>
    <t>Tên khách</t>
  </si>
  <si>
    <t>SĐT</t>
  </si>
  <si>
    <t>Ghi chú</t>
  </si>
  <si>
    <t>Khách cần trả</t>
  </si>
  <si>
    <t>Khách đã trả</t>
  </si>
  <si>
    <t>GHTK
 THU COD
 FREESHIP</t>
  </si>
  <si>
    <t>CHUYỂN KHOẢN TRƯỚC
 XE BỒ CÂU
 CƯỚC KHÁCH TRẢ</t>
  </si>
  <si>
    <t>Tên khách hàng</t>
  </si>
  <si>
    <t>Điện thoại</t>
  </si>
  <si>
    <t>Địa chỉ</t>
  </si>
  <si>
    <t>Nợ cần thu hiện tại</t>
  </si>
  <si>
    <t>Tổng bán</t>
  </si>
  <si>
    <t>thôn Liên Hiệp,Minh Quân,Trấn Yên,Yên Bái</t>
  </si>
  <si>
    <t>C Thanh Vui Nam Định</t>
  </si>
  <si>
    <t>785 TRƯƠNG ĐỊNH</t>
  </si>
  <si>
    <t>CHUYỂN KHOẢN TRƯỚC
 SHIP GẦN :XE A BÌNH 785 TRƯƠNG ĐỊNH(0912375710) 12H CHẠY
 FREESHIP</t>
  </si>
  <si>
    <t>10,200,000</t>
  </si>
  <si>
    <t>KH302775135</t>
  </si>
  <si>
    <t>Phạm văn duy</t>
  </si>
  <si>
    <t>Thôn phạm xá</t>
  </si>
  <si>
    <t>KH302775134</t>
  </si>
  <si>
    <t>A Quyết Hưng Yên</t>
  </si>
  <si>
    <t>XE PHƯƠNG LINH
 THU HỘ</t>
  </si>
  <si>
    <t>2,590,000</t>
  </si>
  <si>
    <t>KH302775133</t>
  </si>
  <si>
    <t>Đàm Thị Như Thi( Quầy Thuốc Đoàn Thi)</t>
  </si>
  <si>
    <t>Thôn cây hồng xã chi lăng tỉnh lạng sơn</t>
  </si>
  <si>
    <t>KH302775132</t>
  </si>
  <si>
    <t>C hiền</t>
  </si>
  <si>
    <t>Nghĩa vũ dục tú đông anh hà nội</t>
  </si>
  <si>
    <t>KH302775131</t>
  </si>
  <si>
    <t>Quầy thuốc Quang Thương</t>
  </si>
  <si>
    <t>Xóm 1</t>
  </si>
  <si>
    <t>KH302775130</t>
  </si>
  <si>
    <t>Bích Huyền</t>
  </si>
  <si>
    <t>Trường mầm non Phú Long ấp 4 Rạch Gừa xã Phú Long huyện Bình Đại tỉnh Bến Tre</t>
  </si>
  <si>
    <t>KH302775129</t>
  </si>
  <si>
    <t>Như Phụng</t>
  </si>
  <si>
    <t>Đại lý Phụng Loan, ấp Cà Dâm</t>
  </si>
  <si>
    <t>KH302775128</t>
  </si>
  <si>
    <t>Vy Vy</t>
  </si>
  <si>
    <t>Tổ 6 khu vực 6 ( ngay cầu thồ lồ cũ )</t>
  </si>
  <si>
    <t>KH302775127</t>
  </si>
  <si>
    <t>khách le</t>
  </si>
  <si>
    <t>KH302775126</t>
  </si>
  <si>
    <t>Ngavq</t>
  </si>
  <si>
    <t>Ngõ 31 hoàng cầu ngách 34 số nhà A7 tập thể bộ công an</t>
  </si>
  <si>
    <t>p</t>
  </si>
  <si>
    <t>yoiuoiu</t>
  </si>
  <si>
    <t>KH302775125</t>
  </si>
  <si>
    <t>Tiệp</t>
  </si>
  <si>
    <t>Cty dfzin đường n4 khu công nghiệp hòa xá</t>
  </si>
  <si>
    <t>KH302775124</t>
  </si>
  <si>
    <t>tiên</t>
  </si>
  <si>
    <t>phù yên</t>
  </si>
  <si>
    <t>Số 425 đường Phủ Quỳ(gần Vincom),Thị Xã Thái Hòa,Nghệ An</t>
  </si>
  <si>
    <t>KH302775122</t>
  </si>
  <si>
    <t>Nguyễn Trọng Nguyễn</t>
  </si>
  <si>
    <t>55, kênh 7, ấp Phủ Thờ</t>
  </si>
  <si>
    <t>KH302775121</t>
  </si>
  <si>
    <t>C Ly Hậu Giang</t>
  </si>
  <si>
    <t>0789 539 737</t>
  </si>
  <si>
    <t>29b Nguyễn Thị Minh Khai,Phường IV,thành phố Vị Thanh,Hậu Giang</t>
  </si>
  <si>
    <t>GHTK
 THU COD
 KHÔNG CHO ĐƠN
 HÀNG TIÊM ĐÓNG CẨN THẬN</t>
  </si>
  <si>
    <t>3,069,000</t>
  </si>
  <si>
    <t>KH302775120</t>
  </si>
  <si>
    <t>tóc đẹp ngọc khải</t>
  </si>
  <si>
    <t>55 đường Nguyễn Thị Định</t>
  </si>
  <si>
    <t>KH302775119</t>
  </si>
  <si>
    <t>Hải Nguyễn</t>
  </si>
  <si>
    <t>Khu phố ngọc khám phường gia đông</t>
  </si>
  <si>
    <t>KH302775118</t>
  </si>
  <si>
    <t>Lăng Thị Hệ</t>
  </si>
  <si>
    <t>Căn 1806, Toà CT2, Chung cư Iris Garden, P. Trần Hữu Dực , Cầu Diễn , Nam Từ Liêm , HN</t>
  </si>
  <si>
    <t>KH302775117</t>
  </si>
  <si>
    <t>Hoài Trần</t>
  </si>
  <si>
    <t>Số 2 ngõ 100 Tân Khai</t>
  </si>
  <si>
    <t>KH302775116</t>
  </si>
  <si>
    <t>ân</t>
  </si>
  <si>
    <t>124/3/1 tan chánh hiệp 35 kp37</t>
  </si>
  <si>
    <t>KH302775115</t>
  </si>
  <si>
    <t>A nghĩa Phú Quốc</t>
  </si>
  <si>
    <t>KHU PHỐ 6 NHÀ TRỌ THẢO LINH THÀNH PHỐ PHÚ QUỐC DƯƠNG ĐÔNG</t>
  </si>
  <si>
    <t>GHTK
 CHUYỂN KHOẢN TRƯỚC
 CƯỚC KHÁCH TRẢ</t>
  </si>
  <si>
    <t>14,100,000</t>
  </si>
  <si>
    <t>KH302775114</t>
  </si>
  <si>
    <t>Vũ</t>
  </si>
  <si>
    <t>16 Tân Thới Nhì 35, Dân Thắng 1</t>
  </si>
  <si>
    <t>KH302775113</t>
  </si>
  <si>
    <t>Mai Đình Chương</t>
  </si>
  <si>
    <t>180/5 Song Hành,Trung Chánh, Bà Điểm, TpHCM</t>
  </si>
  <si>
    <t>KH302775112</t>
  </si>
  <si>
    <t>Ân</t>
  </si>
  <si>
    <t>chùa pháp hoa</t>
  </si>
  <si>
    <t>KH302775111</t>
  </si>
  <si>
    <t>DAT</t>
  </si>
  <si>
    <t>ÂP RẠCH TRÚC Xã TRUNG THÀNH</t>
  </si>
  <si>
    <t>KH302775110</t>
  </si>
  <si>
    <t>Đinh Phong</t>
  </si>
  <si>
    <t>384/40/9 Lý Thái Tổ</t>
  </si>
  <si>
    <t>KH302775109</t>
  </si>
  <si>
    <t>C Hương Phú Quốc</t>
  </si>
  <si>
    <t>Bún quậy kiến xây khu phố 9,phường dương đông,đặc khu Phú Quốc,Kiên Giang</t>
  </si>
  <si>
    <t>CK TRƯỚC
 GHTK
 CƯỚC KHÁCH TRẢ</t>
  </si>
  <si>
    <t>41,700,000</t>
  </si>
  <si>
    <t>KH302775108</t>
  </si>
  <si>
    <t>Vo Thuong</t>
  </si>
  <si>
    <t>Đồng chúp</t>
  </si>
  <si>
    <t>KH302775107</t>
  </si>
  <si>
    <t>Lợi</t>
  </si>
  <si>
    <t>Thọ nghĩa , phước nghĩa,tuy phước ,bình đinh</t>
  </si>
  <si>
    <t>KH302775106</t>
  </si>
  <si>
    <t>Mỹ Tiên Phú Yên</t>
  </si>
  <si>
    <t>khu phố Phú Thọ 2,phường Hòa Hiệp Trung,thị xã Đông Hòa,Phú Yên</t>
  </si>
  <si>
    <t>GHTK
 CHUYỂN KHOẢN
 CƯỚC KHÁCH TRẢ</t>
  </si>
  <si>
    <t>1,410,000</t>
  </si>
  <si>
    <t>KH302775105</t>
  </si>
  <si>
    <t>C Hòa Mê Linh</t>
  </si>
  <si>
    <t>Xóm 6, hoàng kim, mê linh, Hà Nội</t>
  </si>
  <si>
    <t>THU HỘ
 XE LỢI HÀ</t>
  </si>
  <si>
    <t>3,925,000</t>
  </si>
  <si>
    <t>KH302775104</t>
  </si>
  <si>
    <t>Lê Thanh NHÂN</t>
  </si>
  <si>
    <t>Chợ bình phú</t>
  </si>
  <si>
    <t>KH302775103</t>
  </si>
  <si>
    <t>Phương Thảo Nghệ An</t>
  </si>
  <si>
    <t>số 81 Nguyễn Trãi,Tân Kỳ,Nghệ An</t>
  </si>
  <si>
    <t>GHTK</t>
  </si>
  <si>
    <t>1,677,000</t>
  </si>
  <si>
    <t>KH302775102</t>
  </si>
  <si>
    <t>C Mai Nam Định</t>
  </si>
  <si>
    <t>xóm Tân TIến,Giao Tân,Giao Thủy,Nam Định</t>
  </si>
  <si>
    <t>3,950,000</t>
  </si>
  <si>
    <t>KH302775101</t>
  </si>
  <si>
    <t>An Nguyên</t>
  </si>
  <si>
    <t>26/18/8 Trường chinh</t>
  </si>
  <si>
    <t>KH302775100</t>
  </si>
  <si>
    <t>Tran Nam</t>
  </si>
  <si>
    <t>151 nguyễn đức cảnh</t>
  </si>
  <si>
    <t>KH302775099</t>
  </si>
  <si>
    <t>Đinh Thị Ngọc Anh</t>
  </si>
  <si>
    <t>Km 48 thôn 2 Minh Phú</t>
  </si>
  <si>
    <t>KH302775098</t>
  </si>
  <si>
    <t>Quầy thuốc thiên hương 2</t>
  </si>
  <si>
    <t>Số 96, cửu việt 2, trâu quỳ, gia lâm, hà nội</t>
  </si>
  <si>
    <t>1,130,000</t>
  </si>
  <si>
    <t>KH302775097</t>
  </si>
  <si>
    <t>Le Anh</t>
  </si>
  <si>
    <t>Số 52 đường 30/4</t>
  </si>
  <si>
    <t>KH302775096</t>
  </si>
  <si>
    <t>C Hoa Hòa Bình</t>
  </si>
  <si>
    <t>Nhà thuốc bình thái. Ngã 3 đồi sim. Thôn hợp thung. Xã thanh sơn. Huyện lương sơn. Hoà bình.</t>
  </si>
  <si>
    <t>2,423,000</t>
  </si>
  <si>
    <t>KH302775095</t>
  </si>
  <si>
    <t>võ sĩ nhân</t>
  </si>
  <si>
    <t>khóm 3 thị trấn tam bình huyện tam bình</t>
  </si>
  <si>
    <t>KH302775094</t>
  </si>
  <si>
    <t>Nguyễn khăc điệp</t>
  </si>
  <si>
    <t>Chung cư CT01 phong bắc.hòa thọ đông.quận cẩm lệ</t>
  </si>
  <si>
    <t>KH302775093</t>
  </si>
  <si>
    <t>Quầy Thuốc Hiếu Quyên Đồng THáp</t>
  </si>
  <si>
    <t>Ấp 4, xã Hoà Bình</t>
  </si>
  <si>
    <t>GHTK
 THU HỘ</t>
  </si>
  <si>
    <t>2,399,000</t>
  </si>
  <si>
    <t>KH302775092</t>
  </si>
  <si>
    <t>Jeremy Farren</t>
  </si>
  <si>
    <t>Valora Kikyo, 22H Duong 14</t>
  </si>
  <si>
    <t>KH302775091</t>
  </si>
  <si>
    <t>Hoà</t>
  </si>
  <si>
    <t>442 đại kim hoàng mai hà nội viện y học cổ truyền quân đội</t>
  </si>
  <si>
    <t>KH302775090</t>
  </si>
  <si>
    <t>khách lấy Vivita E Hà Đông</t>
  </si>
  <si>
    <t>số 153 hà trì 2 ( gửi nhờ quán Phú Gia cơm đảo ngan ), hà cầu, hà đông, hà nội.</t>
  </si>
  <si>
    <t>SHIP GẦN</t>
  </si>
  <si>
    <t>4,000,000</t>
  </si>
  <si>
    <t>KH302775089</t>
  </si>
  <si>
    <t>NGUYÊN CÔNG THÁNG</t>
  </si>
  <si>
    <t>Tòa VTI building - Mễ Trì Hạ - Nam Từ Liêm - Hà Nội</t>
  </si>
  <si>
    <t>KH302775088</t>
  </si>
  <si>
    <t>c Kim Thu Phú Xuyên</t>
  </si>
  <si>
    <t>Số nhà 56 thôn cổ trai đại xuyên phú xuyên hà nội</t>
  </si>
  <si>
    <t>CHUYỂN KHOẢN TRƯỚC 
 GỬI XE ĐẮC HÙNG HOẶC CƯỜNG THẢO
 FREESHIP</t>
  </si>
  <si>
    <t>17,780,000</t>
  </si>
  <si>
    <t>KH302775087</t>
  </si>
  <si>
    <t>Trần minh hiếu</t>
  </si>
  <si>
    <t>16 hùng vương</t>
  </si>
  <si>
    <t>KH302775086</t>
  </si>
  <si>
    <t>A Minh Quân Hà Đông</t>
  </si>
  <si>
    <t>tòa CT3 the pride, la khê, hà đông, hà nội</t>
  </si>
  <si>
    <t>6,720,000</t>
  </si>
  <si>
    <t>KH302775085</t>
  </si>
  <si>
    <t>Bảo bình</t>
  </si>
  <si>
    <t>Thôn Mỹ Tường</t>
  </si>
  <si>
    <t>KH302775084</t>
  </si>
  <si>
    <t>Vũ hoàng</t>
  </si>
  <si>
    <t>Chung cư sunshine garden, duong duong van bé</t>
  </si>
  <si>
    <t>KH302775083</t>
  </si>
  <si>
    <t>C Tuyến Châu Khê Bắc Ninh</t>
  </si>
  <si>
    <t>khu phố đồng phúc châu khê từ sơn bắc ninh</t>
  </si>
  <si>
    <t>GỬI XE HAPU
 THU HỘ</t>
  </si>
  <si>
    <t>1,070,000</t>
  </si>
  <si>
    <t>KH302775082</t>
  </si>
  <si>
    <t>Em Yến Thanh Hóa</t>
  </si>
  <si>
    <t>Phố Tân Dân,Đông Tân,TP Thanh Hóa(cầu đỏ bờ sông)</t>
  </si>
  <si>
    <t>GHTK
 THU COD</t>
  </si>
  <si>
    <t>6,302,000</t>
  </si>
  <si>
    <t>KH302775081</t>
  </si>
  <si>
    <t>A Kiệt Võ Khánh Hòa</t>
  </si>
  <si>
    <t>499 Thống Nhất, Phường Phan Rang, tỉnh Khánh Hoà</t>
  </si>
  <si>
    <t>16,346,000</t>
  </si>
  <si>
    <t>KH302775080</t>
  </si>
  <si>
    <t>C Thanh Trúc HCM</t>
  </si>
  <si>
    <t>77/28 Đường số 3,P9,Gò Vấp,Hồ Chí Minh</t>
  </si>
  <si>
    <t>GHTK
 THU COD
 CƯỚC KHÁCH TRẢ</t>
  </si>
  <si>
    <t>2,237,000</t>
  </si>
  <si>
    <t>KH302775079</t>
  </si>
  <si>
    <t>Đinh Anh Nhân Hòa</t>
  </si>
  <si>
    <t>Số 3 Nhân Hòa,Thanh Xuân,Hà Nội</t>
  </si>
  <si>
    <t>CHUYỂN KHOẢN TRƯỚC
 SHIP GẦN</t>
  </si>
  <si>
    <t>2,169,000</t>
  </si>
  <si>
    <t>KH302775078</t>
  </si>
  <si>
    <t>A Tùng Định Công(lấy lisa)</t>
  </si>
  <si>
    <t>chung cư G5 , đường nguyễn cảnh dị , định công , hà nội</t>
  </si>
  <si>
    <t>2,900,000</t>
  </si>
  <si>
    <t>KH302775077</t>
  </si>
  <si>
    <t>C Hồng Vy Nha Trang</t>
  </si>
  <si>
    <t>cổng số 6 chợ đầm,phường nha trang</t>
  </si>
  <si>
    <t>GHTK
 CHUYỂN KHOẢN
 CƯỚC KHÁCH TRẢ
 6/2 hương lộ ngọc hiệp,phường ngọc hiệp,nha trang 0906410549</t>
  </si>
  <si>
    <t>10,814,000</t>
  </si>
  <si>
    <t>KH302775076</t>
  </si>
  <si>
    <t>C Bích Phương Đồng Nai</t>
  </si>
  <si>
    <t>số 15,khu y1,ấp 2,xã Xuân Quế,huyện Cẩm Mỹ,tỉnh Đồng Nai</t>
  </si>
  <si>
    <t>1,002,000</t>
  </si>
  <si>
    <t>KH302775075</t>
  </si>
  <si>
    <t>anh Bình Ba Vì</t>
  </si>
  <si>
    <t>Ngã tư Mơ,Vạn Thắng,Ba Vì,Hà Nội</t>
  </si>
  <si>
    <t>XE TUẤN HÙNG
 THU HỘ</t>
  </si>
  <si>
    <t>24,010,000</t>
  </si>
  <si>
    <t>KH302775074</t>
  </si>
  <si>
    <t>C Duyên Nghệ An</t>
  </si>
  <si>
    <t>98 Nguyễn Chí Thanh,xã Hưng Đông,tp Vinh Nghệ An</t>
  </si>
  <si>
    <t>XE BỒ CÂU</t>
  </si>
  <si>
    <t>2,187,000</t>
  </si>
  <si>
    <t>KH302775073</t>
  </si>
  <si>
    <t>C Phan Tiễn Tuy Hòa</t>
  </si>
  <si>
    <t>08/391 Lê Duẩn,Phường Tuy Hòa,tỉnh daklak</t>
  </si>
  <si>
    <t>GHTK 
 CHUYỂN KHOẢN
 KHÁCH TRẢ CƯỚC</t>
  </si>
  <si>
    <t>16,064,000</t>
  </si>
  <si>
    <t>KH302775072</t>
  </si>
  <si>
    <t>Phương Anh Hà Đông</t>
  </si>
  <si>
    <t>tòa ctb2 khi đô thị xa la hà đông</t>
  </si>
  <si>
    <t>ship gần</t>
  </si>
  <si>
    <t>3,200,000</t>
  </si>
  <si>
    <t>KH302775071</t>
  </si>
  <si>
    <t>thủy</t>
  </si>
  <si>
    <t>KH302775070</t>
  </si>
  <si>
    <t>C Hồ Thương TPHCM</t>
  </si>
  <si>
    <t>421 Vĩnh Viễn,Phường 6,Quận 10,Thành phố Hồ Chí Minh</t>
  </si>
  <si>
    <t>2,295,000</t>
  </si>
  <si>
    <t>KH302775069</t>
  </si>
  <si>
    <t>C Kim Anh Hải Phòng</t>
  </si>
  <si>
    <t>số 251a Thiên Lôi,phường An Biên,Hải Phòng(phía chợ Đôn Niệm,quán xe máy Hiếu)</t>
  </si>
  <si>
    <t>THU HỘ
 GỬI XE HAPU</t>
  </si>
  <si>
    <t>3,300,000</t>
  </si>
  <si>
    <t>KH302775068</t>
  </si>
  <si>
    <t>Thùy Dung Thủ Đức</t>
  </si>
  <si>
    <t>217 Lê Văn Chí,Linh Xuân,Thủ Đức,tp Hồ Chí Minh</t>
  </si>
  <si>
    <t>GHTK
 CHUYỂN KHOẢN
 FREESHIP
 LUÔN CHO ĐƠN,BỌC KĨ KHÔNG MÓP</t>
  </si>
  <si>
    <t>36,641,000</t>
  </si>
  <si>
    <t>KH302775067</t>
  </si>
  <si>
    <t>C Huỳnh Diên Phú Quốc</t>
  </si>
  <si>
    <t>Tạp hóa cô vấn đi vào Trần Phú,khu phố 9,Dương Đông,đặc khu Phú Quốc,Tỉnh An Giang</t>
  </si>
  <si>
    <t>CHUYỂN KHOẢN TRƯỚC
 GHTK
 CƯỚC KHÁCH TRẢ
 Đường đi vào chùa hộ quốc khu kiểm lâm dương tơ đặc khu phú quốc tỉnh an giang</t>
  </si>
  <si>
    <t>51,060,000</t>
  </si>
  <si>
    <t>KH302775066</t>
  </si>
  <si>
    <t>C Phương Hoa Vũng Tàu</t>
  </si>
  <si>
    <t>17a1 khu Lan Anh 1,Hòa Long,Bà Rịa Vũng Tàu</t>
  </si>
  <si>
    <t>3,150,000</t>
  </si>
  <si>
    <t>KH302775065</t>
  </si>
  <si>
    <t>quầy 544 hapu</t>
  </si>
  <si>
    <t>GIAO QUẦY
 THU TIỀN MẶT</t>
  </si>
  <si>
    <t>32,888,000</t>
  </si>
  <si>
    <t>KH302775064</t>
  </si>
  <si>
    <t>ERA LONG BIÊN</t>
  </si>
  <si>
    <t>Số 5 ngõ 539 Nguyễn Văn Cừ,Gia Thụy,Long Biên,Hà Nội</t>
  </si>
  <si>
    <t>ĐẶT SHIP
 THU COD
 CƯỚC KHÁCH TRẢ</t>
  </si>
  <si>
    <t>47,452,500</t>
  </si>
  <si>
    <t>KH302775063</t>
  </si>
  <si>
    <t>Nhà thuốc Trung Tâm</t>
  </si>
  <si>
    <t>81 hải phòng</t>
  </si>
  <si>
    <t>CHUYỂN KHOẢN TRƯỚC
 GHTK</t>
  </si>
  <si>
    <t>14,855,000</t>
  </si>
  <si>
    <t>KH302775062</t>
  </si>
  <si>
    <t>KH302775061</t>
  </si>
  <si>
    <t>Long</t>
  </si>
  <si>
    <t>Kiến an</t>
  </si>
  <si>
    <t>KH302775060</t>
  </si>
  <si>
    <t>A Quang Thanh Trì</t>
  </si>
  <si>
    <t>162 Phan Trọng Tuệ(quán nước tạp hóa sổ số điện toán đối diện tòa Sacombank),Tả Thanh Oai,Thanh Trì,Hà Nội</t>
  </si>
  <si>
    <t>GHTK
 CHUYỂN KHOẢN</t>
  </si>
  <si>
    <t>13,213,000</t>
  </si>
  <si>
    <t>KH302775059</t>
  </si>
  <si>
    <t>Quầy thuốc Dung Thắng</t>
  </si>
  <si>
    <t>KH302775058</t>
  </si>
  <si>
    <t>NT Khánh Huy Bắc Từ Liêm</t>
  </si>
  <si>
    <t>38 Kẻ Vẽ,Đông Ngạc,Bắc Từ Liêm,Hà Nội</t>
  </si>
  <si>
    <t>SHIP GẦN
 THU COD 
 KHÁCH TRẢ CƯỚC</t>
  </si>
  <si>
    <t>KH302775057</t>
  </si>
  <si>
    <t>A Tân Quảng Ngãi</t>
  </si>
  <si>
    <t>62 Trương Định - Phường Trần Phú - TP Quảng Ngãi</t>
  </si>
  <si>
    <t>9,686,000</t>
  </si>
  <si>
    <t>KH302775056</t>
  </si>
  <si>
    <t>A Bảo Nam Gia Lâm</t>
  </si>
  <si>
    <t>tòa p1 Vinhomes 1 Trâu Quỳ,Gia Lâm</t>
  </si>
  <si>
    <t>KH302775055</t>
  </si>
  <si>
    <t>C Kim Thoa Bình Dương</t>
  </si>
  <si>
    <t>trường mầm non tuổi thần tiên,Tân Bình,Tân Hiệp,Tân Uyên,Bình Dương</t>
  </si>
  <si>
    <t>GHTK
 CHUYỂN KHOẢN
 FREESHIP</t>
  </si>
  <si>
    <t>13,293,000</t>
  </si>
  <si>
    <t>KH302775054</t>
  </si>
  <si>
    <t>Dược Thành Sen Hà Tĩnh</t>
  </si>
  <si>
    <t>Số 15 ngõ 1 đường Ngô Đức Kế,phường Nam Hà,thành phố Hà Tĩnh,tỉnh Hà Tĩnh</t>
  </si>
  <si>
    <t>XE HƯNG TOÀN PHÁT</t>
  </si>
  <si>
    <t>KH302775053</t>
  </si>
  <si>
    <t>Nhà Thuốc Quách Huy</t>
  </si>
  <si>
    <t>Ấp Nội Ô,Thị Trấn Ngan Dừa,Huyện Hồng Dân,Tỉnh Bạc Liêu</t>
  </si>
  <si>
    <t>KH302775052</t>
  </si>
  <si>
    <t>Nhà Thuốc Thu Phương</t>
  </si>
  <si>
    <t>Sài Đồng,Long Biên,Hà Nội</t>
  </si>
  <si>
    <t>THU TIỀN MẶT
 KHÁCH LÊN LẤY TẠI QUẦY</t>
  </si>
  <si>
    <t>KH302775051</t>
  </si>
  <si>
    <t>Nhà Thuốc Phú Đức</t>
  </si>
  <si>
    <t>13 Ngự Bình,An Cựu,thuận hóa,thành phố Huế</t>
  </si>
  <si>
    <t>GHTK
 CHUYỂN KHOẢN
 FREESHIP
 THEO DÕI TIỀN VỀ</t>
  </si>
  <si>
    <t>43,192,500</t>
  </si>
  <si>
    <t>KH302775050</t>
  </si>
  <si>
    <t>KHÁCH LẺ</t>
  </si>
  <si>
    <t>CHUYỂN KHOẢN
 QUA ĐỊNH CÔNG LẤY HÀNG</t>
  </si>
  <si>
    <t>8,084,000</t>
  </si>
  <si>
    <t>KH302775049</t>
  </si>
  <si>
    <t>Nhà thuốc Vạn Phúc</t>
  </si>
  <si>
    <t>Chuyển khoản
 ship gần
 FREESHIP</t>
  </si>
  <si>
    <t>KH302775048</t>
  </si>
  <si>
    <t>Nhà thuốc Thu Sơn</t>
  </si>
  <si>
    <t>Khu6, Vân Phú việt trì Phú thọ</t>
  </si>
  <si>
    <t>THU HỘ
 Gửi cho em xe thái vinh 
 Hoặc Đức thành họ đều bít nhà Em</t>
  </si>
  <si>
    <t>KH302775047</t>
  </si>
  <si>
    <t>C Lường Thảo Sơn La</t>
  </si>
  <si>
    <t>250 đường Lê Đức Thọ,tổ 14 phường Quyết Thắng Thành phố Sơn La</t>
  </si>
  <si>
    <t>KH302775046</t>
  </si>
  <si>
    <t>C Trâm Kiên Giang</t>
  </si>
  <si>
    <t>khu phố 6 Dương Đông Phú Quốc Kiên Giang</t>
  </si>
  <si>
    <t>GHTK
 CHUYỂN KHOẢN TRƯỚC
 KHÁCH TRẢ SHIP</t>
  </si>
  <si>
    <t>107,810,000</t>
  </si>
  <si>
    <t>KH302775045</t>
  </si>
  <si>
    <t>c Kem Dâu Vinh Phúc</t>
  </si>
  <si>
    <t>ngũ hồ 1 thiện kế bình xuyên vĩnh phúc</t>
  </si>
  <si>
    <t>KH302775044</t>
  </si>
  <si>
    <t>Bùi Hải yen</t>
  </si>
  <si>
    <t>Sn 243 lý thường kiệt màu a</t>
  </si>
  <si>
    <t>KH302775043</t>
  </si>
  <si>
    <t>C Bích Ngọc Nghệ An</t>
  </si>
  <si>
    <t>Xóm 2,xã Nam Thanh,Huyện Nam Đàn,Tỉnh Nghệ An</t>
  </si>
  <si>
    <t>4,546,500</t>
  </si>
  <si>
    <t>KH302775042</t>
  </si>
  <si>
    <t>Nguyễn Văn Hiệp</t>
  </si>
  <si>
    <t>166/31B Võ Thị Sáu</t>
  </si>
  <si>
    <t>KH302775041</t>
  </si>
  <si>
    <t>Quầy thuốc số 28 Vũ thị phương thảo</t>
  </si>
  <si>
    <t>thị trấn thứa huyện lương tài bắc ninh</t>
  </si>
  <si>
    <t>THU HỘ
 XE ANH CHI
 FREESHIP</t>
  </si>
  <si>
    <t>KH302775040</t>
  </si>
  <si>
    <t>Dược phẩn Bảo Thành-A Thành Nam Định</t>
  </si>
  <si>
    <t>Nam Định</t>
  </si>
  <si>
    <t>XE TUẤN AZ</t>
  </si>
  <si>
    <t>KH302775039</t>
  </si>
  <si>
    <t>Anh Cường DP 698 Sơn La(N)</t>
  </si>
  <si>
    <t>ngõ 398 đường Lê Đức Thọ,tổ 14,phường Quyết Thắng,TP Sơn La,tỉnh Sơn La</t>
  </si>
  <si>
    <t>GỬI XE ĐỨC LÂM HAPU</t>
  </si>
  <si>
    <t>KH302775038</t>
  </si>
  <si>
    <t>A Thành Trần HCM</t>
  </si>
  <si>
    <t>125/17 Hòa Hưng phường 12,quận 10,thành phố Hồ Chí Minh,Việt Nam</t>
  </si>
  <si>
    <t>CHUYỂN KHOẢN TRƯỚC-đơn tới lên giá 76k
 GHTK
 BỌC THẬT KĨ,HÀNG DỄ MÓP
 GHI SỐ 0938121931
 541/36 Sư Vạn Hạnh p13 Q10</t>
  </si>
  <si>
    <t>19,054,000</t>
  </si>
  <si>
    <t>KH302775037</t>
  </si>
  <si>
    <t>Thanh mai ĐL</t>
  </si>
  <si>
    <t>Số 3 buôn xóm a,Xã Cư Pơng,Huyện Krông Búk,Đắk Lắk</t>
  </si>
  <si>
    <t>3,085,000</t>
  </si>
  <si>
    <t>13,513,500</t>
  </si>
  <si>
    <t>KH302775036</t>
  </si>
  <si>
    <t>Quầy Thuốc 88</t>
  </si>
  <si>
    <t>Chi Ma,Yên Khoái,Lộc Bình,Lạng Sơn</t>
  </si>
  <si>
    <t>THU HỘ 
 XE ĐỨC HƯNG
 cước 60k</t>
  </si>
  <si>
    <t>KH302775035</t>
  </si>
  <si>
    <t>C Ngọc Kiên Giang 0973442187-</t>
  </si>
  <si>
    <t>khu phố 6,thành phố Dương Đông,Phú Quốc,Kiên Giang</t>
  </si>
  <si>
    <t>GHTK
 CHUYỂN KHOẢN TRƯỚC
 KHÁCH TRẢ CƯỚC
 Chùa hộ Quốc xã Dương tơ Phú Quốc Kiên Giang</t>
  </si>
  <si>
    <t>159,926,000</t>
  </si>
  <si>
    <t>KH302775034</t>
  </si>
  <si>
    <t>Nhà Thuốc Lê Lưu</t>
  </si>
  <si>
    <t>khu công nghiệp Quang Châu,Việt Yên,Bắc Giang</t>
  </si>
  <si>
    <t>-1,000,000</t>
  </si>
  <si>
    <t>KH302775033</t>
  </si>
  <si>
    <t>Hạ</t>
  </si>
  <si>
    <t>KH302775032</t>
  </si>
  <si>
    <t>Nhà thuốc 45</t>
  </si>
  <si>
    <t>948 tôn đức thắng- sở dầu- hồng bàng- hải phòng</t>
  </si>
  <si>
    <t>XE TÂN TOÀN
 THU HỘ
 FREESHIP
 KHÔNG BỎ ĐƠN</t>
  </si>
  <si>
    <t>3,730,000</t>
  </si>
  <si>
    <t>96,840,000</t>
  </si>
  <si>
    <t>KH302775031</t>
  </si>
  <si>
    <t>Ngọc Anh Yên Bái</t>
  </si>
  <si>
    <t>Tổ 9</t>
  </si>
  <si>
    <t>KH302775030</t>
  </si>
  <si>
    <t>C Hương Trần Thanh Hóa</t>
  </si>
  <si>
    <t>kcn hoàng long tp thanh hoá</t>
  </si>
  <si>
    <t>XE AN PHÚC</t>
  </si>
  <si>
    <t>KH302775029</t>
  </si>
  <si>
    <t>Huyền Trang</t>
  </si>
  <si>
    <t>Quầy thuốc VF8</t>
  </si>
  <si>
    <t>KH302775028</t>
  </si>
  <si>
    <t>KH302775027</t>
  </si>
  <si>
    <t>Tạ Quốc Trung</t>
  </si>
  <si>
    <t>Căn B7, tầng 17, Toà B1, chung cư Hoàng Quân,phố trịnh hoài đức,vĩnh hòa</t>
  </si>
  <si>
    <t>BEST
 THU COD
 CƯỚC KHÁCH TRẢ</t>
  </si>
  <si>
    <t>KH302775026</t>
  </si>
  <si>
    <t>A Đạt Bến tre</t>
  </si>
  <si>
    <t>Ấp 5 xã An Đức huyện Ba Tri,tỉnh Bến Tre</t>
  </si>
  <si>
    <t>15,025,000</t>
  </si>
  <si>
    <t>KH302775025</t>
  </si>
  <si>
    <t>Chị Mai(kh qua quầy lấy hàng)</t>
  </si>
  <si>
    <t>KH302775024</t>
  </si>
  <si>
    <t>Ngọc Huyền(Liên) Sơn Tây</t>
  </si>
  <si>
    <t>Trạng trình</t>
  </si>
  <si>
    <t>CHUYỂN KHOẢN TRƯỚC
 XE LINH HOẠT
 273 LÊ LỢI SƠN TÂY</t>
  </si>
  <si>
    <t>KH302775023</t>
  </si>
  <si>
    <t>trực</t>
  </si>
  <si>
    <t>quầy thuốc trung trực, ấp đầu sấu đông, lộc ninh, hồng dân, bạc liêu.</t>
  </si>
  <si>
    <t>KH302775022</t>
  </si>
  <si>
    <t>Phạm Phương Thúy</t>
  </si>
  <si>
    <t>46 Nguyễn Trãi. Tân Thiện ,Đồng Xoài, Bình Phước</t>
  </si>
  <si>
    <t>KH302775021</t>
  </si>
  <si>
    <t>Chị Vân Vĩnh Phúc</t>
  </si>
  <si>
    <t>Nhà thuốc Công Thị Tuyết Vân Chợ Đồng Tâm Vĩnh Yên Vĩnh Phúc</t>
  </si>
  <si>
    <t>BEST
 THU COD
 SALE MR.HIẾU</t>
  </si>
  <si>
    <t>KH302775020</t>
  </si>
  <si>
    <t>Nhà thuốc Thiên Phúc</t>
  </si>
  <si>
    <t>Nhà thuốc Thiên Phúc 
 Số nhà 480, tổ dân phố số 2, thị trấn Thắng, huyện Hiệp Hòa, tỉnh Bắc Giang</t>
  </si>
  <si>
    <t>4,443,000</t>
  </si>
  <si>
    <t>KH302775019</t>
  </si>
  <si>
    <t>Chú Quân Hưng Yên (N)</t>
  </si>
  <si>
    <t>Quầy thuốc Nam Khánh - Ngã tư chợ thôn Hoàng Nhà, xã Minh Hải ,Văn Lâm, Hưng Yên</t>
  </si>
  <si>
    <t>BEST 
 THU COD
 KHÁCH TRẢ CƯỚC
 SALE MR.HIẾU</t>
  </si>
  <si>
    <t>KH302775018</t>
  </si>
  <si>
    <t>Nhà thuốc Gia Bách Vĩnh Phúc(N)</t>
  </si>
  <si>
    <t>Chợ Me mới - TT Hợp Hòa - Tam Dương - Vĩnh Phúc</t>
  </si>
  <si>
    <t>THU HỘ/CHUYỂN KHOẢN TRƯỚC
 XE CƯỜNG DŨNG
 KHÁCH TRẢ CƯỚC
 SALE MR.HIẾU</t>
  </si>
  <si>
    <t>KH302775017</t>
  </si>
  <si>
    <t>Chị Ngô Ly Bắc Giang</t>
  </si>
  <si>
    <t>Số 23, đường nguyễn nghĩa lập, trần nguyên hãn, TP bắc giang</t>
  </si>
  <si>
    <t>THU HỘ
 XE ANH CHI
 SALE MR.HIẾU</t>
  </si>
  <si>
    <t>KH302775016</t>
  </si>
  <si>
    <t>Chú Minh NT Thanh Huyền Bắc Giang</t>
  </si>
  <si>
    <t>số nhà 196 Đường Lý Thường Kiệt, tổ dân phố Dinh Hương, thị trấn Thắng, Hiệp Hoà, Bắc Giang</t>
  </si>
  <si>
    <t>8,998,000</t>
  </si>
  <si>
    <t>KH302775015</t>
  </si>
  <si>
    <t>Chị Ngọc - Nhà Thuốc Ngọc Điệp</t>
  </si>
  <si>
    <t>177 nguyên hữu cầu phường ngọc châu tp hải dương</t>
  </si>
  <si>
    <t>GHTK
 THU HỘ
 SALE MR.HIẾU</t>
  </si>
  <si>
    <t>KH302775014</t>
  </si>
  <si>
    <t>Chị Mai - Quầy Thuốc Số 01 Bắc Ninh</t>
  </si>
  <si>
    <t>số 493 ngô gia Tự, Phường Tiền An, Thành Phố Bắc Ninh, Tỉnh Bắc Ninh</t>
  </si>
  <si>
    <t>THU HỘ
 XE ĐÔNG HẢI
 KHÁCH TRẢ CƯỚC
 SALE MR.HIẾU</t>
  </si>
  <si>
    <t>KH302775013</t>
  </si>
  <si>
    <t>Nhà thuốc Hùng Cương</t>
  </si>
  <si>
    <t>Địa chỉ nhận hàng: Xóm 2, Cổng Bệnh Viện Đa Khoa, xã Tăng Thanh, huyện Yên Thành, tỉnh Nghệ An</t>
  </si>
  <si>
    <t>KH302775012</t>
  </si>
  <si>
    <t>Nhà Thuốc Hồng Hà</t>
  </si>
  <si>
    <t>NT Hồng Hà 155 trần hưng đạo - TP Hải Dương</t>
  </si>
  <si>
    <t>THU COD
 XE TRUNG ANH
 SALE MR.HIẾU</t>
  </si>
  <si>
    <t>KH302775011</t>
  </si>
  <si>
    <t>Khách lẻ Jonelyn Nguyen Đồng Nai</t>
  </si>
  <si>
    <t>B17/7 tổ 5 kp5 phường Tam Hiệp, Biên Hòa, Đồng Nai</t>
  </si>
  <si>
    <t>GHTK
 THU COD
 FREESHIP
 đơn gửi từ B8 LÔ 12</t>
  </si>
  <si>
    <t>KH302775010</t>
  </si>
  <si>
    <t>Chị Hà Vĩnh Phúc</t>
  </si>
  <si>
    <t>Số 18, ngõ 10, đường Trần Hưng Đạo, phường Trưng Trắc, thị xã Phúc Yên, tình Vĩnh Phúc</t>
  </si>
  <si>
    <t>THU HỘ
 XE CƯỜNG DŨNG
 KHÁCH TRẢ SHIP
 SALE MR.HIẾU</t>
  </si>
  <si>
    <t>KH302775009</t>
  </si>
  <si>
    <t>Chị Đặng Hoa Vĩnh Phúc</t>
  </si>
  <si>
    <t>Nhà thuốc vinphaco 34 a Địa chỉ sn 15 Tôn thất Tùng phường liên bảo .tp Vĩnh yên Vĩnh phúc</t>
  </si>
  <si>
    <t>THU HỘ
 XE CƯỠNG DŨNG
 CƯỚC KHÁCH TRẢ
 SALE MR.HIẾU</t>
  </si>
  <si>
    <t>KH302775008</t>
  </si>
  <si>
    <t>Chị Đặng Hoa</t>
  </si>
  <si>
    <t>KH302775007</t>
  </si>
  <si>
    <t>Quầy thuốc Việt Hương</t>
  </si>
  <si>
    <t>Địa chỉ: Vĩnh Phúc - Huyện Yên Lạc - Xã Trung Kiên</t>
  </si>
  <si>
    <t>THU HỘ
 XE CƯỜNG DŨNG
 CƯỚC KHÁCH TRẢ
 SALE MR.HIẾU</t>
  </si>
  <si>
    <t>KH302775006</t>
  </si>
  <si>
    <t>kh</t>
  </si>
  <si>
    <t>THU HỘ 
 XE CƯỜNG DŨNG
 CƯỚC KHÁCH TRẢ
 SALE MR.HIẾU</t>
  </si>
  <si>
    <t>KH302775005</t>
  </si>
  <si>
    <t>Anh Linh - Tân Yên - Bắc Giang</t>
  </si>
  <si>
    <t>0989327559/0865.999.222</t>
  </si>
  <si>
    <t>Nhà Thuốc Việt Thoa-93 TDP Hoàng Hoa Thám-Thị Trấn Cao Thượng-Huyện Tân Yên-Tỉnh Bắc Giang</t>
  </si>
  <si>
    <t>THU COD
 XE HÀ THANH 0348308826
 Nhà Thuốc Việt Thoa-93 TDP Hoàng Hoa Thám-Thị Trấn Cao Thượng-Huyện Tân Yên-Tỉnh Bắc Giang ( Ghi ngoài thùng thêm địa chỉ này )
 XE KHÔNG THU ĐƯỢC TIỀN LUÔN NHỜ QUAY ĐẦU HÀNG
 SALE MR.HIẾU</t>
  </si>
  <si>
    <t>KH302775004</t>
  </si>
  <si>
    <t>A Phạm Ngọc Sơn</t>
  </si>
  <si>
    <t>hẻm 42 Mai Thị Lựu, p. Eatam. Thành phố Buôn Ma Thuột. Tỉnh Đăk Lăk</t>
  </si>
  <si>
    <t>BEST
 THU COD</t>
  </si>
  <si>
    <t>KH302775003</t>
  </si>
  <si>
    <t>Quầy Thuốc Lê Chinh</t>
  </si>
  <si>
    <t>đối diện bệnh viện đa khoa yên mô ninh bình</t>
  </si>
  <si>
    <t>THU HỘ
 XE ĐỨC LONG
 CƯỚC XE KHÁCH TRẢ</t>
  </si>
  <si>
    <t>KH302775002</t>
  </si>
  <si>
    <t>Chị Hương bắc giang(N)</t>
  </si>
  <si>
    <t>Số 36 mỹ độ tp bắc giang</t>
  </si>
  <si>
    <t>XE ANH CHI
 THU HỘ
 KHÁCH TRẢ CƯỚC
 SALE MR.HIẾU</t>
  </si>
  <si>
    <t>23,830,000</t>
  </si>
  <si>
    <t>KH302775001</t>
  </si>
  <si>
    <t>Chị Phương - Bắc Giang</t>
  </si>
  <si>
    <t>Nhà thuốc Hoàng Phương. 68, Tôn thất Tùng, Dĩnh kế, tp bắc giang</t>
  </si>
  <si>
    <t>XE ANH CHI
 THU HỘ
 SALE MR.HIẾU</t>
  </si>
  <si>
    <t>KH302775000</t>
  </si>
  <si>
    <t>Chị Vân - Nghệ An</t>
  </si>
  <si>
    <t>quầy thuốc minh vân,số 6,tổ 6,khối 5,thị trấn diễn châu,huyện diễn châu,tỉnh nghệ an</t>
  </si>
  <si>
    <t>KH302774999</t>
  </si>
  <si>
    <t>Nhà thuốc Thảo PT Pharmacy</t>
  </si>
  <si>
    <t>26 cầu bươu(cổng chung cư Tabudec)</t>
  </si>
  <si>
    <t>KH302774998</t>
  </si>
  <si>
    <t>Chị Hoài Nghệ an</t>
  </si>
  <si>
    <t>số 9 đường nguyễn thái học-Lê lợi-Thành phố Vinh -Nghệ an</t>
  </si>
  <si>
    <t>BEST
 SHIP COD 
 CƯỚC KHÁCH TRẢ 
 SALE MR.HIẾU</t>
  </si>
  <si>
    <t>KH302774997</t>
  </si>
  <si>
    <t>C Dung NT Ngọc Châu hải Dương</t>
  </si>
  <si>
    <t>NT ngọc châu,chợ tạm phú lương,tp hải dương</t>
  </si>
  <si>
    <t>THU HỘ
  xe Trung Anh
 "SALE MR.HIẾU"</t>
  </si>
  <si>
    <t>KH302774996</t>
  </si>
  <si>
    <t>Khách anh Pham Hiếu</t>
  </si>
  <si>
    <t>THU HỘ</t>
  </si>
  <si>
    <t>KH302774995</t>
  </si>
  <si>
    <t>C mai Nguyễn Đan Phượng</t>
  </si>
  <si>
    <t>thôn thượng trì xã liên hồng huyện đan phượng hà nội</t>
  </si>
  <si>
    <t>1,471,905</t>
  </si>
  <si>
    <t>KH302774994</t>
  </si>
  <si>
    <t>NT Việt Hưng</t>
  </si>
  <si>
    <t>D104-lô nhà vườn khu đô thị việt hưng long biên
 Nhà thuốc việt hưng</t>
  </si>
  <si>
    <t>BEST
 THU CO</t>
  </si>
  <si>
    <t>KH302774993</t>
  </si>
  <si>
    <t>C Dương Trang Tây Tinh</t>
  </si>
  <si>
    <t>An hội .an hoà .trảng bàng tỉnh Tây ninh</t>
  </si>
  <si>
    <t>KH302774992</t>
  </si>
  <si>
    <t>Quay thuoc hieu hậu</t>
  </si>
  <si>
    <t>Qusy thuoc hieu hauk xa vinh kim huyen cau ngag tinh tra vinh</t>
  </si>
  <si>
    <t>KH302774991</t>
  </si>
  <si>
    <t>Hoàng Trung Trứ</t>
  </si>
  <si>
    <t>8 phạm nhữ tăng hòa khê thanh khê đà nẵng</t>
  </si>
  <si>
    <t>CHUYỂN KHOẢN
 BEST
 FREESHIP</t>
  </si>
  <si>
    <t>KH302774990</t>
  </si>
  <si>
    <t>c Tuyết Nhung Trà Vinh</t>
  </si>
  <si>
    <t>0399888800/ Quầy Thuốc Hiếu Hậu xa vinh kim huyen cau ngag tinh tra vinh</t>
  </si>
  <si>
    <t>KH302774989</t>
  </si>
  <si>
    <t>A Giáp Nghệ An</t>
  </si>
  <si>
    <t>khối nam bắc sơn, tt nam đÀn, huyện nam đÀn, tỉnh nghệ an</t>
  </si>
  <si>
    <t>THU HỘ
 XE BỒ CÂU</t>
  </si>
  <si>
    <t>KH302774988</t>
  </si>
  <si>
    <t>QT Hà Thanh Bắc Giang</t>
  </si>
  <si>
    <t>84353045317 / Tấn cầu rô</t>
  </si>
  <si>
    <t>thu hộ
  xe hà thanh
 cước xe khách hàng gửi</t>
  </si>
  <si>
    <t>KH302774987</t>
  </si>
  <si>
    <t>Thuốc Hải Vy (c Thắm HP)</t>
  </si>
  <si>
    <t>Thắm Hải Phòng - 0973815269</t>
  </si>
  <si>
    <t>THU HỘ
 XE TÂN TOÀN 
 CƯỚC KHÁCH TRẢ</t>
  </si>
  <si>
    <t>KH302774986</t>
  </si>
  <si>
    <t>QT Chi Diễm Lạng Sơn</t>
  </si>
  <si>
    <t>QT Chi Diễm, thôn tràng , xã vũ lăng, huyện bắc sơn, tỉnh lang sơn</t>
  </si>
  <si>
    <t>KH302774985</t>
  </si>
  <si>
    <t>DS Hồng Liên Tuyên Quang</t>
  </si>
  <si>
    <t>Thôn An Thái, Xã Tân An, Huyện Chiêm Hoá,tỉnh Tuyên Quang</t>
  </si>
  <si>
    <t>THU HỘ 
 XE HAPU
 xe nào qua chỗ khách thì gửi
 nhà xe gọi trước cho khách trước khi giao hàng</t>
  </si>
  <si>
    <t>KH302774984</t>
  </si>
  <si>
    <t>Đạt Thuốc sỉ</t>
  </si>
  <si>
    <t>KH QUA HAPU</t>
  </si>
  <si>
    <t>KH302774983</t>
  </si>
  <si>
    <t>C Thắm Hải Phòng( 0976265067)</t>
  </si>
  <si>
    <t>Thắm- Hải Phòng 0973815269</t>
  </si>
  <si>
    <t>THU HỘ
 XE TÂN TOÀN 033.6118988
 CƯỚC KHÁCH TRẢ
 0978784775 xe tân toàn
 Người nhận: Thắm Thành Long -0973815269</t>
  </si>
  <si>
    <t>KH302774982</t>
  </si>
  <si>
    <t>NHà thuốc thuỳ dunv</t>
  </si>
  <si>
    <t>Số nhà 938 dương tự minh</t>
  </si>
  <si>
    <t>KH302774981</t>
  </si>
  <si>
    <t>thuật</t>
  </si>
  <si>
    <t>trạm y tế xã xuân lạc</t>
  </si>
  <si>
    <t>KH302774980</t>
  </si>
  <si>
    <t>A Trần Việt Khoa HCM</t>
  </si>
  <si>
    <t>59 trần não</t>
  </si>
  <si>
    <t>KH302774979</t>
  </si>
  <si>
    <t>A Công Xuân Đỉnh</t>
  </si>
  <si>
    <t>CT1 Nhà N6- Tập thể 212 Học Viện Kỹ Thuật Quân Sự- TDP Tân Xuân 2</t>
  </si>
  <si>
    <t>KH302774978</t>
  </si>
  <si>
    <t>Anh Duy Lộc Thanh Hóa</t>
  </si>
  <si>
    <t>Yên đoài - quảng yên - quảng xương - thanh hoá</t>
  </si>
  <si>
    <t>14,541,000</t>
  </si>
  <si>
    <t>KH302774977</t>
  </si>
  <si>
    <t>Khánh Duy</t>
  </si>
  <si>
    <t>Cạnh cổng chào khu 8. Phường Hà Khẩu Hạ Long Quảng Ninh</t>
  </si>
  <si>
    <t>KH302774976</t>
  </si>
  <si>
    <t>c Huyền Ni Huế</t>
  </si>
  <si>
    <t>Thôn hà úc 1 vinh an phú vang thừa thiên huế</t>
  </si>
  <si>
    <t>KH302774975</t>
  </si>
  <si>
    <t>C thuy</t>
  </si>
  <si>
    <t>KH302774974</t>
  </si>
  <si>
    <t>c Yến Mậu A Yên Bái</t>
  </si>
  <si>
    <t>Mậu a Yên Bái - Huyện Văn Yên</t>
  </si>
  <si>
    <t>THU HỘ TIỀN 
 GỬI XE Hệ Trọng
 CƯỚC XE KH GỬI</t>
  </si>
  <si>
    <t>KH302774973</t>
  </si>
  <si>
    <t>a Tiến Đan Phương</t>
  </si>
  <si>
    <t>Số nhà 12 đường đồng tiến 1 .cụm 3 xã Hồng Hà huyện Đan Phượng, Hà Nội</t>
  </si>
  <si>
    <t>9,062,500</t>
  </si>
  <si>
    <t>KH302774972</t>
  </si>
  <si>
    <t>QT Oanh Thuận</t>
  </si>
  <si>
    <t>Qt oanh thuan, số 70, đình lãm làng,nam sơn</t>
  </si>
  <si>
    <t>XE ANH CHI
 THU HỘ</t>
  </si>
  <si>
    <t>6,782,500</t>
  </si>
  <si>
    <t>KH302774971</t>
  </si>
  <si>
    <t>A Tuấn Hải Lạng Sơn</t>
  </si>
  <si>
    <t>Thôn pá hà, Xã Lương Năng, Huyện Văn Quan, Lạng Sơn</t>
  </si>
  <si>
    <t>BEST
 THU COD
 FREESHIP</t>
  </si>
  <si>
    <t>KH302774970</t>
  </si>
  <si>
    <t>QT Đào Lụa Hải Hương</t>
  </si>
  <si>
    <t>quầy thuốc đào lụa ngọc cục thúc kháng bình giang</t>
  </si>
  <si>
    <t>KH302774969</t>
  </si>
  <si>
    <t>Cầu rô</t>
  </si>
  <si>
    <t>KH302774968</t>
  </si>
  <si>
    <t>QT Thu Hải Hà Nam</t>
  </si>
  <si>
    <t>Quầy Thu Hải xóm Rặng, Đức Lý, Lý Nhân, Hà Nam</t>
  </si>
  <si>
    <t>THU HỘ 
 XE HAPU 
 CƯỚC KH TRẢ</t>
  </si>
  <si>
    <t>KH302774967</t>
  </si>
  <si>
    <t>Anh Thế</t>
  </si>
  <si>
    <t>237/11/2 nguyễn huệ , trần phú, qui nhơn, bình định</t>
  </si>
  <si>
    <t>GHTK
 C Liên SDT: 0912233342 948 đại lộ tôn đức thắng- sở dầu- hồng bàng- hải phòng không bỏ hóa đơn vào thùng</t>
  </si>
  <si>
    <t>KH302774966</t>
  </si>
  <si>
    <t>c Thương Thuốc sỉ</t>
  </si>
  <si>
    <t>KH302774965</t>
  </si>
  <si>
    <t>KH lẻ ở Nam Từ Liêm HN</t>
  </si>
  <si>
    <t>09BT2 đường foresa 5A, khu đô thị Foresa Xuân Phương, Nam Từ Liêm HN</t>
  </si>
  <si>
    <t>KH302774964</t>
  </si>
  <si>
    <t>Nông T Thủy Tiên Thái Nguyên</t>
  </si>
  <si>
    <t>Quầy thuốc nam tiên xím khe mo 1 xã khe mo huyện đồng hủy tỉnh thái nguyên</t>
  </si>
  <si>
    <t>KH302774963</t>
  </si>
  <si>
    <t>NT Phùng Hưng Đà Nẵng</t>
  </si>
  <si>
    <t>22 Nguyễn Phước Lan,hòa xuân,cẩm lệ,đà nẵng</t>
  </si>
  <si>
    <t>BEST/GHTK
 THU COD
 CƯỚC KHÁCH TRẢ</t>
  </si>
  <si>
    <t>6,964,000</t>
  </si>
  <si>
    <t>KH302774962</t>
  </si>
  <si>
    <t>QT trung tâm khu phố 1 Vĩnh Phúc</t>
  </si>
  <si>
    <t>quầy thuốc trung tâm khu phố 1, thị trấn hương canh bình xuyên tỉnh Vĩnh phúc</t>
  </si>
  <si>
    <t>THU HỘ
 XE HAPU</t>
  </si>
  <si>
    <t>KH302774961</t>
  </si>
  <si>
    <t>NT Hương Cường Hải Dương</t>
  </si>
  <si>
    <t>747 đường Lê thánh tông phường văn an thành phố chí linh tỉnh hải dương</t>
  </si>
  <si>
    <t>KH302774960</t>
  </si>
  <si>
    <t>A Nguyễn Văn Giang Hà Nam</t>
  </si>
  <si>
    <t>HÀ NAM</t>
  </si>
  <si>
    <t>KH302774959</t>
  </si>
  <si>
    <t>Nguyễn Thúy Quảng Ninh</t>
  </si>
  <si>
    <t>0906172455 / 0981618699 157 trần nhân tông - quảng yên - quàn ninh</t>
  </si>
  <si>
    <t>CHUYỂN KHOẢN
 0862739759 GỬI XE MỸ Á HAPU
 CƯỚC XE KH GỬI
 GHI CẢ 2 SDT LÊN THÙNG
 " số tiền nhiều quá thì phải hỏi lại c P"</t>
  </si>
  <si>
    <t>-1,015,000</t>
  </si>
  <si>
    <t>KH302774958</t>
  </si>
  <si>
    <t>C Thơm Thanh Hóa</t>
  </si>
  <si>
    <t>Thôn thanh đong phường bình minh thị xã nghi Sơn thanh hoá</t>
  </si>
  <si>
    <t>GHTK
 THU COD
 CƯỚC KH TRẢ
 KHÁCH NỢ 10H METHYL 16 ĐƠN CŨ 
 THU HỘ
 XE HOÀNG QUÝ</t>
  </si>
  <si>
    <t>8,322,000</t>
  </si>
  <si>
    <t>KH302774957</t>
  </si>
  <si>
    <t>c Ánh Đồng Nai</t>
  </si>
  <si>
    <t>Số 3 , phương mai 1 , xã Phú lâm , huyện Tân Phú , tỉnh đồng nai</t>
  </si>
  <si>
    <t>GHTK
 CHUYỂN KHOẢN
 CƯỚC KH GỬI</t>
  </si>
  <si>
    <t>2,780,000</t>
  </si>
  <si>
    <t>8,994,000</t>
  </si>
  <si>
    <t>KH302774956</t>
  </si>
  <si>
    <t>NT Fansipan Thanh Hóa</t>
  </si>
  <si>
    <t>Lô 21. MBQH 2155 . Phường Đông vệ . TP Thanh Hoá</t>
  </si>
  <si>
    <t>THU HỘ
 XE HOÀNG QUÝ 
 CƯỚC KH TRẢ</t>
  </si>
  <si>
    <t>KH302774955</t>
  </si>
  <si>
    <t>A Đông Hà Nội</t>
  </si>
  <si>
    <t>301 Vũ Hữu - Thanh xuân bắc</t>
  </si>
  <si>
    <t>THU HỘ 
 SHIP GẦN
 CƯỚC KH TRẢ</t>
  </si>
  <si>
    <t>KH302774954</t>
  </si>
  <si>
    <t>A Hoàng Tuyên Thái Bình</t>
  </si>
  <si>
    <t>huyện quỳnh phụ, thái bình</t>
  </si>
  <si>
    <t>THU HỘ
 XE HAPU (MINH HƯỚNG)
 CƯỚC KHÁCH TRẢ</t>
  </si>
  <si>
    <t>KH302774953</t>
  </si>
  <si>
    <t>c Minh Ngọc Đan Phượng</t>
  </si>
  <si>
    <t>số nhà 122.đường ô diên.cụm 1,hạ mỗ .đan phượng hà nôi.</t>
  </si>
  <si>
    <t>KH302774952</t>
  </si>
  <si>
    <t>NT Long Thịnh Bạc Liêu</t>
  </si>
  <si>
    <t>0818.62.63.64</t>
  </si>
  <si>
    <t>BEST
 THU COD
 LẦN SAU CHỈ BÁN HÀNG CỦA QUẦY.
 LẤY NGOÀI THÌ GHI CHÚ MUA HỘ</t>
  </si>
  <si>
    <t>KH302774951</t>
  </si>
  <si>
    <t>C Thắm Bắc Kạn</t>
  </si>
  <si>
    <t>trung tâm y tế Ba Bể, tiểu khu 2 Thị Trấn Chợ Rã, huyện Ba Bể, tỉnh Bắc Kạn</t>
  </si>
  <si>
    <t>BEST
 THU COD
 CƯỚC KH TRẢ</t>
  </si>
  <si>
    <t>KH302774950</t>
  </si>
  <si>
    <t>NT số 8 Hoàng Quốc Việt</t>
  </si>
  <si>
    <t>nhà thuốc số 8 ngõ 5 Hoàng Quốc Việt</t>
  </si>
  <si>
    <t>CHUYỂN KHOẢN
 SHIP GẦN
 CƯỚC KH TRẢ</t>
  </si>
  <si>
    <t>KH302774949</t>
  </si>
  <si>
    <t>C Huyền Trang Bắc Từ Liêm</t>
  </si>
  <si>
    <t>38 tân xuân, bắc từ liêm, hà nội</t>
  </si>
  <si>
    <t>KH302774948</t>
  </si>
  <si>
    <t>A Đức Thái Nguyên</t>
  </si>
  <si>
    <t>0329 369 322</t>
  </si>
  <si>
    <t>818 dương tự minh phường Quang Vinh Thái Nguyên</t>
  </si>
  <si>
    <t>CHUYỂN KHOẢN TRƯỚC
 XE THÀNH ĐẠT
 CƯỚC KHÁCH TRẢ</t>
  </si>
  <si>
    <t>3,350,000</t>
  </si>
  <si>
    <t>KH302774947</t>
  </si>
  <si>
    <t>C Thu Hường Vĩnh Phúc</t>
  </si>
  <si>
    <t>QT thu hường.tdp bảo phác.hợp châu.tam đảo.vĩnh phúc</t>
  </si>
  <si>
    <t>VNPOST
 THU COD
 CƯỚC KHÁCH TRẢ</t>
  </si>
  <si>
    <t>KH302774946</t>
  </si>
  <si>
    <t>A Năm Thanh Trì</t>
  </si>
  <si>
    <t>số nhà 18 ngõ 14 xóm trung thanh,xã hữu hòa ,huyện thanh trì.tp hà nội</t>
  </si>
  <si>
    <t>CHUYỂN KHOẢN 
 CƯỚC KH TRẢ</t>
  </si>
  <si>
    <t>KH302774945</t>
  </si>
  <si>
    <t>QT Thoa Bắc Ninh</t>
  </si>
  <si>
    <t>Cựu Tự_Ngọc Xá_Quế Võ_Bắc Ninh</t>
  </si>
  <si>
    <t>THU HỘ 
 XE HAPU
 CƯỚC KH TRẢ
 BEST
 THU COD
 CƯỚC KHÁCH TRẢ
 không cần gửi link tracking
 ĐƠN NẶNG GỬI XE ĐƠN NHẸ GỬI BEST</t>
  </si>
  <si>
    <t>KH302774944</t>
  </si>
  <si>
    <t>Mai Huyền</t>
  </si>
  <si>
    <t>thôn hiệp lực</t>
  </si>
  <si>
    <t>KH302774943</t>
  </si>
  <si>
    <t>C BÙI TUYẾN KON TUM</t>
  </si>
  <si>
    <t>404 Trần Phú; Quang Trung, Kon Tum</t>
  </si>
  <si>
    <t>KH302774942</t>
  </si>
  <si>
    <t>QT Thanh Bình Đắk Lăk</t>
  </si>
  <si>
    <t>ngã ba chợ Bình Hoà huyện krongAna daklak</t>
  </si>
  <si>
    <t>KH302774941</t>
  </si>
  <si>
    <t>QT Quyết Thảo Nghệ An</t>
  </si>
  <si>
    <t>Quầy thuốc quyết thảo xóm 10 thọ thành yên thành nghệ an</t>
  </si>
  <si>
    <t>1,342,000</t>
  </si>
  <si>
    <t>KH302774940</t>
  </si>
  <si>
    <t>NT Hiếu Thảo Khánh Hòa</t>
  </si>
  <si>
    <t>162, Đường 2 tháng 4, ngã ba đại hàn, Vĩnh Hải, Nha Trang, Khánh Hòa (Nhà thuốc Hiếu Thảo)</t>
  </si>
  <si>
    <t>KH302774939</t>
  </si>
  <si>
    <t>C Huyền Thanh Hóa - khách lẻ</t>
  </si>
  <si>
    <t>312 lê hoàn phường ba đình thành phố thanh hóa</t>
  </si>
  <si>
    <t>KH302774938</t>
  </si>
  <si>
    <t>A Trương Bình Thuận</t>
  </si>
  <si>
    <t>280 thanh lương,chí công,tuy phong,bình thuận</t>
  </si>
  <si>
    <t>GHTK
 THU COD
 FREESHIP
 CHỈ GỬI HÀNG GHTK
 mua pira tiêm cộng thêm 1k</t>
  </si>
  <si>
    <t>8,975,000</t>
  </si>
  <si>
    <t>KH302774937</t>
  </si>
  <si>
    <t>A Thắng Hải Dương</t>
  </si>
  <si>
    <t>A thắng Vũ Xá. ngô quyên thanh miện hải dương</t>
  </si>
  <si>
    <t>CHUYỂN KHOẢN 
 XE TRUNG ANH
 CƯỚC KHÁCH TRẢ
 đc 1: A thắng Vũ Xá. ngô quyên thanh miện hải dương</t>
  </si>
  <si>
    <t>4,821,000</t>
  </si>
  <si>
    <t>KH302774936</t>
  </si>
  <si>
    <t>c Duyên Quảng Ngãi</t>
  </si>
  <si>
    <t>hẻm 15/14 trần quang diệu phường nghĩa lộ tp quảng ngãi</t>
  </si>
  <si>
    <t>GHTK
 THU COD
 CƯỚC KHÁCH TRẢ
 đc 1: hẻm 15/14 trần quang diệu phường nghĩa lộ tp quảng ngãi
 đc 2: 431 Nguyễn Trãi, Quảng Phú, Quảng Ngãi</t>
  </si>
  <si>
    <t>KH302774935</t>
  </si>
  <si>
    <t>Kim Huệ</t>
  </si>
  <si>
    <t>Nhà Thuốc Huệ Dương, sn 190 đường Trần Hưng Đạo, tổ 9</t>
  </si>
  <si>
    <t>KH302774934</t>
  </si>
  <si>
    <t>chị Hiếu Hà Tĩnh</t>
  </si>
  <si>
    <t>xóm bình minh. Xã Hương bình huyện Hương Khê Hà Tĩnh</t>
  </si>
  <si>
    <t>KH302774933</t>
  </si>
  <si>
    <t>c Nguyễn Huyền Hà Nội</t>
  </si>
  <si>
    <t>CHUYỂN KHOẢN
 KH TỰ GỌI SHIP</t>
  </si>
  <si>
    <t>KH302774932</t>
  </si>
  <si>
    <t>c Dung Hà Nội</t>
  </si>
  <si>
    <t>CHUYỂN KHOẢN
 KHÁCH TỰ GỌI SHIP
 ĐÓNG HỘP
 BỌC XỐP CHO KHÁCH</t>
  </si>
  <si>
    <t>KH302774931</t>
  </si>
  <si>
    <t>TUỆ ĐAN Thiết</t>
  </si>
  <si>
    <t>Bản Nang Cầu,Nà Nghịu,Sông Mã,Sơn La</t>
  </si>
  <si>
    <t>KH302774930</t>
  </si>
  <si>
    <t>C Hoài Thu Hà Nội</t>
  </si>
  <si>
    <t>C13 Khu tập thể Kim Liên, Đống Đa, Hà Nội</t>
  </si>
  <si>
    <t>KH302774929</t>
  </si>
  <si>
    <t>C Nguyễn Thúy Quảng Ninh</t>
  </si>
  <si>
    <t>0967987222 / 0981618699</t>
  </si>
  <si>
    <t>chợ rừng quảng yên, quảng ninh</t>
  </si>
  <si>
    <t>CHUYỂN KHOẢN
 0862739759 GỬI XE MỸ Á HAPU
 CƯỚC XEKH GỬI
 GHI CẢ 2 SDT LÊN THÙNG
 NGƯỜI NHẬN HỘ: ĐỨC 0967987222
 HỎI XEM 
 KHÁCH GỬI XE HAY SHIP COD</t>
  </si>
  <si>
    <t>KH302774928</t>
  </si>
  <si>
    <t>a tuấn CAO ĐẠI (C)</t>
  </si>
  <si>
    <t>cao đại vĩnh phúc</t>
  </si>
  <si>
    <t>THU HỘ
 FREESHIP 
 XE ĐỨC THÀNH</t>
  </si>
  <si>
    <t>KH302774927</t>
  </si>
  <si>
    <t>Hương Dũng Hà Nam</t>
  </si>
  <si>
    <t>0869292676/0338554444</t>
  </si>
  <si>
    <t>sân bóng Đồng Văn,Duy Tiên,Hà Nam</t>
  </si>
  <si>
    <t>CHUYỂN KHOẢN TRƯỚC
 XE ĐẮC HÙNG
 CƯỚC KH GỬI
 GHTK
 THU COD
 CƯỚC KHÁCH GỬI
 Vực vòng đồng văn, duy tiên, hà nam</t>
  </si>
  <si>
    <t>16,642,000</t>
  </si>
  <si>
    <t>KH302774925</t>
  </si>
  <si>
    <t>c Hoanh Quảng Ngãi</t>
  </si>
  <si>
    <t>Đội 10, thôn la hà 3, nghĩa thương, tư nghĩa, quảng ngãi</t>
  </si>
  <si>
    <t>BEST
 THU COD
 Lô b4-04 đường số 2, khu đô thị ngọc bảo viên,phường chánh lộ, quảng ngãi</t>
  </si>
  <si>
    <t>KH302774924</t>
  </si>
  <si>
    <t>A Nguyễn Hữu Duy Hưng Yên</t>
  </si>
  <si>
    <t>Thị Trấn Ân Thi</t>
  </si>
  <si>
    <t>THU HỘ 
 XE THANH DŨNG
 CƯỚC XE KH GỬI</t>
  </si>
  <si>
    <t>KH302774923</t>
  </si>
  <si>
    <t>Quang</t>
  </si>
  <si>
    <t>27 Trần Duy Hưng</t>
  </si>
  <si>
    <t>KH302774922</t>
  </si>
  <si>
    <t>Trần thị thủy</t>
  </si>
  <si>
    <t>Số 33 ngõ 195 đường cầu diễn phường phúc diễn quận bắc từ liêm hà nội</t>
  </si>
  <si>
    <t>KH302774921</t>
  </si>
  <si>
    <t>C Vũ Loan Hưng Yên</t>
  </si>
  <si>
    <t>lò vôi, khuê xỉu xóm 6, quang xá, quang hưng, phù cừ , hưng yên</t>
  </si>
  <si>
    <t>TIỀN MẶT
 KH QUA HAPU : sdt 093 238 7210
 khách có 2 sdt : 0975206820
 NINJA VAN
 TRỢ CƯỚC 1/3
 d/c :vũ văn khuê: Đối điện chùa quang xá, xóm 6, quang xá, quang hưng, phù cừ, hưng yên
 đc : Qt bảy ngân : 0968066860: Khoái Châu - Hưng YênCHÚ Ý KHÁCH HAY LẤY ÍT MẶC CẢ HÀNG
 SĐT: 0975206820
 ĐC: xóm 6, quang xá quang hưng phù cừ hưng yên
 đc 2 : 0968066860 số nhà 18, 93 nguyễn thiện thuật</t>
  </si>
  <si>
    <t>KH302774920</t>
  </si>
  <si>
    <t>c Hoài Đại Kim Hà Nội</t>
  </si>
  <si>
    <t>0972096660/chung cư A5 Đại Kim</t>
  </si>
  <si>
    <t>CHUYỂN KHOẢN
 SHIP GẦN 
 FREESHIP
 đc 1 :khu tập thể B15 kim liên, đường lương định của, đống đa</t>
  </si>
  <si>
    <t>111,690,000</t>
  </si>
  <si>
    <t>KH302774919</t>
  </si>
  <si>
    <t>Trần Xuân Thủy Hà Tĩnh</t>
  </si>
  <si>
    <t>0913274112/ tân phong, đỉnh bàn, thạch hà, hà tĩnh</t>
  </si>
  <si>
    <t>6,846,000</t>
  </si>
  <si>
    <t>KH302774918</t>
  </si>
  <si>
    <t>bụi hai yen</t>
  </si>
  <si>
    <t>KH302774917</t>
  </si>
  <si>
    <t>Mai Thị Thùy Dương</t>
  </si>
  <si>
    <t>Bệnh viện phổi Đà Nẵng - Nguyễn Đình Tứ</t>
  </si>
  <si>
    <t>KH302774916</t>
  </si>
  <si>
    <t>NT Phương Anh( Kh qua Hapu)</t>
  </si>
  <si>
    <t>CHUYỂN KHOẢN
 KH QUA HAPU</t>
  </si>
  <si>
    <t>KH302774915</t>
  </si>
  <si>
    <t>a Hùng Đà Nẵng</t>
  </si>
  <si>
    <t>393/6/3 nguyễn phước nguyên-an khê-thanh khê-đà nẵng</t>
  </si>
  <si>
    <t>CHUYỂN KHOẢN TRƯỚC
 SHIP GẦN
 KHÔNG BỎ HÓA ĐƠN 
 người nhận : kho vận chuyển c Quyên: 0777981616
 Nội dung : Nội dung:Tina 1564 + 4185 thomas claudio st baclaran baranaque(sang trịnh philippines
 Sdt:09192844193
 CƯỚC KHÁCH TRẢ</t>
  </si>
  <si>
    <t>KH302774914</t>
  </si>
  <si>
    <t>BS Nga Hải Phòng</t>
  </si>
  <si>
    <t>145 chợ hàng, dư hàng kênh, lê chân, hải phòng</t>
  </si>
  <si>
    <t>THU HỘ
 XE DƯ LỆ 
 CƯỚC KHÁCH TRẢ</t>
  </si>
  <si>
    <t>KH302774913</t>
  </si>
  <si>
    <t>A Vinh Tựu Liệt</t>
  </si>
  <si>
    <t>KH302774912</t>
  </si>
  <si>
    <t>a Vinh Tựu Liệt</t>
  </si>
  <si>
    <t>21 Tựu Liệt</t>
  </si>
  <si>
    <t>THU HỘ
 SHIP GẦN
 CƯỚC KH TRẢ
 (vinhtuuliet@gmail.com
 pas: 123456)</t>
  </si>
  <si>
    <t>KH302774911</t>
  </si>
  <si>
    <t>C Tuyết Hồng Đồng Nai</t>
  </si>
  <si>
    <t>0335924058/0396183134</t>
  </si>
  <si>
    <t>Đường Phòng Răng Cẩm Tú, ấp 3, Xuân Tâm, Xuân Tâm, Xuân Lộc, Đồng Nai</t>
  </si>
  <si>
    <t>BEST
 THU COD
 KHÁCH TRẢ CƯỚC</t>
  </si>
  <si>
    <t>KH302774910</t>
  </si>
  <si>
    <t>C Bình Bình Hòa Bình</t>
  </si>
  <si>
    <t>Sn 770, Tiểu khu 13, thị trấn Lương Sơn, huyện Lương Sơn, tỉnh Hòa Bình</t>
  </si>
  <si>
    <t>nhà tâm huệ, xóm hợp phong, xã cư yên, huyện lương sơn, hoà bình</t>
  </si>
  <si>
    <t>KH302774909</t>
  </si>
  <si>
    <t>lê văn quốc</t>
  </si>
  <si>
    <t>73 đường 14 tăng nhơn phú b</t>
  </si>
  <si>
    <t>KH302774908</t>
  </si>
  <si>
    <t>A Trường Giang Bến Tre</t>
  </si>
  <si>
    <t>cửa hàng thuốc thú y Trường Giang Xã Hưng Nhượng Bến Tre - Huyện Giồng Trôm</t>
  </si>
  <si>
    <t>KH302774907</t>
  </si>
  <si>
    <t>c Thanh Q10 HCM</t>
  </si>
  <si>
    <t>CHỢ SỈ Q10-HCM</t>
  </si>
  <si>
    <t>THU HỘ
 GỬI CTY VẬN TẢI SKY 0929355588</t>
  </si>
  <si>
    <t>KH302774906</t>
  </si>
  <si>
    <t>Bùi Hiền</t>
  </si>
  <si>
    <t>6 Trần tử bình</t>
  </si>
  <si>
    <t>KH302774905</t>
  </si>
  <si>
    <t>khách qua hapu lấy lisa</t>
  </si>
  <si>
    <t>KH302774904</t>
  </si>
  <si>
    <t>bùi thân</t>
  </si>
  <si>
    <t>Tầng 2, Tòa HH02, Eco Lakeview, 32 Đại Từ, P. Đại Kim, Q. Hoàng Mai, Hà Nội</t>
  </si>
  <si>
    <t>Dolphin Plaza, 6 Nguyễn Hoàng, Mỹ Đình 2, Hà Nội
 SỐ 9 DUY TÂN</t>
  </si>
  <si>
    <t>KH302774903</t>
  </si>
  <si>
    <t>NT Trung Hiếu Hà Nam</t>
  </si>
  <si>
    <t>Nt trung hiếu
 Cầu gừng, tổ 1 phuờng thanh tuyền, TP phủ lý, tỉnh Hà Nam.</t>
  </si>
  <si>
    <t>THU HỘ 
 XE ĐẮC HÙNG
 CƯỚC KHÁCH TRẢ</t>
  </si>
  <si>
    <t>KH302774902</t>
  </si>
  <si>
    <t>Trần Thị Hương</t>
  </si>
  <si>
    <t>KH302774901</t>
  </si>
  <si>
    <t>Võ Thị Thanh Trúc HCM</t>
  </si>
  <si>
    <t>762 (mặt sau) An Dương Vương</t>
  </si>
  <si>
    <t>KH302774900</t>
  </si>
  <si>
    <t>NT Bảo Nhân Đồng Nai</t>
  </si>
  <si>
    <t>tổ 59, ấp 5, xã Tam an, huyện Long thành, đồng nai</t>
  </si>
  <si>
    <t>4,212,000</t>
  </si>
  <si>
    <t>KH302774899</t>
  </si>
  <si>
    <t>Hàng kiện mang về</t>
  </si>
  <si>
    <t>KH302774898</t>
  </si>
  <si>
    <t>Khắc Thắng</t>
  </si>
  <si>
    <t>số 6 tổ 3 ngõ 495 nguyễn trãi</t>
  </si>
  <si>
    <t>KH302774897</t>
  </si>
  <si>
    <t>Văn</t>
  </si>
  <si>
    <t>KH302774896</t>
  </si>
  <si>
    <t>Nguyễn Đình Phú</t>
  </si>
  <si>
    <t>Cầu 2 Thôn Đăng Rách Xã Gung Ré</t>
  </si>
  <si>
    <t>KH302774895</t>
  </si>
  <si>
    <t>A Đến Bắc Giang</t>
  </si>
  <si>
    <t>Sơn Đình 2 , Thanh Lâm, Lục Nam, Bắc Giang</t>
  </si>
  <si>
    <t>Hỏi xe Hapu nào chắc chắn ship tận nơi mới gửi. 
 đe lân sau kh ma đặt a Bằng sẽ giao hẹn trc hỏi kĩ, k ship tận nới là k gửi</t>
  </si>
  <si>
    <t>5,915,500</t>
  </si>
  <si>
    <t>KH302774894</t>
  </si>
  <si>
    <t>C Võ Hương Đồng Tháp</t>
  </si>
  <si>
    <t>chợ Hoà Bình, Xã Hoà Bình, Huyện Tam Nông, Đồng Tháp, Vietnam</t>
  </si>
  <si>
    <t>BEST
 THU COD
 CƯỚC KH GỬI</t>
  </si>
  <si>
    <t>KH302774893</t>
  </si>
  <si>
    <t>DS Bá Phúc Huế</t>
  </si>
  <si>
    <t>27 YÊT KIÊU, PHƯỜNG THUẬN HÒA, HUẾ</t>
  </si>
  <si>
    <t>KH302774892</t>
  </si>
  <si>
    <t>thuy xuan</t>
  </si>
  <si>
    <t>hà tĩnh</t>
  </si>
  <si>
    <t>KH302774891</t>
  </si>
  <si>
    <t>C Lê Loan Đồng Nai</t>
  </si>
  <si>
    <t>Ngõ 49, Đường Nguyễn Khoái, Phường Bạch Đằng, Quận Hai Bà Trưng, Hà Nội.</t>
  </si>
  <si>
    <t>Người Nhận : Ngọc Quỳnh 
 SĐT: 0334.702.941 
 Địa chỉ: Ngõ 49, Đường Nguyễn Khoái, Phường Bạch Đằng, Quận Hai Bà Trưng, Hà Nội.
 đc 2: 0336615369 Đường hoàng minh chánh, Phường Quang Vinh, Thành phố Biên Hòa, Đồng Nai</t>
  </si>
  <si>
    <t>KH302774890</t>
  </si>
  <si>
    <t>Hàng mang về</t>
  </si>
  <si>
    <t>406,739,500</t>
  </si>
  <si>
    <t>1,450,551,000</t>
  </si>
  <si>
    <t>KH302774889</t>
  </si>
  <si>
    <t>Chú Vị Bắc Từ Liêm</t>
  </si>
  <si>
    <t>N1-01-T1, KDT NGOẠI GIAO ĐOÀN, Xuân Tào, Bắc Từ Liêm, HN</t>
  </si>
  <si>
    <t>KH302774888</t>
  </si>
  <si>
    <t>Thanh Ngân Ngân</t>
  </si>
  <si>
    <t>bào môn đôn châu.</t>
  </si>
  <si>
    <t>KH302774887</t>
  </si>
  <si>
    <t>Nguyễn Tưởng</t>
  </si>
  <si>
    <t>Căn hộ 8.06 chung cư An Khang đường 19 phường An Phú TP Thủ Đức TP HCM</t>
  </si>
  <si>
    <t>khánh lẻ</t>
  </si>
  <si>
    <t>KH302774886</t>
  </si>
  <si>
    <t>tuấn trần</t>
  </si>
  <si>
    <t>506 tân hiệp a, Thị Trấn Óc Eo, Huyện Thoại Sơn, An Giang</t>
  </si>
  <si>
    <t>BEST 
 THU COD
 KHÁCH TRẢ CƯỚC 35k</t>
  </si>
  <si>
    <t>KH302774885</t>
  </si>
  <si>
    <t>C Nguyễn Thị Hiền Thanh Hóa</t>
  </si>
  <si>
    <t>số 112b- bà triệu- bắc sơn- bỉm sơn - thanh hoá</t>
  </si>
  <si>
    <t>BEST
 Báo khách xem kĩ sl sp</t>
  </si>
  <si>
    <t>KH302774884</t>
  </si>
  <si>
    <t>A Văn Thành Kon Tum</t>
  </si>
  <si>
    <t>Số Nhà 336,Đường Hùng Vương,Thị Trấn Đăk Hà,Huyện Đăk Hà,Tỉnh Kon Tum</t>
  </si>
  <si>
    <t>KH302774883</t>
  </si>
  <si>
    <t>thuỷ</t>
  </si>
  <si>
    <t>trần vĩ lê. gia nghĩa. đăk nông</t>
  </si>
  <si>
    <t>KH302774882</t>
  </si>
  <si>
    <t>mai thu hoà</t>
  </si>
  <si>
    <t>KH302774881</t>
  </si>
  <si>
    <t>Phạm mai phương</t>
  </si>
  <si>
    <t>Thị trấn Phú Minh, Huyện Phú Xuyên, Hà Nội</t>
  </si>
  <si>
    <t>KH302774880</t>
  </si>
  <si>
    <t>Nguyễn Hữu Lộc</t>
  </si>
  <si>
    <t>84/2 Trần Hữu Trang</t>
  </si>
  <si>
    <t>KH302774879</t>
  </si>
  <si>
    <t>Huỳnh Thị thanh tuyền</t>
  </si>
  <si>
    <t>266/40 tô hiến Thành p15 quận 10</t>
  </si>
  <si>
    <t>KH302774878</t>
  </si>
  <si>
    <t>QT Nguyễn Hoài Nam Định</t>
  </si>
  <si>
    <t>THU HỘ
  XE TUẤN AZ 
 CƯỚC XE KHÁCH TRẢ</t>
  </si>
  <si>
    <t>KH302774877</t>
  </si>
  <si>
    <t>võ thị pha</t>
  </si>
  <si>
    <t>KH302774876</t>
  </si>
  <si>
    <t>C Lê Thị Luận Thanh Hóa</t>
  </si>
  <si>
    <t>só nhà 36/09/146 đường lê huy toán, tp thanh hoá</t>
  </si>
  <si>
    <t>khách boom hàng , k gửi</t>
  </si>
  <si>
    <t>KH302774875</t>
  </si>
  <si>
    <t>Quầy Thuốc Tâm Bình Bắc Giang</t>
  </si>
  <si>
    <t>đối diện ủy ban thị trấn cũ 
 Thị Trấn Tân An,Huyện Yên Dũng,Tỉnh Bắc Giang</t>
  </si>
  <si>
    <t>THU HỘ
 XE ANH CHI
 FREESHIP
 "12h: 45xe chạy- Đóng hàng trước 12:30 "
 " chủ động liên hệ kế toán xe Anh Chi để nhận tiền hàng"</t>
  </si>
  <si>
    <t>87,616,000</t>
  </si>
  <si>
    <t>KH302774874</t>
  </si>
  <si>
    <t>trang nguyen</t>
  </si>
  <si>
    <t>30/108 do nhuan p.son ky q.tan phu</t>
  </si>
  <si>
    <t>KH302774873</t>
  </si>
  <si>
    <t>QT Kim Tuyết Thanh Hóa 1</t>
  </si>
  <si>
    <t>số nhà 28 thôn Hải phúc xã hoằng thắng huyện hoằng Hóa tỉnh Thanh Hóa</t>
  </si>
  <si>
    <t>BEST</t>
  </si>
  <si>
    <t>KH302774872</t>
  </si>
  <si>
    <t>Cựu Tự_Ngọc Xá_Quế Võ _Bắc Ninh</t>
  </si>
  <si>
    <t>KH302774871</t>
  </si>
  <si>
    <t>Thu Cúc - Tân Sơn - Phú Thọ</t>
  </si>
  <si>
    <t>CHUYỂN KHOẢN
 LẤY HÀNG TẠI SHOP</t>
  </si>
  <si>
    <t>KH302774870</t>
  </si>
  <si>
    <t>Nguyễn đình mẫn</t>
  </si>
  <si>
    <t>hẻm xe đạp tân phường bảo vinh a</t>
  </si>
  <si>
    <t>KH302774869</t>
  </si>
  <si>
    <t>Đặng thu hà</t>
  </si>
  <si>
    <t>xóm trung hồng</t>
  </si>
  <si>
    <t>KH302774868</t>
  </si>
  <si>
    <t>lê văn thịnh</t>
  </si>
  <si>
    <t>Khu phố tân lập phường phước tân biên hôa đồng nai</t>
  </si>
  <si>
    <t>KH302774867</t>
  </si>
  <si>
    <t>Trần Hằng Hằng Lạng Sơn(K)</t>
  </si>
  <si>
    <t>số 01 ngõ 30 đường 19/8, Thị trấn Hữu Lũng,Huyện Hữu Lũng,Lạng Sơn</t>
  </si>
  <si>
    <t>BEST
 THU HỘ</t>
  </si>
  <si>
    <t>1,409,500</t>
  </si>
  <si>
    <t>KH302774865</t>
  </si>
  <si>
    <t>Lâm</t>
  </si>
  <si>
    <t>24 Hai Bà Trưng, Yết Kiêu, Thành phố Hạ Long, Quảng Ninh</t>
  </si>
  <si>
    <t>KH302774864</t>
  </si>
  <si>
    <t>Lê Tiền Hải</t>
  </si>
  <si>
    <t>36 ngõ Thịnh Hào 1, phố Tôn Đức Thắng</t>
  </si>
  <si>
    <t>KH302774863</t>
  </si>
  <si>
    <t>c Bùi Cúc Hồ Chí Minh</t>
  </si>
  <si>
    <t>0345807314 / 039 5310677</t>
  </si>
  <si>
    <t>nhà a2 chung cư Thạnh Mỹ lợi, Phường Thạnh Mỹ Lợi, Thành phố Thủ Đức, Hồ Chí Minh, Vietnam</t>
  </si>
  <si>
    <t>KH302774862</t>
  </si>
  <si>
    <t>nguyễn thị mơ</t>
  </si>
  <si>
    <t>trạm y tế</t>
  </si>
  <si>
    <t>KH302774861</t>
  </si>
  <si>
    <t>Lê Phong</t>
  </si>
  <si>
    <t>chung cư The Two Gamuda</t>
  </si>
  <si>
    <t>KH302774859</t>
  </si>
  <si>
    <t>C Thanh Mai Đắk Lắk</t>
  </si>
  <si>
    <t>số 19 buôn Tlan, xã Cư pơng, huyện Krông Búk, Đắk Lắk</t>
  </si>
  <si>
    <t>KH302774858</t>
  </si>
  <si>
    <t>c Trịnh Hiền Đông Anh</t>
  </si>
  <si>
    <t>số 19 ngõ 3 xóm vạn thôn vệ xã nam hồng, huyện Đông Anh, Hà Nội</t>
  </si>
  <si>
    <t>KH302774857</t>
  </si>
  <si>
    <t>C Hương Thái Nguyên</t>
  </si>
  <si>
    <t>Xã Tân Linh, Huyện Đại Từ, Thái Nguyên</t>
  </si>
  <si>
    <t>THU HỘ 
 XE HAPU
 FREESHIP</t>
  </si>
  <si>
    <t>KH302774856</t>
  </si>
  <si>
    <t>A Tuấn Hùng Hà Nam</t>
  </si>
  <si>
    <t>gửi cho anh Hùng thành phố Phủ Lý Hà Nam</t>
  </si>
  <si>
    <t>THU HỘ
 XE ĐẮC HÙNG
 CƯỚC KH GỬI</t>
  </si>
  <si>
    <t>KH302774855</t>
  </si>
  <si>
    <t>c Đoàn Dung Hải Dương</t>
  </si>
  <si>
    <t>Thôn Phạm xá, Xã Ngọc Sơn, Huyện Tứ Kỳ, Hải Dương, Vietnam</t>
  </si>
  <si>
    <t>best</t>
  </si>
  <si>
    <t>KH302774854</t>
  </si>
  <si>
    <t>NT Khánh An Nghệ An</t>
  </si>
  <si>
    <t>quỳnh tân,quỳnh lưu,nghệ an</t>
  </si>
  <si>
    <t>GHTK
 THU HỘ
 KHÁCH TRẢ CƯỚC</t>
  </si>
  <si>
    <t>KH302774852</t>
  </si>
  <si>
    <t>C Ngô Trang Thái Nguyên</t>
  </si>
  <si>
    <t>trụ sở_tân hòa Thái Nguyên - Huyện Phú Bình</t>
  </si>
  <si>
    <t>KH302774851</t>
  </si>
  <si>
    <t>Vũ Thị Thu Hiền</t>
  </si>
  <si>
    <t>đội 1 thôn khoát đông lỗ hiệp hòa Bắc Giang ( nha khoa linh vũ )</t>
  </si>
  <si>
    <t>KH302774850</t>
  </si>
  <si>
    <t>Vân</t>
  </si>
  <si>
    <t>5/25 Điện Biên Phủ</t>
  </si>
  <si>
    <t>KH302774849</t>
  </si>
  <si>
    <t>Nguyễn Thu An Ninh Bình</t>
  </si>
  <si>
    <t>tre xanh homestay, Xã Ninh Nhất, Thành phố Ninh Bình, Ninh Bình, Vietnam</t>
  </si>
  <si>
    <t>GHTK
 THU COD
 KHÁCH TRẢ CƯỚC</t>
  </si>
  <si>
    <t>KH302774848</t>
  </si>
  <si>
    <t>trần văn long</t>
  </si>
  <si>
    <t>thôn tây 2,xã hòa sơn huyện hòa vang,Đà Nẵng</t>
  </si>
  <si>
    <t>KH302774847</t>
  </si>
  <si>
    <t>NT Đan Nhi Quảng Ninh</t>
  </si>
  <si>
    <t>Nhà thuốc nhi đan thôn bãi cát xã vũ oai thành phố hạ long Quang ninh</t>
  </si>
  <si>
    <t>KH302774846</t>
  </si>
  <si>
    <t>huynh thi kim thoa</t>
  </si>
  <si>
    <t>kcn tân Hương xa tân Hương huyện Châu Thành tinh tien giang</t>
  </si>
  <si>
    <t>KH302774845</t>
  </si>
  <si>
    <t>A Nghĩa Tiền Giang</t>
  </si>
  <si>
    <t>133 Đường 30/4, khu 2, phường 1, thị xã Cai Lậy, Tiền Giang</t>
  </si>
  <si>
    <t>33,683,000</t>
  </si>
  <si>
    <t>KH302774844</t>
  </si>
  <si>
    <t>quầy thuốc SK Hải Dương</t>
  </si>
  <si>
    <t>170 tuệ tĩnh, tt lai cách,cẩm giàng,hd</t>
  </si>
  <si>
    <t>THU HỘ
 XE Trung Anh</t>
  </si>
  <si>
    <t>KH302774843</t>
  </si>
  <si>
    <t>C Yến Tạ Đông Anh</t>
  </si>
  <si>
    <t>số nhà 44 gốc đa cổ dương tiên dương đông anh hà nội</t>
  </si>
  <si>
    <t>THU HỘ
 CƯỚC KHÁCH TRẢ
 XE LỢI HÀ</t>
  </si>
  <si>
    <t>KH302774842</t>
  </si>
  <si>
    <t>Nguyễn Nhung</t>
  </si>
  <si>
    <t>177 nguyễn chí thanh p12 quận 5 to HCM</t>
  </si>
  <si>
    <t>KH302774841</t>
  </si>
  <si>
    <t>NT Quang Phương Nghệ An</t>
  </si>
  <si>
    <t>Nt quang phương số 38 đường minh tân phường hưnh binhg tp vinh nghệ an</t>
  </si>
  <si>
    <t>THU HỘ
 CƯỚC KHÁCH TRẢ 
 XE BỒ CÂU</t>
  </si>
  <si>
    <t>KH302774840</t>
  </si>
  <si>
    <t>Hà thị kiều</t>
  </si>
  <si>
    <t>xóm hắm khả cửu thanh sơn Phú Thọ</t>
  </si>
  <si>
    <t>KH302774839</t>
  </si>
  <si>
    <t>vũ huyền trang</t>
  </si>
  <si>
    <t>số 203, tdp tân tiến</t>
  </si>
  <si>
    <t>KH302987</t>
  </si>
  <si>
    <t>C Hoàng Thị Hà Thanh Hóa</t>
  </si>
  <si>
    <t>khu phố thăng bình thị trấn yên cát như xuân thanh hoá</t>
  </si>
  <si>
    <t>KH302774838</t>
  </si>
  <si>
    <t>nguyễn thị hiền</t>
  </si>
  <si>
    <t>346/8/2/7</t>
  </si>
  <si>
    <t>KH302774837</t>
  </si>
  <si>
    <t>LINH VƯƠNG</t>
  </si>
  <si>
    <t>tòa 3 chung cư an bình</t>
  </si>
  <si>
    <t>KH302774836</t>
  </si>
  <si>
    <t>a Tấn Tài Bình Tân</t>
  </si>
  <si>
    <t>0988819707-0914543707</t>
  </si>
  <si>
    <t>Ds 22 , khu tái định cư Nhơn Phước xã Nhơn hội , tp quy Nhơn - bình định</t>
  </si>
  <si>
    <t>ghtk</t>
  </si>
  <si>
    <t>KH302774835</t>
  </si>
  <si>
    <t>C Lệ Quyên Tuyên Quang</t>
  </si>
  <si>
    <t>Xã Minh Thanh, Huyện Sơn Dương, Tuyên Quang</t>
  </si>
  <si>
    <t>BEST
 CHỈ GỬI BEST
 quầy thuốc cổng trường thpt atk tân trào, thôn tân thành</t>
  </si>
  <si>
    <t>KH302774834</t>
  </si>
  <si>
    <t>phan Thị Thương</t>
  </si>
  <si>
    <t>khu thủ tục cổng B đường lê phụng hiểu cảng cát lái cát lái</t>
  </si>
  <si>
    <t>KH302774833</t>
  </si>
  <si>
    <t>QT Ngọc Long Phú Thọ</t>
  </si>
  <si>
    <t>Quầy Thuốc Ngọc Long, Khu 3, Vân Lĩnh, Thanh Ba, Phú Thọ</t>
  </si>
  <si>
    <t>SHIP COD</t>
  </si>
  <si>
    <t>KH984121</t>
  </si>
  <si>
    <t>Pham manh thang</t>
  </si>
  <si>
    <t>Trung đoàn 64, phố Gốt</t>
  </si>
  <si>
    <t>KH984120</t>
  </si>
  <si>
    <t>Phan trọng trung Trongtrungars</t>
  </si>
  <si>
    <t>Chung cư viện 103</t>
  </si>
  <si>
    <t>KH984118</t>
  </si>
  <si>
    <t>a Trung kh qua hapu</t>
  </si>
  <si>
    <t>TIỀN MẶT</t>
  </si>
  <si>
    <t>KH984117</t>
  </si>
  <si>
    <t>Nguyễn Minh Chơn</t>
  </si>
  <si>
    <t>180/PT/09,Tô Vĩnh Diện, KV,Bình Thường B, P.Long Tuyền</t>
  </si>
  <si>
    <t>KH984116</t>
  </si>
  <si>
    <t>C Nguyễn Nam Hà Nam</t>
  </si>
  <si>
    <t>Quầy thuốc Hoài An, Quầy thuốc Hoài An, Xã Đồng Hóa, Huyện Kim Bảng, Hà Nam, Vietnam</t>
  </si>
  <si>
    <t>THU HỘ
 XE ĐỨC LONG</t>
  </si>
  <si>
    <t>KH984115</t>
  </si>
  <si>
    <t>c Nga Nguyễn Gia Lai</t>
  </si>
  <si>
    <t>Đội 1 thôn 5 xã nam yang huyện đak đoa tỉnh gia lai</t>
  </si>
  <si>
    <t>KH984114</t>
  </si>
  <si>
    <t>NT Đông Dương Đăk Nông</t>
  </si>
  <si>
    <t>tổ 2 Phường nghĩa tân gia nghĩa tỉnh đắk nông</t>
  </si>
  <si>
    <t>GHTK
 THU COD
 CƯỚC KH TRẢ</t>
  </si>
  <si>
    <t>3,750,000</t>
  </si>
  <si>
    <t>KH984113</t>
  </si>
  <si>
    <t>Xã Yên Thọ, Huyện ý Yên, Nam Định, Vietnam</t>
  </si>
  <si>
    <t>THU HỘ
 KHÁCH TRẢ CƯỚC
 XE TUẤN AZ
 BEST
 THU COD
 CƯỚC KHÁCH TRẢ</t>
  </si>
  <si>
    <t>KH984112</t>
  </si>
  <si>
    <t>PK thú y Cao Thọ Trảng bom</t>
  </si>
  <si>
    <t>43 Nguyễn Văn Cừ Trảng bom trảng bọm đồng nai</t>
  </si>
  <si>
    <t>BEST
 THU COD
 CƯỚC KHÁCH TRẢ
 """đóng hàng cẩn thận bằng cột khí
 đường 30/4 tổ 1a khu phố 3 trảng bom,đồng nai</t>
  </si>
  <si>
    <t>KH984111</t>
  </si>
  <si>
    <t>C Thanh Thảo Hải Dương</t>
  </si>
  <si>
    <t>Thảo Chợ Thông Mới, Đoàn Tùng, Thanh Miện, Hải Dương</t>
  </si>
  <si>
    <t>THU HỘ
 XE HAPU (TRUNG ANH)
 CƯỚC KHÁCH TRẢ</t>
  </si>
  <si>
    <t>2,158,000</t>
  </si>
  <si>
    <t>KH984110</t>
  </si>
  <si>
    <t>C Hoài Thu</t>
  </si>
  <si>
    <t>nhà thuốc hồng 70 dốc thọ lão, p đồng nhân, hbt, hn</t>
  </si>
  <si>
    <t>Tiền mặt 
 KH QUA HAPU</t>
  </si>
  <si>
    <t>KH984109</t>
  </si>
  <si>
    <t>PK Thuỷ Tiến Tuyên Quang</t>
  </si>
  <si>
    <t>Km 42 Thị Trấn Tân Yên Hàm Yên Tuyên Quang</t>
  </si>
  <si>
    <t>KH984108</t>
  </si>
  <si>
    <t>NT Thoa Anh Phú Thọ</t>
  </si>
  <si>
    <t>0785 263 263</t>
  </si>
  <si>
    <t>Nhà thuốc Thoa Anh. Đường nguyễn trãi, khu thanh xuân, phường thanh vinh, thị xã phú thọ, tỉnh phú thọ.</t>
  </si>
  <si>
    <t>CHUYỂN KHOẢN
 CƯỚC XE ÔM KHÁCH GỬI
  Nhà xe ĐỨC XUÂN 0964560067
 12h xe chạy
 Nhà máy nước cuối ngõ 300 nguyễn xiển</t>
  </si>
  <si>
    <t>KH984107</t>
  </si>
  <si>
    <t>lê quỳnh hoa</t>
  </si>
  <si>
    <t>sảnh A N01T1 chung cư Lạc Hồng</t>
  </si>
  <si>
    <t>KH984106</t>
  </si>
  <si>
    <t>thảo thảo</t>
  </si>
  <si>
    <t>KH984105</t>
  </si>
  <si>
    <t>c Lụa Phú Thọ</t>
  </si>
  <si>
    <t>khu 5, Xã Mỹ Lung, Huyện Yên Lập, Phú Thọ, Vietnam</t>
  </si>
  <si>
    <t>( luaphutho@gmail.com 
 pas: 56789 )</t>
  </si>
  <si>
    <t>KH984104</t>
  </si>
  <si>
    <t>C Thỏa Nam Định</t>
  </si>
  <si>
    <t>9/39 khu Quân Nhân, Phường Thống Nhất, Thành phố Nam Định, Nam Định</t>
  </si>
  <si>
    <t>THU HỘ
 CƯỚC KHÁCH TRẢ
 XE ĐẮC HÙNG
 ( buithoanamdinh@gmail.com 
 pas: 56789 )</t>
  </si>
  <si>
    <t>KH984103</t>
  </si>
  <si>
    <t>tuan</t>
  </si>
  <si>
    <t>80 đoàn thị kia</t>
  </si>
  <si>
    <t>KH984102</t>
  </si>
  <si>
    <t>Lê Minh Tân Cà Mau</t>
  </si>
  <si>
    <t>Tại số nhà 41, Đường Dương thị Cẩm vân, chợ thị trấn Đầm Dơi, Thị trấn Đầm Dơi, Huyện Đầm Dơi, Cà Mau, Vietnam</t>
  </si>
  <si>
    <t>BEST
 ( minhtancamau@gmail.com 
 pas: 654321 )</t>
  </si>
  <si>
    <t>KH984101</t>
  </si>
  <si>
    <t>quầy thuốc tốt tốt</t>
  </si>
  <si>
    <t>thường xuân</t>
  </si>
  <si>
    <t>KH984100</t>
  </si>
  <si>
    <t>kiet nguyen</t>
  </si>
  <si>
    <t>c376b khu phố 3, cạnh tạp hóa Thanh Bình</t>
  </si>
  <si>
    <t>KH984099</t>
  </si>
  <si>
    <t>C Lê Thị Oanh Bắc Ninh</t>
  </si>
  <si>
    <t>Xã Đại Đồng, Huyện Tiên Du, Bắc Ninh, Vietnam</t>
  </si>
  <si>
    <t>THU HỘ
 XE ANH CHI
 CƯỚC KHÁCH TRẢ 
 GHTK 
 THU HỘ 
 FREESHIP</t>
  </si>
  <si>
    <t>KH984098</t>
  </si>
  <si>
    <t>QT Thu Hương Quảng Bình</t>
  </si>
  <si>
    <t>Thơm Thanh Bình, Xã Quảng Xuân, Huyện Quảng Trạch, Quảng Bình, Vietnam</t>
  </si>
  <si>
    <t>KH984097</t>
  </si>
  <si>
    <t>A Lý Tài Lén Đồng Tháp</t>
  </si>
  <si>
    <t>573 , ấp Phú Thọ, Xã An Long, Huyện Tam Nông, Đồng Tháp, Vietnam</t>
  </si>
  <si>
    <t>KH984096</t>
  </si>
  <si>
    <t>c Vũ Thương Thái Bình</t>
  </si>
  <si>
    <t>chợ Nội</t>
  </si>
  <si>
    <t>KH984095</t>
  </si>
  <si>
    <t>Bs An Huế</t>
  </si>
  <si>
    <t>Phòng Khám Đa Khoa Việt Nhật, Ngã tư cầu ngói Thanh Toàn Hoàng Quốc Việt nối dài, xã Thuỷ Thanh, thị xã Hương Thuỷ, tỉnh Thừa Thiên Huế</t>
  </si>
  <si>
    <t>KH984094</t>
  </si>
  <si>
    <t>huỳnh thị thanh triều</t>
  </si>
  <si>
    <t>20 trường chinh khu phố thanh tú</t>
  </si>
  <si>
    <t>KH984093</t>
  </si>
  <si>
    <t>Mai Xuân Quý</t>
  </si>
  <si>
    <t>xóm 13 (xóm 4 mới) xã Xuân Kiên ,huyện Xuân Trường, tỉnh Nam Định</t>
  </si>
  <si>
    <t>KH984092</t>
  </si>
  <si>
    <t>c Hà Lụa Bình Dương</t>
  </si>
  <si>
    <t>Bệnh viện y học cổ truyền Bình Dương 207 Yersin, Phú Cường, Thủ Dầu Một, Bình Dương</t>
  </si>
  <si>
    <t>16,364,000</t>
  </si>
  <si>
    <t>KH984083</t>
  </si>
  <si>
    <t>đoàn thanh</t>
  </si>
  <si>
    <t>số nhà 30- quầy thuốc bạch mai</t>
  </si>
  <si>
    <t>KH984082</t>
  </si>
  <si>
    <t>c Mai Phương Phú Xuyên</t>
  </si>
  <si>
    <t>SN85/A7, Thị trấn Phú Minh, Huyện Phú Xuyên, Hà Nội, Vietnam</t>
  </si>
  <si>
    <t>CHUYỂN KHOẢN TRƯỚC
 XE HAPU
 FREESHIP
 HÀNG TIÊM BỌC KỸ</t>
  </si>
  <si>
    <t>3,745,000</t>
  </si>
  <si>
    <t>KH984081</t>
  </si>
  <si>
    <t>Nhà thuốc 258 Hải Phòng</t>
  </si>
  <si>
    <t>Số 258 Trần thành ngọ kiến an Hải phòng</t>
  </si>
  <si>
    <t>THU HỘ
 XE Hồng long</t>
  </si>
  <si>
    <t>KH984080</t>
  </si>
  <si>
    <t>Ho thi Bach Hue</t>
  </si>
  <si>
    <t>92 nguyen thi nho p.15 q.11</t>
  </si>
  <si>
    <t>KH984078</t>
  </si>
  <si>
    <t>A Phong Đồng Nai</t>
  </si>
  <si>
    <t>121 đường hùng vương, Thị trấn Trảng Bom, Huyện Trảng Bom, Đồng Nai, Vietnam</t>
  </si>
  <si>
    <t>GHTK 1053022566
 THU COD
 CƯỚC KH TRẢ</t>
  </si>
  <si>
    <t>1,866,292</t>
  </si>
  <si>
    <t>KH984077</t>
  </si>
  <si>
    <t>cô Kim Ngải</t>
  </si>
  <si>
    <t>xóm A7 lai Thành Kim Sơn Ninh BÌNH</t>
  </si>
  <si>
    <t>KH984076</t>
  </si>
  <si>
    <t>c Thương Vũ Thái Bình</t>
  </si>
  <si>
    <t>chợ nội đông xuân, Xã Đông Xuân, Huyện Đông Hưng, Thái Bình, Vietnam</t>
  </si>
  <si>
    <t>THU HỘ
 XE HAPU +84989510217
 CƯỚC KHÁCH GỬI</t>
  </si>
  <si>
    <t>KH984075</t>
  </si>
  <si>
    <t>Phạm Văn Quân</t>
  </si>
  <si>
    <t>tòa nhà CT9, khu đô thị Định Công Hoàng Mai Hà Nội</t>
  </si>
  <si>
    <t>KH984074</t>
  </si>
  <si>
    <t>c Xuân Ni Bến Tre</t>
  </si>
  <si>
    <t>433 an thuận, Xã An Bình Tây, Huyện Ba Tri, Bến Tre, Vietnam</t>
  </si>
  <si>
    <t>KH984073</t>
  </si>
  <si>
    <t>Dược sỹ loan vũ</t>
  </si>
  <si>
    <t>số nhà 18, 93 nguyễn thiện thuật</t>
  </si>
  <si>
    <t>KH984072</t>
  </si>
  <si>
    <t>C Thương Ninh Bình</t>
  </si>
  <si>
    <t>Xóm 1 Nghĩa Sơn,Ninh Bình</t>
  </si>
  <si>
    <t>22,039,500</t>
  </si>
  <si>
    <t>KH984071</t>
  </si>
  <si>
    <t>QT Hiền Lương Đồng Nai</t>
  </si>
  <si>
    <t>tổ 2, ấp 4, Xã Sông Trầu, Huyện Trảng Bom, Đồng Nai, Vietnam</t>
  </si>
  <si>
    <t>best
 ( hienluong@gmail.com 
 pas: 54321 )</t>
  </si>
  <si>
    <t>KH984070</t>
  </si>
  <si>
    <t>A Lý Tuấn</t>
  </si>
  <si>
    <t>TIỀN MẶT
 GỬI QUẦY 103</t>
  </si>
  <si>
    <t>KH984069</t>
  </si>
  <si>
    <t>C Hồng An HCM</t>
  </si>
  <si>
    <t>63 đường 2, phường An Phú, Tp Thủ Đức, Hồ Chí Minh (Nhà thuốc An Thịnh ( Phía sau VINFAST Đông Sài Gòn)</t>
  </si>
  <si>
    <t>( hongan@gmail.com 
 pas: 56789 )</t>
  </si>
  <si>
    <t>KH984068</t>
  </si>
  <si>
    <t>Stamina Pool- Bể Bơi Bốn Mùa Nước Mặn</t>
  </si>
  <si>
    <t>0944.88.6660</t>
  </si>
  <si>
    <t>Cổng D - Trường PTLC Everest
 🌎KĐTM Nghĩa Đô, Ngõ 106 Hoàng Quốc Việt, Hà Nội</t>
  </si>
  <si>
    <t>THU HỘ
 SHIP GẦN 
 QUA AHA
 CƯỚC KHÁCH TRẢ</t>
  </si>
  <si>
    <t>KH984067</t>
  </si>
  <si>
    <t>C Lục Thị Chinh Bắc Giang</t>
  </si>
  <si>
    <t>trại mới- biên sơn- lục ngạn- bắc giang</t>
  </si>
  <si>
    <t>BEST
 THU HỘ
 KHÁCH TRẢ CƯỚC</t>
  </si>
  <si>
    <t>KH984066</t>
  </si>
  <si>
    <t>trần thu phương</t>
  </si>
  <si>
    <t>định công hoàng mai</t>
  </si>
  <si>
    <t>KH984065</t>
  </si>
  <si>
    <t>QT Tuấn Thư Hải Phòng</t>
  </si>
  <si>
    <t>Hữu Quan- Dương Quan- Thủy Nguyên- Hải Phòng</t>
  </si>
  <si>
    <t>THU HỘ
 XE HAPU
 FREESHIP</t>
  </si>
  <si>
    <t>KH984064</t>
  </si>
  <si>
    <t>Vũ thị lanh</t>
  </si>
  <si>
    <t>KH984063</t>
  </si>
  <si>
    <t>C Minh Khuê Hải Dương Shopee</t>
  </si>
  <si>
    <t>092 6630333</t>
  </si>
  <si>
    <t>nhà số 3 Khu dân cư nghĩa vũ thị xã an sinh kinh môn hải dương</t>
  </si>
  <si>
    <t>KH984062</t>
  </si>
  <si>
    <t>QT Chị Lý Nghệ An</t>
  </si>
  <si>
    <t>xóm 5 cũ diễn trung diễn châu nghệ an</t>
  </si>
  <si>
    <t>( lynghean@gmail.com 
 pas: 56789 )</t>
  </si>
  <si>
    <t>KH984061</t>
  </si>
  <si>
    <t>Nhà thuốc Phố nhỏ Kim Mã</t>
  </si>
  <si>
    <t>119 Sơn tây Kim mã Ba đình HN.</t>
  </si>
  <si>
    <t>THU HỘ
 SHIP AHA 
 CƯỚC KHÁCH TRẢ</t>
  </si>
  <si>
    <t>KH984060</t>
  </si>
  <si>
    <t>Minh Phương</t>
  </si>
  <si>
    <t>KH984059</t>
  </si>
  <si>
    <t>C Đinh Hường Chương Mỹ</t>
  </si>
  <si>
    <t>quầy thuốc thu hường, Quảng Bị, xã Quảng Bị, huyện Chương Mỹ, Hà Nội</t>
  </si>
  <si>
    <t>THU HỘ
 XE CƯỜNG THẢO
 CƯỚC KH GỬI
 3tr freeship,để ý giá-cước cao 50k</t>
  </si>
  <si>
    <t>KH984058</t>
  </si>
  <si>
    <t>Nhà Thuốc Tây Dược Đức</t>
  </si>
  <si>
    <t>429 Phạm Ngọc Thạch- Phường Phú Mỹ- TP Thủ Dầu Một- Bình Dương</t>
  </si>
  <si>
    <t>GHTK
 THU COD
 CƯỚC KHÁCH TRẢ 
 KHÔNG BỎ HÓA ĐƠN
 KHÔNG GHI TÊN NGƯỜI GỬI 
 CHỈ GHI MÃ ĐƠN HÀNG</t>
  </si>
  <si>
    <t>KH984057</t>
  </si>
  <si>
    <t>NT Minh Ngọc Thanh Hóa</t>
  </si>
  <si>
    <t>Số Nhà 01B/421 Nguyễn Tĩnh, Phường Đông Hương, Thành phố Thanh Hóa, Thanh Hóa, Vietnam</t>
  </si>
  <si>
    <t>3,214,000</t>
  </si>
  <si>
    <t>KH984056</t>
  </si>
  <si>
    <t>Thanh hà</t>
  </si>
  <si>
    <t>KH983641</t>
  </si>
  <si>
    <t>QT Hưng Uyên Vĩnh Phúc</t>
  </si>
  <si>
    <t>Quầy thuốc hưng uyên cổng chợ trục nghĩa hưng vĩnh tường vĩnh phúc</t>
  </si>
  <si>
    <t>THU HỘ 
 XE CƯỜNG DŨNG</t>
  </si>
  <si>
    <t>KH984055</t>
  </si>
  <si>
    <t>QT Kim Tuyết Thanh Hóa</t>
  </si>
  <si>
    <t>Xã Hoằng Thắng, Huyện Hoằng Hóa, Thanh Hóa, Vietnam</t>
  </si>
  <si>
    <t>THU HỘ
 FREESHIP
 XE HOÀNG QUÝ
 ( kimtuyet@gmail.com 
 pas: 56789 )</t>
  </si>
  <si>
    <t>KH984054</t>
  </si>
  <si>
    <t>Trần văn An</t>
  </si>
  <si>
    <t>tiểu khu 19</t>
  </si>
  <si>
    <t>KH984053</t>
  </si>
  <si>
    <t>c Anh Thư Xuân Đỉnh</t>
  </si>
  <si>
    <t>423 Xuân Đỉnh quận Bắc Từ Liêm Hà Nội</t>
  </si>
  <si>
    <t>ninja van</t>
  </si>
  <si>
    <t>KH984052</t>
  </si>
  <si>
    <t>tran thi tuyet nhung</t>
  </si>
  <si>
    <t>KH984051</t>
  </si>
  <si>
    <t>vũ nam thụy</t>
  </si>
  <si>
    <t>quầy thuốc Nam Thụy thôn 4 yatomot easup daklak</t>
  </si>
  <si>
    <t>KH954876</t>
  </si>
  <si>
    <t>QT Tây Nhân Đức Bình Phước</t>
  </si>
  <si>
    <t>Khu công nghiệp becamex minh thành chơn thành bình Phước</t>
  </si>
  <si>
    <t>SHIP COD
 NINJAVAN</t>
  </si>
  <si>
    <t>KH984050</t>
  </si>
  <si>
    <t>Dược Phú Quang Chợ sỉ Q10 HCM</t>
  </si>
  <si>
    <t>Chợ Sỉ quận 10 Hồ Chí Minh</t>
  </si>
  <si>
    <t>CHUYỂN KHOẢN 
 Ship aha qua văn phòng - m trả ship / cước sky kh trả 
 Văn phòng Sky: số 3 Ngõ 34 Nguyễn Thị Định Cầu giấy : 0929366688
 ‼️‼️‼️‼️ Luu ý: Báo Ship gửi xog chụp biên lai lại, gửi qua zalo cho mình để báo khách C.K</t>
  </si>
  <si>
    <t>KH984049</t>
  </si>
  <si>
    <t>c Kim Liên Thanh Oai</t>
  </si>
  <si>
    <t>thôn đoàn kết( cửa hàng Tiến Dũng Cắt Tóc) xã Kim Thư, Huyện Thanh Oai, Hà Nội</t>
  </si>
  <si>
    <t>KH984048</t>
  </si>
  <si>
    <t>c Thu Thái Nguyên</t>
  </si>
  <si>
    <t>Gang thép Thái Nguyên</t>
  </si>
  <si>
    <t>THU HỘ 
 XE THÀNH ĐẠT
 CƯỚC KH TRẢ</t>
  </si>
  <si>
    <t>KH984047</t>
  </si>
  <si>
    <t>QT Trần Anh Như Nam ĐỊnh</t>
  </si>
  <si>
    <t>tdp đình cựu thị trấn cổ lễ Huyện Trực Ninh tỉnh Nam định</t>
  </si>
  <si>
    <t>THU HỘ 
 TUẤN AZ
 FREESHIP</t>
  </si>
  <si>
    <t>11,165,500</t>
  </si>
  <si>
    <t>KH984046</t>
  </si>
  <si>
    <t>C Vân Khánh Thanh Hóa</t>
  </si>
  <si>
    <t>tây hồ , thọ xuân, thanh hóa</t>
  </si>
  <si>
    <t>THU HỘ 
 XE HẠNH HẢI
 CƯỚC KHÁCH TRẢ</t>
  </si>
  <si>
    <t>KH984045</t>
  </si>
  <si>
    <t>C Thắm Hải Phòng</t>
  </si>
  <si>
    <t>0973815269 Thuốc Hải Vy 3
 Thôn Trạm Bạc xã Lê Lợi huyện An dương, Hp</t>
  </si>
  <si>
    <t>THU HỘ
 XE TÂN TOÀN 
 CƯỚC KHÁCH TRẢ
 0978784775 xe tân toàn
 Người nhận: Thắm Thành Long -0973815269</t>
  </si>
  <si>
    <t>KH984044</t>
  </si>
  <si>
    <t>c Nguyễn Nga Bắc Giang</t>
  </si>
  <si>
    <t>Phố Thái Đào, Xã Thái Đào, Huyện Lạng Giang, Bắc Giang, Vietnam</t>
  </si>
  <si>
    <t>KH984043</t>
  </si>
  <si>
    <t>c Hiền Hoài Đức</t>
  </si>
  <si>
    <t>Cầu Ao Lò, Vân Lũng, An Khánh, xã An Khánh, huyện Hoài Đức, Hà Nội</t>
  </si>
  <si>
    <t>KH984042</t>
  </si>
  <si>
    <t>QT Thu Hà Đồng Nai</t>
  </si>
  <si>
    <t>68, ấp trà cổ, đường bình minh giang điền, xã bình minh, trảng bom, đồng nai</t>
  </si>
  <si>
    <t>BEST
 freeship</t>
  </si>
  <si>
    <t>KH984041</t>
  </si>
  <si>
    <t>A Hải Nghệ An</t>
  </si>
  <si>
    <t>Nhà thuốc bệnh viện đa khoa huyện thanh chương , Thị trấn thanh chương , huyện thanh chương tỉnH Nghệ An</t>
  </si>
  <si>
    <t>KH984040</t>
  </si>
  <si>
    <t>NT Anh Anh Thái Nguyên</t>
  </si>
  <si>
    <t>Nhà thuốc anh anh,0989047161,đồng tiến,phổ yên,thái nguyên</t>
  </si>
  <si>
    <t>THU HỘ 
 XE HỒNG LONG 0866899598
 CƯỚC XE KH GỬI</t>
  </si>
  <si>
    <t>KH984038</t>
  </si>
  <si>
    <t>BS Trang Đồng Tháp</t>
  </si>
  <si>
    <t>Cổng số 3 bệnh viện sa đéc. Giao hàng cho bảo vệ ở cổng 3 của bệnh viện.
 Phường 2, đường nguyễn sinh sắc
 Tp sa đéc
 Đồng tháp</t>
  </si>
  <si>
    <t>CHUYỂN KHOẢN
 NINJAVAN
 FREESHIP
 Cổng số 3 bệnh viện sa đéc. Giao hàng cho bảo vệ ở cổng 3 của bệnh viện.</t>
  </si>
  <si>
    <t>KH659932</t>
  </si>
  <si>
    <t>c Như Hà Đông</t>
  </si>
  <si>
    <t>104 hoàng công , kiến hưng , hà đông , hn</t>
  </si>
  <si>
    <t>THU HỘ
  SHIP GẦN</t>
  </si>
  <si>
    <t>KH659931</t>
  </si>
  <si>
    <t>QT Thanh Nhàn Quảng Trị</t>
  </si>
  <si>
    <t>Bồ Bản, xã Triệu Phước, huyện Triệu Phong, tỉnh Quảng Trị</t>
  </si>
  <si>
    <t>ninja van
 FREESHIP</t>
  </si>
  <si>
    <t>KH659930</t>
  </si>
  <si>
    <t>khách Đặt siloflam</t>
  </si>
  <si>
    <t>TIỀN MẶT
 GIAO SANG LƯ HƯƠNG</t>
  </si>
  <si>
    <t>KH659929</t>
  </si>
  <si>
    <t>NGUYỄN LỜI</t>
  </si>
  <si>
    <t>Nhà N6- Tập thể 212 Học Viện Kỹ Thuật Quân Sự- Tân Xuân 2</t>
  </si>
  <si>
    <t>KH659928</t>
  </si>
  <si>
    <t>C Duyên Hưng Yên</t>
  </si>
  <si>
    <t>15 nguyễn trung ngạn</t>
  </si>
  <si>
    <t>THU HỘ HOẶC CHUYỂN KHOẢN TRƯỚC
 XE HAPU</t>
  </si>
  <si>
    <t>6,631,000</t>
  </si>
  <si>
    <t>KH659927</t>
  </si>
  <si>
    <t>c Cúc Nam Định</t>
  </si>
  <si>
    <t>xóm 7C xã Hải Phong _Hải Hậu _Nam Định</t>
  </si>
  <si>
    <t>GHTK
 THU COD 
 CƯỚC KHÁCH TRẢ
 "cộng 2k trên mỗi sp chị ý mua nếu chỉ lấy 1h, hàng nhà mình thì ko cộng"</t>
  </si>
  <si>
    <t>KH659926</t>
  </si>
  <si>
    <t>c Thủy Phú Thọ</t>
  </si>
  <si>
    <t>khu 2 vạn xuân tam nông phú thọ</t>
  </si>
  <si>
    <t>thu hộ
 xe vic 0984185066
 cước khách trả</t>
  </si>
  <si>
    <t>KH659925</t>
  </si>
  <si>
    <t>C Hằng Hải Lai Châu</t>
  </si>
  <si>
    <t>025 bùi thị xuân, Phường Tân Phong, Thành phố Lai Châu, Lai Châu, Vietnam</t>
  </si>
  <si>
    <t>KH659923</t>
  </si>
  <si>
    <t>c Lương Hảo Yên Bái</t>
  </si>
  <si>
    <t>thôn lương an xã hưng khánh huyện trấn Yên tỉnh Yên Bái</t>
  </si>
  <si>
    <t>KH659922</t>
  </si>
  <si>
    <t>BS Minh Tuấn Hưng Yên</t>
  </si>
  <si>
    <t>pktmh bs Minh Tuấn xã trung nghĩa thành phố hưng yên tỉnh hưng yên</t>
  </si>
  <si>
    <t>KH659921</t>
  </si>
  <si>
    <t>QT Trần Vi Bắc Giang</t>
  </si>
  <si>
    <t>Núi Hiểu, Quang Châu, Việt Yên, Bắc Giang</t>
  </si>
  <si>
    <t>KH659920</t>
  </si>
  <si>
    <t>a Nguyễn Trần Vinh Hưng Yên</t>
  </si>
  <si>
    <t>116 Thị Trấn Yên Mỹ, Yên Mỹ, Hưng Yên</t>
  </si>
  <si>
    <t>THU HỘ
 XE HAPU THANH DŨNG
 CƯỚC KHÁCH GỬI</t>
  </si>
  <si>
    <t>KH659919</t>
  </si>
  <si>
    <t>Thuốc Tây Minh Thành Kiên Giang</t>
  </si>
  <si>
    <t>ấp cạn ngọn a xã thạnh yên huyện u minh thượng tỉnh kiên giang</t>
  </si>
  <si>
    <t>KH659918</t>
  </si>
  <si>
    <t>c Hồng Hạnh Cần Thơ</t>
  </si>
  <si>
    <t>hẻm liên tổ 12.20 đường nguyễn văn cừ quan ninh kiều Thành Phố Cần Thơ</t>
  </si>
  <si>
    <t>NINJA VAN</t>
  </si>
  <si>
    <t>KH654234</t>
  </si>
  <si>
    <t>Chị Nguyễn Nhung Bắc Giang</t>
  </si>
  <si>
    <t>Xóm Kép Vàng, Xã Lam Cốt, Tân Yên, Bắc Giang</t>
  </si>
  <si>
    <t>THU HỘ
 XE ANH CHI
 GHTK
 THU COD</t>
  </si>
  <si>
    <t>KH659917</t>
  </si>
  <si>
    <t>NT Thùy Cương Hà Nam</t>
  </si>
  <si>
    <t>NHÀ THUỐC Thùy Cương_ chợ Đồng Văn_ Duy Tiên_ Hà Nam</t>
  </si>
  <si>
    <t>THU HỘ
 XE CƯỜNG THẢO / XE ĐẮC HÙNG
 Khách thích miễn ship</t>
  </si>
  <si>
    <t>KH659916</t>
  </si>
  <si>
    <t>DS Nhựt</t>
  </si>
  <si>
    <t>Ninja van</t>
  </si>
  <si>
    <t>KH659915</t>
  </si>
  <si>
    <t>C Niêm Trang Hoàng Mai</t>
  </si>
  <si>
    <t>số 12 nguyễn văn tuyết trung liệt đống đa</t>
  </si>
  <si>
    <t>( niemtranghoangmai@gmail.com 
 pas: 56789 )</t>
  </si>
  <si>
    <t>KH659914</t>
  </si>
  <si>
    <t>Quầy Thuốc Nguyễn Hoài Nam Định</t>
  </si>
  <si>
    <t>Cầu Bo, Yên Phương, Ỷ Yên, Nam Định</t>
  </si>
  <si>
    <t>Xe Tuấn AZ
 THU HỘ
 CƯỚC KHÁCH TRẢ</t>
  </si>
  <si>
    <t>KH659913</t>
  </si>
  <si>
    <t>đặng thị thanh vượng</t>
  </si>
  <si>
    <t>KH659912</t>
  </si>
  <si>
    <t>bùi thị mai</t>
  </si>
  <si>
    <t>KH659911</t>
  </si>
  <si>
    <t>QT Hương Giang Ba Vì</t>
  </si>
  <si>
    <t>Thôn Cẩm An _ Xã Cẩm Lĩnh_ Ba Vì _Hà Nội</t>
  </si>
  <si>
    <t>NINJAVAN</t>
  </si>
  <si>
    <t>KH659910</t>
  </si>
  <si>
    <t>QT Nhân Tâm Chợ Mới Thanh Hóa</t>
  </si>
  <si>
    <t>Chợ Mới, Hoằng Trạch, Hoằng Hoá, Thanh Hoá</t>
  </si>
  <si>
    <t>GHTK
 FREESHIP</t>
  </si>
  <si>
    <t>KH659909</t>
  </si>
  <si>
    <t>QT Dương Diên Tuyên Quang</t>
  </si>
  <si>
    <t>thôn phai khằn _xã đà vị _ Na Hang _ Tuyên Quang</t>
  </si>
  <si>
    <t>GHTK
 ( duongdien@gmail.com 
 pas: 54321 )</t>
  </si>
  <si>
    <t>KH659908</t>
  </si>
  <si>
    <t>Tuấn Bình Dương</t>
  </si>
  <si>
    <t>80 doan thi kia, Phường Tân Đông Hiệp, Thành phố Dĩ An, Bình Dương</t>
  </si>
  <si>
    <t>9,880,000</t>
  </si>
  <si>
    <t>KH659907</t>
  </si>
  <si>
    <t>c Hồng Duyên</t>
  </si>
  <si>
    <t>Tiền Mặt
 KH qua hapu</t>
  </si>
  <si>
    <t>KH659906</t>
  </si>
  <si>
    <t>E Hà Phương Thái Bình</t>
  </si>
  <si>
    <t>Số 413a long hưng hoàng diệu , thái bình</t>
  </si>
  <si>
    <t>KH659905</t>
  </si>
  <si>
    <t>QT Nhật Minh Nam Định</t>
  </si>
  <si>
    <t>097 688 3514</t>
  </si>
  <si>
    <t>Quầy thuốc Nhật Minh xóm Phong Lộc Đông xã Nam Phong tỉnh Nam Định</t>
  </si>
  <si>
    <t>KH659904</t>
  </si>
  <si>
    <t>QT Trần Huyền Bắc Giang</t>
  </si>
  <si>
    <t>Mùi phú. kiên thành. Lục ngạn. Bắc giang</t>
  </si>
  <si>
    <t>KH659903</t>
  </si>
  <si>
    <t>DS Đạt Trà Vinh</t>
  </si>
  <si>
    <t>ấp đại mông xã phú cần huyện tiểu cần tỉnh trà vinh</t>
  </si>
  <si>
    <t>KH659902</t>
  </si>
  <si>
    <t>QT 106 Bắc Giang</t>
  </si>
  <si>
    <t>quầy thuốc 106,Thị trấn Chũ, Huyện Lục Ngạn, Bắc Giang,</t>
  </si>
  <si>
    <t>CHUYỂN KHOẢN 
 XE SAO VIỆT 0981981862 (XE QUA HAPU)
 FREESHIP</t>
  </si>
  <si>
    <t>KH659901</t>
  </si>
  <si>
    <t>C Kim Oanh Gia lai</t>
  </si>
  <si>
    <t>bệnh viện mắt cao nguyên 248 lê duẩn tp pleiku gia lai</t>
  </si>
  <si>
    <t>KH659900</t>
  </si>
  <si>
    <t>quầy thuốc hoá trung</t>
  </si>
  <si>
    <t>KH659899</t>
  </si>
  <si>
    <t>QT Thùy Dương Phú Bình Thái Nguyên</t>
  </si>
  <si>
    <t>quầy thuốc thuỳ dương cầu kha sơn phú bình thái nguyên</t>
  </si>
  <si>
    <t>THU HỘ
 XE THÀNH ĐẠT
 CƯỚC KH GỬI</t>
  </si>
  <si>
    <t>KH659898</t>
  </si>
  <si>
    <t>thắm</t>
  </si>
  <si>
    <t>KH659897</t>
  </si>
  <si>
    <t>c Lê Thu Thanh Hóa</t>
  </si>
  <si>
    <t>Quầy thuốc Lê Thu- Thôn 4, Xã Vĩnh An, Huyện Vĩnh Lộc, Thanh Hóa, Vietnam</t>
  </si>
  <si>
    <t>KH659896</t>
  </si>
  <si>
    <t>c Thủy Quận 10</t>
  </si>
  <si>
    <t>156/7 tô hiến thành phường 5 quận 10</t>
  </si>
  <si>
    <t>KH659895</t>
  </si>
  <si>
    <t>a Chuyển Cầu Tân Đệ</t>
  </si>
  <si>
    <t>THU HỘ 
 XE TRƯỜNG AN
 CƯỚC KHÁCH GỬI 
 GHI anh Chuyển cầu tân đệ là xe biết</t>
  </si>
  <si>
    <t>KH659894</t>
  </si>
  <si>
    <t>C Oanh Nghệ An</t>
  </si>
  <si>
    <t>68 phượng hoàng, Trung Độ, TP Nghệ An</t>
  </si>
  <si>
    <t>THU HỘ
 XE BỒ CÂU 
 CƯỚC KH GỬI</t>
  </si>
  <si>
    <t>KH659893</t>
  </si>
  <si>
    <t>C Kim Thanh (N) Phủ Lý (K)</t>
  </si>
  <si>
    <t>phủ lý hà nam</t>
  </si>
  <si>
    <t>CHUYỂN KHOẢN 
 KH QUA HAPU
 THU HỘ
 XE ĐẮC HÙNG
 GHI C THANH PHỦ LÝ LÀ XE BIẾT 
 CƯỚC KHÁCH GỬI
 CHUYỂN KHOẢN 
 KH QUA HAPU
 HÀNG MUA HỘ THÌ K NHẶT</t>
  </si>
  <si>
    <t>2,695,000</t>
  </si>
  <si>
    <t>31,369,000</t>
  </si>
  <si>
    <t>KH659892</t>
  </si>
  <si>
    <t>433/ath, an bình tây, ba tri, bến tre Xã An Bình Tây, Huyện Ba Tri, Bến Tre, Vietnam</t>
  </si>
  <si>
    <t>KH659891</t>
  </si>
  <si>
    <t>QT Quy Nhung Thái Nguyên</t>
  </si>
  <si>
    <t>chợ Tràng Xá võ nhai thái nguyên</t>
  </si>
  <si>
    <t>KH659890</t>
  </si>
  <si>
    <t>c Mai Hương Quận 8</t>
  </si>
  <si>
    <t>chung cư phoenix 2 - 37 cao lổ phường 4 quận 8 hồ chí minh</t>
  </si>
  <si>
    <t>KH659889</t>
  </si>
  <si>
    <t>c Lan Hương Lai Châu</t>
  </si>
  <si>
    <t>tà tổng, mường tè, lai châu</t>
  </si>
  <si>
    <t>KH659888</t>
  </si>
  <si>
    <t>C Lê Hằng Bắc Giang</t>
  </si>
  <si>
    <t>bệnh viện tâm thần bắc giang , Xã Song Mai, Thành phố Bắc Giang, Bắc Giang,</t>
  </si>
  <si>
    <t>thu hộ 
 xe anh chi 
 cước kh gửi
 ( lethihang@gmail.com
 pas: 54321 )</t>
  </si>
  <si>
    <t>KH659887</t>
  </si>
  <si>
    <t>Trang Pim Hà Nam</t>
  </si>
  <si>
    <t>Mỹ Đà - Nhân Mỹ - Lý Nhân - Hà Nam</t>
  </si>
  <si>
    <t>KH659886</t>
  </si>
  <si>
    <t>a Ngọc Uy Liên Chiểu ĐN</t>
  </si>
  <si>
    <t>196 tôn đức thắng - hoà minh - liên chiểu - đà nẵng</t>
  </si>
  <si>
    <t>KH659885</t>
  </si>
  <si>
    <t>QT An Khang Hà Tĩnh</t>
  </si>
  <si>
    <t>Thôn Hưng Mỹ, Huyện Cẩm Xuyên, Hà Tĩnh, Vietnam</t>
  </si>
  <si>
    <t>KH659884</t>
  </si>
  <si>
    <t>QT Thủy Tiên Thái</t>
  </si>
  <si>
    <t>xóm Thuàn pháp, Xã Điềm Thụy, Huyện Phú Bình, Thái Nguyên, Vietnam</t>
  </si>
  <si>
    <t>KH659883</t>
  </si>
  <si>
    <t>NT Bảo Ngọc Bắc Giang</t>
  </si>
  <si>
    <t>Phường Đa Mai, Thành phố Bắc Giang, Bắc Giang, Vietnam</t>
  </si>
  <si>
    <t>( buithingoc@gmail.com 
 pas: 56789 )</t>
  </si>
  <si>
    <t>KH659882</t>
  </si>
  <si>
    <t>Đặng Văn Hòa Nghệ an</t>
  </si>
  <si>
    <t>Xã Trù Sơn, Huyện Đô Lương, Nghệ An, Vietnam</t>
  </si>
  <si>
    <t>( quaydangvanhoa@gmail.com 
 pas: 56789)</t>
  </si>
  <si>
    <t>KH659881</t>
  </si>
  <si>
    <t>Thị trấn Chũ, Huyện Lục Ngạn, Bắc Giang</t>
  </si>
  <si>
    <t>174,345,000</t>
  </si>
  <si>
    <t>KH659880</t>
  </si>
  <si>
    <t>A Đức Tâm Thái Nguyên</t>
  </si>
  <si>
    <t>nhà thuoics số 6, tổ 1 thị trấn Hương Sơn Thị trấn Hương Sơn, Huyện Phú Bình, Thái Nguyên, Vietnam</t>
  </si>
  <si>
    <t>THU HỘ
 XE THÀNH ĐẠT 
 CƯỚC KH GỬI</t>
  </si>
  <si>
    <t>KH659879</t>
  </si>
  <si>
    <t>Hiếu Minh Thái Nguyên</t>
  </si>
  <si>
    <t>tổ 11, Phường Hương Sơn, Thành phố Thái Nguyên, Thái Nguyên, Vietnam</t>
  </si>
  <si>
    <t>Thu Hộ 
 xe QUỐC BẢO TUẤN/ HỒNG LONG
 CƯỚC KH TRẢ</t>
  </si>
  <si>
    <t>KH659878</t>
  </si>
  <si>
    <t>A Thành Ninh Bình</t>
  </si>
  <si>
    <t>Chợ rịa phú lộc nho quan ninh bình</t>
  </si>
  <si>
    <t>ninja</t>
  </si>
  <si>
    <t>KH659877</t>
  </si>
  <si>
    <t>Chị Nga Thanh Oai</t>
  </si>
  <si>
    <t>ngân hàng Agribank bình đà, bình minh thanh oai hn</t>
  </si>
  <si>
    <t>CHUYỂN KHOẢN 
 XE CƯỜNG THẢO 
 cước khách gưi</t>
  </si>
  <si>
    <t>KH659876</t>
  </si>
  <si>
    <t>a Phạm Hiền Kon Tum</t>
  </si>
  <si>
    <t>34A Trường Chinh, Phường Trường Chinh, Thành phố Kon Tum</t>
  </si>
  <si>
    <t>BEST 
 THU COD</t>
  </si>
  <si>
    <t>KH576457</t>
  </si>
  <si>
    <t>C Đỗ Ngoan Thanh Hóa</t>
  </si>
  <si>
    <t>Hiền Đông, Quảng Lưu, Quảng Xương, Thanh Hoá</t>
  </si>
  <si>
    <t>NINJA VAN
 THU COD</t>
  </si>
  <si>
    <t>KH659875</t>
  </si>
  <si>
    <t>bảo hiệp</t>
  </si>
  <si>
    <t>1277 giải phóng</t>
  </si>
  <si>
    <t>KH659874</t>
  </si>
  <si>
    <t>C Nguyễn T Trà Giang Thanh Hóa</t>
  </si>
  <si>
    <t>Khiêm Giang 412 Lê Hoàn, Thành phố Thanh Hoá</t>
  </si>
  <si>
    <t>TIỀN THU HỘ
 Gủi xe Tân Cả Lợi hoặc Anh Đúc hay xe nào về thanh hoá cũng dc
 FREESHIP</t>
  </si>
  <si>
    <t>KH491268</t>
  </si>
  <si>
    <t>A Trọng An Giang</t>
  </si>
  <si>
    <t>vĩnh phúc, Thị trấn Cái Dầu, Huyện Châu Phú, An Giang, Vietnam</t>
  </si>
  <si>
    <t>KH491267</t>
  </si>
  <si>
    <t>QT Ninh Khôi Đồng Tháp</t>
  </si>
  <si>
    <t>Ấp Tân Hòa xã Tân Hội thành phố Hồng Ngự Đồng Tháp</t>
  </si>
  <si>
    <t>SHIP COD khách trả
 NINJAVAN</t>
  </si>
  <si>
    <t>KH000558</t>
  </si>
  <si>
    <t>Nhà thuốc Xanh Nam Định</t>
  </si>
  <si>
    <t>nhà thuốc xanh, thị trấn lâm, huyện ý yên, nam định</t>
  </si>
  <si>
    <t>KH000557</t>
  </si>
  <si>
    <t>A Trung Cương Bình Định</t>
  </si>
  <si>
    <t>tổ 10 khối 1 bồng sơn , hoài nhơn, bình định</t>
  </si>
  <si>
    <t>KH000556</t>
  </si>
  <si>
    <t>Thôn 2, Nga Văn</t>
  </si>
  <si>
    <t>KH000555</t>
  </si>
  <si>
    <t>C Phạm Thị Hồng Nam Định</t>
  </si>
  <si>
    <t>xóm 4, xã Thọ Nghiệp, huyện Xuân Trường, Nam Định</t>
  </si>
  <si>
    <t>ninja van
 ( phamthihong@gmail.com 
 pas: 54321 )</t>
  </si>
  <si>
    <t>KH000554</t>
  </si>
  <si>
    <t>Thị Quỳnh Hoàng</t>
  </si>
  <si>
    <t>quầy thuốc phúc tâm dược ,chợ lập thành</t>
  </si>
  <si>
    <t>KH000553</t>
  </si>
  <si>
    <t>NT Việt Hà Hà Đông</t>
  </si>
  <si>
    <t>61 tổ 10 phường phú la hà đông hà nội</t>
  </si>
  <si>
    <t>THU HỘ
 SHIP GẦN
 CƯỚC KH TRẢ</t>
  </si>
  <si>
    <t>KH000552</t>
  </si>
  <si>
    <t>Cô Thanh Hoài Bắc Giang</t>
  </si>
  <si>
    <t>528 xuân lương yên thế bắc giang</t>
  </si>
  <si>
    <t>BEST
 THU COD
 khách thích miễn ship nên mời thêm sp để khách lấy thêm</t>
  </si>
  <si>
    <t>1,280,000</t>
  </si>
  <si>
    <t>KH000551</t>
  </si>
  <si>
    <t>A Trung Văn- Sơn Tây</t>
  </si>
  <si>
    <t>An Hoa, Tản Lĩnh, Ba Vì, Hà Nội</t>
  </si>
  <si>
    <t>THU HỘ TIỀN
 GỬI XE HAPU TUẤN HÙNG/ HOẶC XE HỒNG LONG
 CƯỚC XE KHÁCH TRẢ</t>
  </si>
  <si>
    <t>13,525,000</t>
  </si>
  <si>
    <t>KH000550</t>
  </si>
  <si>
    <t>trung</t>
  </si>
  <si>
    <t>KH000549</t>
  </si>
  <si>
    <t>a Lê Đức Việt Kim Giang</t>
  </si>
  <si>
    <t>788 kim giang thanh liệt</t>
  </si>
  <si>
    <t>thu hộ 
 ship gần
 cước 25k</t>
  </si>
  <si>
    <t>KH000548</t>
  </si>
  <si>
    <t>TDV Phạm Hòa Quảng Nam</t>
  </si>
  <si>
    <t>31 văn cao thành phố tam kì quảng nam</t>
  </si>
  <si>
    <t>KH000547</t>
  </si>
  <si>
    <t>A Vũ Đình Nhâm Tuyên Quang</t>
  </si>
  <si>
    <t>thôn phú thị xã chi thiết sơn dương tuyên quang</t>
  </si>
  <si>
    <t>( vudiuthaibinhtuyenquang@gmail.com 
 pas: 56789 )</t>
  </si>
  <si>
    <t>KH000546</t>
  </si>
  <si>
    <t>Khánh Hân (kh qua hapu)</t>
  </si>
  <si>
    <t>tiền mặt
 kh qua hapu</t>
  </si>
  <si>
    <t>KH000545</t>
  </si>
  <si>
    <t>c Ngô Lương Quầy 12 Hà Nam</t>
  </si>
  <si>
    <t>chợ chanh nguyễn uý kim bảng hà nam</t>
  </si>
  <si>
    <t>Thu Hộ 
 cước kh gửi 
 xe cường thảo</t>
  </si>
  <si>
    <t>KH000544</t>
  </si>
  <si>
    <t>NT Bình Côi Vĩnh Phúc</t>
  </si>
  <si>
    <t>An lão Vĩnh thịnh Vĩnh tường Vĩnh phúc</t>
  </si>
  <si>
    <t>thu hộ 
 xe cường dũng
 cước xe kh gửi</t>
  </si>
  <si>
    <t>KH000543</t>
  </si>
  <si>
    <t>c Huyền</t>
  </si>
  <si>
    <t>chuyển khoản 
 gửi quầy 440 chị Hoa</t>
  </si>
  <si>
    <t>KH000542</t>
  </si>
  <si>
    <t>a Tài Bình Tân</t>
  </si>
  <si>
    <t>28/4/24 đ.cách mạng tháng 8, chánh mỹ, thủ dầu một, bình dương</t>
  </si>
  <si>
    <t>ninja van
 đc 1: 189/2 đường số 6. Bình hưng hòa B. Bình tân</t>
  </si>
  <si>
    <t>KH000541</t>
  </si>
  <si>
    <t>a Thành Vĩnh Phúc</t>
  </si>
  <si>
    <t>Qt thành lệ _khu 3 xã tân phương, thanh thuỷ phú thọ</t>
  </si>
  <si>
    <t>chuyển khoản
 xe hapu
 cước kh gửi
 đc: sn 22 ,ngõ 22 đường đầm vạc ,phường đống đa ,tp vĩnh yên vĩnh phúc / Nhà thuốc kiều oanh _số 1 trần quốc tuấn tp vĩnh yên vĩnh phúc
 đc 2 : Qt thành lệ _khu 3 xã tân phương, thanh thuỷ phú thọ</t>
  </si>
  <si>
    <t>KH000540</t>
  </si>
  <si>
    <t>c Vũ Dịu Thái Bình</t>
  </si>
  <si>
    <t>tây lương, Xã Tây Lương, Huyện Tiền Hải, Thái Bình, Vietnam</t>
  </si>
  <si>
    <t>THU HỘ
 XE THÚY TUYỀN</t>
  </si>
  <si>
    <t>KH000539</t>
  </si>
  <si>
    <t>C Anna Nguyễn Ninh Bình</t>
  </si>
  <si>
    <t>Nha dòng hảo nho Xã Yên Lâm Huyện Yên Mô Ninh bình</t>
  </si>
  <si>
    <t>THU HỘ 
 CƯỚC KH TRẢ-cước xe 80k
  XE MINH QUÂN 0912501850
 GHTK
 THU COD
 CHỐT KĨ ĐƠN GỬI GÌ,NẾU GỬI XE BÁO ĐƯƠN TRÊN 4TR MỚI FREESHIP</t>
  </si>
  <si>
    <t>12,828,000</t>
  </si>
  <si>
    <t>KH000538</t>
  </si>
  <si>
    <t>c Lan Đống Đa</t>
  </si>
  <si>
    <t>Nhà thuốc Phương Lan 11 trần hữu tước Nam Đồng đống đa Hà Nội</t>
  </si>
  <si>
    <t>thu hộ 
 ship gần 
 phí ship kh gửi</t>
  </si>
  <si>
    <t>KH000537</t>
  </si>
  <si>
    <t>C Sương nghệ an</t>
  </si>
  <si>
    <t>xóm 13 quỳnh tân quỳnh lưu nghệ an</t>
  </si>
  <si>
    <t>njnja van</t>
  </si>
  <si>
    <t>KH000536</t>
  </si>
  <si>
    <t>C Luyến Thái Nguyên</t>
  </si>
  <si>
    <t>Ngã 3 Nam tiến Phổ Yên Thái Nguueen</t>
  </si>
  <si>
    <t>thu hộ
 xe hapu 
 cước kh gửi</t>
  </si>
  <si>
    <t>KH000535</t>
  </si>
  <si>
    <t>C Hai Ha Chùa Láng</t>
  </si>
  <si>
    <t>sn 97 ngõ 91/2 phố chùa láng láng thượng</t>
  </si>
  <si>
    <t>KH000534</t>
  </si>
  <si>
    <t>c Châu Nguyễn Quảng Bình</t>
  </si>
  <si>
    <t>thôn Tân lạc
 Xã Tân Thủy, Huyện Lệ Thủy, Quảng Bình, Vietnam</t>
  </si>
  <si>
    <t>KH000533</t>
  </si>
  <si>
    <t>C Bùi Nhung Ninh Bình</t>
  </si>
  <si>
    <t>SN 04 ngõ 12 đường thành công,phố khánh thành,phường tân thành,TP ninh bình</t>
  </si>
  <si>
    <t>CHUYỂN KHOẢN TRƯỚC
 XE MINH QUÂN
 CƯỚC XE KHÁCH HÀNG GỬI</t>
  </si>
  <si>
    <t>KH000532</t>
  </si>
  <si>
    <t>c Thùy Dương Mễ Phú Thái Nguyên</t>
  </si>
  <si>
    <t>Xóm cọ 1 phấn mễ phú lương thái nguyên</t>
  </si>
  <si>
    <t>ninja van/ THU HỘ XE THÀNH ĐẠT</t>
  </si>
  <si>
    <t>KH000531</t>
  </si>
  <si>
    <t>C Bích Hồng Cà Mau</t>
  </si>
  <si>
    <t>đường lê đại hành, phường 6 thành phố cà mau</t>
  </si>
  <si>
    <t>ninja van
 freeship</t>
  </si>
  <si>
    <t>KH000530</t>
  </si>
  <si>
    <t>QT Thùy Linh (C) Ứng Hòa</t>
  </si>
  <si>
    <t>Tu Lễ, Kim Đường, Ứng Hòa, Hà Nội</t>
  </si>
  <si>
    <t>thu hộ 
 XE CƯỜNG THẢO
 CƯỚC KHÁCH GỬI
 đơn 3tr thì hỗ trợ cước trừ 50k trên đơn
 '''' Nếu khách mua Pharkavita thì phải hỏi lại quầy date</t>
  </si>
  <si>
    <t>KH000528</t>
  </si>
  <si>
    <t>A Cường Quận 1(N)</t>
  </si>
  <si>
    <t>70C nguyễn Phi Khanh, Tân Định, Quận 1, Hô Chí Minh</t>
  </si>
  <si>
    <t>GHTK
 CHUYỂN KHOẢN
 CƯỚC KHÁCH GỬI</t>
  </si>
  <si>
    <t>KH000527</t>
  </si>
  <si>
    <t>Lương Hữu Tuyển Tân Mai</t>
  </si>
  <si>
    <t>số 741-H13 hẻm 147/50/19 ngõ 147 Tân Mai, Phường Tân Mai, Quận Hoàng Mai, Hà Nội</t>
  </si>
  <si>
    <t>chuyển khoản 
 ship gần
 cước kh trả</t>
  </si>
  <si>
    <t>KH000526</t>
  </si>
  <si>
    <t>QT Long Hồng Thanh Hóa</t>
  </si>
  <si>
    <t>Phố đà thọ dân triệu sơn thanh hoa</t>
  </si>
  <si>
    <t>KH000525</t>
  </si>
  <si>
    <t>QT Số 12 Thái Nguyên</t>
  </si>
  <si>
    <t>Quầy thuốc số 12, tổ dân phố úc sơn, thị trấn hương sơn, phú bình, thái nguyên</t>
  </si>
  <si>
    <t>THU HỘ
 GỬI XE THÀNH ĐẠT
 CƯỚC KHÁCH TRẢ</t>
  </si>
  <si>
    <t>5,485,000</t>
  </si>
  <si>
    <t>KH000524</t>
  </si>
  <si>
    <t>c Nhàn Nguyễn Hoài Đức</t>
  </si>
  <si>
    <t>khu 5 thị trấn trạm trôi-hoài đức-hà nội</t>
  </si>
  <si>
    <t>KH000523</t>
  </si>
  <si>
    <t>C Hòa ứng hòa</t>
  </si>
  <si>
    <t>QT Thành Hòa-Xã Đồng Tiến,Huyện Ứng Hòa,TP Hà Nội</t>
  </si>
  <si>
    <t>GHTK
 HOẶC XE ĐỨC LONG hoăc cường thảo
 THU COD</t>
  </si>
  <si>
    <t>KH000522</t>
  </si>
  <si>
    <t>a Bùi Nam Định (N)</t>
  </si>
  <si>
    <t>TP Nam Định</t>
  </si>
  <si>
    <t>THU HỘ
 xe đắc hùng 
 cước kh gửi</t>
  </si>
  <si>
    <t>4,920,000</t>
  </si>
  <si>
    <t>82,589,500</t>
  </si>
  <si>
    <t>KH000521</t>
  </si>
  <si>
    <t>QT Tiến Dũng Khánh Hòa</t>
  </si>
  <si>
    <t>Đầm môn vạn thạnh vạn ninh Khánh hoà</t>
  </si>
  <si>
    <t>KH000520</t>
  </si>
  <si>
    <t>C Lan Hương Hòa Bình</t>
  </si>
  <si>
    <t>Xóm bui, nhân nghĩa, lạc sơn,hoà bình, Xã Nhân Nghĩa, Huyện Lạc Sơn, Hòa Bình, Vietnam</t>
  </si>
  <si>
    <t>BEST
 THU COD
 CƯỚC KHÁCH GỬI</t>
  </si>
  <si>
    <t>KH000519</t>
  </si>
  <si>
    <t>c Tuyết Nhung Phú Nhuận</t>
  </si>
  <si>
    <t>23 Hoàng Văn Thụ phường 15 quận phú nhuận - tp HCM</t>
  </si>
  <si>
    <t>KH000518</t>
  </si>
  <si>
    <t>QT Hiền Hảo Hà Tĩnh</t>
  </si>
  <si>
    <t>Quầy thuốc hiền hảo thôn lâm vượng xuân liên nghi xuân hà tĩnh</t>
  </si>
  <si>
    <t>KH000517</t>
  </si>
  <si>
    <t>QT Quyết Ngoan Lạng Sơn</t>
  </si>
  <si>
    <t>thôn phổng xã Vân Nham huyện Hữu lũng tỉnh lạng Sơn</t>
  </si>
  <si>
    <t>KH000516</t>
  </si>
  <si>
    <t>QT Bạch Mai 8 Phúc Thọ</t>
  </si>
  <si>
    <t>thôn 4 vân nam phúc thọ hà nội</t>
  </si>
  <si>
    <t>KH000515</t>
  </si>
  <si>
    <t>QT Thanh Hà Bắc Giang</t>
  </si>
  <si>
    <t>Tân cầu rô, Bắc lý, hiệp hoà, Bắc Giang</t>
  </si>
  <si>
    <t>thu hộ
  xe hà thanh
 cước xe khách hàng gửi
 ( quaythanhha@gmail.com 
 pas: 56789)</t>
  </si>
  <si>
    <t>KH000514</t>
  </si>
  <si>
    <t>c Vũ Loan Hưng Yên</t>
  </si>
  <si>
    <t>0932387210 .sn 18, ngõ 93 nguyễn thiện thuật, tt khoái châu, hưng yên</t>
  </si>
  <si>
    <t>TIỀN MẶT
 KH QUA HAPU : sdt 093 238 7210
 khách có 2 sdt : 0975206820
 NINJA VAN
 TRỢ CƯỚC 1/3
 d/c :vũ văn khuê: Đối điện chùa quang xá, xóm 6, quang xá, quang hưng, phù cừ, hưng yên
 đc : Qt bảy ngân : 0968066860: Khoái Châu - Hưng YênCHÚ Ý KHÁCH HAY LẤY ÍT MẶC CẢ HÀNG</t>
  </si>
  <si>
    <t>KH000513</t>
  </si>
  <si>
    <t>C Thu Thanh Hóa</t>
  </si>
  <si>
    <t>hữu lễ 4, thọ xương, thọ xuân, thanh hóa, Xã Thọ Xương, Huyện Thọ Xuân, Thanh Hóa, Vietnam</t>
  </si>
  <si>
    <t>123,932,500</t>
  </si>
  <si>
    <t>KH000512</t>
  </si>
  <si>
    <t>QT Mai Chi Phú Thọ</t>
  </si>
  <si>
    <t>Xã Minh Phú, Huyện Đoan Hùng, Phú Thọ, Vietnam</t>
  </si>
  <si>
    <t>KH000511</t>
  </si>
  <si>
    <t>QT Chi Huệ Vinh</t>
  </si>
  <si>
    <t>Quầy thuốc chị Huệ,cây xăng 37, hưng lộc, tp vinh</t>
  </si>
  <si>
    <t>ninja van
 trợ cước 1/3</t>
  </si>
  <si>
    <t>KH000510</t>
  </si>
  <si>
    <t>c Thu Vân Tiền Giang</t>
  </si>
  <si>
    <t>0902731757/ sn 665 HD 87 ấp bình phong xã tân mỹ chánh tp mỹ tho tỉnh tiền giang</t>
  </si>
  <si>
    <t>KH000509</t>
  </si>
  <si>
    <t>A Đức Giang Hưng Yên (C)</t>
  </si>
  <si>
    <t>tân an, nhật quang, phù cừ, hưng yên</t>
  </si>
  <si>
    <t>BEST THU COD
 KHÁCH TRẢ CƯỚC
 XE thanh bình / minh hướng THU HỘ
 CƯỚC KH TRẢ
 chủ động hỏi tiền khách sau 3 ngày</t>
  </si>
  <si>
    <t>KH000508</t>
  </si>
  <si>
    <t>c Nguyệt Hà Nam</t>
  </si>
  <si>
    <t>QT ánh nguyệt thôn bùi nguyễn, Xã Trịnh Xá, Thành phố Phủ Lý, Hà Nam, Vietnam</t>
  </si>
  <si>
    <t>ninja van
 trợ cước 1/3
 ( nguyenthinguyet@gmail.com
 pas: 54321 )</t>
  </si>
  <si>
    <t>KH000507</t>
  </si>
  <si>
    <t>C Hoài Thương Bình Dương</t>
  </si>
  <si>
    <t>41, bình hòa 4, bình hoà, thuận an, bình dương
 Phường Bình Hòa, Thành phố Thuận An, Bình Dương, Vietnam</t>
  </si>
  <si>
    <t>ninja van
 trợ 1/3</t>
  </si>
  <si>
    <t>KH000506</t>
  </si>
  <si>
    <t>QT Khanh Thúy</t>
  </si>
  <si>
    <t>Chuyển Khoản 
 cước xe kh gửi
 xe hưng thành</t>
  </si>
  <si>
    <t>KH000505</t>
  </si>
  <si>
    <t>Thanh Dung Đà Nẵng</t>
  </si>
  <si>
    <t>81 Hải Phòng
 Phường Thạch Thang, Quận Hải Châu, Đà Nẵng, Vietnam</t>
  </si>
  <si>
    <t>KH000504</t>
  </si>
  <si>
    <t>Đình Tú Cầu Giấy</t>
  </si>
  <si>
    <t>số 87 ngõ 189 nguyễn ngọc vũ</t>
  </si>
  <si>
    <t>thu thộ
 ship aha
  cước khách trả</t>
  </si>
  <si>
    <t>KH000503</t>
  </si>
  <si>
    <t>c Trang Minh Khai</t>
  </si>
  <si>
    <t>số 38,ngõ 349 minh khai ,hai bà trưng</t>
  </si>
  <si>
    <t>KH000502</t>
  </si>
  <si>
    <t>c Nhàn Nguyễn (kh qua hapu)</t>
  </si>
  <si>
    <t>Số nhà 02-ngõ 48-khu 5-thị trấn trạm trôi-hoài đức-hà nội</t>
  </si>
  <si>
    <t>KH000501</t>
  </si>
  <si>
    <t>QT Số 22 Hà Nam</t>
  </si>
  <si>
    <t>quay thuoc số 22 chợ thong thanh tâm thanh liêm hà nam</t>
  </si>
  <si>
    <t>KH000500</t>
  </si>
  <si>
    <t>QT Ngọc Bảo Xuân Kì Sóc Sơn</t>
  </si>
  <si>
    <t>Quầy thuốc Ngọc Bảo, đường 16,xuân kỳ, đông xuân ,sóc sơn hà nội</t>
  </si>
  <si>
    <t>KH000499</t>
  </si>
  <si>
    <t>QT An Bình Hưng Yên (C)</t>
  </si>
  <si>
    <t>Quầy thuốc an bình phù cừ, minh tiến, hưng yên</t>
  </si>
  <si>
    <t>THU HỘ
 CƯỚC XE KH GỬI
 XE PHƯƠNG LINH</t>
  </si>
  <si>
    <t>KH000498</t>
  </si>
  <si>
    <t>PK Bs Tuấn Mai Bắc Giang</t>
  </si>
  <si>
    <t>phố Hoa - Bắc Lý- Hiệp Hòa Bắc Giang</t>
  </si>
  <si>
    <t>THU HỘ
 XE HÀ THANH
 CƯỚC XE KH GỬI</t>
  </si>
  <si>
    <t>KH000497</t>
  </si>
  <si>
    <t>NT Phương Linh Nam Định</t>
  </si>
  <si>
    <t>Nt phương linh. 186 phù nghĩa. Phường lộc hạ tp nam định</t>
  </si>
  <si>
    <t>THU HỘ
 XE ĐẮC HÙNG 
 CƯỚC XE KH GỬI</t>
  </si>
  <si>
    <t>KH000496</t>
  </si>
  <si>
    <t>C Hằng Nguyễn Bắc Ninh</t>
  </si>
  <si>
    <t>Xã Việt Hùng, Huyện Quế Võ, Bắc Ninh, Vietnam</t>
  </si>
  <si>
    <t>KH000495</t>
  </si>
  <si>
    <t>Nguyễn Thanh Hoa Quảng Ninh</t>
  </si>
  <si>
    <t>sn 111 đường vũng đục Cẩm Đông Cẩm phả Quảng Ninh</t>
  </si>
  <si>
    <t>ninja van 
 trợ cước 1/3</t>
  </si>
  <si>
    <t>KH000494</t>
  </si>
  <si>
    <t>Xã Vĩnh Kim, Huyện Cầu Ngang, Trà Vinh, Vietnam</t>
  </si>
  <si>
    <t>7,655,000</t>
  </si>
  <si>
    <t>449,023,500</t>
  </si>
  <si>
    <t>KH000493</t>
  </si>
  <si>
    <t>công ty ánh dương (anh Thọ)</t>
  </si>
  <si>
    <t>CHUYỂN KHOẢN
 mag xuống sảnh hapu ,</t>
  </si>
  <si>
    <t>KH000492</t>
  </si>
  <si>
    <t>a Tuấn Long Biên</t>
  </si>
  <si>
    <t>số 2 đường Long Biên 2 Phường Ngọc Lâm Long Biên</t>
  </si>
  <si>
    <t>ship aha
 cước khách trả 20k cộng trên đơn</t>
  </si>
  <si>
    <t>KH000491</t>
  </si>
  <si>
    <t>QT Xuân Bắc Lai Châu</t>
  </si>
  <si>
    <t>Pắc ta_tân uyên_lai châu</t>
  </si>
  <si>
    <t>CHUYỂN KHOẢN
 bến xe mỹ đình
 gọi xe 0961152525
 ship đưa hàng cho xe khách chuyển khoản 
 trơ cước xe ôm 1/2</t>
  </si>
  <si>
    <t>KH000490</t>
  </si>
  <si>
    <t>Việt Bến Tre</t>
  </si>
  <si>
    <t>0827143926-0941239990</t>
  </si>
  <si>
    <t>32 khu phố 4 thị trấn Châu Thành,huyện Châu Thành,Bến Tre</t>
  </si>
  <si>
    <t>ghtk
 THU COD
 freeship</t>
  </si>
  <si>
    <t>69,846,000</t>
  </si>
  <si>
    <t>KH000489</t>
  </si>
  <si>
    <t>Đinh Thị Hường Chương Mỹ</t>
  </si>
  <si>
    <t>Phòng khám đa khoa việt đức, chúc lý ngọc hòa, chương mỹ (Cạnh Quầy Thuốc An Bình Chúc Sơn)</t>
  </si>
  <si>
    <t>THU HỘ 
 Gửi xe Anh Ca 
 CƯỚC XE KH GỬI</t>
  </si>
  <si>
    <t>KH000488</t>
  </si>
  <si>
    <t>A Bắc Viên Chăn - Lào (N)</t>
  </si>
  <si>
    <t>CHUYỂN KHOẢN
 ĐỊA CHỈ XE : BÃI XE TẢI GAMUDA ( SAU CHÙA KHUYẾN LƯƠNG - TRẦN PHÚ - HOÀNG MAI)
 CÁCH SÂN BÓNG HOÀNG MAI 20Om là tới 
 gọi Cường : 0911818867
 gọi Phước : 0374608893
 GHI LÊN BÌA, KO GHI TRƯC TIẾP LÊN THÙNG
  GỬI RA BẾN 
 GỌI C LINH XE ÔM
 QUẦY TRẢ PHÍ XE ÔM
 *** BỌC MÀNG NILONG CHỐNG ƯỚT, ĐỂ NGUYÊN KIỆN BỌC, KO ĐÓNG CHẬP KIỆN , GHI THÊM HÀNG DỄ VỠ LÊN THÙNG
 *** GỬI XE QUA BẾN CHỤP LẠI HÀNG VÀ HÓA ĐƠN KÍ NHẬN</t>
  </si>
  <si>
    <t>KH000487</t>
  </si>
  <si>
    <t>Hà Thúy Hoàng Mai</t>
  </si>
  <si>
    <t>1aq15 ngõ 126 Nguyễn An Ninh Hoàng mai</t>
  </si>
  <si>
    <t>thu hộ
 ship aha 
 cước kh trả</t>
  </si>
  <si>
    <t>3,940,000</t>
  </si>
  <si>
    <t>KH000486</t>
  </si>
  <si>
    <t>C Nhím( kh qua hapu)</t>
  </si>
  <si>
    <t>KH000485</t>
  </si>
  <si>
    <t>C Vũ Hoa Mỹ Đình</t>
  </si>
  <si>
    <t>số nhà 1c ngõ 402/19 đường Mỹ Đìn</t>
  </si>
  <si>
    <t>thu hộ
 ship aha
 cước kh trả</t>
  </si>
  <si>
    <t>KH000484</t>
  </si>
  <si>
    <t>QT Hữu Mai Thanh Hóa</t>
  </si>
  <si>
    <t>quay thuốc hữu mai.dai hữu Mỹ Lộc hậu Lộc Thanh Hóa</t>
  </si>
  <si>
    <t>KH000483</t>
  </si>
  <si>
    <t>c Đinh Hồng Hòa Bình</t>
  </si>
  <si>
    <t>Đinh thị hồng thôn mán, hưng thi lạc thủy hòa bình</t>
  </si>
  <si>
    <t>gửi Ninja van
 (dinhhonghoabinh@gmail.com
 pas: 98765)</t>
  </si>
  <si>
    <t>KH000482</t>
  </si>
  <si>
    <t>Nhà Thuốc Long Thịnh Bạc Liêu</t>
  </si>
  <si>
    <t>số 44, khóm 1 , thị xã giá Rai, bạc liêu</t>
  </si>
  <si>
    <t>GỬI GHTK
 HÔ TRỢ 1/3 PHÍ SHIP</t>
  </si>
  <si>
    <t>KH000481</t>
  </si>
  <si>
    <t>Phạm Xuân Đức Hà Nội</t>
  </si>
  <si>
    <t>Kh qua Hapu lấy hàng</t>
  </si>
  <si>
    <t>KH QUA HAPU LẤY HÀNG
 THANH TOÁN TIỀN MẶT</t>
  </si>
  <si>
    <t>KH000480</t>
  </si>
  <si>
    <t>c Lâm Anh Thanh Hóa</t>
  </si>
  <si>
    <t>300 nguyễn hữu cảnh</t>
  </si>
  <si>
    <t>KH000479</t>
  </si>
  <si>
    <t>C Hồng Cúc Lạng Sơn</t>
  </si>
  <si>
    <t>Ngõ 137. Đường Nhị Thanh. Tp Lạng Sơn</t>
  </si>
  <si>
    <t>THU HỘ
 XE ĐỨC HƯNG đỗ ở Hapu : 0972412297
 cước xe kh gửi</t>
  </si>
  <si>
    <t>KH000478</t>
  </si>
  <si>
    <t>Huyền Chi Hoàng Mai</t>
  </si>
  <si>
    <t>Sn 11 ngõ 59 thanh liệt thanh trì hà nội</t>
  </si>
  <si>
    <t>THU HỘ 
 SHIP AHA
 PHÍ SHIP KH TRẢ
 ĐÓNG THÙNG CARTON
 NẾU TOÀN HÀNG NHẶT THÌ PHẢI HỎI LẠI C pHƯƠNG</t>
  </si>
  <si>
    <t>KH000477</t>
  </si>
  <si>
    <t>c Bảo Nhi Bình Định( ko bỏ hóa đơn)</t>
  </si>
  <si>
    <t>790 hùng vương. Phường nhơn phú. Quy nhơn. Bình định</t>
  </si>
  <si>
    <t>GHTK
 CHUYỂN KHOẢN
 KO BỎ HÓA ĐƠN</t>
  </si>
  <si>
    <t>38,860,000</t>
  </si>
  <si>
    <t>KH000476</t>
  </si>
  <si>
    <t>A Việt Hải Dương</t>
  </si>
  <si>
    <t>Trạm y tế xã Vĩnh Hồng, Xã Vĩnh Hồng, Huyện Bình Giang, Hải Dương, Vietnam</t>
  </si>
  <si>
    <t>Thu hộ
 xe trung anh
 cước xe kh</t>
  </si>
  <si>
    <t>KH000475</t>
  </si>
  <si>
    <t>QT Thảo Từ Hưng Yên(N)</t>
  </si>
  <si>
    <t>lệ xá tiên lữ hưng yên</t>
  </si>
  <si>
    <t>CHUYỂN KHỎAN TRƯỚC
 CƯỚC XE KH GỬI
 XE thanh dũng
 PHẢI chuyển khoản luôn rồi mới gửi hàng</t>
  </si>
  <si>
    <t>58,664,500</t>
  </si>
  <si>
    <t>KH000474</t>
  </si>
  <si>
    <t>c Hoàng Yến Vĩnh Phúc</t>
  </si>
  <si>
    <t>Pk tai- mũi -họng Bs Luân 
 Lục liễu - đạo trù- Tam đảo- Vĩnh phúc</t>
  </si>
  <si>
    <t>THU HỘ
 XE HAPU 0972482070
 CƯỚC XE KH GỬI</t>
  </si>
  <si>
    <t>KH000473</t>
  </si>
  <si>
    <t>C Vũ Tươi Nam Định</t>
  </si>
  <si>
    <t>số 30 khu 6, Thị trấn Yên Định, Huyện Hải Hậu, Nam Định, Vietnam</t>
  </si>
  <si>
    <t>THU HỘ
 XE HAPU 
 CƯỚC XE KH GỬI</t>
  </si>
  <si>
    <t>KH000472</t>
  </si>
  <si>
    <t>QT Hương Sơn Thái Bình</t>
  </si>
  <si>
    <t>Quầy thuốc: Hương Sơn, chợ dành, thụy văn, Thái Thụy, Thái Bình</t>
  </si>
  <si>
    <t>THU HỘ
 XE THÚY TUYỀN : 0989510217
 CƯỚC XE KH GỬI</t>
  </si>
  <si>
    <t>KH000471</t>
  </si>
  <si>
    <t>NT Huy Anh Hà Đông</t>
  </si>
  <si>
    <t>184 Nguyễn văn Lộc</t>
  </si>
  <si>
    <t>THU HỘ
 SHIP QUA AHA
 CƯỚC KH TRẢ</t>
  </si>
  <si>
    <t>KH000470</t>
  </si>
  <si>
    <t>Phạm Thị Nga Bắc Giang</t>
  </si>
  <si>
    <t>Kè xã Song vân huyện tân yên bắc giang</t>
  </si>
  <si>
    <t>BEST
 THU COD
 KHÁCH MUỐN GỬI BEST</t>
  </si>
  <si>
    <t>KH000469</t>
  </si>
  <si>
    <t>A Đức Cao Bắc Giang</t>
  </si>
  <si>
    <t>0972913931/0399954701</t>
  </si>
  <si>
    <t>Kim3-phượng sơn-lục ngạn-bắc giang</t>
  </si>
  <si>
    <t>THU HỘ
 XE HAPU
 CƯỚC XE KH GỬI</t>
  </si>
  <si>
    <t>KH000468</t>
  </si>
  <si>
    <t>NT Trung Tâm phố Bần</t>
  </si>
  <si>
    <t>180 phố Bần Mỹ Hào Hưng Yên</t>
  </si>
  <si>
    <t>KH000467</t>
  </si>
  <si>
    <t>Nguyễn Thị Hiên Phúc Thọ</t>
  </si>
  <si>
    <t>thôn yên dục, Xã Hiệp Thuận, Huyện Phúc Thọ, Hà Nội, Vietnam</t>
  </si>
  <si>
    <t>KH000466</t>
  </si>
  <si>
    <t>QT Ngọc Bảo Đồng Xuân sóc sơn</t>
  </si>
  <si>
    <t>Xuân kỳ- đông xuân- sóc sơn- hà nội</t>
  </si>
  <si>
    <t>KH000465</t>
  </si>
  <si>
    <t>Quầy Thuốc Hải Cận</t>
  </si>
  <si>
    <t>Vĩnh Yên Vĩnh Phúc</t>
  </si>
  <si>
    <t>THU HỘ
 gửi xe Cường Dũng
 Cước xe KH gửi</t>
  </si>
  <si>
    <t>KH000464</t>
  </si>
  <si>
    <t>Thu Hà Ngọc Lâm</t>
  </si>
  <si>
    <t>sn 57 ngõ 66 phố Ngọc lâm, Phường Ngọc Lâm, tp Hà Nội</t>
  </si>
  <si>
    <t>GHTK
 FREESHIP
 BỌC KĨ HÀNG VÌ KHÁCH LẤY CHỤP ẢNH
 CHUYỂN KHOẢN
 SHIP AHA 
 FREESHIP</t>
  </si>
  <si>
    <t>KH000463</t>
  </si>
  <si>
    <t>A Cường Bình Dương</t>
  </si>
  <si>
    <t>44/3 Lê Thị Trung Bình Chuẩn , Thuận An , Bình Dương</t>
  </si>
  <si>
    <t>KH000462</t>
  </si>
  <si>
    <t>Nhà thuốc đặng văn hoà</t>
  </si>
  <si>
    <t>Xóm chợ xã trù sơn huyện đô lương tỉnh nghệ an</t>
  </si>
  <si>
    <t>GHTK
 FREESHIP
 cộng thêm 1k</t>
  </si>
  <si>
    <t>KH000461</t>
  </si>
  <si>
    <t>NT Thành Tâm Hà Nam</t>
  </si>
  <si>
    <t>173 nguyễn hữu tiến phường đồng văn huyện duy tiên tỉnh hà nam</t>
  </si>
  <si>
    <t>THU HỘ
 XE ĐẮC HÙNG
 CƯỚC XE KH GỬI</t>
  </si>
  <si>
    <t>KH000460</t>
  </si>
  <si>
    <t>0339291219/ 0968278337</t>
  </si>
  <si>
    <t>80 đoàn thị kia, tân đông hiệp, dĩ an , bình dương</t>
  </si>
  <si>
    <t>KH000459</t>
  </si>
  <si>
    <t>A Minh Đường Phú Thọ</t>
  </si>
  <si>
    <t>khu 4 trạm y tế xã phú hộ thị xã phú thọ, Phú Thọ</t>
  </si>
  <si>
    <t>THU HỘ
 XE THÁI VINH 
 CƯỚC XE KH TRẢ</t>
  </si>
  <si>
    <t>KH000458</t>
  </si>
  <si>
    <t>A Tuấn phường 5 Đạ Lạt</t>
  </si>
  <si>
    <t>56 Vạn Thành, Phường 5, TP Đà Lạt</t>
  </si>
  <si>
    <t>GỬI GHTK</t>
  </si>
  <si>
    <t>KH000457</t>
  </si>
  <si>
    <t>Trung Tiền Giang</t>
  </si>
  <si>
    <t>Quầy thuốc Gia Nghĩa TL863 ấp hòa điền xã hòa khánh huyện cái bè tỉnh tiền giang</t>
  </si>
  <si>
    <t>KH000456</t>
  </si>
  <si>
    <t>Huyền Văn Giang Hưng Yên</t>
  </si>
  <si>
    <t>Văn Giang Hưng Yên</t>
  </si>
  <si>
    <t>THU HỘ
 XE PHỐ HIẾN
 CƯỚC XE KH GỬI</t>
  </si>
  <si>
    <t>KH000455</t>
  </si>
  <si>
    <t>Nam Khánh Thạch Thất</t>
  </si>
  <si>
    <t>quầy thuốc số 12 đại đồng thạch thất hà nội</t>
  </si>
  <si>
    <t>KH000454</t>
  </si>
  <si>
    <t>Anh Hoàng Lưu An Giang</t>
  </si>
  <si>
    <t>419 tổ 14 ấp thi , Mỹ Hiệp, Chợ Mới, An Giang</t>
  </si>
  <si>
    <t>KH000453</t>
  </si>
  <si>
    <t>Tĩnh(kh qua hapu)</t>
  </si>
  <si>
    <t>TIỀN MẶT
 KH QUA HAPU</t>
  </si>
  <si>
    <t>KH000452</t>
  </si>
  <si>
    <t>khách lẻ Phi Phụng Phú Nhuận</t>
  </si>
  <si>
    <t>220/2 Nguyễn Tọng Tuyển f8 Phú Nhuận</t>
  </si>
  <si>
    <t>KH000451</t>
  </si>
  <si>
    <t>NT Chính Liên Hưng Yên</t>
  </si>
  <si>
    <t>Quầy thuốc Chính Liên An vĩ Khoái châu Hưng yên</t>
  </si>
  <si>
    <t>THU HỘ
 XE PHỐ HIẾN
 FREESHIP</t>
  </si>
  <si>
    <t>40,405,000</t>
  </si>
  <si>
    <t>KH000450</t>
  </si>
  <si>
    <t>Anh Thịnh Bắc Giang</t>
  </si>
  <si>
    <t>Bắc Giang</t>
  </si>
  <si>
    <t>CHUYỂN KHOẢN
 xe ANH CHI
 CƯỚC XE KH GỬI</t>
  </si>
  <si>
    <t>7,915,000</t>
  </si>
  <si>
    <t>KH000449</t>
  </si>
  <si>
    <t>C Thanh Hồng</t>
  </si>
  <si>
    <t>THU HỘ 
 cước xe KH gửi</t>
  </si>
  <si>
    <t>KH000448</t>
  </si>
  <si>
    <t>HÙNG NGA HẢI PHÒNG (N)</t>
  </si>
  <si>
    <t>KHÔNG BÁN CHO NHÀ NÀY
 tiền mặt
 gửi quầy 519
 CHUYỂN KHOẢN
 CƯỚC XE KH GỬI
 XE TÂN TOÀN/XE TRỌNG KHÁNH :091242181
 CHỈ CẦN GHI HÙNG NGA HẢI PHÒNG</t>
  </si>
  <si>
    <t>KH000447</t>
  </si>
  <si>
    <t>Nguyễn Thị Kiều</t>
  </si>
  <si>
    <t>thôn cầu nhạc xã phong vân lục ngạn bắc giang</t>
  </si>
  <si>
    <t>THU HỘ
 XE ANH CHI
 CƯỚC XE KH GỬI</t>
  </si>
  <si>
    <t>KH000446</t>
  </si>
  <si>
    <t>Bích Hằng Sơn Tây</t>
  </si>
  <si>
    <t>số nhà 31- triều đông- sơn tây-hà nội, Xã Cổ Đông, Thị xã Sơn Tây, Hà Nội, Vietnam</t>
  </si>
  <si>
    <t>THU HỘ
 XE TUẤN HÙNG
 CƯỚC XE KH GỬI</t>
  </si>
  <si>
    <t>KH000445</t>
  </si>
  <si>
    <t>QT An Tâm Phú Xuyên</t>
  </si>
  <si>
    <t>65 Cầu Giẽ - đại xuyên - phú Xuyên hà</t>
  </si>
  <si>
    <t>THU HỘ
 XE ĐỨC LONG 0969684282
 CƯỚC XE KH GỬI</t>
  </si>
  <si>
    <t>KH000444</t>
  </si>
  <si>
    <t>Kim Dung Phú Thọ</t>
  </si>
  <si>
    <t>kiot 3 chợ 5 tầng phường gia cẩm thành phố việt trì phú thọ</t>
  </si>
  <si>
    <t>THU HỘ
 XE ĐỨC THÀNH
 CƯỚC XE KH GỬI</t>
  </si>
  <si>
    <t>KH000443</t>
  </si>
  <si>
    <t>Ngọc Hoa Quảng Bình</t>
  </si>
  <si>
    <t>Chòm 6 thôn trung minh xã quảng châu huyện quảng trạch tỉnh quảng bình</t>
  </si>
  <si>
    <t>KH000442</t>
  </si>
  <si>
    <t>Bình râu tp Bắc Giang</t>
  </si>
  <si>
    <t>thành phố bắc giang</t>
  </si>
  <si>
    <t>THU HỘ
 XE ANH CHI
 CƯỚC XE KH GỬI
 kh lay từ 50h giảm 500d/ so với giá web 
 đơn dưới 2 tr k freeship</t>
  </si>
  <si>
    <t>KH000441</t>
  </si>
  <si>
    <t>Bông Phú Yên</t>
  </si>
  <si>
    <t>nhà thuốc trần phú đường trần phú thành phố tuy hòa phú yên</t>
  </si>
  <si>
    <t>KH000440</t>
  </si>
  <si>
    <t>A Đức Mạnh Hải Phòng</t>
  </si>
  <si>
    <t>0935759966 số 873 đường Trần Nhân Tông - Văn Đẩu - Kiến An - Hải Phòng</t>
  </si>
  <si>
    <t>GHTK
 THU HỘ 
 XE Hồng Long 0913509019
 CƯỚC XE KH GỬI</t>
  </si>
  <si>
    <t>KH000439</t>
  </si>
  <si>
    <t>Phương Trình Dược(N)</t>
  </si>
  <si>
    <t>CHUYỂN KHOẢN
 XE A Thành
 CƯỚC XE KH GỬI
 ghi ngoài thùng Em phương (217) là xe biết</t>
  </si>
  <si>
    <t>2,120,000</t>
  </si>
  <si>
    <t>188,624,500</t>
  </si>
  <si>
    <t>KH000438</t>
  </si>
  <si>
    <t>Nguyễn Thị Thu</t>
  </si>
  <si>
    <t>quầy thuốc Bảo Thu -ngọ xá, Xã Hoài Thượng, Huyện Thuận Thành, Bắc Ninh, Vietnam</t>
  </si>
  <si>
    <t>KH000437</t>
  </si>
  <si>
    <t>Đến Bắc Giang</t>
  </si>
  <si>
    <t>CHUYỂN KHOẢN
 XE HAPU 
 CƯỚC XE KH GỬI</t>
  </si>
  <si>
    <t>KH000436</t>
  </si>
  <si>
    <t>Công Ty Dược Trường Sinh Hà Nội</t>
  </si>
  <si>
    <t>0985036955/ 0983068782</t>
  </si>
  <si>
    <t>35 Trần Bình Trọng, Nguyễn Du, Hai Bà Trưng, Hà Nội</t>
  </si>
  <si>
    <t>chuyển khoản
 ship gần
 ko bỏ bill trong thùng
 cước minh trả freeship</t>
  </si>
  <si>
    <t>KH000435</t>
  </si>
  <si>
    <t>0914530918 - đội 15 nghĩa phong nghĩa hưng nam định</t>
  </si>
  <si>
    <t>CHUYỂN KHOẢN
 CƯỚC XE KH GỬI
 XE ĐẮC HÙNG
 chuyển xe 34 a Thực về nghĩa hưng nam định
 đc : Số nhà 92 ngõ 42 phố triều khúc- thanh xuân nam- thanh xuân 
 đc: 0914530918 - nghĩa hưng nam định</t>
  </si>
  <si>
    <t>KH000434</t>
  </si>
  <si>
    <t>Khánh Chi Thái Bình (N)</t>
  </si>
  <si>
    <t>23 Phan Bội Châu</t>
  </si>
  <si>
    <t>CHUYỂN KHOẢN
 CƯỚC XE KH GỬI
 XE HAPU TRƯỜNG AN
 nợ max 50tr
 nếu ck thiếu thì giảm giá trị đơn xuống như số tiền đã ck và gửi lại</t>
  </si>
  <si>
    <t>3,546,000</t>
  </si>
  <si>
    <t>85,290,000</t>
  </si>
  <si>
    <t>KH000433</t>
  </si>
  <si>
    <t>Kim Ngân Lạng Sơn</t>
  </si>
  <si>
    <t>quầy thuốc hạnh nguyên - thôn nà nậm xã tân lập huyện bắc sơn tỉnh lạng sơn</t>
  </si>
  <si>
    <t>KH000432</t>
  </si>
  <si>
    <t>A Nguyễn Tuấn Dũng Yên Bái(N)</t>
  </si>
  <si>
    <t>số 8 Đường Bảo Lương thành phố Yên Bái</t>
  </si>
  <si>
    <t>THU HỘ
 XE HỆ TRỌNG/ HUY ĐÔNG
 CƯỚC KH GỬI</t>
  </si>
  <si>
    <t>5,250,000</t>
  </si>
  <si>
    <t>23,352,000</t>
  </si>
  <si>
    <t>KH000431</t>
  </si>
  <si>
    <t>Đức Anh (kh qua hapu)</t>
  </si>
  <si>
    <t>KH000430</t>
  </si>
  <si>
    <t>C Huyền US (N)</t>
  </si>
  <si>
    <t>số 14 ngõ 1 phố Nhân Hòa</t>
  </si>
  <si>
    <t>CHUYỂN KHOẢN
 FREESHIP
 gọi chi Linh xe Ôm</t>
  </si>
  <si>
    <t>KH000429</t>
  </si>
  <si>
    <t>Nga (kh qua hapu)</t>
  </si>
  <si>
    <t>CHUYỂN KHOẢN
 Kh qua lấy hàng rồi chuyển khoản 
 nhận dc báo lại giao hàng</t>
  </si>
  <si>
    <t>KH000428</t>
  </si>
  <si>
    <t>KH 475 Nguyễn Trãi</t>
  </si>
  <si>
    <t>475 Nguyễn Trãi thanh xuân Hn</t>
  </si>
  <si>
    <t>CHUYỂN KHOẢN
 CƯỚC KH GỬI
 SHIP TRẢ QUA APP</t>
  </si>
  <si>
    <t>KH000427</t>
  </si>
  <si>
    <t>Đại Hà Giang</t>
  </si>
  <si>
    <t>bằng hành bắc quang hà giang</t>
  </si>
  <si>
    <t>KH000426</t>
  </si>
  <si>
    <t>Tạo Chương Mỹ (xe Anh Ca)</t>
  </si>
  <si>
    <t>gửi em Thúy Lam Điền Cổng bệnh viện huyện Chương mỹ</t>
  </si>
  <si>
    <t>THU HỘ
 XE ANH CA
 CƯỚC XE KHÁCH GỬI</t>
  </si>
  <si>
    <t>KH000425</t>
  </si>
  <si>
    <t>A Dũng Đống Đa(N)</t>
  </si>
  <si>
    <t>số nhà 42, ngõ thông phong, tôn đức thắng, đống đa</t>
  </si>
  <si>
    <t>chuyển khoản 
 ship gần 
 cước freeship
 KHÔNG BỎ HÓA ĐƠN VÀO THÙNG
 chú ý chọn hộp đẹp cho khách</t>
  </si>
  <si>
    <t>97,307,000</t>
  </si>
  <si>
    <t>KH000424</t>
  </si>
  <si>
    <t>Cửa hàng thiết bị y tế mỹ huyền</t>
  </si>
  <si>
    <t>0973526895 - 0868608816</t>
  </si>
  <si>
    <t>số 52 ngõ 34 phương mai</t>
  </si>
  <si>
    <t>CHUYỂN KHOẢN
 SHIP GẦN
 cước ship trả qua app
 đc 1: Số 113e9 Phương Mai-Đống Đa-Hà Nội
 SỐ 8 NGÁCH 15/4 PHƯƠNG MAI</t>
  </si>
  <si>
    <t>KH000423</t>
  </si>
  <si>
    <t>Quầy thuốc Mai Phương Vĩnh Phúc</t>
  </si>
  <si>
    <t>đối diện trung tâm y tế huyện bình xuyên, thị trấn hương canh, bình xuyên, vĩnh phúc</t>
  </si>
  <si>
    <t>GỬI XE HAPU (HỎI XE NÀO ĐI QUA ĐỊA CHỈ CHO KHÁCH TIỆN NHẬN)
 CHUYỂN KHOẢN
 CƯỚC XE TRẢ CHO KHÁCH
 KHÔNG BỎ HÓA ĐƠN VÀO THÙNG</t>
  </si>
  <si>
    <t>KH000422</t>
  </si>
  <si>
    <t>NT Lê Soạn Phú Thọ</t>
  </si>
  <si>
    <t>111 Âu cơ tx phú thọ tỉnh phú thọ</t>
  </si>
  <si>
    <t>GHTK
 ( nhathuoclesoan@gmail.com 
 pas: 56789 )</t>
  </si>
  <si>
    <t>KH000421</t>
  </si>
  <si>
    <t>Quầy thuốc 481 Phú Thọ</t>
  </si>
  <si>
    <t>khu 4 xã chu hóa tp việt trì phú thọ</t>
  </si>
  <si>
    <t>KH000420</t>
  </si>
  <si>
    <t>tân phong, đỉnh bàn, thạch hà, hà tĩnh</t>
  </si>
  <si>
    <t>CHUYỂN KHOẢN
 GHTK
 BẮT BUỘC THU HỘ TIỀN HOẶC CHUYỂN KHOẢN TRƯỚC MỚI GỬI HÀNG
 CƯỚC KH TRẢ
 XEHAPU 0868969058</t>
  </si>
  <si>
    <t>KH000419</t>
  </si>
  <si>
    <t>Đức Việt lê (kh qua hapu)</t>
  </si>
  <si>
    <t>KH000418</t>
  </si>
  <si>
    <t>Hải Yến Sơn Tây( KO BỎ HÓA ĐƠN)</t>
  </si>
  <si>
    <t>chợ Trung Sơn Trầm,Sơn Tây</t>
  </si>
  <si>
    <t>CHUYỂN KHOẢN
 KH QUA HAPU
 KH TỰ GỌI SHIP
 KHÔNG BỎ HÓA ĐƠN</t>
  </si>
  <si>
    <t>KH000417</t>
  </si>
  <si>
    <t>Nguyễn HoaThanh Oai</t>
  </si>
  <si>
    <t>Nguyễn Thảo,ngô đồng,hồng dương,thanh oai,hà nội</t>
  </si>
  <si>
    <t>THU HỘ
 XE HAPU CƯỜNG THẢO
 CƯỚC XE KH GỬI
 BEST - Thu COD</t>
  </si>
  <si>
    <t>12,079,000</t>
  </si>
  <si>
    <t>KH000416</t>
  </si>
  <si>
    <t>Nguyễn Thị Định (kh qua hapu)</t>
  </si>
  <si>
    <t>KH000415</t>
  </si>
  <si>
    <t>Quầy Thuốc Minh Quyên</t>
  </si>
  <si>
    <t>tổ dân phố 6 Thị trấn Nham Biến, Yên Dũng, Bắc Giang</t>
  </si>
  <si>
    <t>THU HỘ
 XE ANH CHI
 CƯỚC KH GỬI</t>
  </si>
  <si>
    <t>KH000414</t>
  </si>
  <si>
    <t>Nhà Thuốc Nga Pháp</t>
  </si>
  <si>
    <t>số 20 ngõ 168 Trung Kính</t>
  </si>
  <si>
    <t>CHUYỂN KHOẢN
 SHIP GẦN
 SHIP TRẢ QUA APP</t>
  </si>
  <si>
    <t>KH000413</t>
  </si>
  <si>
    <t>Dương Đình Thụ Thái Nguyên</t>
  </si>
  <si>
    <t>xóm đồng vĩ xã bàn đạt huyện Phú Bình Thành Phố Thái Nguyên</t>
  </si>
  <si>
    <t>KH000412</t>
  </si>
  <si>
    <t>ĐẶNG Huyền</t>
  </si>
  <si>
    <t>tòa tháp nhân dân số 1 thanh bình mộ lao hà đông</t>
  </si>
  <si>
    <t>THU HỘ
 GỌI SHIP GẦN 
 CƯỚC MÌNH TRẢ</t>
  </si>
  <si>
    <t>KH000411</t>
  </si>
  <si>
    <t>Thu Toàn Đại Kim</t>
  </si>
  <si>
    <t>chung cư X2 Đại Kim tòa CT2 Trần Hoà Đại Kim Hoàng Mai Hà Nội</t>
  </si>
  <si>
    <t>CHUYỂN KHOẢN
 GỌI SHIP AHA
 CƯỚC KHÁCH TRẢ</t>
  </si>
  <si>
    <t>43,200,000</t>
  </si>
  <si>
    <t>KH000410</t>
  </si>
  <si>
    <t>Thùy Trang Phú Thọ</t>
  </si>
  <si>
    <t>Khu 5 Chu Hóa, Việt Trì, Phú Thọ</t>
  </si>
  <si>
    <t>KH000409</t>
  </si>
  <si>
    <t>c Hằng Bình Định</t>
  </si>
  <si>
    <t>tạp hóa Mỹ Hằng Chợ Cầu Gành, Phước Lộc, Tụy Phước, Bình Định</t>
  </si>
  <si>
    <t>KH000408</t>
  </si>
  <si>
    <t>Quầy Thuốc Bình Anh Yên Bái</t>
  </si>
  <si>
    <t>thôn Châu Giang Âu Lâu thành phố Yên Bái</t>
  </si>
  <si>
    <t>KH000407</t>
  </si>
  <si>
    <t>Quầy thuốc Tuyết Nhung Tuyên Quang</t>
  </si>
  <si>
    <t>thôn 10 kim Phú thành phố tuyên Quang</t>
  </si>
  <si>
    <t>THU HỘ
 Gui xe Nhật Nam
 Cước xe kh gửi
 lưu ý : gửi đúng xe nhật nam 
 đối diện nhà hàng Rồng Việt , Chi con gái nhận hàng : sdt: 0366796248</t>
  </si>
  <si>
    <t>KH000406</t>
  </si>
  <si>
    <t>C Tính Ninh Bình(N)</t>
  </si>
  <si>
    <t>Yên Mô Ninh Bình</t>
  </si>
  <si>
    <t>CHUYỂN KHOẢN
 CƯỚC XE KH GỬI
 XE ĐOÀN NAM 0964634817
 XE LONG BÌNH - 0911.999.156</t>
  </si>
  <si>
    <t>2,980,000</t>
  </si>
  <si>
    <t>29,960,000</t>
  </si>
  <si>
    <t>KH000405</t>
  </si>
  <si>
    <t>Diệu Anh Thanh Hóa</t>
  </si>
  <si>
    <t>Lô 328, mặt bằng 6804, phú thứ, phú sơn, tp thanh hoá</t>
  </si>
  <si>
    <t>KH000404</t>
  </si>
  <si>
    <t>A Văn Xiên Bắc Giang</t>
  </si>
  <si>
    <t>039 8725547</t>
  </si>
  <si>
    <t>Thôn dầm trúc, xã tân sỏi, Yên Thế , Bắc Giang</t>
  </si>
  <si>
    <t>KH000403</t>
  </si>
  <si>
    <t>Khách Khương Đình</t>
  </si>
  <si>
    <t>CHUYỂN KHOẢN
 KHÁCH TỰ ĐẶT SHIP</t>
  </si>
  <si>
    <t>KH000402</t>
  </si>
  <si>
    <t>c Hiền Thanh Hóa</t>
  </si>
  <si>
    <t>312 Lê Hoàn thành phố Thanh Hóa</t>
  </si>
  <si>
    <t>THU HỘ TIỀN
 XE HOÀNG QUÝ</t>
  </si>
  <si>
    <t>KH000401</t>
  </si>
  <si>
    <t>Hoàng Thúy Nga Nam Định</t>
  </si>
  <si>
    <t>314 Lương Thế Vinh phường Cửa Bắc Nam Định</t>
  </si>
  <si>
    <t>CHUYỂN KHOẢN 
 cước xe kh gửi
 gưi xe tuấn az</t>
  </si>
  <si>
    <t>KH000400</t>
  </si>
  <si>
    <t>Min Quầy 211 (N)</t>
  </si>
  <si>
    <t>CHUYỂN KHOẢN
 MANG QUA QUẦY 211
 GIAO HÀNG TRƯỚC 2H,SAU 2H ĐỂ HÔM SAU GIAO
 MAX 30TR</t>
  </si>
  <si>
    <t>15,172,000</t>
  </si>
  <si>
    <t>1,978,803,000</t>
  </si>
  <si>
    <t>KH000364</t>
  </si>
  <si>
    <t>Thảo Long An</t>
  </si>
  <si>
    <t>Đường số 1, KCN Hải Sơn, ấp Bình tiền 2 xã Đức Hòa Hạ, huyện Đức Hòa, Tỉnh Long An</t>
  </si>
  <si>
    <t>KH000363</t>
  </si>
  <si>
    <t>Nguyễn Đức Sáng Nghệ An</t>
  </si>
  <si>
    <t>26 Phan đình phùng phường cửa nam thành phố vinh nghệ an</t>
  </si>
  <si>
    <t>xe bồ câu hapu
  thu hộ cước xe khách gửi</t>
  </si>
  <si>
    <t>KH000362</t>
  </si>
  <si>
    <t>a Lê Trung Kiên</t>
  </si>
  <si>
    <t>yên xá, tân triều, thanh trì, hà nội</t>
  </si>
  <si>
    <t>TIỀN MẶT
 trưa 12:00-12:30 khách qua hapu lấy hàng, thanh toán tiền mặt</t>
  </si>
  <si>
    <t>KH000361</t>
  </si>
  <si>
    <t>ĐẶT HÀNG ROSTEX</t>
  </si>
  <si>
    <t>KH000360</t>
  </si>
  <si>
    <t>Đoàn Xuân Hưng Bình Định</t>
  </si>
  <si>
    <t>nhà thuốc xuân hưng 351 âu cơ, phường bùi thị xuân, thành phố Quy Nhơn, Bình Định</t>
  </si>
  <si>
    <t>KH000359</t>
  </si>
  <si>
    <t>Chương thuốc sỉ</t>
  </si>
  <si>
    <t>KH000358</t>
  </si>
  <si>
    <t>ĐẶT HÀNG BÁC MAI</t>
  </si>
  <si>
    <t>KH000357</t>
  </si>
  <si>
    <t>Quỳnh Nghệ An</t>
  </si>
  <si>
    <t>xóm 1 diễn thành diễn châu nghệ an</t>
  </si>
  <si>
    <t>KH CHỈ LẤY DATE 2024 GHTK</t>
  </si>
  <si>
    <t>KH000356</t>
  </si>
  <si>
    <t>QT Thi Hạnh Thanh Hóa</t>
  </si>
  <si>
    <t>thôn bắc sơn, cẩm tú, cẩm thủy, thanh hóa</t>
  </si>
  <si>
    <t>KH000355</t>
  </si>
  <si>
    <t>Phạm Trang Ninh Bình</t>
  </si>
  <si>
    <t>Uỷ ban nhân dân xã yên mỹ huyện Yên Mô tỉnh Ninh Bình</t>
  </si>
  <si>
    <t>THU HỘ
 CƯỚC KHÁCH TRẢ
  XE MINH QUÂN</t>
  </si>
  <si>
    <t>1,866,000</t>
  </si>
  <si>
    <t>KH000354</t>
  </si>
  <si>
    <t>QT Trung Hương Hải Dương</t>
  </si>
  <si>
    <t>Quầy thuốc Trung Hương, đội 8, la đôi hợp tiến nam sach hai dương</t>
  </si>
  <si>
    <t>Gửi xe trung nguyên thu hộ, cước xe kh gửi</t>
  </si>
  <si>
    <t>KH000353</t>
  </si>
  <si>
    <t>CTCP Bệnh viện mắt Sông Cầu</t>
  </si>
  <si>
    <t>221 Ngõ Gia Tự, phường Suối Hoa, thành phố Bắc Ninh</t>
  </si>
  <si>
    <t>KH000352</t>
  </si>
  <si>
    <t>Kim Ánh Quảng Nam</t>
  </si>
  <si>
    <t>Tam Giang- núi thành Quảng Nam</t>
  </si>
  <si>
    <t>KH000351</t>
  </si>
  <si>
    <t>Nguyễn Văn Quỳnh Thái Nguyên</t>
  </si>
  <si>
    <t>nhà thuốc số 5 đường 47 đồng tiến phổ yên thái nguyên</t>
  </si>
  <si>
    <t>xe hồng long
 thu hộ 
 cước xe khách gửi</t>
  </si>
  <si>
    <t>KH000350</t>
  </si>
  <si>
    <t>Thu (Kh qua Hapu)</t>
  </si>
  <si>
    <t>MANG HÀNG XUỐNG TẦNG 1 CHỖ BÁNH MÌ ĐÒN GÁNH
 THANH TOÁN TIỀN</t>
  </si>
  <si>
    <t>KH000349</t>
  </si>
  <si>
    <t>Nhà thuốc 102 Quảng Ninh</t>
  </si>
  <si>
    <t>nhà thuốc 102 tô hiến thành hạ long quảng ninh</t>
  </si>
  <si>
    <t>Gửi xe Mỹ Á thu hộ tiền
 Cước xe Kh gửi</t>
  </si>
  <si>
    <t>KH000348</t>
  </si>
  <si>
    <t>Hải Yến Bắc Ninh</t>
  </si>
  <si>
    <t>0987087013/thôn huề đông xã Đạ lai huyện gia bình tỉnh bắc ninh</t>
  </si>
  <si>
    <t>GHTK/THU HỘ 
 freeship
 XE Hà Thanh : 
 0963.258.768
 cước xe quầy gửi
 thôn huề đông xã Đạ lai huyện gia bình tỉnh bắc ninh</t>
  </si>
  <si>
    <t>23,336,000</t>
  </si>
  <si>
    <t>KH000347</t>
  </si>
  <si>
    <t>a Tuyên Hoàng Mai</t>
  </si>
  <si>
    <t>82 tây trà trần Phú hoàng mai hà nội</t>
  </si>
  <si>
    <t>CHUYỂN KHOẢN
 SHIP GẦN 
 PHÍ SHIP KHÁCH TRẢ
 kh có 2 địa chỉ
 đc 1: 64a tây trà trần Phú hoàng mai hà nội
 đc 2: 1b ngõ 582 lĩnh nam hoàng mai</t>
  </si>
  <si>
    <t>KH000346</t>
  </si>
  <si>
    <t>Ngô Hải Vân</t>
  </si>
  <si>
    <t>chiều đông- yên châu- sơn la</t>
  </si>
  <si>
    <t>xe hapu cước xe khách gửi</t>
  </si>
  <si>
    <t>KH000345</t>
  </si>
  <si>
    <t>Anh Khanh Thanh Hóa(N)</t>
  </si>
  <si>
    <t>a khanh cổng trường cao đẳng y tế thanh hóa</t>
  </si>
  <si>
    <t>CHUYỂN KHOẢN
 GỬI XE (SDT:0967677259)gửi xe khác phải báo lại
 (SDT:0967677259)
 CƯỚC KHÁCH TRẢ 
 giảm 15k trên đơn
 CHUYỂN KHOẢN
 GỬI XE A THÀNH 0902229086
 KHÁCH TRẢ CƯỚC</t>
  </si>
  <si>
    <t>1,665,000</t>
  </si>
  <si>
    <t>146,333,500</t>
  </si>
  <si>
    <t>KH000344</t>
  </si>
  <si>
    <t>Quầy thuốc Nguyên Thúy</t>
  </si>
  <si>
    <t>Ngã 3 Pắc Hà, Bắc Quang, Hà Giang</t>
  </si>
  <si>
    <t>THU HỘ 
  GỬI XE ĐỨC THỊNH 
 CƯỚC XE KH GỬI</t>
  </si>
  <si>
    <t>1,568,000</t>
  </si>
  <si>
    <t>KH000343</t>
  </si>
  <si>
    <t>Nhà thuốc Quang Hùng</t>
  </si>
  <si>
    <t>308 hồng lạc phường 11 quận tân bình</t>
  </si>
  <si>
    <t>KH000342</t>
  </si>
  <si>
    <t>Thùy Linh kh qua Hapu</t>
  </si>
  <si>
    <t>5,525,000</t>
  </si>
  <si>
    <t>KH000341</t>
  </si>
  <si>
    <t>Tóc da Hùng Hiền</t>
  </si>
  <si>
    <t>Tóc da Hùng Hiền đối diện cây xăng dầu đậu thắm cò nòi mai sơn sơn la</t>
  </si>
  <si>
    <t>KH000340</t>
  </si>
  <si>
    <t>Yến(Khách qua hapu)</t>
  </si>
  <si>
    <t>10:00 KHÁCH QUA HAPU THANH TOÁN TIỀN MẶT</t>
  </si>
  <si>
    <t>KH000339</t>
  </si>
  <si>
    <t>c Thủy Thái Nguyên</t>
  </si>
  <si>
    <t>số 3a ngõ 46 đường việt bắc thành phố thái</t>
  </si>
  <si>
    <t>THU HỘ
 XE THÀNH ĐẠT
 CƯỚC XE KH GỬI
 " đơn sau thu bù 20k vận chuyển của đơn trước
 CHUYỂN KHOẢN TRƯỚC
 VP NHÀ XE LIMOSIN HÀ LAN - 02083737373. Phí ship 20k.
 ĐỊA CHỈ NHẬN HÀNG: Văn phòng 232 Hoàng Văn Thụ - 0394517011
 CƯỚC XE KHÁCH GỬI</t>
  </si>
  <si>
    <t>3,720,000</t>
  </si>
  <si>
    <t>KH000338</t>
  </si>
  <si>
    <t>Tuyết Thanh Hóa</t>
  </si>
  <si>
    <t>ngã tư hoàng minh hoàng hóa thanh hóa</t>
  </si>
  <si>
    <t>chuyển khoản
 cước xe kh gửi xe hải hạnh 0374952601</t>
  </si>
  <si>
    <t>KH000337</t>
  </si>
  <si>
    <t>KH lẻ Hà Đông</t>
  </si>
  <si>
    <t>KH000336</t>
  </si>
  <si>
    <t>Quầy 201</t>
  </si>
  <si>
    <t>KH000335</t>
  </si>
  <si>
    <t>Nguyệt Hà Giang</t>
  </si>
  <si>
    <t>thôn vằng luông xã thượng sơn huyện vị xuyên tỉnh hà giang</t>
  </si>
  <si>
    <t>gửi GHTK</t>
  </si>
  <si>
    <t>KH000334</t>
  </si>
  <si>
    <t>Quầy Trang</t>
  </si>
  <si>
    <t>Hòa ngãi thanh hà thanh liêm hà nam</t>
  </si>
  <si>
    <t>xe cường thảo thu hộ</t>
  </si>
  <si>
    <t>KH000333</t>
  </si>
  <si>
    <t>C.Nguyễn Huyền Hưng Yên</t>
  </si>
  <si>
    <t>.0968.106.968./ quầy thuốc Đức Kiên thôn la tiến xã nguyên hòa huyện phù cừ tỉnh hưng yên</t>
  </si>
  <si>
    <t>THU HỘ
 FREESHIP
 XE THANH DŨNG</t>
  </si>
  <si>
    <t>KH000332</t>
  </si>
  <si>
    <t>Thu</t>
  </si>
  <si>
    <t>KH qua hapu thu tiền mặt</t>
  </si>
  <si>
    <t>KH000331</t>
  </si>
  <si>
    <t>QT Mạnh Hưng Hưng Yên</t>
  </si>
  <si>
    <t>quầy thuốc mạnh hưng</t>
  </si>
  <si>
    <t>gửi xe Phương Trang</t>
  </si>
  <si>
    <t>KH000330</t>
  </si>
  <si>
    <t>Quỳnh Phương</t>
  </si>
  <si>
    <t>465 Thanh Xuân</t>
  </si>
  <si>
    <t>KH000329</t>
  </si>
  <si>
    <t>30/168 Kim Giang</t>
  </si>
  <si>
    <t>105 định công thượng</t>
  </si>
  <si>
    <t>69,601,500</t>
  </si>
  <si>
    <t>KH000328</t>
  </si>
  <si>
    <t>Phạm Ngọc Tú</t>
  </si>
  <si>
    <t>Quầy thuốc tú dương cạnh ủy ban tu lý</t>
  </si>
  <si>
    <t>KH000327</t>
  </si>
  <si>
    <t>Phương Linh Bigfam(N)</t>
  </si>
  <si>
    <t>tầng 4 tầng 21t1</t>
  </si>
  <si>
    <t>chuyển khoản 
 giao sang tầng 4 tầng 21t1</t>
  </si>
  <si>
    <t>KH000326</t>
  </si>
  <si>
    <t>c Trang</t>
  </si>
  <si>
    <t>chợ yên hòa phường thọ xương</t>
  </si>
  <si>
    <t>KH000325</t>
  </si>
  <si>
    <t>huyền</t>
  </si>
  <si>
    <t>sn 6c ngõ 285 Đội Cấn</t>
  </si>
  <si>
    <t>KH000324</t>
  </si>
  <si>
    <t>KH lẻ</t>
  </si>
  <si>
    <t>KH000323</t>
  </si>
  <si>
    <t>Hà Quỳnh Ngân Gia Lâm</t>
  </si>
  <si>
    <t>16 cửu việt, Thị trấn Trâu Quỳ, Huyện Gia Lâm, Hà Nội, Vietnam</t>
  </si>
  <si>
    <t>KH000321</t>
  </si>
  <si>
    <t>Hằng Bùi Văn Miếu(N)</t>
  </si>
  <si>
    <t>Nhà Thuốc 31b văn miếu</t>
  </si>
  <si>
    <t>CHUYỂN KHOẢN
 SHIP GẦN
 cước kh trả
 đơn trên 10tr hỗ trợ 40k</t>
  </si>
  <si>
    <t>KH000320</t>
  </si>
  <si>
    <t>Thùy Lào Cai</t>
  </si>
  <si>
    <t>gửi sang quầy 441 cho Thùy Lào Cai - CHUYÊN KHOẢN</t>
  </si>
  <si>
    <t>KH000318</t>
  </si>
  <si>
    <t>Trang Lê</t>
  </si>
  <si>
    <t>1B ngõ 192 Lê Trọng Tấn, Thanh Xuân, Hà Nôi</t>
  </si>
  <si>
    <t>gọi ship</t>
  </si>
  <si>
    <t>KH000317</t>
  </si>
  <si>
    <t>Quầy Ngân Hà Vĩnh Phúc(N)</t>
  </si>
  <si>
    <t>cổng làng cổ tích đồng cương yên lạc vĩnh phúc/ qua cầu chằm,thôn ruồng thượng lan,Việt Yên,Bắc giang</t>
  </si>
  <si>
    <t>THU HỘ TIỀN
 CƯỚC XE KH GỬI
 GỬI XE CƯỜNG DŨNG(về vĩnh phúc)
 XE HAPU(VỀ BẮC GIANG)</t>
  </si>
  <si>
    <t>4,940,000</t>
  </si>
  <si>
    <t>KH000316</t>
  </si>
  <si>
    <t>Nhà thuốc nam khánh</t>
  </si>
  <si>
    <t>36 Ngõ 445 lạc long quân</t>
  </si>
  <si>
    <t>TIỀN MẶT
 CƯỚC KH TRẢ
 GỌI SHIP QUA APP</t>
  </si>
  <si>
    <t>KH000315</t>
  </si>
  <si>
    <t>Nhà thuốc Triệu Vy</t>
  </si>
  <si>
    <t>số nhà 36, ngõ 445 nguyễn khang, phường yên hòa, quận cầu giấy</t>
  </si>
  <si>
    <t>KH000314</t>
  </si>
  <si>
    <t>Hương Cami</t>
  </si>
  <si>
    <t>KH QUA HAPU LẤY
 TT TIỀN MẶT</t>
  </si>
  <si>
    <t>KH000309</t>
  </si>
  <si>
    <t>Trịnh Hoàng Thái Nguyên</t>
  </si>
  <si>
    <t>Viện Lao Thái Nguyên</t>
  </si>
  <si>
    <t>GỬI XE THÀNH ĐẠT/ HỒNG LONG THU HỘ TIỀN
 CƯỚC XE KH GỬI</t>
  </si>
  <si>
    <t>KH000308</t>
  </si>
  <si>
    <t>Quầy thuốc Như Quỳnh</t>
  </si>
  <si>
    <t>đối diện UBND xã Nhân Đạo, Sông Lô Vĩnh Phúc</t>
  </si>
  <si>
    <t>THU HỘ TIỀN
 CƯỚC XE KH GỬI GỬI XE CƯỜNG DŨNG</t>
  </si>
  <si>
    <t>KH000307</t>
  </si>
  <si>
    <t>Thanh Thanh</t>
  </si>
  <si>
    <t>vũ bình, huyện kiến xương, thái bình</t>
  </si>
  <si>
    <t>GỬI XE HAPU THU HỘ
 CƯỚC XE KH GỬI</t>
  </si>
  <si>
    <t>KH000305</t>
  </si>
  <si>
    <t>Phạm Minh Hòa Bắc Giang</t>
  </si>
  <si>
    <t>tổ 1 thị trán thắng hiệp hòa bắc giang</t>
  </si>
  <si>
    <t>GỬI GHKT</t>
  </si>
  <si>
    <t>KH000304</t>
  </si>
  <si>
    <t>Đinh Ngọc Thủy Tiên</t>
  </si>
  <si>
    <t>350/4/15 đường tây sơn, quy nhờn Bình Định</t>
  </si>
  <si>
    <t>KH000303</t>
  </si>
  <si>
    <t>Ngọc Khánh(Nhà Khánh Chuyền)</t>
  </si>
  <si>
    <t>Chúc Sơn Chương Mỹ</t>
  </si>
  <si>
    <t>GỬI XE ANH CA 
 CHUYỂN KHOẢN
 CƯỚC XE KH GỬI</t>
  </si>
  <si>
    <t>KH000302</t>
  </si>
  <si>
    <t>Vũ - Thái Bình</t>
  </si>
  <si>
    <t>GỬI XE HƯNG THÀNH THU HỘ TIỀN $$$
 CƯỚC XE KH GỬI</t>
  </si>
  <si>
    <t>KH000301</t>
  </si>
  <si>
    <t>KH LẤY L CYTSINE</t>
  </si>
  <si>
    <t>I2-10 AN PHÚ SHOP VILLA, KHU ĐT NAM CƯỜNG , DƯƠNG NÔI</t>
  </si>
  <si>
    <t>KH000300</t>
  </si>
  <si>
    <t>Kim Châu(Kiên Giang)</t>
  </si>
  <si>
    <t>ấp an Ninh, xã Định An, Huyện Gò Quao, tỉnh Kiên Giang</t>
  </si>
  <si>
    <t>KH000299</t>
  </si>
  <si>
    <t>Lê giang nam</t>
  </si>
  <si>
    <t>Số nhà 05 ngõ 114 lê đại hành
 Tp thái bình</t>
  </si>
  <si>
    <t>KH000298</t>
  </si>
  <si>
    <t>Quầy thuốc số 144 Kon Tum</t>
  </si>
  <si>
    <t>thôn 5, xã Hà Mòn, huyện ĐăkHa, tỉnh Kon Tum</t>
  </si>
  <si>
    <t>KH000297</t>
  </si>
  <si>
    <t>KH</t>
  </si>
  <si>
    <t>KH000296</t>
  </si>
  <si>
    <t>Quầy thuốc tinh nga</t>
  </si>
  <si>
    <t>xóm đại lộc.xã thượng tân lộc.huyện nam đàn.tỉnh nghệ an</t>
  </si>
  <si>
    <t>KH000295</t>
  </si>
  <si>
    <t>Lê Thị Thanh Huyền</t>
  </si>
  <si>
    <t>Đội 2, thiệu mỹ, vĩnh lập, Thành Hà, Hải Dương</t>
  </si>
  <si>
    <t>GỬI XE TRUNG ANH THU HỘ
 CƯỚC XE KH GỬI</t>
  </si>
  <si>
    <t>KH000294</t>
  </si>
  <si>
    <t>Hiệu thuốc Thùy Dương</t>
  </si>
  <si>
    <t>chợ hôm tân dương, thủy nguyên hải phòng</t>
  </si>
  <si>
    <t>GỬI XE HAPU THU HỘ TIỀN
 FREESHIP</t>
  </si>
  <si>
    <t>KH000293</t>
  </si>
  <si>
    <t>QT Hương Giang Hà Nam</t>
  </si>
  <si>
    <t>thôn 5 Nhân Chính, Lý Nhân, Hà Nam</t>
  </si>
  <si>
    <t>THU HỘ TIỀN
 CƯỚC XE KH GỬI
 GỬI XE ĐẮC HÙNG
 CHUYỂN Khoản mang lên quầy 539</t>
  </si>
  <si>
    <t>KH000292</t>
  </si>
  <si>
    <t>Nhà Thuốc Thanh Tâm</t>
  </si>
  <si>
    <t>THANH TOÁN TIỀN MẶT
 KH QUA HAPU LẤY HÀNG</t>
  </si>
  <si>
    <t>KH000291</t>
  </si>
  <si>
    <t>tuấn</t>
  </si>
  <si>
    <t>KH ĐỢI Ở LƯ HƯƠNG
 THANH TOÁN TIỀN MẶT</t>
  </si>
  <si>
    <t>KH000290</t>
  </si>
  <si>
    <t>Hoàng Quỳnh</t>
  </si>
  <si>
    <t>KH QUA HAPU
 THANH TOÁN TIỀN MẶT</t>
  </si>
  <si>
    <t>KH000289</t>
  </si>
  <si>
    <t>C Kim Hương Thái Bình</t>
  </si>
  <si>
    <t>Trạm y tế xã Tân Tiến, An Nhân, Hưng Hà, Thái Bình</t>
  </si>
  <si>
    <t>CHUYỂN KHOẢN
  GỬI XE HAPU (xe Thanh Bình - 0963500488)
 CƯỚC XE FREESHIP</t>
  </si>
  <si>
    <t>KH000288</t>
  </si>
  <si>
    <t>PGH2856531975 14.1</t>
  </si>
  <si>
    <t>KH000284</t>
  </si>
  <si>
    <t>Thanh Châm</t>
  </si>
  <si>
    <t>GỬI QUẦY 303 CHỊ HIỀN BẢO GỬI CHO CHỊ CHÂM</t>
  </si>
  <si>
    <t>KH000283</t>
  </si>
  <si>
    <t>Tú còi (CHỈ CẦN GHI MỖI TÊN)</t>
  </si>
  <si>
    <t>GỬI XE HOÀNG QUÝ
 CHUYỂN KHOẢN
 CƯỚC XE KH GỬI</t>
  </si>
  <si>
    <t>KH000282</t>
  </si>
  <si>
    <t>Nhật Minh (Hà Nội)</t>
  </si>
  <si>
    <t>0987.37.37.97</t>
  </si>
  <si>
    <t>94 Trương công định , yết kiêu, hà đông</t>
  </si>
  <si>
    <t>CHUYỂN KHOẢN
 SHIP GẦN</t>
  </si>
  <si>
    <t>1,450,000</t>
  </si>
  <si>
    <t>KH000281</t>
  </si>
  <si>
    <t>Mỹ Dung (Quầy thuốc Mỹ Dung - Bình Thuận)</t>
  </si>
  <si>
    <t>Thôn Hồng Hải, Xã Hòa Thắng, Huyện Bắc Bình, tỉnh Bình Thuận</t>
  </si>
  <si>
    <t>GỬI GHTK
 trợ cước 1/3</t>
  </si>
  <si>
    <t>KH000278</t>
  </si>
  <si>
    <t>Quầy thuốc 144 Kon Tum</t>
  </si>
  <si>
    <t>SDT: 0387615508. Ngã ba hà mòn, thị trấn DakHa, Tỉnh Kon Tum</t>
  </si>
  <si>
    <t>KH000276</t>
  </si>
  <si>
    <t>Ngô Thị Loan</t>
  </si>
  <si>
    <t>Đường Nguyễn Thanh Cần, Khu Đô Thị Mới, Thị Trấn Chờ, Yên Phong, Bắc Ninh</t>
  </si>
  <si>
    <t>KH000275</t>
  </si>
  <si>
    <t>Đơn đi Trung Kính</t>
  </si>
  <si>
    <t>KH000274</t>
  </si>
  <si>
    <t>Đỗ Dung Thanh Hóa</t>
  </si>
  <si>
    <t>Thôn Hồng Kỳ, xã Xuân Bái, huyện Thọ Xuân, tỉnh Thanh Hóa</t>
  </si>
  <si>
    <t>THU HỘ
 Gửi xe Hapu( hỏi xe nào tiện nhất gửi cho kh)
 Cước xe kh gửi</t>
  </si>
  <si>
    <t>KH000273</t>
  </si>
  <si>
    <t>Anh Phú Đà Nẵng(KO BỎ HÓA ĐƠN)</t>
  </si>
  <si>
    <t>0901790959/191/31 ông ích khiêm , P thạch thang , quận hải châu , Tp Đà nẳng</t>
  </si>
  <si>
    <t>GHTK
 CHUYỂN KHOẢN 
 CHÚ Ý KIỂM TRA HÀNG VỀ HỎI CK
 CHUYỂN KHOẢN LUÔN HOẶC THU COD
 XEM BAO GIỜ NHẬN CÓ KỊP KHÔNG MỚI NHẬN GỬI. 
 BÁO BÊN VẬN CHUYỂN GIAO CÁC THÙNG 1 LẦN
 KHÔNG BỎ HÓA ĐƠN VÀO THÙNG
 KHÔNG GHI BẤT CỨ TÊN, ĐỊA CHỈ, THÔNG TIN NGƯỜI NHẬN NGƯỜI GỬI LÊN THÙNG
 CHỈ GHI MÃ ĐƠN HÀNG
 đc: 0901790959 /191/31 ông ích khiêm , P thạch thang , quận hải châu , Tp Đà nẳng
 đc: : 100 Nguyễn lương bằng . P hoà khánh Bắc . Q liên chiều - Tp Đà nẳng 
 dc :586/28 ông ích khiêm , P thạch thang , quận hải châu , Tp Đà nẳng</t>
  </si>
  <si>
    <t>10,979,500</t>
  </si>
  <si>
    <t>KH000271</t>
  </si>
  <si>
    <t>Hậu Tuấn - Cầu Giẽ</t>
  </si>
  <si>
    <t>Chợ Vực, Vân Từ, Phú Xuyên, Hà Nội</t>
  </si>
  <si>
    <t>THU HỘ TIỀN
 GỬI XE ĐĂC HÙNG 
 CƯỚC XE KH GỬI</t>
  </si>
  <si>
    <t>KH000270</t>
  </si>
  <si>
    <t>Anh Tâm Thanh Hóa</t>
  </si>
  <si>
    <t>THU HỘ
 CƯỚC XE KH GỬI
 GỬI XE HOÀNG QUÝ
 NỢ K TRẢ - KHÔNG BÁN</t>
  </si>
  <si>
    <t>KH000269</t>
  </si>
  <si>
    <t>Phiếu gửi hàng PGH1890975319 ngày 6.1.22</t>
  </si>
  <si>
    <t>KH000268</t>
  </si>
  <si>
    <t>cô Xy</t>
  </si>
  <si>
    <t>KH000267</t>
  </si>
  <si>
    <t>Phiếu gửi hàng PGH1778753197 5/1/2022</t>
  </si>
  <si>
    <t>KH000266</t>
  </si>
  <si>
    <t>Phiếu gửi hàng PGH0323208642 ngày 4/1/22</t>
  </si>
  <si>
    <t>KH000265</t>
  </si>
  <si>
    <t>Phiếu gửi hàng PGH4201086420 ngày 3/1/2022</t>
  </si>
  <si>
    <t>KH000264</t>
  </si>
  <si>
    <t>Kh lẻ</t>
  </si>
  <si>
    <t>KH000263</t>
  </si>
  <si>
    <t>Minh Lê Nghệ An</t>
  </si>
  <si>
    <t>xóm đông thị xã đô thành, huyện Yên Thành, Tỉnh Nghệ An</t>
  </si>
  <si>
    <t>GỬI GHTK
 khách yêu cầu gửi GHTK</t>
  </si>
  <si>
    <t>KH000262</t>
  </si>
  <si>
    <t>Nguyen Hoa</t>
  </si>
  <si>
    <t>KH000261</t>
  </si>
  <si>
    <t>Anh Phú Nguyễn Quảng Bình( (KO BỎ HÓA ĐƠN)</t>
  </si>
  <si>
    <t>thôn Hoành Vinh, Xã an Ninh, Huyện Quãng Ninh, Tỉnh Quảng Bình</t>
  </si>
  <si>
    <t>CHUYỂN KHOẢN LUÔN HOẶC THU COD
 BEST/GHTK
 XEM BAO GIỜ NHẬN CÓ KỊP KHÔNG MỚI NHẬN GỬI. 
 BÁO BÊN VẬN CHUYỂN GIAO CÁC THÙNG 1 LẦN
 đc 1: thôn Hoành Vinh, Xã an Ninh, Huyện Quãng Ninh, Tỉnh Quảng Bình
 đc 2:chợ Đại đồng - thôn cao xuân - xã an ninh - huyện quãng ninh - tỉnh Quãng bình ,
 * lưu ý: khi lên mã đơn ghtk, kiểm tra kĩ địa chỉ do khách mới thay địa chỉ mới, ko chọn địa chỉ cũ lưu sẵn trên hệ thống</t>
  </si>
  <si>
    <t>KH000260</t>
  </si>
  <si>
    <t>Ninh</t>
  </si>
  <si>
    <t>Lạng Giang- Bắc Giang</t>
  </si>
  <si>
    <t>THANH TOÁN TIỀN MẶT
 KH QUA HAPU/
 THU HỘ 
 XE ĐỨC HƯNG 0972412297
 CƯỚC KH TRẢ</t>
  </si>
  <si>
    <t>8,610,000</t>
  </si>
  <si>
    <t>KH000259</t>
  </si>
  <si>
    <t>Quầy Vân Vĩnh Phúc</t>
  </si>
  <si>
    <t>thôn xóm Gò Xã Đạo Trù, Huyện Tam Đảo, Tỉnh Vĩnh Phúc</t>
  </si>
  <si>
    <t>THU HỘ
 XE cƯỜNG DŨNG 0944841965
 CƯỚC KH TRẢ
 BEST</t>
  </si>
  <si>
    <t>KH000258</t>
  </si>
  <si>
    <t>Lê An Tiền Giang</t>
  </si>
  <si>
    <t>Thân Cửu Nghĩa, QL1A,xã Thân Cửu Nghĩa, Huyện Châu Thành, Tiền Giang</t>
  </si>
  <si>
    <t>KH000257</t>
  </si>
  <si>
    <t>Nhà Thuốc Hải Đăng Thanh Hóa</t>
  </si>
  <si>
    <t>Hoằng Đức, Hoằng Hóa, Thanh Hóa</t>
  </si>
  <si>
    <t>THU HỘ
 XE HOÀNG QUÝ
 CƯỚC KH TRẢ
 Dặn xe Hoàng Quý để hàng của kh bên ngoài để khách đón xe lấy hàng cho dễ</t>
  </si>
  <si>
    <t>KH000256</t>
  </si>
  <si>
    <t>Quầy thuốc Đức Kiên</t>
  </si>
  <si>
    <t>Thôn Là Tiến, Xã Nguyên Hòa, Huyện Phù Cừ, Tỉnh Hưng Yên</t>
  </si>
  <si>
    <t>GỬI XE HAPU THU HỘ
 FREESHIP</t>
  </si>
  <si>
    <t>KH000255</t>
  </si>
  <si>
    <t>Ngân</t>
  </si>
  <si>
    <t>Láng Hạ</t>
  </si>
  <si>
    <t>KH000254</t>
  </si>
  <si>
    <t>Cô Nga Hoàng Đạo Thúy</t>
  </si>
  <si>
    <t>toàn nhà chung cư 173 Xuân thủy Cầu Giấy, Hà Nội</t>
  </si>
  <si>
    <t>THU HỘ
 FREESHIP TRẢ QUA APP</t>
  </si>
  <si>
    <t>KH000253</t>
  </si>
  <si>
    <t>E Sơn (Trà Vinh)</t>
  </si>
  <si>
    <t>số 53 đường sơn, thông khóm 10 , phường 9 , thành phố trà vinh</t>
  </si>
  <si>
    <t>KH000252</t>
  </si>
  <si>
    <t>Nhà thuốc Dung Hưng</t>
  </si>
  <si>
    <t>xóm 10 hải hưng, hải hậu, nam định</t>
  </si>
  <si>
    <t>THU HỘ
 CƯỚC XE KH GỬI
 GỬI XE ĐẮC HÙNG</t>
  </si>
  <si>
    <t>KH000251</t>
  </si>
  <si>
    <t>Ngọc Huyên Hưng Yên</t>
  </si>
  <si>
    <t>xóm 14- xã đông kết- huyện khoái châu - tỉnh hưng yên</t>
  </si>
  <si>
    <t>KH000250</t>
  </si>
  <si>
    <t>Quầy thuốc Đức Tâm Bắc Giang</t>
  </si>
  <si>
    <t>142 phố thanh Xuân, Đồi Ngô, Lục Nam, Bắc giang</t>
  </si>
  <si>
    <t>CHUYỂN KHOẢN
 GỬI XE Hà THANH 
 CƯỚC XE KH GỬI</t>
  </si>
  <si>
    <t>KH000249</t>
  </si>
  <si>
    <t>KH qua Hapu</t>
  </si>
  <si>
    <t>KH000248</t>
  </si>
  <si>
    <t>Nguyễn Thị Mai Hương</t>
  </si>
  <si>
    <t>tiểu khu ngã ba chiềng mai huyện Mai Sơn thành phố sơn la</t>
  </si>
  <si>
    <t>KH000247</t>
  </si>
  <si>
    <t>A Hùng Hải Phòng(N)</t>
  </si>
  <si>
    <t>Gửi xe Hồng Long Hải Phòng</t>
  </si>
  <si>
    <t>CHUYỂN KHOẢN TRƯỚC
 CƯỚC XE KH GỬI
  GỬI XE HỒNG LONG</t>
  </si>
  <si>
    <t>12,035,000</t>
  </si>
  <si>
    <t>KH000246</t>
  </si>
  <si>
    <t>NT Nhân Sâm Hà Tĩnh</t>
  </si>
  <si>
    <t>Số nhà 85 đường Vũ Quang, phường Trần Phú, thành phố Hà tĩnh, tỉnh Hà Tĩnh</t>
  </si>
  <si>
    <t>GHTK 
 ( nhansam@gmail.com
 pas: 56789 )</t>
  </si>
  <si>
    <t>KH000245</t>
  </si>
  <si>
    <t>Văn Phúc</t>
  </si>
  <si>
    <t>số 70 quang trung, thị trấn vân đình, ứng hòa, hà nôi</t>
  </si>
  <si>
    <t>GỬI XE CƯỜNG THẢO THU HỘ
 CƯỚC XE KH GỬI</t>
  </si>
  <si>
    <t>KH000244</t>
  </si>
  <si>
    <t>Duy Nguyễn Từ Liêm Hà Nội</t>
  </si>
  <si>
    <t>82 ngõ 6 KTT Đài Phát Thanh VOV ( 499 lương thế vinh, phường trung văn nam từ liêm hà nội</t>
  </si>
  <si>
    <t>CHUYỂN KHOẢN
 GỌI SHIP GẦN</t>
  </si>
  <si>
    <t>2,320,000</t>
  </si>
  <si>
    <t>KH000243</t>
  </si>
  <si>
    <t>A Tiến Hải Phòng(N)</t>
  </si>
  <si>
    <t>CHUYỂN KHOẢN
 GỬI XE TÂN TOÀN
  cước xe khách gửi
 không cần ghi tên nhà xe</t>
  </si>
  <si>
    <t>KH000242</t>
  </si>
  <si>
    <t>QT Tây Kim Vũ Bình Dương</t>
  </si>
  <si>
    <t>Quầy thuốc tây kim vũ, đường d7.mỹ phước 1.bến cát.bình dương</t>
  </si>
  <si>
    <t>GHTK
 FREESHIP
 '' nhớ đóng hàng thật cẩn thận</t>
  </si>
  <si>
    <t>5,530,000</t>
  </si>
  <si>
    <t>KH000241</t>
  </si>
  <si>
    <t>QT Trường Trang Thái Bình(N)</t>
  </si>
  <si>
    <t>Cổng BVDK Đông Hưng, Thái Bình</t>
  </si>
  <si>
    <t>CHUYỂN KHOẢN
 GỬI XE THANH BÌNH
 SDT NHÀ XE: 0963500488
 CƯỚC XE KH GỬI</t>
  </si>
  <si>
    <t>KH000240</t>
  </si>
  <si>
    <t>QT Thắng Thủy Chương Mỹ</t>
  </si>
  <si>
    <t>đội 4,thôn Sơn Đồng,xã Tiên Phương, huyện Chương Mỹ,Hà Nội</t>
  </si>
  <si>
    <t>CHUYỂN KHOẢN
 GỬI XE ANH CA 
 CƯỚC XE KH GỬI</t>
  </si>
  <si>
    <t>KH000239</t>
  </si>
  <si>
    <t>Ngọc Hân Ninh Bình</t>
  </si>
  <si>
    <t>nhà xe ở Ninh Bình</t>
  </si>
  <si>
    <t>THU HỘ TIỀN
 GỬI XE MINH QUÂN ĐI NINH BÌNH
 Sdt nhà xe: 0912501850
 0913292703 
 CƯỚC XE KH GỬI</t>
  </si>
  <si>
    <t>KH000238</t>
  </si>
  <si>
    <t>Hoàng Trọng Vũ</t>
  </si>
  <si>
    <t>tổ 14 phường Tân Giang,TP Cao Bằng đt 0335682898</t>
  </si>
  <si>
    <t>tổ 14 phường Tân Giang,TP Cao Bằng</t>
  </si>
  <si>
    <t>KH000237</t>
  </si>
  <si>
    <t>Phạm Mai Lệ</t>
  </si>
  <si>
    <t>số 7 Nguyễn Thượng Hiền, Nguyễn Du, Hai Bà Trưng , Hà Nội</t>
  </si>
  <si>
    <t>KH000236</t>
  </si>
  <si>
    <t>KH Hải Phòng</t>
  </si>
  <si>
    <t>số nhà 162, tổ 3, thị trấn An Dương, huyện An Dương, Hải Phòng</t>
  </si>
  <si>
    <t>GUI GHTK</t>
  </si>
  <si>
    <t>KH000235</t>
  </si>
  <si>
    <t>Mai Quốc Danh</t>
  </si>
  <si>
    <t>243/48 tô hiến thành, phường 13, quận 10</t>
  </si>
  <si>
    <t>KH000234</t>
  </si>
  <si>
    <t>Quầy thuốc 228</t>
  </si>
  <si>
    <t>khu đô thị trung đồng, Hiệp Hòa, Bắc Giang</t>
  </si>
  <si>
    <t>GỬI XE HÀ THANH</t>
  </si>
  <si>
    <t>KH000233</t>
  </si>
  <si>
    <t>Khánh Băng</t>
  </si>
  <si>
    <t>Thôn Bạch Liên, Thôn Bạch Liên, Xã Liên Phương, Huyện Thường Tín, Hà Nội</t>
  </si>
  <si>
    <t>GƯI GHTK</t>
  </si>
  <si>
    <t>KH000232</t>
  </si>
  <si>
    <t>Nhà thuốc Văn Thùy</t>
  </si>
  <si>
    <t>ngã tư Phổ Yên, Thái Nguyên</t>
  </si>
  <si>
    <t>GỬI XE HỒNG LONG/THÀNH ĐẠT THU HỘ $$$
 CƯỚC XE KH GỬI</t>
  </si>
  <si>
    <t>KH000231</t>
  </si>
  <si>
    <t>Hoa</t>
  </si>
  <si>
    <t>dốc văn phong, quế võ, bắc ninh</t>
  </si>
  <si>
    <t>KH000230</t>
  </si>
  <si>
    <t>QT Lan Anh Hưng Yên</t>
  </si>
  <si>
    <t>ngã 3 tiên cầu, hiệp cường, kim đông, hưng yên</t>
  </si>
  <si>
    <t>THU HỘ
 CƯỚC XE KH GỬI
 GỬI XE PHƯƠNG LINH/ /Phố hiến</t>
  </si>
  <si>
    <t>KH000229</t>
  </si>
  <si>
    <t>Trương Kiều Anh</t>
  </si>
  <si>
    <t>TRƯA KHÁCH QUA HAPU LẤY HÀNG
 THANH TOÁN TIỀN MẶT</t>
  </si>
  <si>
    <t>KH000228</t>
  </si>
  <si>
    <t>Vũ Ngọc Tuyển</t>
  </si>
  <si>
    <t>thôn là 1, xã võ lao, H. Văn Bản, Lào CAi</t>
  </si>
  <si>
    <t>KH000227</t>
  </si>
  <si>
    <t>Trương Văn Thành Thái Bình</t>
  </si>
  <si>
    <t>thôn thiện châu xã nam thịnh huyện tiền hải thái bình</t>
  </si>
  <si>
    <t>GỌI XE ÔM GỬI QUA BẾN ĐAI HỌC THƯƠNG MẠI VỀ THÁI BÌNH (THÔNG TIN XE NHƯ ẢNH)
 CHUYỂN KHOẢN
 CƯỚC XE KH GỬI
 GỬI XE HAPU 
 ghi lên thùng "VỀ TỚI THÁI BÌNH CHUYỂN SANG XE sdt 0904212339 "</t>
  </si>
  <si>
    <t>KH000226</t>
  </si>
  <si>
    <t>mậu a_văn yên_yên bái</t>
  </si>
  <si>
    <t>THU HỘ TIỀN 
 GỬI XE HUY ĐÔNG 0363800678
 CƯỚC XE KH GỬI
 ( Tài khoản: buiyenvanyen@gmail.com
 pas: 12345 )</t>
  </si>
  <si>
    <t>37,789,000</t>
  </si>
  <si>
    <t>KH000225</t>
  </si>
  <si>
    <t>Nhà thuốc Vân Anh (Quảng Ninh)</t>
  </si>
  <si>
    <t>tổ 8 khu 5 phường yết kiêu, thành phố hạ long, tỉnh quảng ninh</t>
  </si>
  <si>
    <t>KH000224</t>
  </si>
  <si>
    <t>KH QUẨNG NAM</t>
  </si>
  <si>
    <t>KH000223</t>
  </si>
  <si>
    <t>Anh Lân Hà Nam</t>
  </si>
  <si>
    <t>GỬI XE ĐẮC HÙNG
 CHUYỂN KHOẢN
 CƯỚC XE KH GỬI</t>
  </si>
  <si>
    <t>KH000222</t>
  </si>
  <si>
    <t>Trần Trọng Đức</t>
  </si>
  <si>
    <t>Khu tập thể Cục Kỹ Thuật, cục hậu cần, phạm hữu lầu, phường An Thới, Quận Bình Thủy, Thành Phố Cần Thơ,</t>
  </si>
  <si>
    <t>KH000221</t>
  </si>
  <si>
    <t>QT Hoàng My Hải Dương</t>
  </si>
  <si>
    <t>đối diện trường cấp 2 Thanh Hồng, Thanh Hà, Hải Dương</t>
  </si>
  <si>
    <t>KH000220</t>
  </si>
  <si>
    <t>KH000219</t>
  </si>
  <si>
    <t>QT SỐ 18 Nam Định</t>
  </si>
  <si>
    <t>0916429565/0916429464</t>
  </si>
  <si>
    <t>Xóm Bưu Điện, Xuân Đài, Xuân Trường, Nam Định(xóm bưu điện,xã xuân giang(xuân đài cũ)</t>
  </si>
  <si>
    <t>CHUYỂN KHOẢN
 GỬI XE HAPU
 CƯỚC XE KH GỬI
 ghi thùng " gửi Chú Cát- quầy thuốc số 18"
 0916429464 ghi số này</t>
  </si>
  <si>
    <t>KH000218</t>
  </si>
  <si>
    <t>Mai Yến Thanh Yên Bái</t>
  </si>
  <si>
    <t>thôn trung tâm, xã trúc lâu, huyện lục yên, tỉnh yên bái</t>
  </si>
  <si>
    <t>THU HỘ TIỀN
  GỬI XE HỆ TRỌNG
 FREESHIP</t>
  </si>
  <si>
    <t>4,455,000</t>
  </si>
  <si>
    <t>KH000217</t>
  </si>
  <si>
    <t>Quầy thuốc 999</t>
  </si>
  <si>
    <t>khu 2, xã đào xã, huyện thanh thủy, tỉnh phú thọ</t>
  </si>
  <si>
    <t>KH000216</t>
  </si>
  <si>
    <t>Nguyễn Thị Quyên QT Đông Hà Hải Dương</t>
  </si>
  <si>
    <t>khu dân cư đông hà, an phụ, kinh môn, hải dương</t>
  </si>
  <si>
    <t>THU HỘ 
 GỬI XE TRUNG ANH
 CƯỚC XE KH GỬI</t>
  </si>
  <si>
    <t>KH000215</t>
  </si>
  <si>
    <t>Thuốc tốt Bình Xuyên</t>
  </si>
  <si>
    <t>chợ nội tam hợp, bình xuyên, vĩnh phúc</t>
  </si>
  <si>
    <t>GỬI XE CƯỜNG DŨNG THU HỘ $$$
 CƯỚC XE KH GỬI</t>
  </si>
  <si>
    <t>KH000214</t>
  </si>
  <si>
    <t>Đinh Thị Lan Nam Định</t>
  </si>
  <si>
    <t>Tổ dân phố Lâm Sơn, Thị Trấn Quất Lâm, Giao Thủy, Nam Định</t>
  </si>
  <si>
    <t>THU HỘ
 XE HAPU
 CƯỚC KH GỬI</t>
  </si>
  <si>
    <t>KH000213</t>
  </si>
  <si>
    <t>C Phương Anh</t>
  </si>
  <si>
    <t>439 Âu Cơ/ thị trấn Hồ, Thuận Thành , Bắc Ninh</t>
  </si>
  <si>
    <t>XE ĐÔNG HẢI 
 CHUYỂN KHOẢN
 FREESHIP (GỬI CƯỚC XE CHO KHÁCH)</t>
  </si>
  <si>
    <t>KH000212</t>
  </si>
  <si>
    <t>Dương Thái Sơn Bắc Giang(N)</t>
  </si>
  <si>
    <t>TP BẮC GIANG</t>
  </si>
  <si>
    <t>KH CÓ 2 ĐỊA CHỈ TƯƠNG ỨNG VỚI 2 CÁCH GỬI HÀNG:
 Quầy thuốc 228 , KDT Trung Đồng, TT. Thắng, Hiệp Hòa, Bắc Giang/ TP Bắc Giang XE ĐÔNG HẢI/Cươc xe KH 
  xe yến tùng 0879335335
 CHUYỂN KHOẢN
 Cươc xe KH 
 gửi Gửi xe Tw25 về thành phố Bắc Giang
 CHUYỂN KHOẢN
 XE ANH CHI
 CƯỚC XE KHÁCH GỬI
 CHÚ Ý GHI THÙNG " a sơn - tp.bắc giang
 Sdt 0936751031"</t>
  </si>
  <si>
    <t>KH000211</t>
  </si>
  <si>
    <t>A Kiên</t>
  </si>
  <si>
    <t>trạm y tế xã thạch đồng, huyện Thanh Thủy , Phú Thọ</t>
  </si>
  <si>
    <t>GỬI XE THÁI VINH</t>
  </si>
  <si>
    <t>KH000210</t>
  </si>
  <si>
    <t>Em Trà Nghệ An</t>
  </si>
  <si>
    <t>Xóm Hưng Tây- xã Tây Hiếu - thị xã Thái Hoà - tỉnh Nghệ An</t>
  </si>
  <si>
    <t>GỬI GHTK/ Gửi xe bồ câu thu hộ tiền
 cước xe kh gưi
 bảo xe bồ câu gửi qua xe hợp hải cho kh</t>
  </si>
  <si>
    <t>KH000209</t>
  </si>
  <si>
    <t>Huề</t>
  </si>
  <si>
    <t>đông đai lai, gia bình, bắc ninh</t>
  </si>
  <si>
    <t>KH000208</t>
  </si>
  <si>
    <t>A TƯ QUẢNG NGÃI</t>
  </si>
  <si>
    <t>Lô B4-04 đường số 2, Khu Đô Thioj Ngọc Bảo Viên, Phường Chánh Lộ, Thành Phố Quảng Ngãi</t>
  </si>
  <si>
    <t>KH000207</t>
  </si>
  <si>
    <t>A Hải Thanh Hóa (N)</t>
  </si>
  <si>
    <t>CHUYỂN KHOẢN
 GỬI XE HOÀNG QUÝ THANH HÓA
 CƯỚC XE KH GỬI
 KHÔNG BỎ HÓA ĐƠN VÀO THÙNG NGUYÊN</t>
  </si>
  <si>
    <t>3,960,000</t>
  </si>
  <si>
    <t>32,015,000</t>
  </si>
  <si>
    <t>KH000206</t>
  </si>
  <si>
    <t>THUỐC SỈ CÓ HDD 212085 (10.11)</t>
  </si>
  <si>
    <t>KH000205</t>
  </si>
  <si>
    <t>CTY TNHH TM DƯỢC PHẨM HOÀNG VŨ MIỀN TRUNG</t>
  </si>
  <si>
    <t>07 An Nhơn 12, phường An Hải Bắc, quận Sơn Trà, TP. Đà Nẵng, Việt Nam</t>
  </si>
  <si>
    <t>KH000204</t>
  </si>
  <si>
    <t>ĐƠN THUỐC SỈ CÓ HDD</t>
  </si>
  <si>
    <t>KH000203</t>
  </si>
  <si>
    <t>Quầy thuốc Thanh Xuân Cà Mau(N)</t>
  </si>
  <si>
    <t>khóm 9, thị trấn trần văn thời, huyện trần văn thời, cà mau</t>
  </si>
  <si>
    <t>GHTK
 THU COD
 PHÍ SHIP KHÁCH TRẢ</t>
  </si>
  <si>
    <t>20,790,000</t>
  </si>
  <si>
    <t>KH000202</t>
  </si>
  <si>
    <t>Bảo Ngọc Ngọc Khánh(N)</t>
  </si>
  <si>
    <t>TIỀN MẶT
 KH QUA HAPU LẤY HÀNG</t>
  </si>
  <si>
    <t>KH000201</t>
  </si>
  <si>
    <t>THUỐC SỈ CÓ HDD POHN211277 (08.11)</t>
  </si>
  <si>
    <t>KH000200</t>
  </si>
  <si>
    <t>0906172455 / 0981618699</t>
  </si>
  <si>
    <t>CHUYỂN KHOẢN
 0862739759 GỬI XE MỸ Á HAPU
 CƯỚC XE KH gửi
 GHI CẢ 2 SDT LÊN THÙNG
 NGƯỜI NHẬN HỘ: ĐỨC 0967987222
 HỎI XEM KHÁCH GỬI XE HAY SHIP COD</t>
  </si>
  <si>
    <t>KH000199</t>
  </si>
  <si>
    <t>Đặng Hồng Phương Hải Phòng</t>
  </si>
  <si>
    <t>ngõ 421 sô nhà 03 trần tất văn kiến an , hải phòng</t>
  </si>
  <si>
    <t>THU HỘ TIỀN
 CƯỚC KH TRẢ
 GỬI XE HỒNG LONG
 (nhờ khách ck trước)</t>
  </si>
  <si>
    <t>1,700,000</t>
  </si>
  <si>
    <t>KH000198</t>
  </si>
  <si>
    <t>Quầy Thuốc Cường Nhàn Yên Bái</t>
  </si>
  <si>
    <t>tiền mặt
 kh qua quầy</t>
  </si>
  <si>
    <t>KH000197</t>
  </si>
  <si>
    <t>THUỐC SỈ CÓ HDD POHN210558</t>
  </si>
  <si>
    <t>KH000196</t>
  </si>
  <si>
    <t>Hương Sen (Quầy Thuốc Cường Sen Hải Dương)</t>
  </si>
  <si>
    <t>thôn phương duệ, xã kim xuyên, huyện kim thành, tỉnh Hải Dương</t>
  </si>
  <si>
    <t>THU HỘ TIỀN 
 GỬI XE TÂN TOÀN
 CƯỚC XE KH GỬI</t>
  </si>
  <si>
    <t>2,040,000</t>
  </si>
  <si>
    <t>KH000195</t>
  </si>
  <si>
    <t>c Hà Thị Huệ Hải Dương</t>
  </si>
  <si>
    <t>cổng trường c2 Ninh Thành, Ninh Giang, Hải Dương</t>
  </si>
  <si>
    <t>THU HỘ
 GỬI XE TRUNG ANH
 CƯỚC XE KH GỬI</t>
  </si>
  <si>
    <t>KH000194</t>
  </si>
  <si>
    <t>QT Anh Thư Vĩnh Phúc</t>
  </si>
  <si>
    <t>Nghĩa hưng , Vĩnh Tường, Vĩnh Phúc</t>
  </si>
  <si>
    <t>THU HỘ
 gửi xe CƯỜNG DŨNG</t>
  </si>
  <si>
    <t>KH000193</t>
  </si>
  <si>
    <t>THUỐC SỈ CÓ HDD POHN210115</t>
  </si>
  <si>
    <t>KH000192</t>
  </si>
  <si>
    <t>Thanh Mai</t>
  </si>
  <si>
    <t>63 trần phú, từ sơn, bắc ninh</t>
  </si>
  <si>
    <t>KH000191</t>
  </si>
  <si>
    <t>THUỐC SỈ CÓ HDD POHN209927 (03.11)</t>
  </si>
  <si>
    <t>KH000190</t>
  </si>
  <si>
    <t>Anh Tuấn</t>
  </si>
  <si>
    <t>23 lê văn lương</t>
  </si>
  <si>
    <t>chuyển khoản 
 ship gần</t>
  </si>
  <si>
    <t>KH000189</t>
  </si>
  <si>
    <t>THUỐC SỈ CÓ HDD POHN209560</t>
  </si>
  <si>
    <t>KH000188</t>
  </si>
  <si>
    <t>ĐƠN THUỐC SỈ CÓ HDD POHN209124(01.11)</t>
  </si>
  <si>
    <t>KH000187</t>
  </si>
  <si>
    <t>Anh Hiệp Nguyễn Hải Phòng(N)</t>
  </si>
  <si>
    <t>ngã 5 kiến an hải phòng</t>
  </si>
  <si>
    <t>CHUYỂN KHOẢN TRƯỚC
 GỬI XE HỒNG LONG/ tân toàn
 CƯỚC XE KH GỬI</t>
  </si>
  <si>
    <t>178,190,000</t>
  </si>
  <si>
    <t>KH000186</t>
  </si>
  <si>
    <t>Lê Hải Thái Bình</t>
  </si>
  <si>
    <t>Đô Lương, Đông Hưng, Thái Bình</t>
  </si>
  <si>
    <t>CHUYỂN KHOẢN
 CƯỚC XE KHÁCH TRẢ
 GỬI XE HOÀNG ZIN 
 SDT XE: 0979442496</t>
  </si>
  <si>
    <t>KH000185</t>
  </si>
  <si>
    <t>THUỐC SỈ 208908 (NGÀY 30/10)</t>
  </si>
  <si>
    <t>KH000184</t>
  </si>
  <si>
    <t>A Tiệp thanh hóa (N)</t>
  </si>
  <si>
    <t>nông cống, thanh hóa</t>
  </si>
  <si>
    <t>CHUYỂN KHOẢN
 GỬI RA BX GIÁP BÁT: văn phòng nhà xe 941 Giải phóng
 0926926636
 Đơn 1 thùng: thu phí vc: 50k
 Đơn 2 thùng: thu phí vc :40k 
 gửi xe Hapu hỗ trợ 1/2 cước
 khách lấy triam vỉ không lấy triam tiêm</t>
  </si>
  <si>
    <t>8,849,000</t>
  </si>
  <si>
    <t>335,967,500</t>
  </si>
  <si>
    <t>KH000183</t>
  </si>
  <si>
    <t>THUỐC SỈ CÓ HDD POHN208605</t>
  </si>
  <si>
    <t>KH000182</t>
  </si>
  <si>
    <t>NT Thanh Toàn Bình Dương(N)</t>
  </si>
  <si>
    <t>A34B phạm ngọc thạch, hiệp thành, thủ dầu một, bình dương</t>
  </si>
  <si>
    <t>GHTK
 CHUYỂN KHOẢN
 CƯỚC KHÁCH TRẢ
 " XE PHÍ SHIP BAO NHIÊU BÁO KHÁCH TRƯỚC, KHÁCH OK MỚI GỬI"</t>
  </si>
  <si>
    <t>45,510,500</t>
  </si>
  <si>
    <t>KH000181</t>
  </si>
  <si>
    <t>THUỐC SỈ CÓ HDD POHN208238</t>
  </si>
  <si>
    <t>KH000180</t>
  </si>
  <si>
    <t>A Sáng - Nt Mai Trong</t>
  </si>
  <si>
    <t>GỬI XE AN PHÚC
 CHUYỂN KHOẢN
 KO BỎ HÓA ĐƠN VÀO THÙNG
 CƯỚC XE GỬI CHO KH (FREESHIP)
 GỬI QUA 322 LÊ TRỌNG TẤN, ĐỊNH CÔNG, THANH XUÂN
 NHÀ XE SƠN KHÔI SDT 0387981818
 CHUYỂN KHOẢN
 9h 13h 15h 17h xe chạy 
 K BỎ HÓA ĐƠN, VIẾT THÔNG TIN LÊN BÌA</t>
  </si>
  <si>
    <t>KH000179</t>
  </si>
  <si>
    <t>Tony Tâm Huế</t>
  </si>
  <si>
    <t>Thôn hoàn cát xã cam nghĩa huyện Cam Lộ Quảng Trị</t>
  </si>
  <si>
    <t>GỬI GHTK
 trợ cước 1/3
 dc: 0888777265 nhà 23 kiệt 131 trần phú, phương phước vĩnh tp huế</t>
  </si>
  <si>
    <t>KH000178</t>
  </si>
  <si>
    <t>QT Việt Anh Ninh Bình</t>
  </si>
  <si>
    <t>số 93 Đoài hạ - ninh phúc- ninh bình</t>
  </si>
  <si>
    <t>KH000177</t>
  </si>
  <si>
    <t>Trần Văn Lập Hà Nam</t>
  </si>
  <si>
    <t>số nhà 265, đường đinh công tráng, tổ dân phố Thái Hòa, P. Châu Sơn, Tp. Phủ Lý, Hà Nam</t>
  </si>
  <si>
    <t>THU HỘ 
 XE CƯỜNG THẢO
 CƯỚC XE KH GỬI
 gửi ninja van</t>
  </si>
  <si>
    <t>KH000176</t>
  </si>
  <si>
    <t>A Cường Quảng Nam</t>
  </si>
  <si>
    <t>91 Lý Thái Tổ,Ngọc Tam , Điện An, Điện Bàn, Quảng Nam</t>
  </si>
  <si>
    <t>GHTK
 THU COD
 FREESHIP
 đc : Số 343B - đường Hùng Vương - Thị trấn Nam Phước - Huyện Duy Xuyên- Quảng Nam</t>
  </si>
  <si>
    <t>8,700,000</t>
  </si>
  <si>
    <t>KH000175</t>
  </si>
  <si>
    <t>THUỐC SỈ CÓ HDD POHN207576 (26.01)</t>
  </si>
  <si>
    <t>KH000174</t>
  </si>
  <si>
    <t>Trang cầu giấy</t>
  </si>
  <si>
    <t>KH000173</t>
  </si>
  <si>
    <t>E Giang BẮC KAN</t>
  </si>
  <si>
    <t>quầy thuốc đức sang, thôn cốc lùng, xã nam cường, huyện chợ đồn, tỉnh bắc kạn</t>
  </si>
  <si>
    <t>GỬI BEST</t>
  </si>
  <si>
    <t>KH000172</t>
  </si>
  <si>
    <t>THUỐC SỈ CÓ HDD POHN207181 (25/10)</t>
  </si>
  <si>
    <t>KH000171</t>
  </si>
  <si>
    <t>A Bảo Triệu Phú Yên</t>
  </si>
  <si>
    <t>16C Nguyễn Hồng Sơn,Phú Đông,Tuy Hòa,Phú Yên</t>
  </si>
  <si>
    <t>BEST
 Không bỏ hóa đơn, đóng 1 kiện
 ghi note trong đơn : chọn thùng cứng, bọc thật kĩ, đơn trước bi rách nát nhiều
 khi gửi đơn nhắn dặn riêng nữa)
 địa chỉ 2:166-170 nguyễn Huệ, Phường 7, TP Tuy Hòa, Phú Yên</t>
  </si>
  <si>
    <t>KH000170</t>
  </si>
  <si>
    <t>Cẩm Trân Thanh Hóa(N) (C)</t>
  </si>
  <si>
    <t>Nhà Thuốc Duy Trân.
 124b Thanh Chương,Quảng Thành TP Thanh Hóa.</t>
  </si>
  <si>
    <t>THU HỘ TIỀN
 CƯỚC XE KH GỬI
 GỬI XE ANH THÀNH
 BÁO KHÁCH PHÍ SHIP TRƯỚC 
 đc: nhà Thuốc Sơn Tú. 58 Bạch Đằng, Quảng Hưng. Tp Thanh hóa
 đc:124b đường Thanh chương,phố thành tân,phường Quảng Thành Tp Thanh Hóa.
 DC MỚI:34 NGUYỄN GIA THIỀU,PHƯỜNG TÂN SƠN,TP THANH HÓA</t>
  </si>
  <si>
    <t>1,500,000</t>
  </si>
  <si>
    <t>KH000169</t>
  </si>
  <si>
    <t>Trần Quỳnh Bắc Giang</t>
  </si>
  <si>
    <t>Quầy thuốc số 555 TDP Thành Chung - tt Phồn Xương - Yên Thế - Bắc Giang</t>
  </si>
  <si>
    <t>CHUYỂN KHOẢN
 GỬI XE ANH CHI 
 CƯỚC XE FREESHIP TỪ 2TR
 KHÔNG GHI TRỰC TIẾP LÊN THÙNG, VIẾT THÔNG TIN LÊN BÌA DÁN DÙNG CHO KH</t>
  </si>
  <si>
    <t>2,255,000</t>
  </si>
  <si>
    <t>KH000168</t>
  </si>
  <si>
    <t>Quầy Thuốc Nga Sơn (HUẾ)</t>
  </si>
  <si>
    <t>quầy thuốc số 1 phong mỹ , thôn đông thái, xã phong mỹ, huyện phong điền, thừa thiên huế</t>
  </si>
  <si>
    <t>BEST
 THU COD
 PHÍ SHIP KHÁCH GỬI</t>
  </si>
  <si>
    <t>KH000167</t>
  </si>
  <si>
    <t>ĐƠN THUỐC SỈ CÓ HDD POHN206888</t>
  </si>
  <si>
    <t>KH000166</t>
  </si>
  <si>
    <t>QUẦY 433</t>
  </si>
  <si>
    <t>quầy trên hapu
 CHUYỂN KHOẢN</t>
  </si>
  <si>
    <t>KH000165</t>
  </si>
  <si>
    <t>Quầy thuốc tây khu bắc sơn Phú Thọ</t>
  </si>
  <si>
    <t>xã mạn lạn- thanh ba- phú thọ</t>
  </si>
  <si>
    <t>GỬI NINJA VAN
 HÔ TRỢ 1/3 CƯỚC</t>
  </si>
  <si>
    <t>KH000164</t>
  </si>
  <si>
    <t>THUỐC SỈ CÓ HDD POHN206537</t>
  </si>
  <si>
    <t>KH000163</t>
  </si>
  <si>
    <t>THUỐC SỈ CÓ HÓA ĐỎ 206227</t>
  </si>
  <si>
    <t>KH000162</t>
  </si>
  <si>
    <t>a Quang Thụ Chương Mỹ</t>
  </si>
  <si>
    <t>0986223681/ 0356091441</t>
  </si>
  <si>
    <t>đại lý phân bón Thảo Hạnh, Tiến Ân Thủy, Xuân Tiên, Chương Mỹ, Hà Nội</t>
  </si>
  <si>
    <t>CHUYỂN KHOẢN
 Gửi xe Anh Ca 
 cước xe kh gửi</t>
  </si>
  <si>
    <t>KH000161</t>
  </si>
  <si>
    <t>THUỐC SỈ CÓ HDD POHN205930</t>
  </si>
  <si>
    <t>KH000160</t>
  </si>
  <si>
    <t>QT Trung Luyến Bắc Giang</t>
  </si>
  <si>
    <t>chợ mai tô - phì điền - lục ngạn - bắc giang</t>
  </si>
  <si>
    <t>CHUYỂN KHOẢN
 GỬI XE ANH CHI
  (FREESHIP)</t>
  </si>
  <si>
    <t>130,080,000</t>
  </si>
  <si>
    <t>KH000159</t>
  </si>
  <si>
    <t>Hằng Hải Hải Phòng</t>
  </si>
  <si>
    <t>104 tổ 5 phung lung hưng đạo dương kinh hải phòng</t>
  </si>
  <si>
    <t>KH000158</t>
  </si>
  <si>
    <t>Hiền Đào</t>
  </si>
  <si>
    <t>quầy thu hiền, thắng lợi, thường tín,</t>
  </si>
  <si>
    <t>GỬI XE ĐẮC HÙNG THU HỘ TIỀN
 CƯỚC XE KH GỬI</t>
  </si>
  <si>
    <t>KH000157</t>
  </si>
  <si>
    <t>Anh Nhật phường 9 Đà Lạt(N)</t>
  </si>
  <si>
    <t>54a/3 hùng vương, p9, tp.đà lạt,lâm đồng</t>
  </si>
  <si>
    <t>CHUYỂN KHOẢN
 GHTK
 KHÁCH TRẢ CƯỚC
 CHÚ Ý HÀNG VỀ HỎI KHÁCH CK</t>
  </si>
  <si>
    <t>126,936,500</t>
  </si>
  <si>
    <t>KH000156</t>
  </si>
  <si>
    <t>Anh Bình( XE DẦN GIANG) (N)</t>
  </si>
  <si>
    <t>CHUYỂN KHOẢN
 GỬI XE DẦN GIANG SDT: 0912230560
 GHI LÊN BÌA, KO GHI TRƯC TIẾP LÊN THÙNG
 QUẦY TRẢ PHÍ XE ÔM
 ANH THỦY (KO CẦN SDT
 *** BỌC MÀNG NILONG CHỐNG ƯỚT, ĐỂ NGUYÊN KIỆN BỌC, KO ĐÓNG CHẬP KIỆN , GHI THÊM HÀNG DỄ VỠ LÊN THÙNG
 *** GỬI XE QUA BẾN CHỤP LẠI HÀNG VÀ HÓA ĐƠN KÍ NHẬN
 NẾU LẤY OME 2 KIỆN CHẬP 1
 CHUYỂN KHOẢN</t>
  </si>
  <si>
    <t>721,920,000</t>
  </si>
  <si>
    <t>KH000155</t>
  </si>
  <si>
    <t>THUỐC SỈ CÓ HDD POHN205466(19.10)</t>
  </si>
  <si>
    <t>KH000154</t>
  </si>
  <si>
    <t>Quầy Thuốc Bích Đào</t>
  </si>
  <si>
    <t>đường 477 gia vân, gia viễn, ninh bình</t>
  </si>
  <si>
    <t>KH000153</t>
  </si>
  <si>
    <t>Trần Toại Nghệ An</t>
  </si>
  <si>
    <t>CHUYỂN KHOẢN
 GỬI XE BỒ CÂU
 CƯỚC XE KH GỬI</t>
  </si>
  <si>
    <t>7,200,000</t>
  </si>
  <si>
    <t>KH000152</t>
  </si>
  <si>
    <t>NT Mai Anh Thái Bình</t>
  </si>
  <si>
    <t>quầy thuốc thu hương, chợ vũ tây, tây sơn, kiến xương , thái bình</t>
  </si>
  <si>
    <t>KH000151</t>
  </si>
  <si>
    <t>THUỐC SỈ POHN 204971 (18/10)</t>
  </si>
  <si>
    <t>KH000150</t>
  </si>
  <si>
    <t>e Huyền Lạng Sơn</t>
  </si>
  <si>
    <t>KH000149</t>
  </si>
  <si>
    <t>Nhà Thuốc Trình Ly Vĩnh Phúc</t>
  </si>
  <si>
    <t>0988360161/0968115101</t>
  </si>
  <si>
    <t>phố Phú Lâm, Lập Thạch, Vĩnh Phúc</t>
  </si>
  <si>
    <t>CHUYỂN KHOẢN
 GỬI XE CƯỜNG DŨNG
 CƯỚC XE KH GỬI</t>
  </si>
  <si>
    <t>KH000148</t>
  </si>
  <si>
    <t>Hồng Lương Nam Định</t>
  </si>
  <si>
    <t>xóm 23 hải anh, hải hậu nam định</t>
  </si>
  <si>
    <t>KH000147</t>
  </si>
  <si>
    <t>Quầy Thuốc Đức Kiên</t>
  </si>
  <si>
    <t>thôn là tiến xã nguyên hòa, huyện phù cừ, tỉnh hưng yên</t>
  </si>
  <si>
    <t>KH000146</t>
  </si>
  <si>
    <t>THUỐC SỈ HDD POHN204660 (15/10)</t>
  </si>
  <si>
    <t>KH000145</t>
  </si>
  <si>
    <t>Quầy Thuốc Hồng Sâm</t>
  </si>
  <si>
    <t>my điền, hoàng ninh, việt yên, bắc giang</t>
  </si>
  <si>
    <t>GỬI XE ANH CHI</t>
  </si>
  <si>
    <t>KH000144</t>
  </si>
  <si>
    <t>Quầy Thuốc Hoa Lương Thanh Hóa</t>
  </si>
  <si>
    <t>thọ lộc thọ xuân thanh hóa</t>
  </si>
  <si>
    <t>gửi GHTK
 trợ cước 1/3
 đ/c khác Hồng Ninh bệnh viện đa khoa hợp lực thành phố thanh hoá</t>
  </si>
  <si>
    <t>1,160,000</t>
  </si>
  <si>
    <t>KH000143</t>
  </si>
  <si>
    <t>c Nguyễn Thị Bình Bắc Ninh</t>
  </si>
  <si>
    <t>An Mỹ, Mỹ Hương, Lương Tài Bắc Ninh</t>
  </si>
  <si>
    <t>BEST
 THU COD
 Riêng cefixime 200mg c ấy hay lẫy mấu nào thì e giảm 500 đ so với giá web nhé, vì c ấy lấy số lượng. Đơn trên 2 triệu thì Freeship.</t>
  </si>
  <si>
    <t>KH000142</t>
  </si>
  <si>
    <t>Quầy Thuốc SK</t>
  </si>
  <si>
    <t>thôn phú xá, xã tân trường, cẩn giang, Hải Dương</t>
  </si>
  <si>
    <t>CHUYỂN KHOẢN
 CƯỚC XE KH GỬI
 GỬI XE TRUNG ANH
 thu cước 30k cộng vào đơn</t>
  </si>
  <si>
    <t>KH000141</t>
  </si>
  <si>
    <t>Hồ Thủy</t>
  </si>
  <si>
    <t>số 4a tập thể sống đà 10 đường 70 kiến hưng, hà đông</t>
  </si>
  <si>
    <t>GỌI SHIP</t>
  </si>
  <si>
    <t>KH000140</t>
  </si>
  <si>
    <t>An Trần Hát lót (N) (C)</t>
  </si>
  <si>
    <t>Ngã Tư Hát Lót</t>
  </si>
  <si>
    <t>THU HỘ 
 GỬI XE ĐỨC LÂM
 CƯỚC XE KH GỬI
 THU HỘ 
 XE DCAR 0965551559 
 Văn Phòng nhà xe 21 Nguyễn Tuân
 CƯỚC XE KH GỬI</t>
  </si>
  <si>
    <t>KH000139</t>
  </si>
  <si>
    <t>C Hiền Bình Phước</t>
  </si>
  <si>
    <t>KH000138</t>
  </si>
  <si>
    <t>Nhà Thuốc Dung Quang Vinh * (ghi thê xe biết)</t>
  </si>
  <si>
    <t>0987886781/0968178368</t>
  </si>
  <si>
    <t>CHUYỂN KHOẢN TRƯỚC
 GỬI XE HỒNG LONG Thái Nguyên 
 CƯỚC XE KH GỬI\
 đơn trước thừa 438k trừ vào đơn sau
 "PHẢI CHUYỂN TIỀN TRƯỚC MỚI GỬI HÀNG"</t>
  </si>
  <si>
    <t>KH000137</t>
  </si>
  <si>
    <t>C Thành Miến Thái Bình</t>
  </si>
  <si>
    <t>đường chợ dành thụy bình thái thụy, thái bình</t>
  </si>
  <si>
    <t>CHUYỂN KHOẢN
 GỬI XE HAPU THÚY TUYỀN
 CƯỚC XE KH GỬI</t>
  </si>
  <si>
    <t>KH000136</t>
  </si>
  <si>
    <t>A Lê Phước Thọ</t>
  </si>
  <si>
    <t>20 lê phụng hiếu, phường vĩnh bảo, rạch giá, kiên giang</t>
  </si>
  <si>
    <t>KH000135</t>
  </si>
  <si>
    <t>Đặng Thị Thương (Chương Mỹ)</t>
  </si>
  <si>
    <t>KH000134</t>
  </si>
  <si>
    <t>Anh Thăng Quầy Thuốc 19</t>
  </si>
  <si>
    <t>đối diện bệnh viện Yên Châu Sơn La</t>
  </si>
  <si>
    <t>CHUYỂN KHOẢN
 gửi xe Hapu 0986841114 
 Cước xe kh gửi</t>
  </si>
  <si>
    <t>KH000133</t>
  </si>
  <si>
    <t>THUỐC SỈ CÓ HDD POHN203325 (09.10)</t>
  </si>
  <si>
    <t>KH000132</t>
  </si>
  <si>
    <t>Nhà thuốc Việt Đức Hưng Yên</t>
  </si>
  <si>
    <t>Chợ Đậu, Lạc Đạo, Văn Lâm hưng Yên</t>
  </si>
  <si>
    <t>THU HỘ
 gửi xe thanh dũng 
 cước xe khách gửi</t>
  </si>
  <si>
    <t>33,293,000</t>
  </si>
  <si>
    <t>KH000131</t>
  </si>
  <si>
    <t>A Lê Mạnh Cường Bắc Từ Liêm</t>
  </si>
  <si>
    <t>Số 56 ngõ 99 cầu diễn bắc từ liêm Hà Nội</t>
  </si>
  <si>
    <t>KH000130</t>
  </si>
  <si>
    <t>A Cao Văn Hiến Nam Định</t>
  </si>
  <si>
    <t>xuân tân, xuân trường, nam định</t>
  </si>
  <si>
    <t>THU HỘ
 GỬI XE TUẤN AZ 
 CƯỚC XE NHÀ MÌNH GỬI</t>
  </si>
  <si>
    <t>KH000129</t>
  </si>
  <si>
    <t>C Nhung Củ Chi</t>
  </si>
  <si>
    <t>300b ấp 2 tỉnh lộ 2 xã phuóc vĩnh an củ chi</t>
  </si>
  <si>
    <t>KH000128</t>
  </si>
  <si>
    <t>E Trương Hằng</t>
  </si>
  <si>
    <t>ngã ba tam thôn nghĩa thái nghĩa hưng nam định</t>
  </si>
  <si>
    <t>Gửi xe Tuấn AZ</t>
  </si>
  <si>
    <t>KH000127</t>
  </si>
  <si>
    <t>Chị Lan Vĩnh Phúc</t>
  </si>
  <si>
    <t>thôn vân nội xã vân hội , huyện tam dương, tỉnh vĩnh phúc</t>
  </si>
  <si>
    <t>KH000126</t>
  </si>
  <si>
    <t>ĐƠN THUỐC SỈ CÓ HDD POHN202907 (07,10)</t>
  </si>
  <si>
    <t>KH000125</t>
  </si>
  <si>
    <t>Huế Lê(kh qua hapu)(N)</t>
  </si>
  <si>
    <t>036 6099688/ 0967350847</t>
  </si>
  <si>
    <t>THU TIỀN MẶT
 KH QUA HAPU
 " CÔNG NỢ 2 TUẦN"</t>
  </si>
  <si>
    <t>9,415,000</t>
  </si>
  <si>
    <t>KH000124</t>
  </si>
  <si>
    <t>Thắng spa(73 Yên Hòa)</t>
  </si>
  <si>
    <t>73 yên hòa cầu giấy</t>
  </si>
  <si>
    <t>CHUYỂN KHOẢN
 GỬI SHIP GẦN
 lẻ kiện khách trả cước
 kiện quầy trả</t>
  </si>
  <si>
    <t>KH000123</t>
  </si>
  <si>
    <t>THUỐC SỈ CÓ HDD POHN202578 (06.10)</t>
  </si>
  <si>
    <t>KH000122</t>
  </si>
  <si>
    <t>Hiếu thái bình</t>
  </si>
  <si>
    <t>0974467502/0353493682</t>
  </si>
  <si>
    <t>cổng trường ấp 3, tiên hưng, huyện Đông Hưng, Tỉnh Thái Bình</t>
  </si>
  <si>
    <t>]THU HỘ
 GỬI XE HAPU 
 CƯỚC XE KH GỬI</t>
  </si>
  <si>
    <t>KH000121</t>
  </si>
  <si>
    <t>0906691661/0907527169</t>
  </si>
  <si>
    <t>Quầy Thuốc Hiền Lương, Xã Sông Trầu, Huyện Trảng Bom, Đồng Nai, Vietnam</t>
  </si>
  <si>
    <t>KH000120</t>
  </si>
  <si>
    <t>THUÓC SỈ HÓA ĐƠN ĐỎ 202489 (05.10)</t>
  </si>
  <si>
    <t>KH000119</t>
  </si>
  <si>
    <t>QT Minh Thuận Quảng Ninh</t>
  </si>
  <si>
    <t>thôn thác bưởi 2, xã tiên lãng, tiên yên, quảng ninh</t>
  </si>
  <si>
    <t>GỬI GHTK 
 trợ 1/3 cước</t>
  </si>
  <si>
    <t>KH000118</t>
  </si>
  <si>
    <t>THUÓC SỈ POHN201904 BỔ SUNG</t>
  </si>
  <si>
    <t>KH000117</t>
  </si>
  <si>
    <t>Thọ (Kh qua Hapu)</t>
  </si>
  <si>
    <t>KH000116</t>
  </si>
  <si>
    <t>Chị Nấm Thanh Hóa(N)</t>
  </si>
  <si>
    <t>49 lý nhân tông, p Đông Thọ Thanh Hóa</t>
  </si>
  <si>
    <t>CHUYỂN KHOẢN
 GỬI XE HOÀNG QUÝ
 CƯỚC XE KH GỬI
 KHÔNG GHI TRỰC TIÊP LÊN THÙNG, GHI LÊN BÌA DÁN
 KHÔNG HÓA ĐƠN</t>
  </si>
  <si>
    <t>KH000115</t>
  </si>
  <si>
    <t>THUỐC SỈ CÓ HDD 201904 (NGÀY 04.10)</t>
  </si>
  <si>
    <t>KH000114</t>
  </si>
  <si>
    <t>Nhà thuốc thuy dung mỏ bạch</t>
  </si>
  <si>
    <t>xe thafnh long</t>
  </si>
  <si>
    <t>KH000113</t>
  </si>
  <si>
    <t>A Tập khu công nghiệp vân trung</t>
  </si>
  <si>
    <t>KH000112</t>
  </si>
  <si>
    <t>a Nhẫn</t>
  </si>
  <si>
    <t>KH000111</t>
  </si>
  <si>
    <t>Qt Hải Anh Hưng Yên</t>
  </si>
  <si>
    <t>Mỹ Hào</t>
  </si>
  <si>
    <t>CHUYỂN KHOẢN
 CƯỚC XE KH GỬI
 GỬI XE TRUNG NGUYÊN
 CHỈ GỬI XE TRUNG NGUYÊN 0974015425</t>
  </si>
  <si>
    <t>KH000110</t>
  </si>
  <si>
    <t>Vân (Kh qua Hapu)</t>
  </si>
  <si>
    <t>KH000109</t>
  </si>
  <si>
    <t>Chi Hoàng Thị Huế Daklak</t>
  </si>
  <si>
    <t>Km72, Eanam, Eah'leo, Đắklắk</t>
  </si>
  <si>
    <t>6,262,000</t>
  </si>
  <si>
    <t>KH000108</t>
  </si>
  <si>
    <t>Trịnh Ngọc Bình Bắc Kạn</t>
  </si>
  <si>
    <t>thôn pàn bái, yến lạc, na rì bắc kạn</t>
  </si>
  <si>
    <t>KH000107</t>
  </si>
  <si>
    <t>Công Ty Dược Phẩm Hà Thanh Quảng Bình(N)</t>
  </si>
  <si>
    <t>0868631830 / 0888770677</t>
  </si>
  <si>
    <t>23 Xuân Hoàng, Nam Lý, Đồng Hới, Quảng Bình</t>
  </si>
  <si>
    <t>CHUYỂN KHOẢN
 gửi xe hữu hiền sdt: 0905035838
 CƯỚC XE KH GỬI
 LÊN ĐƠN MỚI THÌ PHẢI CHUYỂN KHOẢN ĐƠN CŨ.
 " CÔNG NỢ 1 THÁNG"
 "max nợ 30tr"</t>
  </si>
  <si>
    <t>33,260,000</t>
  </si>
  <si>
    <t>278,595,000</t>
  </si>
  <si>
    <t>KH000106</t>
  </si>
  <si>
    <t>NHẬP HÀNG T10</t>
  </si>
  <si>
    <t>KH000105</t>
  </si>
  <si>
    <t>Thuốc tây Diệu Thiện Bình Thuận</t>
  </si>
  <si>
    <t>Thôn dân thuận. Xã hàm thạnh. Huyện hàm thuận nam, Tỉnh bình thuận</t>
  </si>
  <si>
    <t>GỬI GHTK
 ĐƠN SAU TRỪ NỢ TRẢ KHÁCH 10K</t>
  </si>
  <si>
    <t>KH000104</t>
  </si>
  <si>
    <t>THUỐC SỈ HÀNG CÓ HÓA ĐƠN ĐỎ</t>
  </si>
  <si>
    <t>POHN201527 (NGÀY 01.10)</t>
  </si>
  <si>
    <t>KH000103</t>
  </si>
  <si>
    <t>Thuốc sỉ 201081 (30.09)</t>
  </si>
  <si>
    <t>KH000102</t>
  </si>
  <si>
    <t>Quầy thuốc 648</t>
  </si>
  <si>
    <t>Quầy thuốc 648. Ngã Tư Tuần Đậu, Hữu Định, Châu Thành, Bến Tre</t>
  </si>
  <si>
    <t>KH000101</t>
  </si>
  <si>
    <t>Chi Thái Nguyên</t>
  </si>
  <si>
    <t>phú bình, thái nguyên</t>
  </si>
  <si>
    <t>CHUYỂN KHOẢN
 GỬI XE THÀNH ĐẠT
 CƯỚC XE KH GỬI</t>
  </si>
  <si>
    <t>KH000100</t>
  </si>
  <si>
    <t>quầy thuốc mạnh lan</t>
  </si>
  <si>
    <t>trường tiểu học đồng ích b thôn đại lữ xã đồng ích huyện lập thạch tỉnh vĩnh phúc</t>
  </si>
  <si>
    <t>KH000099</t>
  </si>
  <si>
    <t>c Phương</t>
  </si>
  <si>
    <t>ngã tư Trâu Qùy</t>
  </si>
  <si>
    <t>xe phương linh hapu 0963871618</t>
  </si>
  <si>
    <t>KH000098</t>
  </si>
  <si>
    <t>e Sơn Đà Nẵng(N)</t>
  </si>
  <si>
    <t>59/17 trương chí cương, p hòa cường nam, q Hải Châu, tp Đà Nẵng</t>
  </si>
  <si>
    <t>CHUYỂN KHOẢN
 GỬI XE SKY QUA CHỢ LẤY 0922308789(3H XE ĐẾN)
 GỬI XE VẬN TẢI ĐỨC MẠNH 0912624858
 XE qua tầm đầu giờ chiều 
 HỎI XEM CÓ HÀNG K MỚI CHỐT CHO 
 KHÁCH
 BEST 
 THU COD
 CƯỚC KHÁCH TRẢ
 " max nợ 25tr"
 dc: 114 Trần cao vân, phường cẩm phô, tp hội an, quảng nam 
 dc: 07 An Nhơn 12, p. An hải bắc, q. Sơn Trà, tp Đà Nẵng
 dc3: 59/17 trương chí cương, p hòa cường nam, q Hải Châu, tp Đà Nẵng</t>
  </si>
  <si>
    <t>7,182,000</t>
  </si>
  <si>
    <t>118,807,000</t>
  </si>
  <si>
    <t>KH000097</t>
  </si>
  <si>
    <t>Đỗ Hương</t>
  </si>
  <si>
    <t>thôn trung tiến, xã trần phú, chương mỹ, hà nôi</t>
  </si>
  <si>
    <t>KH000096</t>
  </si>
  <si>
    <t>Nguyễn Đình Bách Nam Đinh</t>
  </si>
  <si>
    <t>81h bắc ô 17 phường Hạ Long, TP. Nam Định</t>
  </si>
  <si>
    <t>THU HỘ
 xe Trường an
 CƯỚC XE KH GỬI</t>
  </si>
  <si>
    <t>KH000095</t>
  </si>
  <si>
    <t>Kiệm (xe Đức Thành)(N) (C)</t>
  </si>
  <si>
    <t>CHUYỂN KHOẢN
 XE ĐỨC THÀNH
 CƯỚC XE KHÁCH GỬI</t>
  </si>
  <si>
    <t>KH000094</t>
  </si>
  <si>
    <t>QT Đặng Hương Lạng Sơn</t>
  </si>
  <si>
    <t>ngã 3 dốc mới 2 sơn hà hữu lũng lạng sơn</t>
  </si>
  <si>
    <t>27,166,000</t>
  </si>
  <si>
    <t>KH000093</t>
  </si>
  <si>
    <t>A Nghĩa Lào cai</t>
  </si>
  <si>
    <t>ngõ 441 đường trần đại nghĩa, phường duyên hải, lào cai</t>
  </si>
  <si>
    <t>THU HỘ 
 GỬI XE HỆ TRỌNG 
 CƯỚC XE KH GỬI
 ĐÓNG 1K</t>
  </si>
  <si>
    <t>KH000092</t>
  </si>
  <si>
    <t>c Hằng Vũng Tàu</t>
  </si>
  <si>
    <t>136/2 Nguyễn Thiện Thuật. phường Thắng Nhất. TP/ Vũng Tàu</t>
  </si>
  <si>
    <t>GHTK
 THU COD
 CƯỚC KH GỬI 
 khách yêu cầu gửi GHTK</t>
  </si>
  <si>
    <t>28,198,292</t>
  </si>
  <si>
    <t>KH000091</t>
  </si>
  <si>
    <t>Anh Chính Phòng Khám Mai Chính</t>
  </si>
  <si>
    <t>xe hệ trọng</t>
  </si>
  <si>
    <t>KH000090</t>
  </si>
  <si>
    <t>Thuy Linh</t>
  </si>
  <si>
    <t>KH000089</t>
  </si>
  <si>
    <t>Hiền Đông Triều</t>
  </si>
  <si>
    <t>cổng chợ bình dương-Đông triều</t>
  </si>
  <si>
    <t>KH000088</t>
  </si>
  <si>
    <t>Nhà Thuốc Nhật Thiên</t>
  </si>
  <si>
    <t>7 phạm hùng, thị trấn Tân Biên, H. Tân Biên, Tây Ninh,</t>
  </si>
  <si>
    <t>KH000087</t>
  </si>
  <si>
    <t>C Kiều Vĩnh Phúc</t>
  </si>
  <si>
    <t>Ngã 3 vĩnh tường, vĩnh phúc</t>
  </si>
  <si>
    <t>Chuyển Khoản
 Gửi xe Đức Thành 
 FreeShip</t>
  </si>
  <si>
    <t>KH000086</t>
  </si>
  <si>
    <t>QT Mai Hiền Thanh Hóa</t>
  </si>
  <si>
    <t>Thôn Thành Lập, XÃ Ngư Lộc, Hậu Lộc, Thanh Hóa</t>
  </si>
  <si>
    <t>GỬI XE HAPU
 CHUYỂN KHOẢN
 CƯỚC KHÁCH TRẢ</t>
  </si>
  <si>
    <t>KH000085</t>
  </si>
  <si>
    <t>C hiền (quầy thuốc Việt Tràng An)</t>
  </si>
  <si>
    <t>332 đinh tiên hoàng, yen bái</t>
  </si>
  <si>
    <t>KH000084</t>
  </si>
  <si>
    <t>Dương Thái Thái Bình</t>
  </si>
  <si>
    <t>0979260740.</t>
  </si>
  <si>
    <t>Thành Phố Thái Bình</t>
  </si>
  <si>
    <t>CHUYỂN KHOẢN TRƯỚC 
 GỬI XE HƯNG THÀNH 
 FREESHIP
 PHẢI CHUYỂN KHOẢN TRƯỚC MỚI GỬI HÀNG
 PHẢI HỎI C PHƯƠNG XEM CÓ BÁN KO</t>
  </si>
  <si>
    <t>4,200,000</t>
  </si>
  <si>
    <t>KH000083</t>
  </si>
  <si>
    <t>nhà thuốc vân kiều (C)</t>
  </si>
  <si>
    <t>sn 55 tổ 5 đường Lê quý đôn,tp thái nguyên</t>
  </si>
  <si>
    <t>CHUYỂN KHOẢN TRƯỚC 
 XE HỒNG LONG 
 CƯỚC KH GỬI
 GỬI VỎ CHO KHÁCH
 CHUYỂN KHOẢN TRƯỚC MỚI GỬI ĐƠN
 đc 51 lê quí đôn, p. quang trung, Thái Nguyên (gần chợ ĐH Sư Phạm Thái Nguyên)</t>
  </si>
  <si>
    <t>13,933,000</t>
  </si>
  <si>
    <t>KH000082</t>
  </si>
  <si>
    <t>a Phú Đà Nẵng</t>
  </si>
  <si>
    <t>KH000081</t>
  </si>
  <si>
    <t>QT Mỹ Hạnh 2 Bình Định</t>
  </si>
  <si>
    <t>Quầy thuốc My hạnh , mỹ thành, phù mỹ, bình đinh</t>
  </si>
  <si>
    <t>GHTK không bỏ đơn THU COD
 khách có 3 đc:
 phước quang, tug phước, bình định
 dc2: BƯU ĐIỆN MỸ THÀNH, PHÙ MỸ, BÌNH ĐỊNH
 dc3: Ngọc Thạnh, Phước An, Tuy Phước, Bình Định
 đc: Xuân bình bắc, mỹ thành, phù mỹ, bình đinh
 ko cần gửi link tracking
 0829329767
 khách lấy Cipro +500đ</t>
  </si>
  <si>
    <t>42,396,000</t>
  </si>
  <si>
    <t>KH000080</t>
  </si>
  <si>
    <t>Minh Hằng Thanh Hóa</t>
  </si>
  <si>
    <t>306 Lê Ngọc Hân - TT tân Phong - Quảng xương</t>
  </si>
  <si>
    <t>BEST
 THU COD
 CHUYỂN KHOẢN
 cước xe Khách gửi
 xe HOÀNG QUÝ
 Bệnh viện Nội Tiết Thanh Hóa, 476 Hải Thượng Lãn Ông, Phường Quảng thắng, Thanh Hóa (địa chỉ cũ)</t>
  </si>
  <si>
    <t>14,891,000</t>
  </si>
  <si>
    <t>KH000079</t>
  </si>
  <si>
    <t>Nhà thuốc Hoàng Nữ Nam Định(n)</t>
  </si>
  <si>
    <t>55 Trần Thánh Tông, Hạ Long, TP. Nam Định, Nam Định</t>
  </si>
  <si>
    <t>CHUYỂN KHOẢN
 CƯỚC KH GỬI
 XE TUẤN AZ</t>
  </si>
  <si>
    <t>1,800,000</t>
  </si>
  <si>
    <t>87,332,500</t>
  </si>
  <si>
    <t>KH000078</t>
  </si>
  <si>
    <t>QT số 241 Bắc Giang</t>
  </si>
  <si>
    <t>Quầy th dinh dương.phố chợ tân sơn lục ngạn.bắc giang</t>
  </si>
  <si>
    <t>KH000077</t>
  </si>
  <si>
    <t>Quầy thuốc đức phúc</t>
  </si>
  <si>
    <t>ngã tư chợ sáng xã hữu văn chương mỹ hà nội</t>
  </si>
  <si>
    <t>KH000076</t>
  </si>
  <si>
    <t>nhà thuốc Minh Quân</t>
  </si>
  <si>
    <t>số 84 phố phú thượng, phường phú thượng, tây hồ , Hn</t>
  </si>
  <si>
    <t>KH000075</t>
  </si>
  <si>
    <t>A Hoa Phạm Bạc Liêu (N)</t>
  </si>
  <si>
    <t>216 Phạm Thị Út, KDC Phường 2 , TP Bạc Liêu</t>
  </si>
  <si>
    <t>CHUYỂN KHOẢN
 BEST</t>
  </si>
  <si>
    <t>8,846,000</t>
  </si>
  <si>
    <t>KH000074</t>
  </si>
  <si>
    <t>Trần trang Thái Nguyên</t>
  </si>
  <si>
    <t>‭0344170156</t>
  </si>
  <si>
    <t>xóm bản lác xã kim phượng định hoá thái nguyên</t>
  </si>
  <si>
    <t>GHTK
 Không bỏ hóa đơn, đóng 1 kiện</t>
  </si>
  <si>
    <t>KH000073</t>
  </si>
  <si>
    <t>Trần Văn Thắng (Phú Xuyên)(N)</t>
  </si>
  <si>
    <t>Bưu điện huyện phú xuyên - Hà Nôi .</t>
  </si>
  <si>
    <t>GỬI XE CƯỜNG THẢO
 CHUYỂN KHOẢN
 *GẦN ĐẾN NƠI GỌI DIỆN (GHI LÊN THÙNG)</t>
  </si>
  <si>
    <t>KH000072</t>
  </si>
  <si>
    <t>a Luân Bến Tre</t>
  </si>
  <si>
    <t>KH000071</t>
  </si>
  <si>
    <t>C Hường Cầu Diễn</t>
  </si>
  <si>
    <t>số nhà 12 ngõ 26/23 đường cầu diễn phường phú diễn bắc từ liêm hn</t>
  </si>
  <si>
    <t>CHUYỂN KHOẢN
 GỬI ANH TRƯỜNG XE ÔM HAPU</t>
  </si>
  <si>
    <t>KH000070</t>
  </si>
  <si>
    <t>Đặt tiêm sẹo- Dương Hải</t>
  </si>
  <si>
    <t>0522756666 130 hoa bằng</t>
  </si>
  <si>
    <t>CHUYỂN KHOẢN TRƯỚC HOẶC THU COD
 FREESHIP 
 SHIP GẦN
 KHÔNG BỎ HÓA ĐƠN
 đc: 0972096660/ khu tập thể B15 kim liên, đường lương định của, đống đa
 đc : Số 4 ngõ 6 đội nhân 
 0963303911
 đc: 082 9232345 48 tổ 2 phú đô nam từ liêm
 số 7 nguyễn huy nhuận,tt trâu quỳ,gia lâm
 0969366927</t>
  </si>
  <si>
    <t>92,050,000</t>
  </si>
  <si>
    <t>KH000069</t>
  </si>
  <si>
    <t>Chị Hồ Hòa Mê Linh</t>
  </si>
  <si>
    <t>o tiến thịnh , mê linh, hà nội</t>
  </si>
  <si>
    <t>THU HỘ TIỀN
 GỬI XE LỢI HÀ 
 CƯỚC XE KH GỬI</t>
  </si>
  <si>
    <t>KH000068</t>
  </si>
  <si>
    <t>QT Quốc Hưng Thái Bình</t>
  </si>
  <si>
    <t>nga tư la, minh khai, hưng hà, thái bình</t>
  </si>
  <si>
    <t>THU HỘ
 gửi xe Hapu 0963500488</t>
  </si>
  <si>
    <t>KH000067</t>
  </si>
  <si>
    <t>Thắng</t>
  </si>
  <si>
    <t>KH000066</t>
  </si>
  <si>
    <t>Nhà thuốc Thanh Tùng Thanh Hóa(N) *</t>
  </si>
  <si>
    <t>trung chính, hải hòa, nghi sơn, thanh hóa</t>
  </si>
  <si>
    <t>CHUYỂN KHOẢN
 GỬI XE HAPU
 CƯƠC XE KH GỬI
 lưu ý ck tiền
 gối 1 đơn,nợ qua 3 tuần mới nhắc-muộn nhất 1 tháng báo lại</t>
  </si>
  <si>
    <t>37,363,000</t>
  </si>
  <si>
    <t>268,088,000</t>
  </si>
  <si>
    <t>KH000065</t>
  </si>
  <si>
    <t>Kim Oanh Yên Bái</t>
  </si>
  <si>
    <t>thôn trung tâm, xã tân lĩnh, lục yên, yên bái</t>
  </si>
  <si>
    <t>KH000064</t>
  </si>
  <si>
    <t>cô Nga Yên Bái</t>
  </si>
  <si>
    <t>SỐ 54, đường Lê Văn Tám, Phường Yên Thịnh, Yên Bái</t>
  </si>
  <si>
    <t>THU HỘ 
 GỬI XE HỆ TRỌNG
 CƯỚC XE GỬI CHO KH (FREESHIP)</t>
  </si>
  <si>
    <t>KH000063</t>
  </si>
  <si>
    <t>Becs Shop Hải Phòng</t>
  </si>
  <si>
    <t>10 ngõ 72 Dương khuê, Mai dịch, hn</t>
  </si>
  <si>
    <t>CHUYỂN KHOẢN 
 SHIP GẦN
 DC 1 : 313 hai bà trưng, cát dài, lê chân hải phòng
 DC 2:</t>
  </si>
  <si>
    <t>KH000062</t>
  </si>
  <si>
    <t>Hồ Đình Văn Thanh Hóa</t>
  </si>
  <si>
    <t>tĩnh gia-thanh hóa</t>
  </si>
  <si>
    <t>CHUYỂN KHOẢN TRƯỚC
 GỬI XE HAPU 
 CƯỚC XE KH GỬI
 CHUYỂN KHOẢN XONG MỚI GỬI HÀNG</t>
  </si>
  <si>
    <t>KH000061</t>
  </si>
  <si>
    <t>Nam Hưng Yên</t>
  </si>
  <si>
    <t>Ân Thi- hưng yên</t>
  </si>
  <si>
    <t>THU HỘ TIỀN
 CƯỚC XE KH GỬI
 XE THANH DŨNG
 KHÔNG BỎ HÓA ĐƠN
 KHÔNG GHI LÊN THÙNG</t>
  </si>
  <si>
    <t>KH000060</t>
  </si>
  <si>
    <t>Bac si Ngô Văn Lực Bắc Ninh</t>
  </si>
  <si>
    <t>51 xóm miếu, bô sơn, võ cường, bắc ninh,</t>
  </si>
  <si>
    <t>GỬI GHTK
 đc khác : NGƯỜI NHẬN: Ngô Thị Loan
 đc: đường nguyễn thanh cần- khu đô thị mới - thị trấn chờ- yên phong bắc ninh
 sdt : 0349832548</t>
  </si>
  <si>
    <t>KH000059</t>
  </si>
  <si>
    <t>E Trang Hà Nam</t>
  </si>
  <si>
    <t>368 lý thường kiệt , phủ lý, hà nam</t>
  </si>
  <si>
    <t>THU HỘ TIỀN 
 Cước xe kh gửi
  Gửi xe Đắc Hùng</t>
  </si>
  <si>
    <t>KH000058</t>
  </si>
  <si>
    <t>Qt Bách Quỳnh Ninh Bình</t>
  </si>
  <si>
    <t>mặt đường 12B, sào lâm, văn phú, nho quan, ninh bình</t>
  </si>
  <si>
    <t>CHUYỂN KHOẢN
 FREESHIP
 GỬI XE HAPU
 (ghi cho khách chữ đã thanh toán cước lên thùng)
 nhắc quầy đóng hàng cẩn thân cho khách
 omega màu viên vàng nhạt, ko dính hạt nhắc quầy chọn kĩ
 nhắc quầy đóng hàng cần thận hơn,thùng cứng hơn hôm trước bẹp hàng</t>
  </si>
  <si>
    <t>KH000057</t>
  </si>
  <si>
    <t>Nhà thuốc Phạm Thủy Nghệ An</t>
  </si>
  <si>
    <t>16 đường mai lão bạng-vinh-nghệ an</t>
  </si>
  <si>
    <t>KH000056</t>
  </si>
  <si>
    <t>c Trinh</t>
  </si>
  <si>
    <t>KH000055</t>
  </si>
  <si>
    <t>QT Toan Trang Kon Tum</t>
  </si>
  <si>
    <t>cao sơn - sa loong - ngọc hồi - kon tum</t>
  </si>
  <si>
    <t>GHTK
 CHUYỂN KHOẢN
 BỌC HÀNG THẬT KỸ, BỌC XỐP CỘT
 CHÚ Ý KIỂM TRA HÀNG VỀ HỎI CK
 GỌI SHIP RA 442 NGUYỄN TRÃI PHÍ SHIP MÌNH TRẢ 
 KHÁCH TỰ TẠO MÃ GHN GỬI GHN 442 NGUYỄN TRÃI</t>
  </si>
  <si>
    <t>62,035,000</t>
  </si>
  <si>
    <t>KH000054</t>
  </si>
  <si>
    <t>c Hoàn Lạng Sơn</t>
  </si>
  <si>
    <t>356 đường hùng vương, thành phố Lạng Sơn</t>
  </si>
  <si>
    <t>CHUYỂN KHOẢN
 GỬI XE ANH ĐỨC 
 CƯỚC XE KH GỬI</t>
  </si>
  <si>
    <t>KH000053</t>
  </si>
  <si>
    <t>Duy Anh(67/64 thái thịnh) (N)</t>
  </si>
  <si>
    <t>67/64 thái thịnh</t>
  </si>
  <si>
    <t>CHUYỂN KHOẢN
 Cước FREESHIP cho khách
 ĐƠN TO GỌI C LINH
 lưu ý khách hay mua cả lisa và pharmakort . tránh nhầm</t>
  </si>
  <si>
    <t>790,130,000</t>
  </si>
  <si>
    <t>KH000052</t>
  </si>
  <si>
    <t>Huyền tổ 3 Thái Bình</t>
  </si>
  <si>
    <t>phường tiền phong, Thái Bình</t>
  </si>
  <si>
    <t>CHUYỂN KHOẢN
 CƯỚC KH TRẢ
 xe hưng thành</t>
  </si>
  <si>
    <t>16,788,000</t>
  </si>
  <si>
    <t>KH000051</t>
  </si>
  <si>
    <t>Nhà thuốc Hạnh Mười Phú Thọ</t>
  </si>
  <si>
    <t>Chợ Năm Tầng, Việt Trì</t>
  </si>
  <si>
    <t>CHUYỂN KHOẢN
 cuoc xe kh gui số 0866180292
 xe thái vinh</t>
  </si>
  <si>
    <t>KH000050</t>
  </si>
  <si>
    <t>CHUYỂN KHOẢN
 GỬI XE TÂN TOÀN
 ĐÓNG GỘP NHẤT CÓ THỂ
 ĐÓNG XONG BÁO LẠI SỐ LƯỢNG THÙNG
 CƯỚC XE KH GỬI</t>
  </si>
  <si>
    <t>KH000049</t>
  </si>
  <si>
    <t>Quầy 302</t>
  </si>
  <si>
    <t>KH000048</t>
  </si>
  <si>
    <t>Biển xanh Bình định</t>
  </si>
  <si>
    <t>276/35/1c hoàng văn thụ,phường Ngô Mây, Thành Phố Quy Nhơn, Bình Định</t>
  </si>
  <si>
    <t>GHTK 
 CHUYỂN KHOẢN
 FREESHIP
 CHÚ Ý HÀNG VỀ HỎI CK</t>
  </si>
  <si>
    <t>4,786,000</t>
  </si>
  <si>
    <t>92,865,000</t>
  </si>
  <si>
    <t>KH000047</t>
  </si>
  <si>
    <t>Nhà Thuốc Ba Chẽ</t>
  </si>
  <si>
    <t>Khu 2, thị trấn Ba Chẽ, Huyện Ba Chẽ, Tỉnh Quảng Ninh</t>
  </si>
  <si>
    <t>GỬI GHTK
 CÓ HÓA ĐƠN ĐỎ MỚI LÊN ĐƠN</t>
  </si>
  <si>
    <t>KH000046</t>
  </si>
  <si>
    <t>Cty Dp Ngọc hà (chi Hanh) (N)</t>
  </si>
  <si>
    <t>483 lý thường kiệt - tp đồng hới - sdt: 0914657327</t>
  </si>
  <si>
    <t>CHUYỂN KHOẢN 
 cước xe kh gửi 
 xe hữu hiền 090 5882117
 bãi xe số 2 cầu thanh trì
 6-7h tối xe chạy
 CHÚ Ý GỘP THÙNG NHẤT CÓ THỂ CHO KHÁCH
 " CÔNG NỢ 1 THÁNG"
 Công nợ max 30tr 
 xe Hoàng Huấn 087 7232667</t>
  </si>
  <si>
    <t>38,030,000</t>
  </si>
  <si>
    <t>319,660,000</t>
  </si>
  <si>
    <t>KH000045</t>
  </si>
  <si>
    <t>A Việt Hoàng Nam định (N)</t>
  </si>
  <si>
    <t>Nam Định - Huyện Hải Hậu</t>
  </si>
  <si>
    <t>CHUYỂN KHOẢN
 Xe HẢI NINH 0916045621 
 GỌI XE ÔM FREESHIP
  GỬI CHO KHÁCH TRƯỚC 2:30
 " Max nợ 25tr" 
 CHUYỂN KHOẢN
 GỬI SHIP GẦN 14 ngõ 1 nhân hoà
 Địa chỉ: Số 14, ngõ 1 phố Nhân Hòa, Phường Nhân Chính, Quận Thanh Xuân, Hà Nội
 SĐT: 0888 123 321 (Yến)
 FREESHIP</t>
  </si>
  <si>
    <t>13,594,000</t>
  </si>
  <si>
    <t>597,904,000</t>
  </si>
  <si>
    <t>KH000044</t>
  </si>
  <si>
    <t>Quầy Vy Ngân Bắc Ninh</t>
  </si>
  <si>
    <t>hôn đồng xép, xã hoàn sơn, tiên du, bắc ninh</t>
  </si>
  <si>
    <t>THU HỘ TIỀN
 GỬI XE ANH CHI 
 CƯỚC XE KH GỬI</t>
  </si>
  <si>
    <t>2,719,000</t>
  </si>
  <si>
    <t>KH000043</t>
  </si>
  <si>
    <t>A Xuan Lê (Quầy Thuốc Xuân Bách)</t>
  </si>
  <si>
    <t>182, tỉnh lộ 928, Ấp Mỹ Quới, TT Cây Dương, Phụng Hiệp, Hậu Giang</t>
  </si>
  <si>
    <t>KH000041</t>
  </si>
  <si>
    <t>a Nhuận Phát</t>
  </si>
  <si>
    <t>KH000040</t>
  </si>
  <si>
    <t>QT Thanh Cúc (N) Bình Định</t>
  </si>
  <si>
    <t>167A Trần Hưng Đạo, Thi Trấn Ngô Mây, Phú Cát Bình Định</t>
  </si>
  <si>
    <t>CHUYỂN KHOẢN
 Gửi bên xe anh hiệp 356 giải phóng
 9h sáng chạy
 sdt: 098.77777.22
 Gửi bên xe anh LINH CỬU LONG 356 giải phóng
 9h sáng chạy(thứ 5)
 sdt: 0909070807
 " max nợ 25tr" 
 xe anh ĐẠT 0963407277 356 giải phóng
 phải hỏi hôm nào gửi hàng. và đóng hàng xong thì báo khách xem có tổng bao nhiêu thùng
 GỬI XE CỬU LONG SDT: 0909474084 
 CHUYỂN KHOẢN
  CHUYỂN KHOẢN 
 XE ANH NGỌC 0939119879
 Van bai xe cuu long 356 giai fong</t>
  </si>
  <si>
    <t>20,315,000</t>
  </si>
  <si>
    <t>371,467,000</t>
  </si>
  <si>
    <t>KH000039</t>
  </si>
  <si>
    <t>QT nhân dân Thanh Hóa *</t>
  </si>
  <si>
    <t>096 272 4660/0374360675</t>
  </si>
  <si>
    <t>số 114 đường bà triệu bắc bỉm sơn thanh hóa</t>
  </si>
  <si>
    <t>CHUYỂN KHOẢN TRƯỚC
 GỬI XE HAPU 
 FREESHIP
 số 114 đường bà triệu bắc bỉm sơn thanh hóa
 đc 2; quầy thuốc nhất nhất thị trấn thọ xuân</t>
  </si>
  <si>
    <t>KH000038</t>
  </si>
  <si>
    <t>Loan Hưng Yên</t>
  </si>
  <si>
    <t>Quầy thuốc trung tâm
 Giai lệ lệ xá tiên lữ Hưng yên</t>
  </si>
  <si>
    <t>gửi xe Hapu Thu Hộ tiền
 cước xe kh gửi</t>
  </si>
  <si>
    <t>KH000037</t>
  </si>
  <si>
    <t>QT Bích Đậu Thái Nguyên</t>
  </si>
  <si>
    <t>xóm đồng nội xã phúc trìu tp thái nguyên</t>
  </si>
  <si>
    <t>GỬI GHTK
 HỖ TRỢ 1/3 SHIP</t>
  </si>
  <si>
    <t>KH000036</t>
  </si>
  <si>
    <t>Nông thị mai cao bằng</t>
  </si>
  <si>
    <t>quầy thuốc pò peo, xã ngọc côn, huyện trùng khánh, tỉnh cao bằng</t>
  </si>
  <si>
    <t>KH000035</t>
  </si>
  <si>
    <t>Quầy Thuốc Liên Tý(xe bồ câu) (N)</t>
  </si>
  <si>
    <t>Liên tý chợ vinh</t>
  </si>
  <si>
    <t>CHUYỂN KHOẢN
 GỬI XE BỒ CÂU
 CƯỚC XE KH GỬI
 ĐÓNG GỘP THÙNG NHẤT CHO THỂ CHO KHÁCH
 THÙNG CHƯA ĐẦY BÁO LẠI ĐỂ KHÁCH THÊM
 KHÔNG ĐÓNG THÙNG BÉ-ĐÓNG CẨN THẬN KHÔNG MÓP
 gửi kèm hóa đơn trên thùng</t>
  </si>
  <si>
    <t>38,984,000</t>
  </si>
  <si>
    <t>1,054,713,500</t>
  </si>
  <si>
    <t>KH000034</t>
  </si>
  <si>
    <t>Huyền Đức Tâm Sơn La</t>
  </si>
  <si>
    <t>Sơn La</t>
  </si>
  <si>
    <t>CHUYỂN KHOẢN
 GỬI XE TUẤN ĐẠI SDT 0969905242(2H NHẬN HÀNG)
 FREESHIP
 " đóng hàng cẩn thận không dễ móp"
 "cà gai leo nhặt kiểm tra date xem có bị mờ không mới đóng"</t>
  </si>
  <si>
    <t>27,717,500</t>
  </si>
  <si>
    <t>KH000033</t>
  </si>
  <si>
    <t>NT Hưng Hà Uông Bí (xe Hà Gia) (N)</t>
  </si>
  <si>
    <t>0975 601 883</t>
  </si>
  <si>
    <t>uông bí</t>
  </si>
  <si>
    <t>CHUYỂN KHOẢN
 GỬI XE HÀ GIA
 CƯỚC XE KH GỬI
 KHÔNG BỎ HÓA ĐƠN VÀO THÙNG</t>
  </si>
  <si>
    <t>5,705,000</t>
  </si>
  <si>
    <t>KH000032</t>
  </si>
  <si>
    <t>QT Bích Lệ Bình Định</t>
  </si>
  <si>
    <t>thôn hiệp hưng .xã canh hiệp.huyện vân canh.tỉnh bình định</t>
  </si>
  <si>
    <t>KH000031</t>
  </si>
  <si>
    <t>Thanh Hải Nam Định(N)</t>
  </si>
  <si>
    <t>tổ dân phố lâm dũng quất lâm, giao thủy nam định</t>
  </si>
  <si>
    <t>CHUYỂN KHOẢN
 CƯỚC XE KH GỬI
 GỬI XE HAPU SỚM NHẤT
 Không cần bỏ hoá đơn vào thùng
 đc 1: tổ dân phố lâm dũng quất lâm, giao thủy nam định
 đc 2: cổng đại học y Thái Bình</t>
  </si>
  <si>
    <t>KH000030</t>
  </si>
  <si>
    <t>E Đạt Long Bắc Ninh</t>
  </si>
  <si>
    <t>thôn huề đông xã đại lai huyện gia bình tỉnh Bắc ninh</t>
  </si>
  <si>
    <t>KH000029</t>
  </si>
  <si>
    <t>Hoàng Trọng Vũ Cao Bằng</t>
  </si>
  <si>
    <t>Tổ 14 phường Tân Giang TP Cao Bằng</t>
  </si>
  <si>
    <t>KH000028</t>
  </si>
  <si>
    <t>Thủy</t>
  </si>
  <si>
    <t>thị trấn Ninh Giang - Hải Dương</t>
  </si>
  <si>
    <t>KH000027</t>
  </si>
  <si>
    <t>Qt Nguyễn Thị Anh Hà Tĩnh</t>
  </si>
  <si>
    <t>chợ đồn, thạch điền , thạch hà , hà tĩnh</t>
  </si>
  <si>
    <t>CHUYỂN KHOẢN
 XE BỒ CÂU CƯỚC XE KH GỬI
 GỬI XE BỒ CÂU</t>
  </si>
  <si>
    <t>3,539,000</t>
  </si>
  <si>
    <t>KH000026</t>
  </si>
  <si>
    <t>Q432 c Ha</t>
  </si>
  <si>
    <t>KH000025</t>
  </si>
  <si>
    <t>c Thanh Bắc giang</t>
  </si>
  <si>
    <t>quầy thuốc số 12 thôn Trung tâm xã hợp thịnh huyện hiệp Hòa Bắc Giang</t>
  </si>
  <si>
    <t>CHUYỂN KHOẢN
 CƯỚC XE KH GỬI
 GỬI XE THÀNH ĐẠT
 luôn bỏ hóa đơn vào thùng
 ĐÓNG HÀNG CẨN THẬN KHÔNG DỄ BẸP,CHỌN THÙNG CỨNG,BỌC XỐP HÀNG TIÊM</t>
  </si>
  <si>
    <t>1,815,000</t>
  </si>
  <si>
    <t>76,255,000</t>
  </si>
  <si>
    <t>KH000024</t>
  </si>
  <si>
    <t>Anh Cường Yên Bái</t>
  </si>
  <si>
    <t>thôn trung nam, xã hồng ca, huyện trấn yên, tỉnh yên bái, Yên Bái</t>
  </si>
  <si>
    <t>GHTK
 CHUYỂN KHOẢN
 FREESHIP
 ĐÓNG LÓT BỌC XỐP CẨN THẬN BẸP
  HÀNG!!!
 CHÚ Ý KIỂM TRA KHÁCH NHẬN HÀNG HỎI CK</t>
  </si>
  <si>
    <t>4,483,000</t>
  </si>
  <si>
    <t>113,952,000</t>
  </si>
  <si>
    <t>KH000023</t>
  </si>
  <si>
    <t>QT Anh Tuấn Yên Bái</t>
  </si>
  <si>
    <t>- Rịa - Cát thịnh - văn chấn - yên Bái</t>
  </si>
  <si>
    <t>CHUYỂN KHOẢN
 XE HUY ĐÔNG 
 CƯỚC KH GỬI
 Ngọc anh
 Thôn9 - thượng bằng la - Lào cai
 0969871456</t>
  </si>
  <si>
    <t>1,560,000</t>
  </si>
  <si>
    <t>KH000022</t>
  </si>
  <si>
    <t>Quầy thuốc khánh ngọc</t>
  </si>
  <si>
    <t>Tràng duệ, Xã lê lợi, huyện An Duong, Hải phòng.</t>
  </si>
  <si>
    <t>KH000021</t>
  </si>
  <si>
    <t>QT Nguyễn Thị Quỳnh Hương</t>
  </si>
  <si>
    <t>xóm Tân mỹ thôn bộ la xã Vũ Vinh Vũ Thư Thái Bình</t>
  </si>
  <si>
    <t>BEST/GHTK
 THU COD</t>
  </si>
  <si>
    <t>37,003,000</t>
  </si>
  <si>
    <t>KH000020</t>
  </si>
  <si>
    <t>C Dung Võ Lâm Đồng</t>
  </si>
  <si>
    <t>141 đường 3/2, phường 1, đạ lạt, Lâm Đồng</t>
  </si>
  <si>
    <t>KH000019</t>
  </si>
  <si>
    <t>NT số 94 Hà Tĩnh</t>
  </si>
  <si>
    <t>đường hải thượng lãn ông, hà tĩnh</t>
  </si>
  <si>
    <t>CHUYỂN KHOẢN
 GỬI XE BỒ CÂU
 CƯỚC XE GỬI CHO KH FREESIP
 khách hay lấy cerelon trắng</t>
  </si>
  <si>
    <t>KH000018</t>
  </si>
  <si>
    <t>Chị Chuyên</t>
  </si>
  <si>
    <t>KH000017</t>
  </si>
  <si>
    <t>NT Trâm Anh Hải Phòng</t>
  </si>
  <si>
    <t>311 cát dài lê chân hải phòng</t>
  </si>
  <si>
    <t>CHUYỂN KHOẢN
 GỬI XE HAPU 
 CƯỚC XE KH GỬI</t>
  </si>
  <si>
    <t>KH000016</t>
  </si>
  <si>
    <t>Tú Hòa Nghê An Thành Phố Vinh(N)</t>
  </si>
  <si>
    <t>0947139629/0979197911</t>
  </si>
  <si>
    <t>khối Nam Bình, Thị Trấn Nam Đàn, Nghệ An</t>
  </si>
  <si>
    <t>CHUYỂN KHOẢN
 GỬI XE BỒ CÂU
  QUẦY GỬI CƯỚC XE RỒI CỘNG 1/2 VÀO ĐƠN
 CHUYỂN KHOẢN</t>
  </si>
  <si>
    <t>KH000015</t>
  </si>
  <si>
    <t>Nhà thuốc Tùng Anh Vĩnh Phúc(N)</t>
  </si>
  <si>
    <t>thôn gia. yên đồng, yên lạc, Vĩnh Phúc</t>
  </si>
  <si>
    <t>CHUYỂN KHOẢN
 GỬI XE CƯỜNG DŨNG
 CƯỚC XE KHÁCH GỬI
 thu cước 15k trên đơn</t>
  </si>
  <si>
    <t>160,837,500</t>
  </si>
  <si>
    <t>KH000014</t>
  </si>
  <si>
    <t>Phương Thái Nguyên(N)</t>
  </si>
  <si>
    <t>thinh đán-thái nguyên</t>
  </si>
  <si>
    <t>CHUYỂN KHOẢN
 GỬI XE THÀNH ĐẠT
 CƯỚC KH GỬI
 ship ra 286 nguyễn trãi : cước xe ôm quầy trả
 gửi văn phòng xe Hà Lan: cước khách trả
 GỬI HÀNG CỔNG 4 0327778564</t>
  </si>
  <si>
    <t>4,340,000</t>
  </si>
  <si>
    <t>170,315,000</t>
  </si>
  <si>
    <t>KH000013</t>
  </si>
  <si>
    <t>C Huyền Nam Định</t>
  </si>
  <si>
    <t>xóm 22 xã hải đường, huyện hải hậu, tỉnh Nam định</t>
  </si>
  <si>
    <t>CHUYỂN KHOẢN
 GỬI XE TẢI HẢI LỘC - 0987300698
 cước xe kh gửi
 cước xe 50k</t>
  </si>
  <si>
    <t>KH000012</t>
  </si>
  <si>
    <t>Nhà Thuốc Đức Trinh Thái Bình(N)</t>
  </si>
  <si>
    <t>CHUYỂN KHOẢN
 GỬI XE THÚY TUYỀN 
 CƯỚC XE KH GỬI</t>
  </si>
  <si>
    <t>7,366,000</t>
  </si>
  <si>
    <t>109,926,000</t>
  </si>
  <si>
    <t>KH000011</t>
  </si>
  <si>
    <t>Khach qua Hapu lay hang</t>
  </si>
  <si>
    <t>KH000010</t>
  </si>
  <si>
    <t>A Trần Quang Toàn Bắc Ninh (N)</t>
  </si>
  <si>
    <t>382 Nguyễn Trãi, Phường Võ Cường, Tp Bắc Ninh</t>
  </si>
  <si>
    <t>CHUYỂN KHOẢN
 GỬI XE HẢI HÀ GHI THÙNG" gửi chị Nga công ty Robin"
 CƯỚC XE KH GỬI
 25 đào tấn ,võ cường, TP Bắc Ninh</t>
  </si>
  <si>
    <t>KH000009</t>
  </si>
  <si>
    <t>Phuong mang về</t>
  </si>
  <si>
    <t>51,376,000</t>
  </si>
  <si>
    <t>KH000008</t>
  </si>
  <si>
    <t>A THỊNH HẢI PHÒNG (N) (chỉ cần ghi thế là nhà xe biết)</t>
  </si>
  <si>
    <t>CHUYỂN KHOẢN
 CƯỚC KHÁCH TRẢ
 trừ 15k trên đơn cước 
  XE TRUNG THÀNH</t>
  </si>
  <si>
    <t>44,709,000</t>
  </si>
  <si>
    <t>KH000007</t>
  </si>
  <si>
    <t>A. Nguyễn văn thắng Thanh Hóa</t>
  </si>
  <si>
    <t>bệnh viện phụ sản thanh hoá</t>
  </si>
  <si>
    <t>CHUYỂN KHOẢN
 GỬI XE AN PHÚC 
 CƯỚC XE KH GỬI
 Gửi quầy 416 chi chị Hải</t>
  </si>
  <si>
    <t>KH000006</t>
  </si>
  <si>
    <t>Em Quốc Gia Lai(N)</t>
  </si>
  <si>
    <t>160- quang trung Thị trấn chư sê Gia lai</t>
  </si>
  <si>
    <t>GỬI GHTK/BEST
 THU COD
 trợ 1/3
 CHUYỂN KHOẢN TRƯỚC
 KHÁCH ĐẶT SHIP
 KHÔNG BỎ HÓA ĐƠN
 KHÔNG GHI LÊN THÙNG 
 ĐÓNG KĨ KHÔNG MÓP</t>
  </si>
  <si>
    <t>103,489,000</t>
  </si>
  <si>
    <t>KH000005</t>
  </si>
  <si>
    <t>c Thanh Vĩnh Phúc(N)</t>
  </si>
  <si>
    <t>Thanh xã tân Phú - Vĩnh tường- Vĩnh phúc</t>
  </si>
  <si>
    <t>THU HỘ
 GỬI XE CƯỜNG DŨNG
 CƯỚC KHÁCH TRẢ
 cộng 15k phí ship trên đơn
 dc 1: cầu hạc trì Phú Thọ
 CHUYỂN KHOẢN
 XE VIC 0981842066
 CƯỚC QUẦY TRẢ
 cộng 15k phí ship trên đơn
 dc 2: Thanh xã tân Phú - Vĩnh tường- Vĩnh phúc xe cuong dung</t>
  </si>
  <si>
    <t>78,051,000</t>
  </si>
  <si>
    <t>KH000004</t>
  </si>
  <si>
    <t>A PHAN VỸ Kon Tum</t>
  </si>
  <si>
    <t>Quầy thuốc minh quân thôn kon rôn xã ngọk réo huyện đakha tỉnh kon tum</t>
  </si>
  <si>
    <t>GHTK
 CHUYỂN KHOẢN
 FREESHIP 
 đc 2: Quầy thuốc minh quân thôn kon rôn xã ngọk réo huyện đakha tỉnh kon tum</t>
  </si>
  <si>
    <t>3,230,000</t>
  </si>
  <si>
    <t>33,330,000</t>
  </si>
  <si>
    <t>KH000003</t>
  </si>
  <si>
    <t>Qt Huân Tâm Cầu Khất Ninh Bình</t>
  </si>
  <si>
    <t>cầu khuất ninh bình</t>
  </si>
  <si>
    <t>CHUYỂN KHOẢN
 CƯỚC XE KH GỬI
 GỬI XE HAPU VỀ CẦU KHUẤT NINH BÌNH
 ĐÓNG 1 THÙNG
 CÔNG NỢ KHÔNG QUÁ 2 TUẦN</t>
  </si>
  <si>
    <t>38,192,000</t>
  </si>
  <si>
    <t>KH000002</t>
  </si>
  <si>
    <t>Em Linh</t>
  </si>
  <si>
    <t>ngox 15 phương mai, cạnh nhà 17 phương mai</t>
  </si>
  <si>
    <t>Nhóm hàng(3 Cấp)</t>
  </si>
  <si>
    <t>Mã hàng</t>
  </si>
  <si>
    <t>Tên hàng</t>
  </si>
  <si>
    <t>Hình ảnh (url1,url2...)</t>
  </si>
  <si>
    <t>Gía bán</t>
  </si>
  <si>
    <t>Tồn kho</t>
  </si>
  <si>
    <t>TRÁNH THAI - PHỤ KHOA</t>
  </si>
  <si>
    <t>Q30227032372</t>
  </si>
  <si>
    <t>" ( 10/2024 )Sadetabs Gramon Uruguay (hộp 12 viên đặt) "</t>
  </si>
  <si>
    <t>https://cdn2-retail-images.kiotviet.vn/2026/03/31/giabaopharma/eddf4fe23d9542c4a3795556878f55d2.jpg</t>
  </si>
  <si>
    <t>THUỐC</t>
  </si>
  <si>
    <t>Q302665378</t>
  </si>
  <si>
    <t>" (Chai 30ml) Motilium Domperidon Janssen "</t>
  </si>
  <si>
    <t>Q302774830</t>
  </si>
  <si>
    <t>" (Chai 60ml) Motilium Domperidon Janssen "</t>
  </si>
  <si>
    <t>https://cdn2-retail-images.kiotviet.vn/2026/03/31/giabaopharma/5f52ab13ad864281bb1ff46064eac7ce.jpg,https://cdn2-retail-images.kiotviet.vn/2026/03/31/giabaopharma/1ba022e70e0548d99452df74cc18ab74.jpeg,https://cdn2-retail-images.kiotviet.vn/2026/03/31/giabaopharma/f63c2250d31d4aac82e373246f5f4caf.jpeg</t>
  </si>
  <si>
    <t>TPCN"</t>
  </si>
  <si>
    <t>Q302947384</t>
  </si>
  <si>
    <t>" (Dạng gói) Siro Ho Cảm Ích Nhi Nam Dược (Hộp 30 gói x 5ml) "</t>
  </si>
  <si>
    <t>https://cdn2-retail-images.kiotviet.vn/2026/03/31/giabaopharma/9e84645c0b3943138abebeab4de07e6a.jpeg,https://cdn2-retail-images.kiotviet.vn/2026/03/31/giabaopharma/bff85634b6644da3b37dca1f28951814.jpeg,https://cdn2-retail-images.kiotviet.vn/2026/03/31/giabaopharma/5120623e656749a3a50c17527b517d1c.jpeg</t>
  </si>
  <si>
    <t>Q302984930</t>
  </si>
  <si>
    <t>" (Dạng lọ) Siro Ho Cảm Ích Nhi Nam Dược (Hộp 1 lọ x 90ml) "</t>
  </si>
  <si>
    <t>https://cdn2-retail-images.kiotviet.vn/2026/03/30/giabaopharma/3634d7fbf8c34f7ea19b5c42f985c783.jpg</t>
  </si>
  <si>
    <t>TIM MẠCH - HUYẾT ÁP</t>
  </si>
  <si>
    <t>Q3023052327</t>
  </si>
  <si>
    <t>" (date 10/24) Kavasdin Amlodipine 5mg Khánh Hòa (hộp10 vỉ x 10 viên) "</t>
  </si>
  <si>
    <t>https://cdn2-retail-images.kiotviet.vn/2026/03/31/giabaopharma/ff7c164d962d4cbdb36dcb336d1ad0ea.jpg</t>
  </si>
  <si>
    <t>TÁC DỤNG TRÊN RUỘT</t>
  </si>
  <si>
    <t>Q3027032399</t>
  </si>
  <si>
    <t>" (date 10/24) Zaclid Esomeprazol 20mg Mediplantex (hộp 3 vỉ x 10 viên) "</t>
  </si>
  <si>
    <t>https://cdn2-retail-images.kiotviet.vn/2026/03/24/giabaopharma/8ed7cef3dda040cd9450a4a52b208afe.jpg</t>
  </si>
  <si>
    <t>Q3022403112</t>
  </si>
  <si>
    <t>" (date 11/2025) Amlor 5mg Pfizer Úc( hộp 3 vỉ x 10 viên nén) "</t>
  </si>
  <si>
    <t>https://cdn2-retail-images.kiotviet.vn/2026/03/19/giabaopharma/2834f92c00a144b8b65b3adf95477f84.jpg</t>
  </si>
  <si>
    <t>Q302000001010</t>
  </si>
  <si>
    <t>" (date 11/24) Telfor Fexpfenadine 180mg DHG Hậu Giang (hộp 2 vỉ x 10 viên nén ) "</t>
  </si>
  <si>
    <t>https://cdn2-retail-images.kiotviet.vn/2026/03/18/giabaopharma/71e43f3190ae408e8c70dd5b12c61968.jpg</t>
  </si>
  <si>
    <t>Q30213032354</t>
  </si>
  <si>
    <t>" (Date 11/24) Vastad Stella (hộp 1 vỉ x 10 viên đặt âm đạo) "</t>
  </si>
  <si>
    <t>https://cdn2-retail-images.kiotviet.vn/2026/03/09/giabaopharma/eda3c2a5da9c4587a5a284a0d9e3f2d6.jpg</t>
  </si>
  <si>
    <t>CHỐNG VIÊM</t>
  </si>
  <si>
    <t>Q3021952381</t>
  </si>
  <si>
    <t>" (date 4/2025) Methylprednisolon 16mg Vidipha (hộp 3 vỉ x 10 viên nén) "</t>
  </si>
  <si>
    <t>https://cdn2-retail-images.kiotviet.vn/2026/03/05/giabaopharma/cdf424f0d2314a88be85b9f8b27a9b1c.jpg</t>
  </si>
  <si>
    <t>Q3022403107</t>
  </si>
  <si>
    <t>" (date 6/2025) Amloda Amlodipine 5mg Z120 ( hộp 10 vỉ x 10 viên nang) "</t>
  </si>
  <si>
    <t>https://cdn2-retail-images.kiotviet.vn/2026/03/05/giabaopharma/c4f34e08f7924ed4b01081bd35dca45a.jpg</t>
  </si>
  <si>
    <t>NÃO - THẦN KINH</t>
  </si>
  <si>
    <t>Q3022403207</t>
  </si>
  <si>
    <t>" (Date 6/2025) Arcalion 200mg Servier Pháp( lọ 30 viên nén ) "</t>
  </si>
  <si>
    <t>https://cdn2-retail-images.kiotviet.vn/2026/03/02/giabaopharma/ec81c3e1e2524a45ada28d99b31145ba.jpg</t>
  </si>
  <si>
    <t>Q302130323167</t>
  </si>
  <si>
    <t>" (date 7/26)Trihex Trihexyphenidyl hydroclrid 2mg Đà Nẵng (hộp 5 vỉ x 20 viên nén) "</t>
  </si>
  <si>
    <t>https://cdn2-retail-images.kiotviet.vn/2026/02/09/giabaopharma/f13b277034f343c7a7acb1c676275a79.jpg</t>
  </si>
  <si>
    <t>Q302130323189</t>
  </si>
  <si>
    <t>" (Date t1/24) Trosicam Meloxicam 7.5mg Alpex Thụy Sĩ (hộp 3 vỉ x 10 viên nén) "</t>
  </si>
  <si>
    <t>https://cdn2-retail-images.kiotviet.vn/2026/01/28/giabaopharma/1a5db4b4a3314f50986e05e41f6d78b6.jpg</t>
  </si>
  <si>
    <t>Q3026546245</t>
  </si>
  <si>
    <t>" (date t3/26) Thuốc Solu - Medrol Methylprednisolone Pfizer 40mg "</t>
  </si>
  <si>
    <t>https://cdn2-retail-images.kiotviet.vn/2026/01/20/giabaopharma/c26a1c3169af4669bc6d8e145128e6ec.jpg</t>
  </si>
  <si>
    <t>Q3021952336</t>
  </si>
  <si>
    <t>" (Date t4/2025)Mefenamic Acid Stella 500mg Stella (lọ 100 viên nén bao phim) "</t>
  </si>
  <si>
    <t>https://cdn1-retail-images.kiotviet.vn/2026/01/10/giabaopharma/370efe5b0dbc48ffab519b285a0ca6b2.jpg</t>
  </si>
  <si>
    <t>MẮT-TAI-MŨI</t>
  </si>
  <si>
    <t>Q3021042192</t>
  </si>
  <si>
    <t>" (date t4/2027) Omega 369 Q10 Gold Fusi (lọ 100 viên nang) "</t>
  </si>
  <si>
    <t>https://cdn1-retail-images.kiotviet.vn/2026/01/07/giabaopharma/831a02e182734cc3b25b9fccf7edd564.jpg</t>
  </si>
  <si>
    <t>Q302348756</t>
  </si>
  <si>
    <t>" (Date T7/2027) Dung Dịch Vệ Sinh Lactacyd Odor Fresh 150ml "</t>
  </si>
  <si>
    <t>https://cdn1-retail-images.kiotviet.vn/2026/01/07/giabaopharma/71052f7d31d24e27aa69984874606fc0.jpg</t>
  </si>
  <si>
    <t>DA LIỄU</t>
  </si>
  <si>
    <t>Q302099067</t>
  </si>
  <si>
    <t>" (Date t8/23) Voltaren Emulgel Diclofenac Diethylamine 1.16g/100g Novartis (Tuýp 20g) "</t>
  </si>
  <si>
    <t>https://cdn1-retail-images.kiotviet.vn/2026/01/06/giabaopharma/b062c71a01794839b809654c34c24d25.jpg</t>
  </si>
  <si>
    <t>Q302112110</t>
  </si>
  <si>
    <t>" (DateT1/24) Rhumenol Flu 500 Medipharco (Hộp 25 vỉ x 4 viên dài bao phim) "</t>
  </si>
  <si>
    <t>https://cdn1-retail-images.kiotviet.vn/2026/01/05/giabaopharma/ff5dece954de423ea8d774cc36ce056f.jpg</t>
  </si>
  <si>
    <t>Q302116787</t>
  </si>
  <si>
    <t>" (DateT1/24) Vipxacil Siro Hà Tây (Hộp 1 lọ/ 60ml) "</t>
  </si>
  <si>
    <t>https://cdn2-retail-images.kiotviet.vn/2025/12/30/giabaopharma/08554e8d288e44d7b63f9277774b8667.png,https://cdn2-retail-images.kiotviet.vn/2025/12/24/giabaopharma/b5bf6651233d48a5b06aed0f3dc29027.jpg,https://cdn2-retail-images.kiotviet.vn/2025/12/30/giabaopharma/f3f2d113711541208cf9d62ca477cdf8.png,https://cdn2-retail-images.kiotviet.vn/2025/12/30/giabaopharma/5020ccafbb1242ca859505d1c56ffd3b.png,https://cdn2-retail-images.kiotviet.vn/2025/12/30/giabaopharma/b7f4397804184a059bb9dbb151959d90.png</t>
  </si>
  <si>
    <t>Q302000113</t>
  </si>
  <si>
    <t>" (DateT11/25) Kem bôi da YOOSUN nghệ Đại Bắc (Lốc 10 tuýp/ 25g)"</t>
  </si>
  <si>
    <t>https://cdn2-retail-images.kiotviet.vn/2025/12/30/giabaopharma/6584ee3c3c0648668bc71c7c800baf04.png,https://cdn2-retail-images.kiotviet.vn/2025/12/30/giabaopharma/b291ec684f1a4d0eb2389c43c9fde0b9.png,https://cdn2-retail-images.kiotviet.vn/2025/12/30/giabaopharma/c74e5058a3d84e969f231db6ffd448f7.png,https://cdn2-retail-images.kiotviet.vn/2025/12/30/giabaopharma/ca0c1ff42bee4e3bab67f8006de8f7b3.png</t>
  </si>
  <si>
    <t>Q30231032359</t>
  </si>
  <si>
    <t>" (DateT5/24) Pomatat Magnesi &amp; Kali 140/158mg Hà Tây (hộp 6 vỉ x 10 viên nén) "</t>
  </si>
  <si>
    <t>https://cdn2-retail-images.kiotviet.vn/2026/03/31/giabaopharma/5f59e6a4d61244f6a5afc33bcb0c7db9.jpeg,https://cdn2-retail-images.kiotviet.vn/2026/03/31/giabaopharma/e098ecf149f64e3e8f8fd0343195aebb.jpeg</t>
  </si>
  <si>
    <t>Q3020000651</t>
  </si>
  <si>
    <t>" (DateT6/26) Vitamin D3 K2 MK7 Hải Linh (C/10ml) "</t>
  </si>
  <si>
    <t>https://cdn2-retail-images.kiotviet.vn/2025/12/24/giabaopharma/be9b45d1b8094d04834f32b0b28bcc76.jpg</t>
  </si>
  <si>
    <t>Q302998678</t>
  </si>
  <si>
    <t>" (Viên Sủi Bocalex Multi DHG (Lốc 10 tuýp - Tuýp 20 viên) "</t>
  </si>
  <si>
    <t>https://cdn2-retail-images.kiotviet.vn/2025/12/30/giabaopharma/64ad9b3568844108a8dd210788de0c9d.png,https://cdn2-retail-images.kiotviet.vn/2025/12/30/giabaopharma/45eb4a16dc0f4c1d9e90070eff14be7e.png,https://cdn2-retail-images.kiotviet.vn/2025/12/30/giabaopharma/4b51d629b22d4fdea37f57a183a7ab43.png,https://cdn2-retail-images.kiotviet.vn/2025/12/30/giabaopharma/ab97e39781ee4ef3987d9ab8ef33b31c.png</t>
  </si>
  <si>
    <t>Q30220021</t>
  </si>
  <si>
    <t>" 5 – MTHF &amp; Multivitamin Quatrefolic Mỹ (H/30 viên nang) "</t>
  </si>
  <si>
    <t>https://cdn2-retail-images.kiotviet.vn/2025/12/22/giabaopharma/583032d2b1ac40768473b1f867150520.jpg</t>
  </si>
  <si>
    <t>Q3021952397</t>
  </si>
  <si>
    <t>" 50 HỘP BÉ Mebendazole 500mg Mekophar (hộp 1 viên) "</t>
  </si>
  <si>
    <t>https://cdn2-retail-images.kiotviet.vn/2025/12/17/giabaopharma/0352bf5dcab4461f96a9b1123cd6bc70.jpg</t>
  </si>
  <si>
    <t>Q30220022</t>
  </si>
  <si>
    <t>" A Chara White Beauty DP Chuck ( Lọ/30 viên nang) "</t>
  </si>
  <si>
    <t>https://cdn2-retail-images.kiotviet.vn/2025/12/08/giabaopharma/6604b9cc56fd49d2a9b62814f8a36e12.jpg</t>
  </si>
  <si>
    <t>Q30220023</t>
  </si>
  <si>
    <t>" A-Cnotren Isotretinoni 10mg Pharmathen ( hộp 3 vỉ x 10 viên nang ) "</t>
  </si>
  <si>
    <t>https://cdn2-retail-images.kiotviet.vn/2025/11/29/giabaopharma/f6aabce6accb4db5b25b614faf31810d.jpg</t>
  </si>
  <si>
    <t>Q302200226</t>
  </si>
  <si>
    <t>" A.T Alugela Aluminium phosphate gel 20% An Thiên (H/26 gói x 20g) "</t>
  </si>
  <si>
    <t>https://cdn2-retail-images.kiotviet.vn/2025/11/15/giabaopharma/7cbd3baa838d45d3bfbda5f82b554d2d.jpg</t>
  </si>
  <si>
    <t>Q30220024</t>
  </si>
  <si>
    <t>" A.T Ambroxol An Thiên 30mg (C/60ml) "</t>
  </si>
  <si>
    <t>https://cdn2-retail-images.kiotviet.vn/2025/11/15/giabaopharma/5ad8e0f43f5c4a6693fb529ebd77f958.jpg</t>
  </si>
  <si>
    <t>Q30220027</t>
  </si>
  <si>
    <t>" A.T Arginin 200mg An Thiên (H/10 vỉ x 10 viên nang) "</t>
  </si>
  <si>
    <t>https://cdn2-retail-images.kiotviet.vn/2025/11/06/giabaopharma/8478895b04e744fdb8bfc52c1fe09830.jpg</t>
  </si>
  <si>
    <t>GAN - BẢO VỆ GAN</t>
  </si>
  <si>
    <t>Q30220025</t>
  </si>
  <si>
    <t>" A.T Arginin 400mg An Thiên (H/10 vỉ x 10 viên nang) "</t>
  </si>
  <si>
    <t>https://cdn2-retail-images.kiotviet.vn/2025/10/29/giabaopharma/dfb0317260d6493cb2e27041cd4d1f16.jpg</t>
  </si>
  <si>
    <t>Q30220029</t>
  </si>
  <si>
    <t>" A.T Ascorbic Syrup Vitamin C An Thiên 100mg ( C/100ml) "</t>
  </si>
  <si>
    <t>https://cdn2-retail-images.kiotviet.vn/2025/10/29/giabaopharma/751325be35ca4356a61d7564493ce31c.jpg</t>
  </si>
  <si>
    <t>Q30220028</t>
  </si>
  <si>
    <t>" A.T Ascorbic Syrup Vitamin C An Thiên 100mg ( C/60ml) "</t>
  </si>
  <si>
    <t>https://cdn2-retail-images.kiotviet.vn/2025/10/03/giabaopharma/195753db42a44ac293c2d3dd2ce2741b.jpg</t>
  </si>
  <si>
    <t>Q302200210</t>
  </si>
  <si>
    <t>" A.T Ascorbic Syrup Vitamin C An Thiên 100mg/5ml ( H/30 ống x 10ml) "</t>
  </si>
  <si>
    <t>https://cdn2-retail-images.kiotviet.vn/2025/10/02/giabaopharma/9f2e7b1dfa624ed68dfc40a0b31dbf38.jpg</t>
  </si>
  <si>
    <t>Q302200211</t>
  </si>
  <si>
    <t>" A.T Calmax 456mg/426mg An Thiên (H/30 ống x 10ml ) "</t>
  </si>
  <si>
    <t>https://i.postimg.cc/FzyjQ7PY/Vi-n-u-ng-gout-Urique-Kingphar-gi-m-acid-uric-m-u-gi-m-nguy-c-vi-m-kh-p-do-gout-1-L-40-vi-n-4.png</t>
  </si>
  <si>
    <t>Q302200212</t>
  </si>
  <si>
    <t>" A.T Calmax Calcium Lactat 500mg An Thiên (H/30 ống x 10ml) "</t>
  </si>
  <si>
    <t>https://i.postimg.cc/Kz5tT7Q5/9941272e6f27475693d03ef060ec85d1.png</t>
  </si>
  <si>
    <t>Q302200216</t>
  </si>
  <si>
    <t>" A.T Domperidon 5mg An Thiên (C/30ml) "</t>
  </si>
  <si>
    <t>https://i.postimg.cc/gk0Jpxt5/Vi-n-u-ng-C-ng-g-n-c-t-vai-g-y-h-tr-m-nh-g-n-c-t-gi-m-au-nh-c-kh-p-1-L-40-vi-n-3.png</t>
  </si>
  <si>
    <t>Q302200214</t>
  </si>
  <si>
    <t>" A.T Domperidon 5mg An Thiên (H/30 gói x 5ml ) "</t>
  </si>
  <si>
    <t>https://i.postimg.cc/5yNLSHRf/5a22299d19a644b0afccd0301af4c3b9.jpg</t>
  </si>
  <si>
    <t>Q302200215</t>
  </si>
  <si>
    <t>" A.T Domperidon 5mg An Thiên (H/30 ốNG x 5ml ) "</t>
  </si>
  <si>
    <t>https://cdn2-retail-images.kiotviet.vn/2025/10/22/giabaopharma/61b76708db6a49188a22a86ec7050aa6.png</t>
  </si>
  <si>
    <t>Q302200217</t>
  </si>
  <si>
    <t>" A.T Entecavir 0.5mg An Thiên (H/3 vỉ x 10 viên nén) "</t>
  </si>
  <si>
    <t>https://i.postimg.cc/CMmjLNRh/7706e49ea355423986ee88334c64a190.jpg</t>
  </si>
  <si>
    <t>KHÁNG HISTAMIN - DỊ ỨNG</t>
  </si>
  <si>
    <t>Q302200227</t>
  </si>
  <si>
    <t>" A.T Fexofenadin 30mg/5ml An Thiên (C/30ml) "</t>
  </si>
  <si>
    <t>https://i.postimg.cc/xjtKTRXN/435e80a30aa94ba881c013d7b30a2aed.jpg</t>
  </si>
  <si>
    <t>Q302200218</t>
  </si>
  <si>
    <t>" A.T Hoạt huyết dưỡng não An Thiên (H/30 ống x 8ml) "</t>
  </si>
  <si>
    <t>https://i.postimg.cc/QN0pxbFS/3432728936254009a571a5db22edf988.jpg</t>
  </si>
  <si>
    <t>Q302200220</t>
  </si>
  <si>
    <t>" A.T Loratadin 10mg An Thiên (H/10 vỉ x 10 viên nén) "</t>
  </si>
  <si>
    <t>https://cdn2-retail-images.kiotviet.vn/2025/10/23/giabaopharma/1122b2fd615944d2b793d3dcb92bc2c2.png</t>
  </si>
  <si>
    <t>Q302200221</t>
  </si>
  <si>
    <t>" A.T Loratadin 10mg An Thiên (lọ 100 viên nén) "</t>
  </si>
  <si>
    <t>https://i.postimg.cc/KvWBt8ry/6f9275f5f5a04ec98b26f8246d8f03d0.jpg</t>
  </si>
  <si>
    <t>Q302200222</t>
  </si>
  <si>
    <t>" A.T Silymarin 117mg An Thiên (H/3 vỉ x 10 viên)"</t>
  </si>
  <si>
    <t>https://i.postimg.cc/1tGBb7KS/Vi-n-u-ng-Huy-t-ng-gi-m-nguy-c-ng-huy-t-cao-1-L-40-vi-n-2.png</t>
  </si>
  <si>
    <t>Q302200223</t>
  </si>
  <si>
    <t>" A.T Simvastatin 20mg An Thiên (H/3 vỉ x 10 viên nén) "</t>
  </si>
  <si>
    <t>https://i.postimg.cc/ZnY82bRx/Vi-n-u-ng-d-d-y-Kingphar-h-tr-gi-m-nguy-c-vi-m-lo-t-d-d-y-t-tr-ng-1-L-40-vi-n-5.png</t>
  </si>
  <si>
    <t>Q302200224</t>
  </si>
  <si>
    <t>" A.T Sucralfate 1000mg An Thiên (H/20 gói x 5g) "</t>
  </si>
  <si>
    <t>https://i.postimg.cc/JnMZHrbC/X-t-n-c-mu-i-bi-n-s-u-Seesalt-Baby-Kingphar-l-m-s-ch-m-i-1-chai-70ml-2.png</t>
  </si>
  <si>
    <t>Q302200225</t>
  </si>
  <si>
    <t>" A.T ZinC siro 10ml/5ml An Thiên (H/30 ống x 5ml ) "</t>
  </si>
  <si>
    <t>https://i.postimg.cc/Dy8sXYbf/X-t-n-c-mu-i-bi-n-s-u-Seesalt-Kingphar-l-m-s-ch-m-i-1-chai-70ml-3.png</t>
  </si>
  <si>
    <t>Q3029273982039</t>
  </si>
  <si>
    <t>" Aatelec Cilnidipine 10mg nén Nhật Bản (hộp 10 vỉ x 10 viên) "</t>
  </si>
  <si>
    <t>https://i.postimg.cc/hvJjf63R/Vi-n-m-m-u-Kingphar-gi-m-m-m-u-gi-m-nguy-c-x-v-a-ng-m-ch-1-L-40-vi-n-3-min.png</t>
  </si>
  <si>
    <t>Q302200229</t>
  </si>
  <si>
    <t>" Abanuti Levocarnitin 1g Phương Đông (H/20 ống x 10ml) "</t>
  </si>
  <si>
    <t>https://i.postimg.cc/gJGZGXdZ/29f54199d463419c87cfcdd933f35084.jpg</t>
  </si>
  <si>
    <t>Q302200230</t>
  </si>
  <si>
    <t>" Abidal Betamethasone 0.25mg Enlie (Lọ/500 viên nén ) "</t>
  </si>
  <si>
    <t>https://i.postimg.cc/0jtBHH80/425.png</t>
  </si>
  <si>
    <t>Q302200232</t>
  </si>
  <si>
    <t>" Abipolis xịt họng Abipha (L/ 10ml) "</t>
  </si>
  <si>
    <t>https://i.postimg.cc/MTtjH6KP/8572ba3c0a1b428aafd2e5d7108d174e.jpg</t>
  </si>
  <si>
    <t>Q302200233</t>
  </si>
  <si>
    <t>" Abipolis xịt mũi Abipha (L/ 15ml) "</t>
  </si>
  <si>
    <t>https://i.postimg.cc/RZ1cSJtx/z6960036079932-a403a431c9ff6df41548854d123e5d74.jpg</t>
  </si>
  <si>
    <t>HO - LONG ĐỜM</t>
  </si>
  <si>
    <t>Q302200234</t>
  </si>
  <si>
    <t>" Abrocto Ambroxol 30mg Hà Tĩnh (H/20 ống x 10 ml) "</t>
  </si>
  <si>
    <t>https://i.postimg.cc/nrz9QyXF/b285f413682548c29cc4f6e2b4316e88.jpg</t>
  </si>
  <si>
    <t>Q302200235</t>
  </si>
  <si>
    <t>" Abu Adi kẹo dẻo BR Pharma (Cọc/ 10 lọ x 15 viên) "</t>
  </si>
  <si>
    <t>https://cdn2-retail-images.kiotviet.vn/2025/12/23/giabaopharma/2a66efd0f48a4886b4b7503d9017d5de.png</t>
  </si>
  <si>
    <t>Q303200236</t>
  </si>
  <si>
    <t>" Abu Adi kẹo dẻo tam giác BR Pharma (cọc 10 hộp x 12g )"</t>
  </si>
  <si>
    <t>https://cdn-images.kiotviet.vn/2025/09/04/giabaopharma/028ca05d6cb94e19b4f7d09c3b3c8bca.jpg,https://cdn-images.kiotviet.vn/2025/09/04/giabaopharma/cbbfbdf98fcd4756a4a542e6609b410b.jpg</t>
  </si>
  <si>
    <t>Q302200237</t>
  </si>
  <si>
    <t>" Acantan HTZ 8 12.5 An Thiên (H/3 vỉ x 10 viên nén) "</t>
  </si>
  <si>
    <t>https://i.postimg.cc/MHFM09BF/2cf22ad31b6d4de1844614b24c011574.jpg</t>
  </si>
  <si>
    <t>Q302200238</t>
  </si>
  <si>
    <t>" ACC Acetylcystein 200mg Hexal Đức (H/50 gói ) "</t>
  </si>
  <si>
    <t>https://cdn2-retail-images.kiotviet.vn/2025/08/08/giabaopharma/a30242bca16b429784de498fb316e0cb.jpg</t>
  </si>
  <si>
    <t>Q302200240</t>
  </si>
  <si>
    <t>" ACEgoi cảm cúm trẻ em Agimexpharm (H/30 gói x 3g ) "</t>
  </si>
  <si>
    <t>https://i.postimg.cc/nzWmRvyQ/z7073077393721-4ef51f72113a681e1360e3a5baf93b3f-removebg-preview.png</t>
  </si>
  <si>
    <t>Q30221021</t>
  </si>
  <si>
    <t>" Acehasan Acetylcystein 100mg Hasan (H/30 gói x 2g ) "</t>
  </si>
  <si>
    <t>https://i.postimg.cc/J76kWzFd/3b04461ee3704f0f966214df4bdcbb21.jpg</t>
  </si>
  <si>
    <t>Q30221022</t>
  </si>
  <si>
    <t>" Acehasan Acetylcystein 200mg Hasan ( H/10 vỉ x 10 viên nang ) "</t>
  </si>
  <si>
    <t>https://i.postimg.cc/zB4jbZXR/254.png</t>
  </si>
  <si>
    <t>Q30223021</t>
  </si>
  <si>
    <t>" Acehasan Acetylcystein 200mg Hasan (H/30 gói x 3g) "</t>
  </si>
  <si>
    <t>https://i.postimg.cc/5NXF9Md4/e140beacb60c4b0695b84e6710c87c9b.jpg</t>
  </si>
  <si>
    <t>Q302935472</t>
  </si>
  <si>
    <t>" Acemuc Acetylcysteine 200mg Sanofi (Hộp 3 vỉ x 10 viên nang cứng) "</t>
  </si>
  <si>
    <t>https://i.postimg.cc/xTvRCZrc/295.png</t>
  </si>
  <si>
    <t>Q302888475</t>
  </si>
  <si>
    <t>" Acemuc Kids Acetylcysteine 100mg Sanofi (Hộp 30 gói x 0,5g thuốc cốm) "</t>
  </si>
  <si>
    <t>https://i.postimg.cc/Gp2JXh4P/Vi-n-u-ng-Ho-t-Huy-t-Euzofa-h-tr-ho-t-huy-t-t-ng-tu-n-ho-n-m-u-n-o-DATE-02-2027-H-p-30-vi-n.png</t>
  </si>
  <si>
    <t>Q302884738</t>
  </si>
  <si>
    <t>" Acemuc Kids Acetylcysteine 200mg Sanofi (Hộp 30 Gói X 1g Thuốc Cốm) "</t>
  </si>
  <si>
    <t>https://i.postimg.cc/RhccWWYC/Vi-n-u-ng-Soft-n-ng-ngon-Kingphar-h-tr-n-ng-ngon-t-ng-c-ng-s-c-kh-ng-H-30-vi-n-2.png</t>
  </si>
  <si>
    <t>Q30223025</t>
  </si>
  <si>
    <t>" Acenew Acetylcystein 200mg Z120 (H/ 30 gói ) "</t>
  </si>
  <si>
    <t>https://i.postimg.cc/nhdq9b3Q/ng-Canxi-D3-K2-Kingphar-h-tr-b-sung-canxi-vitamin-D3-cho-tr-em-H-p-4-v-x-5-ng-2.png</t>
  </si>
  <si>
    <t>Q30223024</t>
  </si>
  <si>
    <t>" Acenew Acetylcystein 200mg Z120 (H/10 Vỉ x 10 Viên nang) "</t>
  </si>
  <si>
    <t>https://cdn2-retail-images.kiotviet.vn/2025/08/05/giabaopharma/91d336b2ceb04a36985e2f50de55229c.jpg</t>
  </si>
  <si>
    <t>Q30223028</t>
  </si>
  <si>
    <t>" Acerin Gamma sữa rửa mặt chuyên dụng (C/155ml) "</t>
  </si>
  <si>
    <t>https://i.postimg.cc/9fh4BR42/cb56253e5556490894e7afe8f4fc6b6d.jpg</t>
  </si>
  <si>
    <t>Q30223029</t>
  </si>
  <si>
    <t>" Aceronko 1 Acenocoumarol 1mg TW1 Pharbaco (H/3 vỉ x 10 viên nén) "</t>
  </si>
  <si>
    <t>https://cdn2-retail-images.kiotviet.vn/2025/10/06/giabaopharma/16d1ea0dc96242f89e533dc6f460d270.jpg</t>
  </si>
  <si>
    <t>Q302230210</t>
  </si>
  <si>
    <t>" Aceronko 4 Acenocoumarol 4mg TW1 Pharbaco (H/3 vỉ x 10 viên nén) "</t>
  </si>
  <si>
    <t>https://i.postimg.cc/N0kKCsTd/cc8a15f4abf3457491f0aab1322ed718.jpg</t>
  </si>
  <si>
    <t>Q3024032306</t>
  </si>
  <si>
    <t>" Acetylcystein 200mg Boston (hộp 30 gói x 1g ) "</t>
  </si>
  <si>
    <t>https://i.postimg.cc/1tRfLkr1/eb94ff50e6eb43869c6748e58cbf0dd5.jpg</t>
  </si>
  <si>
    <t>Q3024032303</t>
  </si>
  <si>
    <t>" Acetylcystein 200mg Mekophar(hộp 10 vỉ x 10 viên nang) "</t>
  </si>
  <si>
    <t>https://i.postimg.cc/d1WLv55s/c4fdb9e532a74a849000fc9e71568541.jpg</t>
  </si>
  <si>
    <t>Q3024032302</t>
  </si>
  <si>
    <t>" Acetylcystein 200mg nang Khánh Hòa (hộp 10 vỉ x 10 viên ) "</t>
  </si>
  <si>
    <t>https://i.postimg.cc/GtVtTH0Q/d601cb34777e401aae6a4b226a862d30.jpg</t>
  </si>
  <si>
    <t>Q3024032304</t>
  </si>
  <si>
    <t>" Acetylcystein 200mg Vidipha (hộp 20 gói x 1g) "</t>
  </si>
  <si>
    <t>https://i.postimg.cc/nc9CbY7g/1020187ead6a4aa5ae3ed8ca196d8e57.jpg</t>
  </si>
  <si>
    <t>Q3024032305</t>
  </si>
  <si>
    <t>" Acetylcystein 200mg Vidiphar (hộp 20 vỉ x 10 viên nang ) "</t>
  </si>
  <si>
    <t>https://i.postimg.cc/Dwq0mvxr/94e98065103548efbdbdf2399009e343.jpg</t>
  </si>
  <si>
    <t>Q3024032309</t>
  </si>
  <si>
    <t>" Acetylcystein EG 200mg Pymepharco (hộp 30 gói x 2g ) "</t>
  </si>
  <si>
    <t>https://i.postimg.cc/3wYRvs6p/111f492ee4c6483b89502979d4176520.jpg</t>
  </si>
  <si>
    <t>Q3024032310</t>
  </si>
  <si>
    <t>" Acginin B400 9++ Trường Thọ (hộp 12 vỉ x 5 viên nang) "</t>
  </si>
  <si>
    <t>https://i.postimg.cc/Bvpvch9y/22c5725cd6fa43588cfbcfa4ea23b351.jpg</t>
  </si>
  <si>
    <t>Q3024032312</t>
  </si>
  <si>
    <t>" Acid Trichloraceric 80% l Minh Khang (hộp lọ 15m) "</t>
  </si>
  <si>
    <t>https://cdn-images.kiotviet.vn/2025/06/19/giabaopharma/483aaff6b2274282b8812ec112d8d40d.jpg,https://cdn2-retail-images.kiotviet.vn/2025/06/19/giabaopharma/5b34b4cda11544e1b39b696705b57545.jpg,https://cdn-images.kiotviet.vn/2025/06/19/giabaopharma/5f8f84e06eca4155a57471d2cc17cc86.jpg</t>
  </si>
  <si>
    <t>Q3024032313</t>
  </si>
  <si>
    <t>" Acnacare Mega Thái Lan (hộp 3 vỉ x 10 viên nang mềm ) "</t>
  </si>
  <si>
    <t>https://i.postimg.cc/G2Sh6HpT/4a91ffb1d57745fdbf1cb12079f71d5f.jpg</t>
  </si>
  <si>
    <t>KHÁC</t>
  </si>
  <si>
    <t>Q3024032314</t>
  </si>
  <si>
    <t>" Acne Aid Bar xà phòng Stiefel "</t>
  </si>
  <si>
    <t>https://i.postimg.cc/Kj6cvwLC/04f5f82aca034e919f23f172e689804b.jpg</t>
  </si>
  <si>
    <t>Q3024032315</t>
  </si>
  <si>
    <t>" AcneQuidt bôi mụn Đức Tâm (hộp lọ 20ml ) "</t>
  </si>
  <si>
    <t>https://cdn2-retail-images.kiotviet.vn/2025/06/14/giabaopharma/6f47fb206d51497f8908690b539ab23a.jpg</t>
  </si>
  <si>
    <t>Q3024032316</t>
  </si>
  <si>
    <t>" Acnes Blemish Clear Cream giảm mụn chuyên sâu Rohto (hộp tuýp 10g ) "</t>
  </si>
  <si>
    <t>https://cdn2-retail-images.kiotviet.vn/2025/06/14/giabaopharma/661216c3c9544621acf4d001b25ad168.jpg</t>
  </si>
  <si>
    <t>Q3024032317</t>
  </si>
  <si>
    <t>" Acnes giấy thấm dầu Rhoto "</t>
  </si>
  <si>
    <t>https://i.postimg.cc/qBSvLhY2/86141edfe2ae4711b031392ed84f54f8.jpg</t>
  </si>
  <si>
    <t>Q3024032318</t>
  </si>
  <si>
    <t>" Acnes Medical Cream trị mụn sưng đỏ và đau Rohto (hộp tuýp 18g) "</t>
  </si>
  <si>
    <t>https://cdn2-retail-images.kiotviet.vn/2025/06/04/giabaopharma/6011a9eaea244e24867f8176ebe6cb6c.jpg,https://cdn2-retail-images.kiotviet.vn/2025/06/04/giabaopharma/6943610c5ec04946ab4cbbabcde0581b.jpg</t>
  </si>
  <si>
    <t>Q3024032319</t>
  </si>
  <si>
    <t>" Acnes Scar Care trị sẹo mờ thâm Rhoto (hộp Tube 12g) "</t>
  </si>
  <si>
    <t>https://cdn-images.kiotviet.vn/2025/06/19/giabaopharma/82fe1c8d50be41c18e28e93980bee514.jpg,https://cdn-images.kiotviet.vn/2025/06/19/giabaopharma/5801e19c1be2412eb333dc3d0e91ebc9.jpg,https://cdn-images.kiotviet.vn/2025/06/19/giabaopharma/79009d1c2b6445a79532113d838c30bb.jpg</t>
  </si>
  <si>
    <t>Q3024032320</t>
  </si>
  <si>
    <t>" Acnes Sealing Jell trị mụn trắng, đầu đen Rhoto (Tube 18g) "</t>
  </si>
  <si>
    <t>https://cdn2-retail-images.kiotviet.vn/2025/06/02/giabaopharma/59e919bb17e54951b1a52fee813db215.jpg</t>
  </si>
  <si>
    <t>Q3024032321</t>
  </si>
  <si>
    <t>" Acnes sữa rửa mặt bọt Rhoto (lọ 150ml) "</t>
  </si>
  <si>
    <t>https://cdn2-retail-images.kiotviet.vn/2025/05/29/giabaopharma/b34946fe952b4743bcc6207c69b5d402.jpg,https://cdn2-retail-images.kiotviet.vn/2025/05/29/giabaopharma/16f749c8eeb94af788b9b9a6a638bca5.jpg,https://cdn2-retail-images.kiotviet.vn/2025/05/29/giabaopharma/bcaf98ec6110487292a839b4337e1a90.jpg,https://cdn2-retail-images.kiotviet.vn/2025/05/29/giabaopharma/afdd85e7778247a38864267d3eed6dc3.jpg</t>
  </si>
  <si>
    <t>Q3024032322</t>
  </si>
  <si>
    <t>" Acnes sữa rửa mặt bùn non Rhoto (Tube 100g) "</t>
  </si>
  <si>
    <t>https://cdn2-retail-images.kiotviet.vn/2025/05/29/giabaopharma/cf0449edfeeb47ebad11087d1f9eddfb.jpg,https://cdn2-retail-images.kiotviet.vn/2025/05/29/giabaopharma/3bb3c3fd1cb44661afca64484edcbe85.jpg,https://cdn2-retail-images.kiotviet.vn/2025/05/29/giabaopharma/981357198f9c45b6a9291face602767e.jpg,https://cdn2-retail-images.kiotviet.vn/2025/05/29/giabaopharma/d2d38a4bcd2b40b3b4e0b57fb7505181.jpg</t>
  </si>
  <si>
    <t>Q3024032323</t>
  </si>
  <si>
    <t>" Acnes sữa rửa mặt Creamy Wash AHA/BHA/Zinc Rohto (tuýp 100g) "</t>
  </si>
  <si>
    <t>https://cdn2-retail-images.kiotviet.vn/2025/05/29/giabaopharma/9d3b23ef31724c25a43bfabe62e9d907.jpg,https://cdn2-retail-images.kiotviet.vn/2025/05/29/giabaopharma/6692911268974d26ad92832ac75bded9.jpg,https://cdn2-retail-images.kiotviet.vn/2025/05/29/giabaopharma/b094682acc364fa4b685b4b4876c76be.jpg,https://cdn2-retail-images.kiotviet.vn/2025/05/29/giabaopharma/478b62cfbc494591a02a31c8004d737d.jpg</t>
  </si>
  <si>
    <t>Q3024032324</t>
  </si>
  <si>
    <t>" Acnes sữa rửa mặt Gentle Wash cho da nhạy cảm Rhoto (tuýp 100g) "</t>
  </si>
  <si>
    <t>https://cdn2-retail-images.kiotviet.vn/2025/05/28/giabaopharma/9ff423bc388745ed82ce2bf42ae36880.jpg,https://cdn-images.kiotviet.vn/2025/05/28/giabaopharma/f6f0ab5614e24915aae89bbf124b0855.jpg,https://cdn-images.kiotviet.vn/2025/05/28/giabaopharma/cb6cbe46a59148a6aa31e985825d9451.jpg</t>
  </si>
  <si>
    <t>Q3024032325</t>
  </si>
  <si>
    <t>" Acnes sữa rửa mặt ngừa mụn ( tuýp ) "</t>
  </si>
  <si>
    <t>https://cdn2-retail-images.kiotviet.vn/2025/05/28/giabaopharma/2f07070fbf3e4638ad7665fb447554eb.jpg,https://cdn-images.kiotviet.vn/2025/05/28/giabaopharma/5973e769e7154a3bb7e254f7b3baa3f6.jpg</t>
  </si>
  <si>
    <t>Q3024032326</t>
  </si>
  <si>
    <t>" Acnes sữa rửa mặt nhờn Rhoto( Tube 100g ) "</t>
  </si>
  <si>
    <t>https://cdn2-retail-images.kiotviet.vn/2025/10/23/giabaopharma/c04f26a7ed544b90a7c6dbd624295013.png</t>
  </si>
  <si>
    <t>Q3024032327</t>
  </si>
  <si>
    <t>" Acnes sữa rửa mặt trắng da Rhoto (Tube 100g ) "</t>
  </si>
  <si>
    <t>https://cdn-images.kiotviet.vn/2025/05/20/giabaopharma/7bb3dbf1460347299ef0e717b93170b9.jpg,https://cdn-images.kiotviet.vn/2025/05/20/giabaopharma/aad723b66cf3403c9d21aafee0cc95c8.jpg,https://cdn2-retail-images.kiotviet.vn/2025/05/20/giabaopharma/713cd3598d89447e9ea4d49a77bebef7.jpg,https://cdn-images.kiotviet.vn/2025/05/20/giabaopharma/44062ce46d794d0893e948fd84792cef.jpg</t>
  </si>
  <si>
    <t>Q3024032328</t>
  </si>
  <si>
    <t>" Acnes sữa rửa mặt Vitamin Cleanser Rhoto ( Tube 100g) "</t>
  </si>
  <si>
    <t>https://cdn-images.kiotviet.vn/2025/05/20/giabaopharma/359b7611296a4f9896102a3ce98b4288.jpg,https://cdn-images.kiotviet.vn/2025/05/20/giabaopharma/1ef21d6410c74db8821c1e6134a8dfb7.jpg,https://cdn-images.kiotviet.vn/2025/05/20/giabaopharma/3b59a0df8b6f407c94842df8e75aadc1.jpg</t>
  </si>
  <si>
    <t>Q3024032330</t>
  </si>
  <si>
    <t>" Acnotin Isotretinoin 10mg Mega (hộp 3 vỉ x 10 viên nang mềm) "</t>
  </si>
  <si>
    <t>https://cdn-images.kiotviet.vn/2025/05/20/giabaopharma/8fafb841fc924217a9380a62a40e17a4.jpg,https://cdn-images.kiotviet.vn/2025/05/20/giabaopharma/b4e2da4c6b1745f2be316db082acf079.jpg,https://cdn-images.kiotviet.vn/2025/05/20/giabaopharma/e1c26f261ea642669f134cdf6d83ac19.jpg,https://cdn-images.kiotviet.vn/2025/05/20/giabaopharma/6a474ef67970427bb5df761de69ec7b9.jpg</t>
  </si>
  <si>
    <t>Q3024032331</t>
  </si>
  <si>
    <t>" Acnotin Isotretinoin 20mg Mega (hộp 3 vỉ x 10 viên nang mềm) "</t>
  </si>
  <si>
    <t>https://cdn-images.kiotviet.vn/2025/05/20/giabaopharma/ce82bcd26cce45cd9c172bba89629182.jpg,https://cdn-images.kiotviet.vn/2025/05/20/giabaopharma/d68e93c09c82447f90c15a59accb9db0.jpg</t>
  </si>
  <si>
    <t>GIẢM ĐAU - HẠ SỐT</t>
  </si>
  <si>
    <t>Q3022403001</t>
  </si>
  <si>
    <t>" Actadol Extra giảm đau hạ sốt Quảng Bình ( hộp 10 vỉ x 10 viên nén) "</t>
  </si>
  <si>
    <t>https://cdn2-retail-images.kiotviet.vn/2025/05/19/giabaopharma/8726e7c2609b4ce18aa27f0386a078d1.jpg,https://cdn-images.kiotviet.vn/2025/05/19/giabaopharma/c163adbb796f4e689f4ea86a31561b95.jpg,https://cdn-images.kiotviet.vn/2025/05/19/giabaopharma/8d490384d64640a8a55666597064f18f.jpg</t>
  </si>
  <si>
    <t>Q3024032333</t>
  </si>
  <si>
    <t>" Actadol Extra giảm đau hạ sốt Quảng Bình (hộp 10 vỉ x 10 viên nén) "</t>
  </si>
  <si>
    <t>https://cdn2-retail-images.kiotviet.vn/2025/11/22/giabaopharma/8347597feec84118b4013980fbf4ad2c.png</t>
  </si>
  <si>
    <t>Q3024032334</t>
  </si>
  <si>
    <t>" Actiso cao nước Lâm Đồng (hộp 10 ống x 10ml ) "</t>
  </si>
  <si>
    <t>https://cdn2-retail-images.kiotviet.vn/2025/04/17/giabaopharma/26aba8de5d874954b9c359087e028629.jpg</t>
  </si>
  <si>
    <t>Q3024032335</t>
  </si>
  <si>
    <t>" Actiso Hậu Giang (hộp 10 ống x 10ml ) "</t>
  </si>
  <si>
    <t>https://cdn2-retail-images.kiotviet.vn/2025/04/12/giabaopharma/a9cec9db5e9248e7911cfe532374c8c3.jpg,https://cdn2-retail-images.kiotviet.vn/2025/04/15/giabaopharma/df379efbdcd24bc08ac495da99aa0fcf.jpg,https://cdn2-retail-images.kiotviet.vn/2025/04/15/giabaopharma/873c1e835d024dff9f8696767fb5b2d7.jpg,https://cdn2-retail-images.kiotviet.vn/2025/04/18/giabaopharma/b1eafadabbe5414ab0031d4c077d0a21.png</t>
  </si>
  <si>
    <t>SINH LÝ - THẬN - TIẾT NIỆU</t>
  </si>
  <si>
    <t>Q3024032336</t>
  </si>
  <si>
    <t>" Activ Gra Sil Sildenafil 50mg Mediplantex (hộp 1 vỉ x 4 viên nén) "</t>
  </si>
  <si>
    <t>https://cdn2-retail-images.kiotviet.vn/2025/04/05/giabaopharma/faddcb90a01246a1ac782fee38da10a2.jpg</t>
  </si>
  <si>
    <t>HÀNG TIÊM - TRUYỀN</t>
  </si>
  <si>
    <t>Q3022403003</t>
  </si>
  <si>
    <t>" Actrapid Insulin human Novo Nordisk ( hộp 100IU/ml lọ 10ml tiêm) "</t>
  </si>
  <si>
    <t>https://cdn2-retail-images.kiotviet.vn/2025/04/05/giabaopharma/93ebcb1067794141bd1d9c89a5d35eb1.jpg</t>
  </si>
  <si>
    <t>KHÁNG SINH - KHÁNG VIRUS</t>
  </si>
  <si>
    <t>Q3024032337</t>
  </si>
  <si>
    <t>" Acyclovir 200mg Boston (hộp 5 vỉ x 5 viên nén ) "</t>
  </si>
  <si>
    <t>https://cdn2-retail-images.kiotviet.vn/2025/04/05/giabaopharma/c82094cafb714a679726acb8f7b45183.jpg</t>
  </si>
  <si>
    <t>Q3024032338</t>
  </si>
  <si>
    <t>" Acyclovir 200mg Stella (hộp 5 vỉ x 5 viên nén) "</t>
  </si>
  <si>
    <t>https://cdn2-retail-images.kiotviet.vn/2025/04/01/giabaopharma/d5665c7f8c0942a993302dc2010a6c83.jpg</t>
  </si>
  <si>
    <t>Q3024032339</t>
  </si>
  <si>
    <t>" Acyclovir 250mg tube 5g Stella(lốc 10 tuýp 5g) "</t>
  </si>
  <si>
    <t>https://cdn2-retail-images.kiotviet.vn/2025/04/01/giabaopharma/508eab09250248af95a5852d6ce22ef9.jpg</t>
  </si>
  <si>
    <t>Q3024032340</t>
  </si>
  <si>
    <t>" Acyclovir 400mg Stella (hộp 7 vỉ x 5 viên nén) "</t>
  </si>
  <si>
    <t>https://cdn2-retail-images.kiotviet.vn/2025/03/31/giabaopharma/e0db80b07bac471a89c083db758e0d0a.jpg</t>
  </si>
  <si>
    <t>Q3024032341</t>
  </si>
  <si>
    <t>" Acyclovir 800mg Boston (hộp 5 vỉ x 5 viên nén) "</t>
  </si>
  <si>
    <t>https://cdn2-retail-images.kiotviet.vn/2025/03/31/giabaopharma/81fcfb96c2c748a680991c513c5dad3c.jpg</t>
  </si>
  <si>
    <t>Q3024032342</t>
  </si>
  <si>
    <t>" Acyclovir 800mg Stella (hộp 7 vỉ x 5 viên nén ) "</t>
  </si>
  <si>
    <t>https://cdn2-retail-images.kiotviet.vn/2025/03/28/giabaopharma/b7befa3c0ef84a75ad3e82ab488b999c.jpg</t>
  </si>
  <si>
    <t>Q3024032343</t>
  </si>
  <si>
    <t>" Acyclovir Medipharco(cọc 10 tuýp x 5g ) "</t>
  </si>
  <si>
    <t>https://cdn2-retail-images.kiotviet.vn/2025/04/11/giabaopharma/9650561bd9844a1580614968831d4d6c.jpg</t>
  </si>
  <si>
    <t>Q3024032344</t>
  </si>
  <si>
    <t>" Acyclovir STADA Tube 2g Đức (lốc 10 tuýp) "</t>
  </si>
  <si>
    <t>https://cdn2-retail-images.kiotviet.vn/2025/03/27/giabaopharma/61f14d7ea22e4ea68d39284ab7a0fc78.jpg</t>
  </si>
  <si>
    <t>Q3024032345</t>
  </si>
  <si>
    <t>" Adam Pluss nang Mỹ (lọ 30 viên ) "</t>
  </si>
  <si>
    <t>https://cdn2-retail-images.kiotviet.vn/2025/04/10/giabaopharma/5caf53ced9464a4a8adb8a347b9c3b95.png,https://cdn2-retail-images.kiotviet.vn/2025/03/29/giabaopharma/14ff70966bb44627ba2d96cbc857a4ca.jpg,https://cdn2-retail-images.kiotviet.vn/2025/03/29/giabaopharma/a089f1b643dd46e3b45f7e4ffdb8c359.jpg,https://cdn2-retail-images.kiotviet.vn/2025/03/29/giabaopharma/f16a0ea1d4c8456dab70efffaf65caa1.jpg,https://cdn2-retail-images.kiotviet.vn/2025/04/10/giabaopharma/6c7984a4f8794c6081589372c9ebff09.jpg</t>
  </si>
  <si>
    <t>Q3024032346</t>
  </si>
  <si>
    <t>" Adaphil sữa rửa mặt Gamma (hộp lọ 500ml ) "</t>
  </si>
  <si>
    <t>https://cdn2-retail-images.kiotviet.vn/2025/04/10/giabaopharma/109662ece21943139493e1eef052465c.png,https://cdn2-retail-images.kiotviet.vn/2025/04/10/giabaopharma/be8dfe1dbbd7484c889edf670d940775.png,https://cdn2-retail-images.kiotviet.vn/2025/04/10/giabaopharma/20d7ca0795314e94a852ecc000290887.png,https://cdn2-retail-images.kiotviet.vn/2025/04/10/giabaopharma/2af0631f48ec4ffb927595deac907b5f.png,https://cdn2-retail-images.kiotviet.vn/2025/04/10/giabaopharma/6040e602a1cd4d9aae1ff269c98e93e2.png</t>
  </si>
  <si>
    <t>Q3024032347</t>
  </si>
  <si>
    <t>" Aderma kem liền sẹo Pháp (hộp Tube 40ml) "</t>
  </si>
  <si>
    <t>https://cdn2-retail-images.kiotviet.vn/2025/03/24/giabaopharma/b69d241839d54bf49c84411b330af984.jpg</t>
  </si>
  <si>
    <t>Q302873629</t>
  </si>
  <si>
    <t>" ADKold - New For Children Pharbaco 1,5g (Hộp 10 gói) "</t>
  </si>
  <si>
    <t>https://cdn2-retail-images.kiotviet.vn/2025/03/24/giabaopharma/7faf6361e7264e499f933cbd9b7318ac.jpg,https://cdn2-retail-images.kiotviet.vn/2025/05/29/giabaopharma/2ce22d088ff2488eaae9ddb579a4920a.jpg,https://cdn2-retail-images.kiotviet.vn/2025/05/29/giabaopharma/315274f1b33d4e428adbee5b4aff515a.jpg</t>
  </si>
  <si>
    <t>Q3024032348</t>
  </si>
  <si>
    <t>" Adrenalin 1mg/ 1ml dung dịch tiêm Vinphaco (hộp 5 vỉ x 10 ống x 1ml) "</t>
  </si>
  <si>
    <t>https://cdn2-retail-images.kiotviet.vn/2025/03/24/giabaopharma/83f9c726c74d41a6bae033e8dcf64d57.jpg</t>
  </si>
  <si>
    <t>Q3024032350</t>
  </si>
  <si>
    <t>" Aerius Desloratadine 0.5mg/1ml MSD (chai 60ml) "</t>
  </si>
  <si>
    <t>https://cdn2-retail-images.kiotviet.vn/2025/03/22/giabaopharma/9b27f6ad91254ae9a3ff7bc77de6fd5d.jpg</t>
  </si>
  <si>
    <t>Q303003048</t>
  </si>
  <si>
    <t>" Aerius Desloratadine 5mg MSD (hộp 10 viên nén) "</t>
  </si>
  <si>
    <t>https://cdn2-retail-images.kiotviet.vn/2025/03/22/giabaopharma/ab9ddcb4ce5e44d4b5d7525eca23c9e5.jpg</t>
  </si>
  <si>
    <t>Q302403100</t>
  </si>
  <si>
    <t>https://cdn2-retail-images.kiotviet.vn/2025/03/22/giabaopharma/5f2bd4e84bbe42f39d45252b767d0136.jpg</t>
  </si>
  <si>
    <t>Q302403101</t>
  </si>
  <si>
    <t>" Aescin 20mg Minh Hải (hộp 3 vỉ x 30 viên nén) "</t>
  </si>
  <si>
    <t>https://cdn2-retail-images.kiotviet.vn/2025/03/22/giabaopharma/dcd981b680e044b2a147f2a60664ef77.jpg</t>
  </si>
  <si>
    <t>Q302403102</t>
  </si>
  <si>
    <t>" Aescin 40mg Minh Hải (hộp 3 vỉ x 10 viên nén) "</t>
  </si>
  <si>
    <t>https://cdn2-retail-images.kiotviet.vn/2025/12/23/giabaopharma/8887ac99b81949618e65338405d9c58b.png</t>
  </si>
  <si>
    <t>CƠ - XƯƠNG - KHỚP</t>
  </si>
  <si>
    <t>Q302403103</t>
  </si>
  <si>
    <t>" Agdicerin Diacerein 50mg Agimexpharm (hộp 3 vỉ x 10 viên nang) "</t>
  </si>
  <si>
    <t>https://cdn-images.kiotviet.vn/giabaopharma/cd86235ebe96488a86a72980bacea4ad.png</t>
  </si>
  <si>
    <t>Q302403105</t>
  </si>
  <si>
    <t>" Agenytin xịt ngũ sắc Hà Thành (Lốc10 lọ /15ml ) "</t>
  </si>
  <si>
    <t>https://cdn2-retail-images.kiotviet.vn/2025/12/23/giabaopharma/e6f9d1b56ef841f2aee4bb37df9d161d.png</t>
  </si>
  <si>
    <t>Q302403106</t>
  </si>
  <si>
    <t>" Agi Neurin Vitamin 3B Agimexpharm (hộp 10 vỉ x 10 viên nén) "</t>
  </si>
  <si>
    <t>https://cdn2-retail-images.kiotviet.vn/2025/03/20/giabaopharma/4153e67b0c0b48c2beb798009d7ec23c.jpg</t>
  </si>
  <si>
    <t>Q302403107</t>
  </si>
  <si>
    <t>" Agi-Cotrim F Agimexpharm(lọ 500 viên nén ) "</t>
  </si>
  <si>
    <t>https://cdn2-retail-images.kiotviet.vn/2025/03/17/giabaopharma/778be32f7bcc4f919db1363c000e2a58.jpg</t>
  </si>
  <si>
    <t>Q302403108</t>
  </si>
  <si>
    <t>" Agibetadex Agimexpham (lọ 500 viên nén) "</t>
  </si>
  <si>
    <t>https://cdn2-retail-images.kiotviet.vn/2025/03/13/giabaopharma/272a74ff8c154d3496fd93f6c4a5a11e.png</t>
  </si>
  <si>
    <t>Q302403109</t>
  </si>
  <si>
    <t>" Agicedol Paracetamol 500mg Agimexpharm (hộp 10 vỉ x 10 viên nén ) "</t>
  </si>
  <si>
    <t>https://cdn2-retail-images.kiotviet.vn/2025/03/13/giabaopharma/b8cd0053295a4e52851abf5aecca9213.jpg</t>
  </si>
  <si>
    <t>Q302403110</t>
  </si>
  <si>
    <t>" Agicetam Piracetam 800mg Agimexpharm(hộp 10 vỉ x 10 viên nén) "</t>
  </si>
  <si>
    <t>https://cdn2-retail-images.kiotviet.vn/2025/03/13/giabaopharma/9480a7a432e643b481b6e35bd636e6ab.jpg</t>
  </si>
  <si>
    <t>CẢM CÚM - VIÊM XOANG</t>
  </si>
  <si>
    <t>Q302403112</t>
  </si>
  <si>
    <t>" Agidolgen Agimexpharm (hộp 10 vỉ x 10 viên nén) "</t>
  </si>
  <si>
    <t>https://cdn2-retail-images.kiotviet.vn/2025/03/13/giabaopharma/3ce159cb9c554557b1b7219ca907989e.jpg</t>
  </si>
  <si>
    <t>Q302403113</t>
  </si>
  <si>
    <t>" Agietoxib Eritocoxib 90mg Agimexpharm(hộp 3 vỉ x 10 viên nén) "</t>
  </si>
  <si>
    <t>https://cdn2-retail-images.kiotviet.vn/2025/03/12/giabaopharma/6117512b892d42869632b53f314d69dd.jpg,https://cdn2-retail-images.kiotviet.vn/2025/03/12/giabaopharma/9bf8ec1fc3854d32999fee47c89638b1.jpg</t>
  </si>
  <si>
    <t>Q302403114</t>
  </si>
  <si>
    <t>" Agifuros Furosemide 40mg Agimexpharm (hộp 10 vỉ x 25 viên nén) "</t>
  </si>
  <si>
    <t>https://cdn2-retail-images.kiotviet.vn/2025/03/12/giabaopharma/55f7dec9d51e4f23b7fb95b479ecfcd2.jpg,https://cdn2-retail-images.kiotviet.vn/2025/03/12/giabaopharma/f3f99e98d6be404a95ec7f121cedab91.jpg,https://cdn2-retail-images.kiotviet.vn/2025/03/12/giabaopharma/561385128cbb404c83a039a2f316bf67.jpg</t>
  </si>
  <si>
    <t>Q302403115</t>
  </si>
  <si>
    <t>" Agilecox 200 Celecoxib 200mg Agimexpharm(hộp 4 vỉ x 10 viên nang) "</t>
  </si>
  <si>
    <t>https://cdn2-retail-images.kiotviet.vn/2025/03/12/giabaopharma/09e3a293838748bfa22e7a4302f20312.jpg,https://cdn2-retail-images.kiotviet.vn/2025/03/12/giabaopharma/88cfd380e4c9487baa012cee07be5e59.jpg</t>
  </si>
  <si>
    <t>Q302403116</t>
  </si>
  <si>
    <t>" Agimdogyl Agimexpharmi (hộp 4 vỉ x 10 viên nén) "</t>
  </si>
  <si>
    <t>https://cdn2-retail-images.kiotviet.vn/2025/03/12/giabaopharma/aa035f9e8e7349a3a6f9e0c950a0fa66.jpg,https://cdn2-retail-images.kiotviet.vn/2025/03/12/giabaopharma/b8e663ec30174e1c9a954b06d1ca13ed.jpg</t>
  </si>
  <si>
    <t>Q302403117</t>
  </si>
  <si>
    <t>" Agimepzol Omeprazole 20mg Agimexpharm ( hộp 10 vỉ x 10 viên nang ) "</t>
  </si>
  <si>
    <t>https://cdn2-retail-images.kiotviet.vn/2025/03/12/giabaopharma/20e014b490ea4ff4a2ba1ae8f60acaa2.jpg,https://cdn2-retail-images.kiotviet.vn/2025/03/12/giabaopharma/b9fe378ace1d4e44b7938c0be1023009.jpg</t>
  </si>
  <si>
    <t>Q302403118</t>
  </si>
  <si>
    <t>" Agimepzol Omeprazole 20mg Agimexpharm (lọ 200 viên nang) "</t>
  </si>
  <si>
    <t>https://cdn2-retail-images.kiotviet.vn/2025/05/29/giabaopharma/34f7ff97fd734e16881fb2890a43e233.jpg,https://cdn2-retail-images.kiotviet.vn/2025/05/29/giabaopharma/21540a83a7b54fe4a1cd1cfda09e88c8.jpg,https://cdn2-retail-images.kiotviet.vn/2025/05/29/giabaopharma/593b4aa2937e413da859b5a9606f4346.jpg,https://cdn2-retail-images.kiotviet.vn/2025/05/29/giabaopharma/6e7dc2a3d4af4e98aa72bebbab734681.jpg</t>
  </si>
  <si>
    <t>Q302403119</t>
  </si>
  <si>
    <t>" Agimetpred 16 Methylprednisolon 16mg Agimexpharm (hộp 6 vỉ x 10 viên nén) "</t>
  </si>
  <si>
    <t>https://cdn2-retail-images.kiotviet.vn/2025/03/07/giabaopharma/ad0d59a876254c24af0a38606f783a2d.jpg</t>
  </si>
  <si>
    <t>Q3022403004</t>
  </si>
  <si>
    <t>" Agimfast Fexofenadin 120mg Agimexpharm ( hộp 2 vỉ x 10 viên nén) "</t>
  </si>
  <si>
    <t>https://cdn2-retail-images.kiotviet.vn/2025/03/07/giabaopharma/fec9d40410b74b11b6b9209dc3562457.jpg</t>
  </si>
  <si>
    <t>Q302403120</t>
  </si>
  <si>
    <t>" Agimfast Fexofenadin 180mg Agimexpharmi (hộp 2 vỉ x 10 viên nén) "</t>
  </si>
  <si>
    <t>https://cdn2-retail-images.kiotviet.vn/2025/03/03/giabaopharma/baa9e9c428a4459895f77c7bb7e0c1ed.jpg</t>
  </si>
  <si>
    <t>Q302403121</t>
  </si>
  <si>
    <t>" Agimoti Domperidon 30mg hỗn dịch Agimexpharm(chai 30ml ) "</t>
  </si>
  <si>
    <t>https://cdn2-retail-images.kiotviet.vn/2025/03/01/giabaopharma/f8545530ecf2414d8ddfaab3311a0b39.jpg</t>
  </si>
  <si>
    <t>Q302403122</t>
  </si>
  <si>
    <t>" Agimoti S hộp Agimexpharm(hộp 30 gói x 1g) "</t>
  </si>
  <si>
    <t>https://cdn2-retail-images.kiotviet.vn/2025/02/28/giabaopharma/10d18355749444f997d09feedc135630.jpg</t>
  </si>
  <si>
    <t>Q302403123</t>
  </si>
  <si>
    <t>" AgiMycob Agimexpharm (hộp 10 viên đặt ) "</t>
  </si>
  <si>
    <t>https://cdn2-retail-images.kiotviet.vn/2025/02/28/giabaopharma/737f2939ae9642f19ad0aff499b8ef87.jpg</t>
  </si>
  <si>
    <t>Q302403124</t>
  </si>
  <si>
    <t>" Agiroxi Roxithromycin 50mg Agimexpharm (hộp 30 gói x 1.5g ) "</t>
  </si>
  <si>
    <t>https://cdn2-retail-images.kiotviet.vn/2025/02/28/giabaopharma/f62f56d04c6b4ed5874ba24907c273ef.jpg</t>
  </si>
  <si>
    <t>Q302403125</t>
  </si>
  <si>
    <t>" Aju Akinol Isotretinoin 10mg trị mụn Phil (hộp 3 vỉ x 10 viên nang mềm) "</t>
  </si>
  <si>
    <t>https://cdn2-retail-images.kiotviet.vn/2025/02/28/giabaopharma/d3890c9b0c1d45169962473d64d1abb2.jpg</t>
  </si>
  <si>
    <t>Q302403131</t>
  </si>
  <si>
    <t>" Akitykity New Albendazole 200mg TW1 Pharbaco ( hộp 2 gói x 1.5g ) "</t>
  </si>
  <si>
    <t>https://cdn2-retail-images.kiotviet.vn/2025/02/28/giabaopharma/f45755b654494820a584590eab1373e3.jpg</t>
  </si>
  <si>
    <t>Q302403132</t>
  </si>
  <si>
    <t>" Aladin dầu gội trị chấy Thái Dương( Tube 30g ) "</t>
  </si>
  <si>
    <t>https://cdn2-retail-images.kiotviet.vn/2025/02/25/giabaopharma/06600dfcd215486aa0802276f5156a87.jpg</t>
  </si>
  <si>
    <t>Q302403133</t>
  </si>
  <si>
    <t>" Aladka xịt mũi DK Pharma( cọc 10 lọ x 15ml ) "</t>
  </si>
  <si>
    <t>https://cdn2-retail-images.kiotviet.vn/2025/02/22/giabaopharma/804d7d949ea8401b8caa55504531fd6e.jpg</t>
  </si>
  <si>
    <t>Q302403134</t>
  </si>
  <si>
    <t>" Alaginusa Paracetamol 325mg Phong Phú( hộp 10 vỉ x 10 viên nén) "</t>
  </si>
  <si>
    <t>https://cdn2-retail-images.kiotviet.vn/2025/02/17/giabaopharma/4747349907184b45aad2a5275616c9b4.jpg</t>
  </si>
  <si>
    <t>Q302773822</t>
  </si>
  <si>
    <t>" Alaxan Ibuprofen và Paracetamol United (Hộp 10 vỉ x 10 viên nén) "</t>
  </si>
  <si>
    <t>https://cdn2-retail-images.kiotviet.vn/2025/02/13/giabaopharma/6a099fee325a45df8c9ebb6310673770.jpg</t>
  </si>
  <si>
    <t>Q302118363</t>
  </si>
  <si>
    <t>" Alaxan Ibuprofen Và Paracetamol United (Hộp 25 Vỉ X 4 Viên Nén) "</t>
  </si>
  <si>
    <t>https://cdn2-retail-images.kiotviet.vn/2025/02/13/giabaopharma/7e0b804d613c4f878fd4ab458f3db5ac.jpg</t>
  </si>
  <si>
    <t>Q302403135</t>
  </si>
  <si>
    <t>" Albumin Plus Mỹ( lọ 60 viên nén ) "</t>
  </si>
  <si>
    <t>https://cdn2-retail-images.kiotviet.vn/2025/02/12/giabaopharma/ad99a96b85a442b08487550cb0268fb2.jpg</t>
  </si>
  <si>
    <t>Q302403136</t>
  </si>
  <si>
    <t>" Alcophil sữa rửa mặt Namex Pharma( lọ 150ml) "</t>
  </si>
  <si>
    <t>https://cdn2-retail-images.kiotviet.vn/2025/02/12/giabaopharma/602141bb0054419fb822649fed2965ed.jpg</t>
  </si>
  <si>
    <t>Q302403137</t>
  </si>
  <si>
    <t>" Alcotubex trị sẹo Hàn Quốc( Tube 20g ) "</t>
  </si>
  <si>
    <t>https://cdn2-retail-images.kiotviet.vn/2025/02/12/giabaopharma/9e29cc075e204a54b3554d324606b786.jpg</t>
  </si>
  <si>
    <t>Q302403138</t>
  </si>
  <si>
    <t>" Alegysal 0.1% nhỏ mắt Santen Nhật( lọ 5m) "</t>
  </si>
  <si>
    <t>https://cdn2-retail-images.kiotviet.vn/2025/02/12/giabaopharma/a6b9e3267e6442e3a6782a36e67bc1c5.jpg</t>
  </si>
  <si>
    <t>Q302403139</t>
  </si>
  <si>
    <t>" Alenta Alendronate 70mg Getz( hộp 4 viên nén) "</t>
  </si>
  <si>
    <t>https://cdn2-retail-images.kiotviet.vn/2025/02/10/giabaopharma/31b6e1608ff5401f9a7a1772cf7e1a65.jpg</t>
  </si>
  <si>
    <t>Q302403140</t>
  </si>
  <si>
    <t>" Algelstad Aluminium phosphate gel 20% Stella( hộp 20 gói x 20g ) "</t>
  </si>
  <si>
    <t>https://cdn2-retail-images.kiotviet.vn/2025/02/07/giabaopharma/85fc98277ac8447a96a889decaebcd8a.jpg</t>
  </si>
  <si>
    <t>Q302403141</t>
  </si>
  <si>
    <t>" Aliricin ngậm BRV( hộp 2 vỉ x10 viên) "</t>
  </si>
  <si>
    <t>https://cdn2-retail-images.kiotviet.vn/2025/02/06/giabaopharma/aa3b651794ab4fc3bba80effcf1979fa.jpg</t>
  </si>
  <si>
    <t>Q302403142</t>
  </si>
  <si>
    <t>" Alizectin bổ não Phú Thảo( hộp 3 vỉ x 10 viên nang) "</t>
  </si>
  <si>
    <t>https://cdn2-retail-images.kiotviet.vn/2025/02/06/giabaopharma/8797c6c5779c411ebb9cf965edc4d4cd.jpg</t>
  </si>
  <si>
    <t>Q302403145</t>
  </si>
  <si>
    <t>" Allopurinol 300mg Domesco( lọ 100 viên nén) "</t>
  </si>
  <si>
    <t>https://cdn2-retail-images.kiotviet.vn/2025/02/05/giabaopharma/27e2c68b80004a988d18699775c23635.jpg</t>
  </si>
  <si>
    <t>Q302403143</t>
  </si>
  <si>
    <t>" Allopurinol 300mg Domesco(Hộp 2 vỉ x 10 viên nén) "</t>
  </si>
  <si>
    <t>https://cdn2-retail-images.kiotviet.vn/2025/02/05/giabaopharma/c50429ab5d9d4c43ba5fd5cbac848a2c.jpg</t>
  </si>
  <si>
    <t>Q302403144</t>
  </si>
  <si>
    <t>" Allopurinol 300mg Stella( hộp 3 vỉ x 10 viên nén ) "</t>
  </si>
  <si>
    <t>https://cdn2-retail-images.kiotviet.vn/2025/02/03/giabaopharma/0edba24cb17b42f5a308c8b10951f9d4.jpg</t>
  </si>
  <si>
    <t>Q302403147</t>
  </si>
  <si>
    <t>" Alpha Bevagyl Z120( hộp 2 vỉ x 10 viên nén) "</t>
  </si>
  <si>
    <t>https://cdn2-retail-images.kiotviet.vn/2025/01/24/giabaopharma/98e2eace2b5c4717b62856948d9fe977.jpg</t>
  </si>
  <si>
    <t>Q302403148</t>
  </si>
  <si>
    <t>" Alpha chymotrypsin 4200IU Glomed( hộp 2 vỉ x 10 viên nén) "</t>
  </si>
  <si>
    <t>https://cdn2-retail-images.kiotviet.vn/2025/01/08/giabaopharma/7ee360b3b191435584f7a3fe15dba992.jpg</t>
  </si>
  <si>
    <t>Q302403149</t>
  </si>
  <si>
    <t>" Alpha chymotrypsin 4200IU Z120( cọc 10 hộp /hộp 2 vỉ x 10 viên nén vỉ nhôm) "</t>
  </si>
  <si>
    <t>https://cdn2-retail-images.kiotviet.vn/2025/01/06/giabaopharma/930259eb014645d5b3dbbfea6f3b80ee.jpg</t>
  </si>
  <si>
    <t>Q3022403002</t>
  </si>
  <si>
    <t>" Alpha chymotrypsin US 4200 unit USP (hộp 5 vỉ x 10 viên nén) "</t>
  </si>
  <si>
    <t>https://cdn2-retail-images.kiotviet.vn/2024/12/28/giabaopharma/ca601e8530944cefaaaec1a399a88518.jpg</t>
  </si>
  <si>
    <t>Q302403150</t>
  </si>
  <si>
    <t>" Alpha chymotrypsin US 4200 unit USP( hộp 5 vỉ x 10 viên nén) "</t>
  </si>
  <si>
    <t>https://cdn2-retail-images.kiotviet.vn/2024/12/28/giabaopharma/8df076e9edbc4b188e961852e6fb474d.jpg</t>
  </si>
  <si>
    <t>Q3022403005</t>
  </si>
  <si>
    <t>" Alpha chysin Daktin Đắk Tín ( hộp 20 vỉ x 10 viên nén ) "</t>
  </si>
  <si>
    <t>https://cdn2-retail-images.kiotviet.vn/2024/12/28/giabaopharma/c56b8dd057104bceb1d29ea5275221f9.jpg</t>
  </si>
  <si>
    <t>Q3022403006</t>
  </si>
  <si>
    <t>" Alpha Katrypsin 4200IU Khánh Hòa ( hộp 10 vỉ nhôm x 10 viên) "</t>
  </si>
  <si>
    <t>https://cdn2-retail-images.kiotviet.vn/2024/12/25/giabaopharma/4c227cdeea414cbfacfee281a8a85d2a.jpg</t>
  </si>
  <si>
    <t>Q3022403007</t>
  </si>
  <si>
    <t>" Alpha Katrypsin Fort 8400IU Khánh Hòa ( hộp 10 vỉ x 10 viên nén vỉ nhôm) "</t>
  </si>
  <si>
    <t>https://cdn2-retail-images.kiotviet.vn/2024/12/23/giabaopharma/11741e09b18749d69c9797f51e7ca0ec.jpg</t>
  </si>
  <si>
    <t>Q3022403008</t>
  </si>
  <si>
    <t>" Alpha Kiisin Chymotrypsin 21 Microkatals Pymepharco (hộp 10 vỉ nhôm x 10 viên nén) "</t>
  </si>
  <si>
    <t>https://cdn2-retail-images.kiotviet.vn/2024/12/19/giabaopharma/d0a6b7d4a147478e8858e361a65fc90a.jpg,https://cdn-images.kiotviet.vn/2024/12/19/giabaopharma/9714c8518c66419fb08c02b7c2a7d6a7.jpg</t>
  </si>
  <si>
    <t>Q3022403009</t>
  </si>
  <si>
    <t>" Alpha Tase 4200IU USP ( hộp 5 vỉ x 10 viên nén) "</t>
  </si>
  <si>
    <t>https://cdn-images.kiotviet.vn/2024/12/18/giabaopharma/0cf8054e3f7e4a49ae37bf15010e7fc3.jpg</t>
  </si>
  <si>
    <t>Q3022403010</t>
  </si>
  <si>
    <t>" Alphachylin Alphachymotripsin 4200IU APCO ( hộp 20 vỉ x 10 viên nén ) "</t>
  </si>
  <si>
    <t>https://cdn-images.kiotviet.vn/2024/12/18/giabaopharma/ef3ebae77a584ccb82ee70c00ff9f7b3.jpg</t>
  </si>
  <si>
    <t>Q3022403011</t>
  </si>
  <si>
    <t>" Alphachymotripsin BVP 8400 BRV ( hộp 2 vỉ x 10 viên nén) "</t>
  </si>
  <si>
    <t>https://cdn-images.kiotviet.vn/2025/05/06/giabaopharma/475d6dc3c4ed4128bdd437bd12ff93b8.jpg</t>
  </si>
  <si>
    <t>SP648476</t>
  </si>
  <si>
    <t>" Alphachymotrypsin (Mipharmco) hộp 2 vỉ x 15 viên nén "</t>
  </si>
  <si>
    <t>https://cdn-images.kiotviet.vn/2025/05/06/giabaopharma/21465c52068a472dbcb1c12535b45cf5.jpg</t>
  </si>
  <si>
    <t>Q3022403013</t>
  </si>
  <si>
    <t>" Alphachymotrypsin 4200IU BVP ( hộp 2 vỉ x 10 viên nén) "</t>
  </si>
  <si>
    <t>https://cdn-images.kiotviet.vn/2024/12/17/giabaopharma/6ac0031fff2643cbbca8ecc97fbb9066.jpg</t>
  </si>
  <si>
    <t>Q3022403015</t>
  </si>
  <si>
    <t>" Alphachymotrypsin 4200IU Mediplantex ( hộp 50 vỉ x 10 viên nén) "</t>
  </si>
  <si>
    <t>https://cdn-images.kiotviet.vn/2025/05/06/giabaopharma/6ea45501b86244029447a7c17eb24baa.jpg</t>
  </si>
  <si>
    <t>q30202020202</t>
  </si>
  <si>
    <t>" Alphachymotrypsin 4200IU Minh Hải (H/10 vỉ x 15 viên) "</t>
  </si>
  <si>
    <t>https://cdn-images.kiotviet.vn/2024/12/17/giabaopharma/e355fcf8ab4848ed94cf766d1858f3c8.jpg</t>
  </si>
  <si>
    <t>Q3022403012</t>
  </si>
  <si>
    <t>" Alphachymotrypsin 4200IU Phong Phú ( hộp 100 vỉ x 10 viên nén ) "</t>
  </si>
  <si>
    <t>https://cdn-images.kiotviet.vn/2024/12/17/giabaopharma/49fc535a0050426d98f00c1b46a64d0b.jpg</t>
  </si>
  <si>
    <t>Q3022403014</t>
  </si>
  <si>
    <t>" Alphachymotrypsin 4200IU Phong Phú ( hộp 5 vỉ x 10 viên nén) "</t>
  </si>
  <si>
    <t>https://cdn-images.kiotviet.vn/2024/12/13/giabaopharma/a73d32cd7777431eb747def38248a1a6.jpg</t>
  </si>
  <si>
    <t>Q3022403016</t>
  </si>
  <si>
    <t>" Alphachymotrypsin 5000IU Bình Định (hộp 3 lọ tiêm) "</t>
  </si>
  <si>
    <t>https://cdn-images.kiotviet.vn/2024/12/12/giabaopharma/c9179ac74d184909a07c7ebfee9331de.jpg</t>
  </si>
  <si>
    <t>Q302453123</t>
  </si>
  <si>
    <t>" Alphachymotrypsin Mediplantex (Hộp 50vỉ x 10 viên) "</t>
  </si>
  <si>
    <t>https://cdn-images.kiotviet.vn/2024/12/09/giabaopharma/c1985ec35740467b8847f48b18e89c86.jpg</t>
  </si>
  <si>
    <t>Q302993374</t>
  </si>
  <si>
    <t>" AlphaDHG Alpha Chymotrypsine DHG (Hộp 2vỉ x 10 viên nén) "</t>
  </si>
  <si>
    <t>https://cdn-images.kiotviet.vn/2024/12/09/giabaopharma/aa4d25c9ac934935b34d33e5977ec63f.jpg</t>
  </si>
  <si>
    <t>Q3022403017</t>
  </si>
  <si>
    <t>" AlphaDHG Chymotrypsin 4200IU Hậu Giang ( hộp 2 vỉ x 10 viên) "</t>
  </si>
  <si>
    <t>https://cdn-images.kiotviet.vn/2024/11/29/giabaopharma/409f9efd9e9149e2a7a07f40bf97c261.jpg</t>
  </si>
  <si>
    <t>Q3022403018</t>
  </si>
  <si>
    <t>" Alphamethason Dexamethason 0.5mg Hà Tây( lọ 500 viên nén) "</t>
  </si>
  <si>
    <t>https://cdn2-retail-images.kiotviet.vn/2025/10/23/giabaopharma/e3ff97aaad4d456180585e811f8cfa1d.jpg</t>
  </si>
  <si>
    <t>Q3022403019</t>
  </si>
  <si>
    <t>" Alphametosin 4200IU Phong Phú ( lọ 500 viên nén) "</t>
  </si>
  <si>
    <t>https://cdn2-retail-images.kiotviet.vn/2025/10/23/giabaopharma/10fe3082c6074232a5f4d59b4da64fc4.jpg</t>
  </si>
  <si>
    <t>Q3022403020</t>
  </si>
  <si>
    <t>" Alphanew Alphachymotrypsin Armepharco ( hộp 50 vỉ x 10 viên) "</t>
  </si>
  <si>
    <t>https://cdn2-retail-images.kiotviet.vn/2025/10/23/giabaopharma/5b208eab2df54b8eb11f91f80a6dc163.jpg</t>
  </si>
  <si>
    <t>Q3022403021</t>
  </si>
  <si>
    <t>" Alphasin KMP Alphachymotrypsin Khánh Minh ( hộp 20 vỉ x 10 viên nén ) "</t>
  </si>
  <si>
    <t>https://cdn2-retail-images.kiotviet.vn/2025/10/23/giabaopharma/2a413176a57f4eddbed528e9a543c1f3.jpg</t>
  </si>
  <si>
    <t>Q3022403022</t>
  </si>
  <si>
    <t>" Alphasin KMP Khánh Minh( hộp 50 vỉ x 10 viên nén) "</t>
  </si>
  <si>
    <t>https://cdn2-retail-images.kiotviet.vn/2025/10/23/giabaopharma/52b7c4aa931a4587a58416b0e0c02f93.jpg</t>
  </si>
  <si>
    <t>Q3022403023</t>
  </si>
  <si>
    <t>" Alphatrypa 4200IU Alphachymotrypsin TW1 Pharbaco (hộp 5 vỉ nhôm x 10 viên nén ) "</t>
  </si>
  <si>
    <t>https://cdn2-retail-images.kiotviet.vn/2024/11/15/giabaopharma/c0dc46cf0e1947c9a8473ef7c8a02501.png</t>
  </si>
  <si>
    <t>Q3022403024</t>
  </si>
  <si>
    <t>" Alphavimin Hà Tĩnh bổ sung vitamin khoáng chất ( hộp 20 ống x 10ml) "</t>
  </si>
  <si>
    <t>https://cdn2-retail-images.kiotviet.vn/2025/10/23/giabaopharma/043a6f4d51e04b0a9a5c2c522638046b.jpg</t>
  </si>
  <si>
    <t>Q3022403031</t>
  </si>
  <si>
    <t>" Alu-P Gel hỗn dịch Imexpharm ( hộp 26 gói x 20g) "</t>
  </si>
  <si>
    <t>https://cdn2-retail-images.kiotviet.vn/2024/11/06/giabaopharma/a45ef103d1c74279ae938cadcfc8af80.jpg</t>
  </si>
  <si>
    <t>Q3022403033</t>
  </si>
  <si>
    <t>" Aluminium Phosphat Gel Davipharm (hộp 20 gói x 20g) "</t>
  </si>
  <si>
    <t>https://cdn2-retail-images.kiotviet.vn/2024/10/16/giabaopharma/b4af9c8ecc6d45ad90bab6d5f8a0c48b.jpg</t>
  </si>
  <si>
    <t>Q3022403034</t>
  </si>
  <si>
    <t>" Alverin 40mg Thanh Hóa (lọ 100 viên nén) "</t>
  </si>
  <si>
    <t>https://cdn2-retail-images.kiotviet.vn/2024/10/10/giabaopharma/58ee22d30b7345c29a28af64032f9c40.png</t>
  </si>
  <si>
    <t>Q3022403035</t>
  </si>
  <si>
    <t>" Alvextra kem dưỡng da Tanida( lọ 50g ) "</t>
  </si>
  <si>
    <t>https://cdn2-retail-images.kiotviet.vn/2024/09/30/giabaopharma/e8e62f4012c345d49ba1ac58294881da.jpg</t>
  </si>
  <si>
    <t>Q3022403036</t>
  </si>
  <si>
    <t>" Amariston Mifepristone 10mg tránh thai INVE ( hộp 1 viên nén) "</t>
  </si>
  <si>
    <t>Q3022403037</t>
  </si>
  <si>
    <t>" Ambroco Ambroxol 15mg/5ml United( lọ 30ml) "</t>
  </si>
  <si>
    <t>https://cdn2-retail-images.kiotviet.vn/2024/09/24/giabaopharma/c4d5a86ceb59444f9eb61adf422619bb.png</t>
  </si>
  <si>
    <t>Q3022403042</t>
  </si>
  <si>
    <t>" Ambron Ambroxol 30mg Vacopharm ( lọ 100 viên nang ) "</t>
  </si>
  <si>
    <t>https://cdn2-retail-images.kiotviet.vn/2025/02/18/giabaopharma/fe41572708804163950971fa8ca8f8e2.jpg</t>
  </si>
  <si>
    <t>Q3022403041</t>
  </si>
  <si>
    <t>" Ambron Ambroxol 30mg Vacopharm( hộp 50 gói x 1g) "</t>
  </si>
  <si>
    <t>https://cdn2-retail-images.kiotviet.vn/2025/02/25/giabaopharma/fb9d6459b03046dabfb089b5d25263d9.jpg</t>
  </si>
  <si>
    <t>Q3022403040</t>
  </si>
  <si>
    <t>" Ambron Ambroxol 30mg xanh dương Vacopharm ( hộp 10 vỉ x 10 viên nang) "</t>
  </si>
  <si>
    <t>https://cdn2-retail-images.kiotviet.vn/2025/02/25/giabaopharma/fec53d8c89804b949f9027a7613eb52b.jpg</t>
  </si>
  <si>
    <t>SP648524</t>
  </si>
  <si>
    <t>" Ambron tab vacopharm 10 vỉ 10 viên"</t>
  </si>
  <si>
    <t>https://cdn2-retail-images.kiotviet.vn/giabaopharma/278ecaf346b742bea1376d44e67f763f.jpg</t>
  </si>
  <si>
    <t>Q3022403043</t>
  </si>
  <si>
    <t>" Ambroxol 15mg/5ml Đà Nẵng( lọ 60ml ) "</t>
  </si>
  <si>
    <t>https://cdn2-retail-images.kiotviet.vn/2025/02/25/giabaopharma/a86faeefd85a43a0832d5eddf100f8cc.jpg</t>
  </si>
  <si>
    <t>Q3022403045</t>
  </si>
  <si>
    <t>" Ambroxol 30mg Boston ( hộp 3 vỉ x 10 viên nén) "</t>
  </si>
  <si>
    <t>https://cdn2-retail-images.kiotviet.vn/giabaopharma/c0dcb75ca68b4eb5b53c226728c28573.jpg</t>
  </si>
  <si>
    <t>Q3022403044</t>
  </si>
  <si>
    <t>" Ambroxol 30mg Domesco( hộp 10 vỉ x 10 viên nang) "</t>
  </si>
  <si>
    <t>https://cdn2-retail-images.kiotviet.vn/giabaopharma/41ded983f07441f2bcdcddde51759a71.jpg</t>
  </si>
  <si>
    <t>Q3022403046</t>
  </si>
  <si>
    <t>" Ambroxol 30mg NIC ( lọ 200 viên nén) "</t>
  </si>
  <si>
    <t>https://cdn2-retail-images.kiotviet.vn/2025/02/25/giabaopharma/82c9d8c038454de4a620199bcf15a6ce.jpg</t>
  </si>
  <si>
    <t>Q3022403047</t>
  </si>
  <si>
    <t>" Amcinol Paste Mekophar ( lốc 10 tuýp 5g ) "</t>
  </si>
  <si>
    <t>https://cdn2-retail-images.kiotviet.vn/2025/02/26/giabaopharma/799a3a9d915e4edfa9b4987e3052cf29.jpg</t>
  </si>
  <si>
    <t>Q3022403048</t>
  </si>
  <si>
    <t>" Ameflu Day Time + C cảm cúm OPV ( hộp 10 vỉ x 10 viên nén) "</t>
  </si>
  <si>
    <t>https://cdn-images.kiotviet.vn/giabaopharma/fbbebdff226547c1940ce169952f5e14.png</t>
  </si>
  <si>
    <t>Q3022403049</t>
  </si>
  <si>
    <t>" Ameflu Day Time cảm cúm OPV( hộp 10 vỉ x 10 viên nén) "</t>
  </si>
  <si>
    <t>https://cdn-images.kiotviet.vn/giabaopharma/8663983cfcb64834a74261574a613e6e.png</t>
  </si>
  <si>
    <t>Q3022403050</t>
  </si>
  <si>
    <t>" Ami Progast cốm dạ dày HVQY ( hộp 2 vỉ x 10 viên nén) "</t>
  </si>
  <si>
    <t>https://cdn-images.kiotviet.vn/giabaopharma/364e934e75744019a5152b611ee879fe.png</t>
  </si>
  <si>
    <t>Q3022403100</t>
  </si>
  <si>
    <t>" Aminazin 25mg màu tím Đà Nẵng ( lọ 500 viên nén) "</t>
  </si>
  <si>
    <t>https://cdn-images.kiotviet.vn/giabaopharma/3da2514ac0b3459082db7d9a5932dc3b.png</t>
  </si>
  <si>
    <t>Q3022403101</t>
  </si>
  <si>
    <t>" Aminazin Chlorpromazine HCL 25mg Đà Nẵng ( lọ Cam 500 viên nén) "</t>
  </si>
  <si>
    <t>https://cdn-images.kiotviet.vn/giabaopharma/d9611b36c8df49f984d978f32e777971.jpg</t>
  </si>
  <si>
    <t>Q3022403102</t>
  </si>
  <si>
    <t>" Amisea Mediplantex (hộp 6 vỉ x 10 viên nén) "</t>
  </si>
  <si>
    <t>https://cdn2-retail-images.kiotviet.vn/giabaopharma/7519640700cd489c80334a91790b456a.jpg</t>
  </si>
  <si>
    <t>Q3022403103</t>
  </si>
  <si>
    <t>" Amitriptylin 25mg Đà Nẵng ( lọ 100 viên nén) "</t>
  </si>
  <si>
    <t>https://cdn2-retail-images.kiotviet.vn/giabaopharma/defa2b9761d44237816a3e41e492a92b.jpg</t>
  </si>
  <si>
    <t>Q3022403104</t>
  </si>
  <si>
    <t>" Amiyu Granules Nhật Bản( hộp 30 gói x 2.5g ) "</t>
  </si>
  <si>
    <t>https://cdn2-retail-images.kiotviet.vn/giabaopharma/68bb4e32fd3b411390e91a8e8573b0af.jpg</t>
  </si>
  <si>
    <t>Q3022403105</t>
  </si>
  <si>
    <t>" AMK 457 Amox + Clavu 457mg/5ml Thái Lan ( hộp lọ 70ml) "</t>
  </si>
  <si>
    <t>https://cdn2-retail-images.kiotviet.vn/giabaopharma/50219a256da64076a54c1fffd1bb8da7.jpg</t>
  </si>
  <si>
    <t>Q3022403106</t>
  </si>
  <si>
    <t>" Amloboston Amlodipin 5mg Boston( hộp 5 vỉ x 10 viên nang) "</t>
  </si>
  <si>
    <t>https://cdn2-retail-images.kiotviet.vn/giabaopharma/f6d1b2be96624cc9a99ae4569c55637f.jpg</t>
  </si>
  <si>
    <t>Q3022403108</t>
  </si>
  <si>
    <t>" Amlodipin 5mg Domesco ( hộp 3 vỉ x 10 viên nang) "</t>
  </si>
  <si>
    <t>https://cdn2-retail-images.kiotviet.vn/giabaopharma/9396f41a42924c9584aab00ed9fd5e06.jpg,https://cdn2-retail-images.kiotviet.vn/giabaopharma/8a22d5a8dfcb49b5bcf2a60b734d4df3.jpg,https://cdn2-retail-images.kiotviet.vn/giabaopharma/2039b4d9d3b74c9a9271e6f788fb230e.jpg,https://cdn2-retail-images.kiotviet.vn/giabaopharma/861314a749ce47b4be2d2d48596b2931.jpg,https://cdn2-retail-images.kiotviet.vn/giabaopharma/fb3653dfa2bd44008cc9c564e8ae8254.jpg</t>
  </si>
  <si>
    <t>Q3022403109</t>
  </si>
  <si>
    <t>" Amlodipin 5mg Vidipha( hộp 3 vỉ x 10 viên nang) "</t>
  </si>
  <si>
    <t>https://cdn-images.kiotviet.vn/giabaopharma/c8537616b8bf4b2b8541f064a499a9a4.jpg</t>
  </si>
  <si>
    <t>Q3022403110</t>
  </si>
  <si>
    <t>" Amlodipine 10mg Stella ( hộp 3 vỉ x 10 viên nén) "</t>
  </si>
  <si>
    <t>https://cdn2-retail-images.kiotviet.vn/giabaopharma/12eacee5c209489cb3c305f78df9313b.jpg</t>
  </si>
  <si>
    <t>Q3022403111</t>
  </si>
  <si>
    <t>" Amlodipine EG 5mg Pymepharco( hộp 3 vỉ x 10 viên nang) "</t>
  </si>
  <si>
    <t>https://cdn2-retail-images.kiotviet.vn/giabaopharma/090509eb1c5a4b7193190350630be6b8.jpg,https://cdn2-retail-images.kiotviet.vn/giabaopharma/5aba60d8bd1a4348ba1c60d1103022ab.jpg,https://cdn2-retail-images.kiotviet.vn/giabaopharma/3e81bd19cc5d47f5a7e596ae9d39a4d9.jpg,https://cdn2-retail-images.kiotviet.vn/giabaopharma/15f99b729f6049f3a59544e90805a44a.jpg,https://cdn2-retail-images.kiotviet.vn/giabaopharma/abb4391a19b549a9b1b8b372a8d4a59c.jpg</t>
  </si>
  <si>
    <t>Q3022403114</t>
  </si>
  <si>
    <t>" Amoxicillin 250mg Domesco( lọ 100 viên ngậm) "</t>
  </si>
  <si>
    <t>https://cdn-images.kiotviet.vn/2025/08/14/giabaopharma/25076de3fe004befbcb7407fee6a5a52.jpg</t>
  </si>
  <si>
    <t>########</t>
  </si>
  <si>
    <t>Q302574684</t>
  </si>
  <si>
    <t>" Amoxicillin 250mg Mekophar (Hộp 30 gói x 2,5g) "</t>
  </si>
  <si>
    <t>https://cdn2-retail-images.kiotviet.vn/giabaopharma/e9c265d8e71349ec8b1ed4c14040dcbe.jpg</t>
  </si>
  <si>
    <t>Q3022403113</t>
  </si>
  <si>
    <t>" Amoxicillin 250mg Mekophar(hộp 10 vỉ x 10 viên nang) "</t>
  </si>
  <si>
    <t>https://cdn2-retail-images.kiotviet.vn/giabaopharma/1801bb0c2ea54428a64ea9c40b58c51a.jpg</t>
  </si>
  <si>
    <t>Q3022403115</t>
  </si>
  <si>
    <t>" Amoxicillin 500mg Domesco( hộp 10 vỉ x 10 viên nang) "</t>
  </si>
  <si>
    <t>https://cdn-images.kiotviet.vn/giabaopharma/63320416cc504723b5242c7220caacd5.jpg</t>
  </si>
  <si>
    <t>Q3022403116</t>
  </si>
  <si>
    <t>" Amoxicillin 500mg Mekophar( hộp 10 vỉ x 10 viên nang ) "</t>
  </si>
  <si>
    <t>https://cdn2-retail-images.kiotviet.vn/giabaopharma/ad55eaa97e2a4a3db07de6818094be77.jpg,https://cdn2-retail-images.kiotviet.vn/giabaopharma/30a950a13890403291cf2fe14b33c695.jpg,https://cdn-images.kiotviet.vn/giabaopharma/9606c3cf6bd74da28b2a9abf9f3838ae.jpg,https://cdn2-retail-images.kiotviet.vn/giabaopharma/5823351e7a9c463fbc1ef9157e954ceb.jpg,https://cdn2-retail-images.kiotviet.vn/giabaopharma/d69e810ac9ce4741a4e401a3193655c9.jpg</t>
  </si>
  <si>
    <t>Q302667489</t>
  </si>
  <si>
    <t>" Amoxicillin 500mg Pharbaco (Hộp 10 vỉ x 10 viên nang) "</t>
  </si>
  <si>
    <t>https://cdn2-retail-images.kiotviet.vn/giabaopharma/847684efd96c4a6abffb7f9cc06ba53a.jpg</t>
  </si>
  <si>
    <t>Q3022403117</t>
  </si>
  <si>
    <t>" Amoxicillin 500mg Thanh Hóa( hộp 10 vỉ x 10 viên nang) "</t>
  </si>
  <si>
    <t>https://cdn2-retail-images.kiotviet.vn/giabaopharma/d5853bcbcc644883b33ffc8bc820859a.jpg</t>
  </si>
  <si>
    <t>Q3022403118</t>
  </si>
  <si>
    <t>" Amoxicillin 500mg TW1 Pharbaco( hộp 10 vỉ x 10 viên nang ) "</t>
  </si>
  <si>
    <t>https://cdn-images.kiotviet.vn/giabaopharma/eb9eec10858e4d19affc82452da7650b.jpg</t>
  </si>
  <si>
    <t>Q3022403119</t>
  </si>
  <si>
    <t>" Ampicilin 250mg Thanh Hóa( lọ 250 viên nén ) "</t>
  </si>
  <si>
    <t>https://cdn2-retail-images.kiotviet.vn/giabaopharma/c96516e3bd4449ef8ba79b6c18ad26e7.png</t>
  </si>
  <si>
    <t>Q3022403120</t>
  </si>
  <si>
    <t>" Ampicillin 250mg TW1 Pharbaco( lọ 200 viên nén) "</t>
  </si>
  <si>
    <t>https://cdn2-retail-images.kiotviet.vn/giabaopharma/62824fbd8dee4bb8976511b0af6da67d.png</t>
  </si>
  <si>
    <t>Q3022403121</t>
  </si>
  <si>
    <t>" Ampicillin 500mg Domesco( hộp 10 vỉ x 10 viên nang) "</t>
  </si>
  <si>
    <t>https://cdn2-retail-images.kiotviet.vn/giabaopharma/2c93c56fccc546208bff25d2c38e94fc.jpg,https://cdn-images.kiotviet.vn/giabaopharma/2365869aac0949d2bb2cdd208d53e5f2.jpg</t>
  </si>
  <si>
    <t>Q3022403122</t>
  </si>
  <si>
    <t>" Ampicillin 500mg Mekophar( hộp 10 vỉ x 10 viên nang) "</t>
  </si>
  <si>
    <t>https://cdn-images.kiotviet.vn/giabaopharma/1ac27fd309c9423ca40c3a796ab53b10.jpg</t>
  </si>
  <si>
    <t>Q3022403123</t>
  </si>
  <si>
    <t>" Ampicillin 500mg Thanh Hóa( hộp 10 vỉ x 10 viên nang) "</t>
  </si>
  <si>
    <t>https://cdn-images.kiotviet.vn/giabaopharma/9b57dd6bb2574b21847326821664335d.png</t>
  </si>
  <si>
    <t>Q3022403124</t>
  </si>
  <si>
    <t>" Ampicillin 500mg TW1 Pharbaco( hộp 10 vỉ x 10 viên nang ) "</t>
  </si>
  <si>
    <t>https://cdn2-retail-images.kiotviet.vn/giabaopharma/a73c4bd71cfc446aa261fea2c853856f.jpg</t>
  </si>
  <si>
    <t>Q302894477</t>
  </si>
  <si>
    <t>" Amucopect New For Children Pharbaco (Hộp 10 gói x 1,5g) "</t>
  </si>
  <si>
    <t>https://cdn2-retail-images.kiotviet.vn/giabaopharma/2f76ed94f9214e5db4e7a0b1f9ac5707.jpg</t>
  </si>
  <si>
    <t>Q3022403125</t>
  </si>
  <si>
    <t>" Amxolmuc Ambroxol HCL 30mg Pymepharco(hộp 10 vỉ x 10 viên nang) "</t>
  </si>
  <si>
    <t>https://cdn-images.kiotviet.vn/giabaopharma/de009112a6044b4e8c4dd91c32a21c41.jpg,https://cdn2-retail-images.kiotviet.vn/giabaopharma/b0be9c5e65b147988e8b5918a7ea33d3.jpg,https://cdn-images.kiotviet.vn/giabaopharma/313a468c311f405198387a25d9d3b3cc.jpg,https://cdn2-retail-images.kiotviet.vn/giabaopharma/e638b1f3207c488d9ddfac570de067ff.jpg,https://cdn2-retail-images.kiotviet.vn/giabaopharma/14433434a7be4482a0e02bb9d653e579.jpg</t>
  </si>
  <si>
    <t>Q3022403126</t>
  </si>
  <si>
    <t>" An bảo bôi muỗi trẻ em Nam Dược( lọ 12ml) "</t>
  </si>
  <si>
    <t>https://cdn2-retail-images.kiotviet.vn/giabaopharma/c3157d72594c42dba8ac49362279f563.jpg</t>
  </si>
  <si>
    <t>Q3022403127</t>
  </si>
  <si>
    <t>" An Bảo Nam Dược( lọ 30 viên nang) "</t>
  </si>
  <si>
    <t>https://cdn2-retail-images.kiotviet.vn/2025/04/22/giabaopharma/524b219775f745d990b0f09a40648e57.jpg,https://cdn2-retail-images.kiotviet.vn/2025/05/29/giabaopharma/ed43fbc42d284f0d81ead90c29c1a52f.jpg,https://cdn2-retail-images.kiotviet.vn/2025/05/29/giabaopharma/f0b81e4ce6c744b896f4fb2f934f94de.jpg</t>
  </si>
  <si>
    <t>Q3022403129</t>
  </si>
  <si>
    <t>" An điều kinh Nhân Sinh( lọ 60 viên nang) "</t>
  </si>
  <si>
    <t>https://cdn2-retail-images.kiotviet.vn/giabaopharma/dcaa49d214a14d9aa7c55fc861964653.jpg</t>
  </si>
  <si>
    <t>Q3022403130</t>
  </si>
  <si>
    <t>" An giáp vương Mộc Khang( hộp x 1 lọ x 60g ) "</t>
  </si>
  <si>
    <t>https://cdn-images.kiotviet.vn/giabaopharma/61a75fa49a6d484fb123c253393af570.jpg</t>
  </si>
  <si>
    <t>Q3022403131</t>
  </si>
  <si>
    <t>" An khái hoa bổ phế giảm ho Visgerpharm( lọ 125ml) "</t>
  </si>
  <si>
    <t>https://cdn2-retail-images.kiotviet.vn/giabaopharma/8e33bff107cb42f3b6960ccfd7340575.jpg,https://cdn2-retail-images.kiotviet.vn/2025/05/29/giabaopharma/a9043049f8d24eaaad43cc81eeaf6137.jpg,https://cdn2-retail-images.kiotviet.vn/2025/05/29/giabaopharma/08623c270cbe44ebb26a14225c387a3e.jpg</t>
  </si>
  <si>
    <t>Q3022403133</t>
  </si>
  <si>
    <t>" An phụ khang An Châu(lọ 60 viên nang) "</t>
  </si>
  <si>
    <t>https://cdn2-retail-images.kiotviet.vn/giabaopharma/eb182547dd8c44ccb7e13932d2496569.jpg</t>
  </si>
  <si>
    <t>Q3022403134</t>
  </si>
  <si>
    <t>" An tâm ngủ ngon PV Phúc Vinh( hộp 5 vỉ x 10 viên nén) "</t>
  </si>
  <si>
    <t>https://cdn-images.kiotviet.vn/giabaopharma/93eafbc40838470090f3535dab0aceae.jpg</t>
  </si>
  <si>
    <t>Q3022403135</t>
  </si>
  <si>
    <t>" An thảo nhiệt miệng Nam Dược(hộp 5 vỉ x10 viên nang ) "</t>
  </si>
  <si>
    <t>https://cdn2-retail-images.kiotviet.vn/giabaopharma/50f849df07f2496ca12de3efe68a4f40.jpg</t>
  </si>
  <si>
    <t>Q3022403136</t>
  </si>
  <si>
    <t>" An thảo nước súc miệng Nam Dược(lọ 250ml) "</t>
  </si>
  <si>
    <t>https://cdn2-retail-images.kiotviet.vn/giabaopharma/d8f9d6e917bb4b07b523d29f00d952be.jpg,https://cdn-images.kiotviet.vn/giabaopharma/32df601ff31e4a36a90251aab1c7f0a8.jpg,https://cdn-images.kiotviet.vn/giabaopharma/bc530f6e29f94759b08993e6e7e4cf1d.jpg,https://cdn-images.kiotviet.vn/giabaopharma/e435b281f23f43d7b79c788f78319170.jpg,https://cdn-images.kiotviet.vn/giabaopharma/e08be76def9a4ee2812c0d38a70679e0.jpg</t>
  </si>
  <si>
    <t>Q3022403137</t>
  </si>
  <si>
    <t>" An tiểu đêm lọ Santex ( 30 viên nang) "</t>
  </si>
  <si>
    <t>https://cdn2-retail-images.kiotviet.vn/giabaopharma/1d0e0b050dc34fa48a1b155537bb6ca6.jpg</t>
  </si>
  <si>
    <t>Q3022403139</t>
  </si>
  <si>
    <t>" An Trĩ Vương Vinh Gia( hộp 3 vỉ x 10 viên nén ) "</t>
  </si>
  <si>
    <t>https://cdn2-retail-images.kiotviet.vn/giabaopharma/7cc17df1cbd54382a6a93661a6e3c0e9.jpg,https://cdn2-retail-images.kiotviet.vn/giabaopharma/3508b5ccf6724d0798bc60cf58275c92.jpg,https://cdn2-retail-images.kiotviet.vn/giabaopharma/e7ba284e7a3b43d0b2ba0a4be67d90b9.jpg,https://cdn2-retail-images.kiotviet.vn/giabaopharma/749fb0bedf6c42dc9267ba72d65c807d.jpg,https://cdn2-retail-images.kiotviet.vn/giabaopharma/ae8a1e967d1f48c882a08e40527ff6c0.jpg</t>
  </si>
  <si>
    <t>Q3022403140</t>
  </si>
  <si>
    <t>" An Trĩ Vương Vinh Gia( Tube 20g) "</t>
  </si>
  <si>
    <t>https://cdn2-retail-images.kiotviet.vn/giabaopharma/4fa7b302040e4271bcf36e7c27f37965.jpg</t>
  </si>
  <si>
    <t>Q3022403141</t>
  </si>
  <si>
    <t>" Anaferol cho trẻ em Nga( hộp 1 vỉ x 20 viên nén) "</t>
  </si>
  <si>
    <t>https://cdn2-retail-images.kiotviet.vn/giabaopharma/71351b9ec4094544be412ffa19a12bd0.jpg,https://cdn-images.kiotviet.vn/giabaopharma/fc6a671f55864c6fa81be7822705ac49.jpg,https://cdn-images.kiotviet.vn/giabaopharma/755c83cefa164b269abc0dd9d2eb378e.jpg,https://cdn-images.kiotviet.vn/giabaopharma/bca8e134b47848e3bde662b6e808d180.jpg,https://cdn-images.kiotviet.vn/giabaopharma/2ae226c463fc4fc5829f8342022ec372.jpg</t>
  </si>
  <si>
    <t>Q3022403142</t>
  </si>
  <si>
    <t>" Androgel 50mg Besins( gói 5g ) "</t>
  </si>
  <si>
    <t>https://cdn-images.kiotviet.vn/giabaopharma/ccab6efbb75446c489478d87e4b1b81a.jpg</t>
  </si>
  <si>
    <t>Q3022403143</t>
  </si>
  <si>
    <t>" Antacil Thái Lan( hộp 25 vỉ x 10 viên nén ) "</t>
  </si>
  <si>
    <t>https://cdn2-retail-images.kiotviet.vn/giabaopharma/67854895995c4aa1bfb82ad0fa90d890.jpg,https://cdn2-retail-images.kiotviet.vn/giabaopharma/0cdc0eccab424e2fb27696452c1fa08b.jpg,https://cdn2-retail-images.kiotviet.vn/giabaopharma/628b19b633544b35977ced5c55a1cf1c.jpg,https://cdn2-retail-images.kiotviet.vn/giabaopharma/faac8008c08841d387eed20c243c9d7c.jpg,https://cdn2-retail-images.kiotviet.vn/giabaopharma/1fb0315296bc41d5b6c598477f72970d.jpg</t>
  </si>
  <si>
    <t>Q3022403144</t>
  </si>
  <si>
    <t>" Antanazol Ketoconazole 20mg/1g Shinpoong Hàn Quốc( lốc 10/ Tube 10g) "</t>
  </si>
  <si>
    <t>https://cdn2-retail-images.kiotviet.vn/giabaopharma/ff6f02d7c03047ac9564727f146bdaec.jpg,https://cdn2-retail-images.kiotviet.vn/giabaopharma/c7af6faf624b4da1839d145eac9c91ab.jpg,https://cdn2-retail-images.kiotviet.vn/giabaopharma/9e5d7ac30c8644a899fb43255b758d78.jpg</t>
  </si>
  <si>
    <t>Q302776849</t>
  </si>
  <si>
    <t>" Antesik Mediplantex (Hộp 10 vỉ x 4 viên nang) "</t>
  </si>
  <si>
    <t>https://cdn2-retail-images.kiotviet.vn/giabaopharma/6af0d69637db48249416a256798d55f4.jpg,https://cdn2-retail-images.kiotviet.vn/giabaopharma/5bb9a4f8561b44039bd0a2cf41c63711.jpg,https://cdn2-retail-images.kiotviet.vn/giabaopharma/1d055a11c8ba4428b0e1f3a53be56b73.jpg,https://cdn2-retail-images.kiotviet.vn/giabaopharma/cb86ee0db2664d8aa953bf6986bec88c.jpg,https://cdn2-retail-images.kiotviet.vn/giabaopharma/796f18864e634a09b69f0782f48ec73f.jpg</t>
  </si>
  <si>
    <t>Q3022403145</t>
  </si>
  <si>
    <t>" Antiac Daily sữa rửa mặt Salcura( tube 150ml) "</t>
  </si>
  <si>
    <t>https://cdn-images.kiotviet.vn/giabaopharma/696a761438964e0198221921c283d4ad.jpg</t>
  </si>
  <si>
    <t>Q3022403146</t>
  </si>
  <si>
    <t>" Antibio Pro men tiêu hóa Hàn Quốc( hộp 100 gói x 1g) "</t>
  </si>
  <si>
    <t>https://cdn2-retail-images.kiotviet.vn/2025/01/06/giabaopharma/311d5c0cdf994c12a2645b60b69b7073.jpg</t>
  </si>
  <si>
    <t>Q3022403147</t>
  </si>
  <si>
    <t>" Antikans Thymodulin 80mg Z120( hộp 3 vỉ x 10 viên ) "</t>
  </si>
  <si>
    <t>https://cdn-images.kiotviet.vn/giabaopharma/a946a808851643c7b72679a537b6c976.png,https://cdn-images.kiotviet.vn/giabaopharma/8652982d458547eb93bef3f7dc614ae9.png,https://cdn-images.kiotviet.vn/giabaopharma/407918bd1eec4beb82680c66b43bb893.png,https://cdn-images.kiotviet.vn/giabaopharma/0ff559fb41aa48418f692a126430f974.png,https://cdn-images.kiotviet.vn/giabaopharma/c1ae5ec170b8486ab435a280756726a8.png</t>
  </si>
  <si>
    <t>Q3022403148</t>
  </si>
  <si>
    <t>" Antituss Pluss siro ho Mekophar( lọ 60ml ) "</t>
  </si>
  <si>
    <t>https://cdn-images.kiotviet.vn/giabaopharma/a61e21849c054f88920c1898cfb2637d.png,https://cdn-images.kiotviet.vn/giabaopharma/deb44c06f5264c51bf89a25001bf6ef2.png,https://cdn2-retail-images.kiotviet.vn/2025/10/06/giabaopharma/00e4305357ad47919d97d7ec9dca255d.jpg,https://cdn2-retail-images.kiotviet.vn/2025/10/06/giabaopharma/c0993ec868f946bd9eaa8efde5112f72.jpg</t>
  </si>
  <si>
    <t>Q3022403149</t>
  </si>
  <si>
    <t>" Antot IQ ăn ngon Traphaco( hộp 20 ống x 10m ) "</t>
  </si>
  <si>
    <t>https://cdn-images.kiotviet.vn/giabaopharma/c79a34841a904422961aadf56cadd4bc.png</t>
  </si>
  <si>
    <t>Q3022403150</t>
  </si>
  <si>
    <t>" Antot Thymo tăng sức đề kháng Traphaco( hộp 20 ống x 10ml ) "</t>
  </si>
  <si>
    <t>https://cdn-images.kiotviet.vn/giabaopharma/c18cb484b31e45aa88b48b16d10c1cc7.png,https://cdn-images.kiotviet.vn/giabaopharma/c890e43f66434cc6971900bca0fc930b.png,https://cdn-images.kiotviet.vn/giabaopharma/011d66c264f843648a10c1c68bac9015.png,https://cdn-images.kiotviet.vn/giabaopharma/f04d19e8c1364d28a1a87bdd8093c81f.png,https://cdn-images.kiotviet.vn/giabaopharma/f0a69ca85bec430d8a7800a0571ff94b.png</t>
  </si>
  <si>
    <t>Q3022403201</t>
  </si>
  <si>
    <t>" Aphacolin Esomeparazo 40mg nang Z120( hộp 3 vỉ x 10 viên ) "</t>
  </si>
  <si>
    <t>https://cdn2-retail-images.kiotviet.vn/giabaopharma/f8cea960cda24609a87c916bb61a00a3.jpg</t>
  </si>
  <si>
    <t>Q3022403202</t>
  </si>
  <si>
    <t>" Aphargen Paracetamol Z120 Armepharco( hộp 25 vỉ x 20 viên nén ) "</t>
  </si>
  <si>
    <t>https://cdn2-retail-images.kiotviet.vn/giabaopharma/2dd9b14f4da54dd18ffd48b82399fcba.jpg</t>
  </si>
  <si>
    <t>Q3022403203</t>
  </si>
  <si>
    <t>" Aphaxan Paracetamol Z120 (hộp 5 vỉ x 20 viên nén)"</t>
  </si>
  <si>
    <t>https://cdn2-retail-images.kiotviet.vn/giabaopharma/ca900d6b28fa4a95ae981c9f22089741.jpg</t>
  </si>
  <si>
    <t>Q3022403204</t>
  </si>
  <si>
    <t>" Aprovel Ibersartan 150mg Sanofi( hộp 2 vỉ x 14 viên nén) "</t>
  </si>
  <si>
    <t>https://cdn-images.kiotviet.vn/giabaopharma/0b2c0296b6394b95a455f5f32a363209.png,https://cdn-images.kiotviet.vn/giabaopharma/a1717d02f02542239d806004570ed995.png,https://cdn-images.kiotviet.vn/giabaopharma/503a9aa76fb6482b9874c79239ed4c5c.png,https://cdn-images.kiotviet.vn/giabaopharma/233097c555c34466aa31bddd8bee3690.png,https://cdn-images.kiotviet.vn/giabaopharma/e5fdb6a1adc54eaab96fed82c71a5e18.png</t>
  </si>
  <si>
    <t>Q3022403205</t>
  </si>
  <si>
    <t>" Aquadreim K2+D3 giọt Akopha( lọ 10ml ) "</t>
  </si>
  <si>
    <t>https://cdn-images.kiotviet.vn/giabaopharma/0419cfde9aae439d8287d7614c4c9c9f.jpg</t>
  </si>
  <si>
    <t>Q3022403206</t>
  </si>
  <si>
    <t>" Aquafresh kem đánh răng GSK( tube 100ml ) "</t>
  </si>
  <si>
    <t>https://cdn2-retail-images.kiotviet.vn/giabaopharma/710386f08e11437c8f0c0bf661b8ed5d.jpg</t>
  </si>
  <si>
    <t>Q3022403208</t>
  </si>
  <si>
    <t>" Arclenxyl Loratadin 10mg Z150 Armephaco( lọ 300 viên nang ) "</t>
  </si>
  <si>
    <t>https://cdn2-retail-images.kiotviet.vn/giabaopharma/cdc193731be74886bf8be3c832c00b42.png,https://cdn2-retail-images.kiotviet.vn/giabaopharma/492b078b6af147a5b089a9a557a14c6f.png,https://cdn2-retail-images.kiotviet.vn/giabaopharma/efd2483049814c45aba6e351d0adf36c.png,https://cdn2-retail-images.kiotviet.vn/giabaopharma/772856ed4b3d490c80a04d333818e441.png,https://cdn2-retail-images.kiotviet.vn/giabaopharma/9347d0efbdf84f6baba0b3d9bfb0d78b.png</t>
  </si>
  <si>
    <t>Q3022403209</t>
  </si>
  <si>
    <t>" Arcoxia Etoricoxib 120mg MSD (hộp 3 vỉ x 10 viên nén) "</t>
  </si>
  <si>
    <t>https://cdn-images.kiotviet.vn/giabaopharma/b387aa7be30b455a86b345f15b1d4250.png,https://cdn-images.kiotviet.vn/giabaopharma/3dc862f7774e4063a43188a321566eb9.png,https://cdn-images.kiotviet.vn/giabaopharma/c52918c37c614d75b34e090c3eabea60.png,https://cdn-images.kiotviet.vn/giabaopharma/6439ab8b7e6c4d31a978f77fa54b098f.png,https://cdn-images.kiotviet.vn/giabaopharma/49f1dfe874ee441fabbc9b2eb2da9f4f.png</t>
  </si>
  <si>
    <t>Q3022403210</t>
  </si>
  <si>
    <t>" Arcoxia Etoricoxib 60mg MSD( hộp 3 vỉ x 10 viên nén ) "</t>
  </si>
  <si>
    <t>https://cdn2-retail-images.kiotviet.vn/giabaopharma/43d4ad17d927461cb8df586981f8e2e3.png,https://cdn2-retail-images.kiotviet.vn/giabaopharma/09bccf7e1a9240d19cc60f46ff26c6c3.png,https://cdn2-retail-images.kiotviet.vn/giabaopharma/7d77cc3d1b494a49b92b851a938c4d7b.png,https://cdn2-retail-images.kiotviet.vn/giabaopharma/4ab4b13b47e44e3ca02399bfa40607e7.png,https://cdn2-retail-images.kiotviet.vn/giabaopharma/5829285cbab44bd3a029c3860cc2df97.png</t>
  </si>
  <si>
    <t>Q3022403212</t>
  </si>
  <si>
    <t>" Argide gan NIC( hộp 20 ống x 10ml) "</t>
  </si>
  <si>
    <t>https://cdn-images.kiotviet.vn/giabaopharma/adc3a78e7e5b4503976f173429370b31.png,https://cdn-images.kiotviet.vn/giabaopharma/9fa484bdd1664c56868d678e86154c67.png,https://cdn-images.kiotviet.vn/giabaopharma/fcc49c655b8e4fd5b065b16bc7266db9.png,https://cdn-images.kiotviet.vn/giabaopharma/e7f3520f986940ae8ced32d7cef84778.png,https://cdn-images.kiotviet.vn/giabaopharma/8d5b7067fd704aa4b81e4520bd76f95a.png</t>
  </si>
  <si>
    <t>Q3022403217</t>
  </si>
  <si>
    <t>" Arginin Gold Silymarin Đại Uy( hộp 6 vỉ x 10 viên nang ) "</t>
  </si>
  <si>
    <t>https://cdn-images.kiotviet.vn/giabaopharma/5d457eefba6c49dab075ec6be56cc6de.png</t>
  </si>
  <si>
    <t>Q3022403218</t>
  </si>
  <si>
    <t>" Arginine 200mg Abipha( hộp 12 vỉ x 5 viên nang ) "</t>
  </si>
  <si>
    <t>Q3022403222</t>
  </si>
  <si>
    <t>" Argistad Arginin 1g Stella ( hộp 20 ống x 5ml ) "</t>
  </si>
  <si>
    <t>https://cdn-images.kiotviet.vn/giabaopharma/07fe8fef98224feabab4147e63ff994a.png</t>
  </si>
  <si>
    <t>Q3022403223</t>
  </si>
  <si>
    <t>" Arme Cefu 500mg Z150 ( hộp 2 vỉ x 5 viên nén) "</t>
  </si>
  <si>
    <t>https://cdn-images.kiotviet.vn/giabaopharma/efa61bfd75a14893a5f5b98e3b4e7d1f.png,https://cdn-images.kiotviet.vn/giabaopharma/d6f72640015b43d3b8fb1460ee2f7a68.png,https://cdn-images.kiotviet.vn/giabaopharma/518d85c2c8c74734b2869877cf951ea0.png,https://cdn-images.kiotviet.vn/giabaopharma/f335cbc050d7454891e52682d2015e28.png,https://cdn-images.kiotviet.vn/giabaopharma/b59d053f83d942009754e3b24885f780.png</t>
  </si>
  <si>
    <t>Q3022403224</t>
  </si>
  <si>
    <t>" Arme Rogyl nén Z120 ( hộp 2 vỉ x 10 viên ) "</t>
  </si>
  <si>
    <t>https://cdn-images.kiotviet.vn/giabaopharma/c20fa84244794e798d7a65245a67aac3.png</t>
  </si>
  <si>
    <t>MỠ MÁU - LIPID</t>
  </si>
  <si>
    <t>Q3022403225</t>
  </si>
  <si>
    <t>" Armolipid Plus Mylan Ý ( hộp 2 vỉ x 10 viên nang ) "</t>
  </si>
  <si>
    <t>https://cdn2-retail-images.kiotviet.vn/2025/03/15/giabaopharma/dea53fc15dc24f1fb0327e9d5ce6d353.jpg</t>
  </si>
  <si>
    <t>DỤNG CỤ SƠ CỨU</t>
  </si>
  <si>
    <t>Q3022403226</t>
  </si>
  <si>
    <t>" Armyvidine Z120 ( lọ 20ml ) "</t>
  </si>
  <si>
    <t>https://cdn2-retail-images.kiotviet.vn/2025/02/17/giabaopharma/cd4ce076b89f4ae4b899e10b29840bd9.jpg</t>
  </si>
  <si>
    <t>Q3022403227</t>
  </si>
  <si>
    <t>" Arthrobic Meloxicam 15mg Mekophar( lọ 30 viên) "</t>
  </si>
  <si>
    <t>https://cdn2-retail-images.kiotviet.vn/giabaopharma/b5dbd40da3604357ba26101670ff96b8.png,https://cdn2-retail-images.kiotviet.vn/giabaopharma/04638f80b2844107babffe872bf3d508.png,https://cdn2-retail-images.kiotviet.vn/giabaopharma/9266a7452e8945e58e6b32cf8577c852.png,https://cdn2-retail-images.kiotviet.vn/giabaopharma/91d89e4dadc44e249c36f10d484aa4f3.png,https://cdn2-retail-images.kiotviet.vn/giabaopharma/6e2de8ea6d304976b6b964b76cd0d3a7.png</t>
  </si>
  <si>
    <t>Q3022403228</t>
  </si>
  <si>
    <t>" Arthrobic Meloxicam 7.5mg Mekophar ( lọ 50v ) "</t>
  </si>
  <si>
    <t>https://cdn2-retail-images.kiotviet.vn/giabaopharma/393eeb8a121248c6a66c7edd20b93c7d.png,https://cdn2-retail-images.kiotviet.vn/giabaopharma/f3ea269b7d9148e79afafc0e510b0648.png,https://cdn2-retail-images.kiotviet.vn/giabaopharma/374604ce8f1b481fb4282e835df048b3.png,https://cdn2-retail-images.kiotviet.vn/giabaopharma/f10ea56180fa4fdea9c2941f39195c41.png,https://cdn2-retail-images.kiotviet.vn/giabaopharma/f7eaf61a61874fb292e02b4b28f8d3b0.png</t>
  </si>
  <si>
    <t>Q3022403229</t>
  </si>
  <si>
    <t>" Arthroease Glucosamin 1178mg Eloge France( hộp 30 gói x 3g ) "</t>
  </si>
  <si>
    <t>https://cdn-images.kiotviet.vn/giabaopharma/a87d863cb0394e8c9f8f7a63c4df70da.png,https://cdn-images.kiotviet.vn/giabaopharma/64f4d5d89f1447dcba34877e6ed23871.png,https://cdn-images.kiotviet.vn/giabaopharma/80d1dcf3a1364dd19cf797686e9f04a3.png,https://cdn-images.kiotviet.vn/giabaopharma/cb846ee0a7814e90b680875dd197b637.png,https://cdn-images.kiotviet.vn/giabaopharma/eb3656b011c040a99b6b0bfc97501ab5.png</t>
  </si>
  <si>
    <t>Q303003001</t>
  </si>
  <si>
    <t>" Artroda Diacerein 50mg TRB Argentina( hộp 3 vỉ x 10 viên nang ) "</t>
  </si>
  <si>
    <t>https://cdn-images.kiotviet.vn/giabaopharma/c87c68d194a34ba6b73b57f5e9c6a11f.jpg</t>
  </si>
  <si>
    <t>Q303003003</t>
  </si>
  <si>
    <t>" Arximuoc Acetylcystein 200mg Đồng Nai ( lọ 100 viên nang ) "</t>
  </si>
  <si>
    <t>https://cdn-images.kiotviet.vn/giabaopharma/cb95607d9556427f8bfd055e791b0863.png,https://cdn-images.kiotviet.vn/giabaopharma/fdd25faef33b4e6693076532c248595c.png,https://cdn-images.kiotviet.vn/giabaopharma/c86b6a8640f54d259d018129cf059d22.png,https://cdn-images.kiotviet.vn/giabaopharma/5c12f7d7cb7f4ecc8193ed992eab010b.png,https://cdn-images.kiotviet.vn/giabaopharma/fb43c9818fa3452184d8a148142493d6.png</t>
  </si>
  <si>
    <t>Q303003002</t>
  </si>
  <si>
    <t>" Arximuoc Acetylcystein 200mg Đồng Nai (hộp 10 vỉ x 10 viên nang) "</t>
  </si>
  <si>
    <t>https://cdn-images.kiotviet.vn/giabaopharma/9a46dc774f044fb3a8439f31b0d5d45e.png,https://cdn-images.kiotviet.vn/giabaopharma/0fefa3d1b15c4c98b9d9a39730c45680.png,https://cdn-images.kiotviet.vn/giabaopharma/28aa0b38ed254265864bad83d33a2bba.png,https://cdn-images.kiotviet.vn/giabaopharma/f1d70ff7bbe8405b95d8ccb8e1858113.png,https://cdn-images.kiotviet.vn/giabaopharma/2694c9bbfdeb4100987d3e47dae35f69.png</t>
  </si>
  <si>
    <t>Q303003004</t>
  </si>
  <si>
    <t>" Arylin bổ gan Thành Công (hộp 12 vỉ x 5 viên nang ) "</t>
  </si>
  <si>
    <t>https://cdn-images.kiotviet.vn/giabaopharma/d6a3607958494e00b09b10711bc5909b.png</t>
  </si>
  <si>
    <t>Q303003005</t>
  </si>
  <si>
    <t>" Asakoya 100 Mediplantex(hộp 3 vỉ x 10 viên nén ) "</t>
  </si>
  <si>
    <t>https://cdn2-retail-images.kiotviet.vn/giabaopharma/1e01998083674defbf2e3f6bcf7c2ccc.png,https://cdn2-retail-images.kiotviet.vn/giabaopharma/b7bdf5bd910a4c979def7e82a38bd969.png,https://cdn2-retail-images.kiotviet.vn/giabaopharma/4eb1cccaface44b199e97684dc791171.png,https://cdn2-retail-images.kiotviet.vn/giabaopharma/6dbb3f1e765e4a3391874b75a67466a2.png,https://cdn2-retail-images.kiotviet.vn/giabaopharma/1d6ef6c702e6467890b84263da116752.png</t>
  </si>
  <si>
    <t>Q303003006</t>
  </si>
  <si>
    <t>" Asbesone Betamethasone Replek Pharm (tube 30g) "</t>
  </si>
  <si>
    <t>https://cdn2-retail-images.kiotviet.vn/giabaopharma/018958e61c9d42538bee7e52ebdce939.png</t>
  </si>
  <si>
    <t>Q303003007</t>
  </si>
  <si>
    <t>" Asentra Sertraline 50mg Slovenia (hộp 4 vỉ x 7 viên) "</t>
  </si>
  <si>
    <t>https://cdn2-retail-images.kiotviet.vn/giabaopharma/9a513fa7fa68456fa5b136cf3333ca32.jpg</t>
  </si>
  <si>
    <t>Q303003008</t>
  </si>
  <si>
    <t>" Asiacomb New Medipharco (Tube 10g ) "</t>
  </si>
  <si>
    <t>https://cdn2-retail-images.kiotviet.vn/giabaopharma/0ba7f37f313341619706bb25f221c47b.png,https://cdn2-retail-images.kiotviet.vn/giabaopharma/234be488af944e4bb51c85be35cba2a9.png,https://cdn2-retail-images.kiotviet.vn/giabaopharma/2a0d0c9aaf0841dc859fdee13012f33d.png,https://cdn2-retail-images.kiotviet.vn/giabaopharma/46d2fdafb4d74007ad4dd110d4bf3b7e.png,https://cdn2-retail-images.kiotviet.vn/giabaopharma/1a4c309dfff34ecda5614510ee1e3737.png</t>
  </si>
  <si>
    <t>Q303003009</t>
  </si>
  <si>
    <t>" Asigastrogit Thanh Hóa (hộp 30 gói x 3,2g thuốc bột pha hỗn dịch) "</t>
  </si>
  <si>
    <t>https://cdn2-retail-images.kiotviet.vn/giabaopharma/2aa038e914d94cc0a359e38d73f89a36.jpg</t>
  </si>
  <si>
    <t>Q303003010</t>
  </si>
  <si>
    <t>" Aslem Glycyl funtumin 0.3mg/1ml tiêm Vĩnh Phúc (hộp 10 ống x 1m) "</t>
  </si>
  <si>
    <t>https://cdn2-retail-images.kiotviet.vn/giabaopharma/28b3a63e256a4b9db33fe6f49a80548c.png</t>
  </si>
  <si>
    <t>Q303003011</t>
  </si>
  <si>
    <t>" Asosalic Betamethasone Replex Macedonia ( Tube 30g) "</t>
  </si>
  <si>
    <t>https://cdn2-retail-images.kiotviet.vn/2025/11/03/giabaopharma/a22fac05093646a688a45dca8ab653c6.png</t>
  </si>
  <si>
    <t>Q303003012</t>
  </si>
  <si>
    <t>" Aspamic đường ăn kiêng Domesco(hộp 100 gói x 1g) "</t>
  </si>
  <si>
    <t>https://product.hstatic.net/200000428801/product/zalo_screenshot_18_11_2021_756308_84196c50e19d4a858d9c5d8402523a54.png</t>
  </si>
  <si>
    <t>Q303003013</t>
  </si>
  <si>
    <t>" Aspartam đường ăn kiêng Pharmedic(hộp 50 gói) "</t>
  </si>
  <si>
    <t>https://product.hstatic.net/200000428801/product/1e7d050c71634ed2aedb3959e2c7ab2d_d28a7a75ba9a445c9699696e0b544fcb.png</t>
  </si>
  <si>
    <t>Q303003014</t>
  </si>
  <si>
    <t>" Aspilets EC Acid Acetylsalicylic 80mg United (hộp 10 vỉ x 10 viên nén) "</t>
  </si>
  <si>
    <t>https://product.hstatic.net/200000428801/product/7684f3abf7f348c2949632e532efd833_61bbfbf1ab3f404b9a75560bda1497ec.png</t>
  </si>
  <si>
    <t>Q302884637</t>
  </si>
  <si>
    <t>" Aspirin -100 Traphaco (Hộp 3 vỉ x10 viên bao tan trong ruột)"</t>
  </si>
  <si>
    <t>https://product.hstatic.net/200000428801/product/c047d7cfb98e4983b810be90d50c1375_c2901c21db134555b2f84536219b799c.png</t>
  </si>
  <si>
    <t>Q303003016</t>
  </si>
  <si>
    <t>" Aspirin 81mg acid acetylsalicylic Vidipha(hộp 50 vỉ x 10 viên nén) "</t>
  </si>
  <si>
    <t>https://product.hstatic.net/200000428801/product/4e0201b01aee4a269419022f6e9d90df_f5b082fb5d214b5fb600102435740c78.png</t>
  </si>
  <si>
    <t>Q303003017</t>
  </si>
  <si>
    <t>" Aspirin 81mg Mekophar (hộp 10 vỉ x 10 viên nén) "</t>
  </si>
  <si>
    <t>https://product.hstatic.net/200000428801/product/688760108f184622a636d129dc2a720e_7ab404b798b645fa949cc59cf4669ffb.png</t>
  </si>
  <si>
    <t>Q303003018</t>
  </si>
  <si>
    <t>" Aspirin PH8 500mg Quảng Bình(hộp 10 vỉ x 10 viên nén) "</t>
  </si>
  <si>
    <t>https://product.hstatic.net/200000428801/product/632d39b1caf34f7ea7bc8a38b9f0bd55_1591120b471e42ae8aea5e39c0aa87f4.png</t>
  </si>
  <si>
    <t>Q303003019</t>
  </si>
  <si>
    <t>" Aspirin PH8 Mekophar(hộp 20 vỉ x 10 viên nén) "</t>
  </si>
  <si>
    <t>https://product.hstatic.net/200000428801/product/a1ca040d84a44241a5a6dac1f33f92b0_6be26bb01a744af484adc131f64e7762.png</t>
  </si>
  <si>
    <t>Q303003020</t>
  </si>
  <si>
    <t>" Asthmatin Montelukas 10mg Stella( hộp 3 vỉ x 10 viên nén) "</t>
  </si>
  <si>
    <t>https://product.hstatic.net/200000428801/product/2443ab5a375b49889dbcd7e1633bca88_ba3f486a999d433aaffb0c2cdcc05824.png</t>
  </si>
  <si>
    <t>Q302200213</t>
  </si>
  <si>
    <t>" AT Desloratadin An Thiên 2,5mg (H/30 GÓI x 5ml) "</t>
  </si>
  <si>
    <t>https://product.hstatic.net/200000428801/product/d4a3e614deb74ef1ab95f247df2de115_f395800e52ae4c5fbfa8b5d18a2826cf.png</t>
  </si>
  <si>
    <t>Q303003021</t>
  </si>
  <si>
    <t>" Atalzan Bình Thuận (lọ 100 viên nén) "</t>
  </si>
  <si>
    <t>https://product.hstatic.net/200000428801/product/5887a6a3a1e14b1cb27abd2efb0885d2_f8819e6685a9426b82b53411b00d0d7d.png</t>
  </si>
  <si>
    <t>Q302004838</t>
  </si>
  <si>
    <t>" Atenolol 50mg Stada (Hộp 2vỉ x 15 viên) "</t>
  </si>
  <si>
    <t>https://product.hstatic.net/200000428801/product/00432bfd726f4ab197b0c2e0d6963e9c_0507e865540c4aa1aeae75cf40a3c558.png</t>
  </si>
  <si>
    <t>Q303003022</t>
  </si>
  <si>
    <t>" ATessen Syrup An Thiên (hộp 30 ống x 5ml ) "</t>
  </si>
  <si>
    <t>https://product.hstatic.net/200000428801/product/03cd6055bdf041acb1e3e7644f864763_d39b77067252446d93915ed9f8882cb4.jpg</t>
  </si>
  <si>
    <t>Q303003023</t>
  </si>
  <si>
    <t>" Aticef Cefadroxil 250mg Hậu Giang (hộp 24 gói x 1.5g) "</t>
  </si>
  <si>
    <t>https://product.hstatic.net/200000428801/product/9586719cdc5e441391451f472c5c2368_35632f0f92aa42d0b7337900c74153ef.png</t>
  </si>
  <si>
    <t>Q303003024</t>
  </si>
  <si>
    <t>" Aticef Cefadroxil 500mg Hậu Giang (hộp 2 vỉ x 7 viên nang) "</t>
  </si>
  <si>
    <t>https://product.hstatic.net/200000428801/product/upload_fc60b38759d94c7c8f8ee9912b293296.jpg</t>
  </si>
  <si>
    <t>Q302090686</t>
  </si>
  <si>
    <t>" Atilair Sac Montelukast 4mg An Thiên (Hộp 30 gói x 2g) "</t>
  </si>
  <si>
    <t>https://product.hstatic.net/200000428801/product/upload_4c4b0ffd2bf24c87947d6b66e5735c57.jpg</t>
  </si>
  <si>
    <t>Q303003026</t>
  </si>
  <si>
    <t>" Atilene Alimemazine tartrate 2,5mg/5ml An Thiên (hộp 10 viên nén) "</t>
  </si>
  <si>
    <t>https://product.hstatic.net/200000428801/product/upload_dbd0d92f444a46b5ae39d841804c4e8c.jpg</t>
  </si>
  <si>
    <t>Q303003027</t>
  </si>
  <si>
    <t>" AtiLeucine 500mg/5ml tiêm An Thiên ( hộp 2 vỉ x 5 ống 5ml ) "</t>
  </si>
  <si>
    <t>https://product.hstatic.net/200000428801/product/344_96ee7b88bc5f40018373077256294f77.png</t>
  </si>
  <si>
    <t>Q303003028</t>
  </si>
  <si>
    <t>" Atipiracetam Plus 400mg/25mg An Thiên(hộp 10 viên nén) "</t>
  </si>
  <si>
    <t>https://product.hstatic.net/200000428801/product/upload_1af4d546e6ac44aea29b15f5bf53bddc.jpg</t>
  </si>
  <si>
    <t>Q303003029</t>
  </si>
  <si>
    <t>" Atirin 10 Ebastine 10mg An Thiên (hộp 3 vỉ x 10 viên nén ) "</t>
  </si>
  <si>
    <t>https://product.hstatic.net/200000428801/product/upload_db5fcc7ba7cd4488aa52f0641e2bc9e6.jpg</t>
  </si>
  <si>
    <t>Q303003030</t>
  </si>
  <si>
    <t>" Atirlic Forte An Thiên (hộp 20 gói x 10g) "</t>
  </si>
  <si>
    <t>https://product.hstatic.net/200000428801/product/upload_94853373e7d84a50a7f88317f94d2914.jpg</t>
  </si>
  <si>
    <t>Q303003031</t>
  </si>
  <si>
    <t>" Atirlic hương dâu An Thiên (hộp 20 gói x 15g ) "</t>
  </si>
  <si>
    <t>https://product.hstatic.net/200000428801/product/upload_a905cdf75f90472184d4329976e71937.jpg</t>
  </si>
  <si>
    <t>Q302200228</t>
  </si>
  <si>
    <t>" ATiZinc Kẽm 10mg An Thiên (H/10 vỉ x 10 viên nén) "</t>
  </si>
  <si>
    <t>https://product.hstatic.net/200000428801/product/upload_e8a822c33ae04d6184c84ec78398a91e.jpg</t>
  </si>
  <si>
    <t>Q302287343</t>
  </si>
  <si>
    <t>" Atocib Etoricoxib 120mg DHG (Hộp 3vỉ x 10 viên nén bao phim) "</t>
  </si>
  <si>
    <t>https://product.hstatic.net/200000428801/product/upload_531d25f910f7477d951506e0f2b2528b.jpg</t>
  </si>
  <si>
    <t>Q302456234</t>
  </si>
  <si>
    <t>" Atocib Etoricoxib 60mg DHG (Hộp 3vỉ x 10 viên nén bao phim) "</t>
  </si>
  <si>
    <t>https://product.hstatic.net/200000428801/product/upload_00146d34e615481691b4d4dc56cc7e92.jpg</t>
  </si>
  <si>
    <t>Q302987321</t>
  </si>
  <si>
    <t>" Atocib Etoricoxib 90mg DHG (Hộp 3vỉ x 10 viên nén bao phim) "</t>
  </si>
  <si>
    <t>https://product.hstatic.net/200000428801/product/upload_3c59f12ab0fb4fbdaa2d2520ac88dae5.jpg</t>
  </si>
  <si>
    <t>Q303003032</t>
  </si>
  <si>
    <t>" Atohasan Atorvastatin 20mg Hasan (hộp 10 vỉ x 10 viên nén) "</t>
  </si>
  <si>
    <t>https://product.hstatic.net/200000428801/product/394_7d239bea908b4afba6330692535ed13c.png</t>
  </si>
  <si>
    <t>Q303003033</t>
  </si>
  <si>
    <t>" Atolys sữa tắm Lysaskin (lọ 200m) "</t>
  </si>
  <si>
    <t>https://product.hstatic.net/200000428801/product/upload_41c242bd3b9043ee9680a19a7959fd5a.jpg</t>
  </si>
  <si>
    <t>Q303003034</t>
  </si>
  <si>
    <t>" Atopalm Intensive Moisturing cream Hàn Quốc (tuýp 30ml ) "</t>
  </si>
  <si>
    <t>https://product.hstatic.net/200000428801/product/upload_1ba65ee193e744909602e0fe8f59b81d.jpg</t>
  </si>
  <si>
    <t>Q303003035</t>
  </si>
  <si>
    <t>" Atopiclair Cream bôi rạn da Menarini (Tube 40ml ) "</t>
  </si>
  <si>
    <t>https://product.hstatic.net/200000428801/product/397_f2685a1c3d4748ddbb32a27cb430cfbf.png</t>
  </si>
  <si>
    <t>Q303003036</t>
  </si>
  <si>
    <t>" Atopiclair Lotion Menarini (Tube 120ml ) "</t>
  </si>
  <si>
    <t>https://product.hstatic.net/200000428801/product/upload_3e68aacd88914bd19137d1710141725d.jpg</t>
  </si>
  <si>
    <t>Q303003037</t>
  </si>
  <si>
    <t>" Atorvastatin 20mg Domesco (hộp 2 vỉ x 10 viên nén) "</t>
  </si>
  <si>
    <t>https://product.hstatic.net/200000428801/product/upload_ceb93d4d085f4cdca66cdb18f5393ff0.jpg</t>
  </si>
  <si>
    <t>Q303003038</t>
  </si>
  <si>
    <t>" Atorvastatin 20mg Khánh Hòa (hộp 3 vỉ x 10 viên ) "</t>
  </si>
  <si>
    <t>https://product.hstatic.net/200000428801/product/upload_e7abc3ee754c400b9066825864451949.jpg</t>
  </si>
  <si>
    <t>Q303003039</t>
  </si>
  <si>
    <t>" ATP Dinatri adenosin triphosphat 20mg Mediplantex(hộp 10 vỉ x 10 viên) "</t>
  </si>
  <si>
    <t>https://cdn2-retail-images.kiotviet.vn/giabaopharma/b39b5de49872415b9e5c90ef388a672d.jpg</t>
  </si>
  <si>
    <t>Q303003040</t>
  </si>
  <si>
    <t>" Atropin Sulfat 0.25mg/ml Vĩnh Phúc(hộp 100 ống tiêm ) "</t>
  </si>
  <si>
    <t>https://product.hstatic.net/200000428801/product/upload_7e131e9eebc7461c90ba6c20dafe558a.jpg</t>
  </si>
  <si>
    <t>Q302309788</t>
  </si>
  <si>
    <t>" Atussin Tablets United (Hộp 25 vỉ x 4 viên nén) "</t>
  </si>
  <si>
    <t>https://product.hstatic.net/200000428801/product/upload_1308c9edea3544e78dd917b281baf70f.jpg</t>
  </si>
  <si>
    <t>Q303003041</t>
  </si>
  <si>
    <t>" Auclanityl 500/125mg Tiền Giang (hộp 2 vỉ x 10 viên nén) "</t>
  </si>
  <si>
    <t>https://product.hstatic.net/200000428801/product/413_0067f5d86bf64035b0403ba110c7b372.png</t>
  </si>
  <si>
    <t>Q303003042</t>
  </si>
  <si>
    <t>" Auclanityl 875/125mg Tiền Giang (hộp 2 vỉ x 7 viên nén ) "</t>
  </si>
  <si>
    <t>https://product.hstatic.net/200000428801/product/upload_d87b334f96cd4e9ba9cba8e5a09bfab8.jpg</t>
  </si>
  <si>
    <t>Q303003043</t>
  </si>
  <si>
    <t>" Auclatyl 500mg/125mg Tiền Giang(hộp 2 vỉ x 10 viên nén) "</t>
  </si>
  <si>
    <t>https://product.hstatic.net/200000428801/product/upload_5c30a48a5a5149d4ae9b1bd1cc1b2288.jpg</t>
  </si>
  <si>
    <t>Q303003044</t>
  </si>
  <si>
    <t>" Auclatyl 875/125mg Tiền Giang (hộp 2 vỉ x 7 viên nén) "</t>
  </si>
  <si>
    <t>https://product.hstatic.net/200000428801/product/upload_7717c3740b14484da42b124e1d598368.jpg</t>
  </si>
  <si>
    <t>Q303003045</t>
  </si>
  <si>
    <t>" Augbactam 1g Mekophar (hộp 2 vỉ x 7 viên ) "</t>
  </si>
  <si>
    <t>https://product.hstatic.net/200000428801/product/8ba97e66c7a2439fa97fdcc0c85b783c_d5b1b2c166ae4d1ba8111979a1b12769.png</t>
  </si>
  <si>
    <t>Q303003046</t>
  </si>
  <si>
    <t>" Augbactam 562,5mg Mekophar (hộp 12 gói x 3.2g) "</t>
  </si>
  <si>
    <t>https://product.hstatic.net/200000428801/product/471_50efb7c04a7e49f59e00feefa9fb89f0.png</t>
  </si>
  <si>
    <t>Q303003047</t>
  </si>
  <si>
    <t>" Augbactam 625mg Mekophar (hộp 2 vỉ x 5 viên nén) "</t>
  </si>
  <si>
    <t>https://product.hstatic.net/200000428801/product/7e8d0768db574abcbeeb6e25b541a8cd_b761b783f63a41e68ff35d52222f1c42.png</t>
  </si>
  <si>
    <t>Q303003049</t>
  </si>
  <si>
    <t>" Augbidil 250mg/31.25mg Bình Định (hộp 12 gói x 1g) "</t>
  </si>
  <si>
    <t>https://product.hstatic.net/200000428801/product/514_a85d9c04ffa743b1824a3cf65620698b.png</t>
  </si>
  <si>
    <t>Q3020604001</t>
  </si>
  <si>
    <t>" Augclamox 1g Hà Tây( hộp 2 vỉ x 5 viên nén ) "</t>
  </si>
  <si>
    <t>https://product.hstatic.net/200000428801/product/509_7d0cae9dfcff4be6a2128981f802a5ac.png</t>
  </si>
  <si>
    <t>Q3020604003</t>
  </si>
  <si>
    <t>" Augclamox 625mg Hà Tây( hộp 2 vỉ x 10 viên nén ) "</t>
  </si>
  <si>
    <t>https://product.hstatic.net/200000428801/product/508_808ba050cb374e2695a6e64a6e5c8a90.png</t>
  </si>
  <si>
    <t>Q3020604002</t>
  </si>
  <si>
    <t>" Augmex 625 Amox 500mg/Clavu 125mg Hàn Quốc (hộp 2 vỉ x 10 viên nén )"</t>
  </si>
  <si>
    <t>https://product.hstatic.net/200000428801/product/490fc6af56a24aa9bd0876591804b912_9ed15f2b49ab4c4fa4fbd4c718b8b28b.png</t>
  </si>
  <si>
    <t>Q3020604004</t>
  </si>
  <si>
    <t>" Augmex Duo 1g Hàn Quốc( hộp 2 vỉ x 10 viên ) "</t>
  </si>
  <si>
    <t>https://product.hstatic.net/200000428801/product/upload_9cf684c580b14ee18b0b6043a1d6b1a9.jpg</t>
  </si>
  <si>
    <t>Q3020604005</t>
  </si>
  <si>
    <t>" Avelox Moxifloxacino 400mg Bayer ( hộp 1 vỉ x 5 viên nén ) "</t>
  </si>
  <si>
    <t>https://product.hstatic.net/200000428801/product/25d34fc0203b49acb4bd7de44c50641b_7d8960cbaf574f389b29b2ae0e456bc2.png</t>
  </si>
  <si>
    <t>Q3020604006</t>
  </si>
  <si>
    <t>" Avene xịt khoáng France Pháp( lọ 150ml ) "</t>
  </si>
  <si>
    <t>https://product.hstatic.net/200000428801/product/3_47e021d29c694a58b35e7067a4e1643f.png</t>
  </si>
  <si>
    <t>Q3020604007</t>
  </si>
  <si>
    <t>" Avodart Dutasteride 0.5mg GSK( hộp 3 vỉ x 10 viên nang ) "</t>
  </si>
  <si>
    <t>https://product.hstatic.net/200000428801/product/upload_a482d5334b5c449383cd716f697431ec.jpg</t>
  </si>
  <si>
    <t>Q3020604008</t>
  </si>
  <si>
    <t>" Axcel Fusidic acid Kotra Malaysia( tube 15g ) "</t>
  </si>
  <si>
    <t>https://product.hstatic.net/200000428801/product/45_435862a02a0b42f3b61f0f7c78423068.png</t>
  </si>
  <si>
    <t>Q3020604009</t>
  </si>
  <si>
    <t>" Axofen Fexofenadinr 30mg/5ml Aristopharma( hộp lọ 50ml ) "</t>
  </si>
  <si>
    <t>https://product.hstatic.net/200000428801/product/upload_f454180db0c94d95b39e808af09545f5.jpg</t>
  </si>
  <si>
    <t>Q3020604010</t>
  </si>
  <si>
    <t>" Azaduo gel Medisun( Tube 15g ) "</t>
  </si>
  <si>
    <t>https://product.hstatic.net/200000428801/product/upload_fabc4455bc6046bf95a9a1c89122eed4.jpg</t>
  </si>
  <si>
    <t>Q3020604011</t>
  </si>
  <si>
    <t>" Azanex gel Adapalene gel 0,1% Ấn Độ( tuýp 10g ) "</t>
  </si>
  <si>
    <t>https://product.hstatic.net/200000428801/product/upload_263df627927c4de2877998db0ea305c7.jpg</t>
  </si>
  <si>
    <t>Q3020604012</t>
  </si>
  <si>
    <t>" Azasun dầu gội trị gàu Gamma( lọ 120ml ) "</t>
  </si>
  <si>
    <t>https://product.hstatic.net/200000428801/product/upload_d569f6777ae540ecb20d1dc8dee02362.jpg</t>
  </si>
  <si>
    <t>Q302467377</t>
  </si>
  <si>
    <t>" Azicine Azithromycin 250mg Stella (Hộp 1vỉ x 6 viên nang cứng) "</t>
  </si>
  <si>
    <t>https://product.hstatic.net/200000428801/product/upload_df375f20a3794525be46ec1f974f1fa8.jpg</t>
  </si>
  <si>
    <t>Q302774892</t>
  </si>
  <si>
    <t>" Azicine Azithromycin 250mg Stella (Hộp 6 gói x 1,5g thuốc cốm) "</t>
  </si>
  <si>
    <t>https://product.hstatic.net/200000428801/product/58_4fa58b02f00845fe8aa9f70ba8e690ec.png</t>
  </si>
  <si>
    <t>Q302000494</t>
  </si>
  <si>
    <t>" Azicine Azithromycin 500mg Stella (Hộp 1vỉ x 3 viên nén bao phim) "</t>
  </si>
  <si>
    <t>https://product.hstatic.net/200000428801/product/57_77c0d79c40584d4c835607f6435d7336.png</t>
  </si>
  <si>
    <t>Q3020604013</t>
  </si>
  <si>
    <t>" Azitnic Azithromycin 250mg NIC( hộp 30 viên nén ) "</t>
  </si>
  <si>
    <t>https://product.hstatic.net/200000428801/product/upload_e5403bd6c0d2417292b21ae99a15f837.jpg</t>
  </si>
  <si>
    <t>Q3020604014</t>
  </si>
  <si>
    <t>" Azitnic Azithromycin 250mg NIC( lọ 30 viên nén) "</t>
  </si>
  <si>
    <t>https://product.hstatic.net/200000428801/product/upload_aa9a7aad61ce4bd792e7c91b57828b99.jpg</t>
  </si>
  <si>
    <t>Q3020604015</t>
  </si>
  <si>
    <t>" Azitnic Azithromycin 500mg NIC( hộp 6 viên ) "</t>
  </si>
  <si>
    <t>https://cdn2-retail-images.kiotviet.vn/giabaopharma/4ce1f2befb9e41b89574a7924c66adca.png,https://cdn2-retail-images.kiotviet.vn/giabaopharma/1637bcbc7dcc4c9b804d152a12253bee.png,https://cdn2-retail-images.kiotviet.vn/giabaopharma/2204a1a5d6894a30bb516dd563ad06f0.png,https://cdn2-retail-images.kiotviet.vn/giabaopharma/3f11fa7cbedb451d8d127b6a9986bc23.png,https://cdn2-retail-images.kiotviet.vn/giabaopharma/8928e79c083642a5942e298dc5cb9452.png</t>
  </si>
  <si>
    <t>Q3020604016</t>
  </si>
  <si>
    <t>" Azoltel Albendazol STELLA 400mg Stella( hộp x 1 viên nén) "</t>
  </si>
  <si>
    <t>https://product.hstatic.net/200000428801/product/upload_31b880161f56492b84c825e23ccc9b6f.jpg</t>
  </si>
  <si>
    <t>Q3020604018</t>
  </si>
  <si>
    <t>" B Complex C siro Vidipha( lọ 90ml ) "</t>
  </si>
  <si>
    <t>https://product.hstatic.net/200000428801/product/upload_f95352a04ce04b789958bd6c69762c22.jpg</t>
  </si>
  <si>
    <t>Q3020604017</t>
  </si>
  <si>
    <t>" B Complex C Vidipha( hộp 10 vỉ x 10 viên nang ) "</t>
  </si>
  <si>
    <t>https://product.hstatic.net/200000428801/product/upload_360ad1b0a62c426cb2e9491e369136dd.jpg</t>
  </si>
  <si>
    <t>Q3020604019</t>
  </si>
  <si>
    <t>" B Sol Clobetasol 5mg Agimexpharm( Tube 10g) "</t>
  </si>
  <si>
    <t>https://product.hstatic.net/200000428801/product/upload_a6e7abc29bc44ab9a03530cd0464db5c.jpg</t>
  </si>
  <si>
    <t>Q3020604020</t>
  </si>
  <si>
    <t>" Baberin BM Hà Nam( hộp 10 vỉ x 10 viên nang ) "</t>
  </si>
  <si>
    <t>https://product.hstatic.net/200000428801/product/upload_5cb4aedcb27c4ca7bcaa8f5d117a0c0b.jpg</t>
  </si>
  <si>
    <t>Q3020604021</t>
  </si>
  <si>
    <t>" Baberin BM Hà Nam( lọ 500 viên nén ) "</t>
  </si>
  <si>
    <t>https://product.hstatic.net/200000428801/product/upload_900a71c167a64fde8d7e46d02fa02db7.jpg</t>
  </si>
  <si>
    <t>Q3020604022</t>
  </si>
  <si>
    <t>" Babycanyl long đờm Hà Tây( lọ 60ml ) "</t>
  </si>
  <si>
    <t>https://product.hstatic.net/200000428801/product/upload_97dc92e91b1b4846bbcf86e605287043.jpg</t>
  </si>
  <si>
    <t>Q3020604023</t>
  </si>
  <si>
    <t>" Babytrim New Alpha TW1 Pharbaco( hộp 10 gói x 1.5g ) "</t>
  </si>
  <si>
    <t>https://product.hstatic.net/200000428801/product/upload_e9ba494d696e4e129260805ff252b89e.jpg</t>
  </si>
  <si>
    <t>Q3020604024</t>
  </si>
  <si>
    <t>" Babytrim New TW1 Pharbaco( hộp 10 gói x1.5g ) "</t>
  </si>
  <si>
    <t>https://cdn2-retail-images.kiotviet.vn/giabaopharma/781aa01847204ff3a8643edb77108fac.jpg</t>
  </si>
  <si>
    <t>Q3020604026</t>
  </si>
  <si>
    <t>" Bạc hà ngậm viên Đại Y( lọ 150 ) "</t>
  </si>
  <si>
    <t>https://product.hstatic.net/200000428801/product/upload_c1992e4448f347f0bcb6393c15f48f03.jpg</t>
  </si>
  <si>
    <t>Q3020604027</t>
  </si>
  <si>
    <t>" Bạch địa căn Hoa Sen( hộp 10 vỉ x 10 viên nang ) "</t>
  </si>
  <si>
    <t>https://product.hstatic.net/200000428801/product/upload_700d630227f34423b2f126bd3ed0b9f7.jpg</t>
  </si>
  <si>
    <t>Q3020604028</t>
  </si>
  <si>
    <t>" Bạch ngân siro ho Phúc Vinh( lọ 125ml ) "</t>
  </si>
  <si>
    <t>https://product.hstatic.net/200000428801/product/83_c86032017fac490e93a048a65c559175.png</t>
  </si>
  <si>
    <t>Q3020604029</t>
  </si>
  <si>
    <t>" Bách nhật khang Đại Uy( hộp 10 vỉ x 10 viên nang) "</t>
  </si>
  <si>
    <t>https://product.hstatic.net/200000428801/product/upload_1e3fe2e59eb5472b9c6cc03581ea045c.jpg</t>
  </si>
  <si>
    <t>Q3020604030</t>
  </si>
  <si>
    <t>" Bách niên kiện Fobic( lọ 80 viên nén ) "</t>
  </si>
  <si>
    <t>https://product.hstatic.net/200000428801/product/upload_488dce5729af4beb8fa1ab59d2220467.jpg</t>
  </si>
  <si>
    <t>Q3020604031</t>
  </si>
  <si>
    <t>" Bactamox 375 Imexpharm( hộp 12 gói x 1.2g) "</t>
  </si>
  <si>
    <t>https://product.hstatic.net/200000428801/product/upload_90a6df01c8be44079aa2bd805d6a3ff6.jpg</t>
  </si>
  <si>
    <t>Q3020604032</t>
  </si>
  <si>
    <t>" Bactamox 625mg Imexpharm( hộp 12 gói x 1,6g ) "</t>
  </si>
  <si>
    <t>https://product.hstatic.net/200000428801/product/upload_282463a41b314ded83e415ebc3a4a931.jpg</t>
  </si>
  <si>
    <t>q302225567</t>
  </si>
  <si>
    <t>" Bacterocin oint Muplrocin tuýp 15g"</t>
  </si>
  <si>
    <t>https://product.hstatic.net/200000428801/product/upload_3bf5f2974e4b418bb2582a864d304ea9.jpg</t>
  </si>
  <si>
    <t>Q3020604033</t>
  </si>
  <si>
    <t>" Bactirid Cefixime 100ml/5ml Pakistan( lọ 30ml ) "</t>
  </si>
  <si>
    <t>https://product.hstatic.net/200000428801/product/upload_34cfc00fc9ac41f597b9397539314cd0.jpg</t>
  </si>
  <si>
    <t>Q3020604034</t>
  </si>
  <si>
    <t>" Bactronil Mupirocin 2% AGIO Ấn Độ( Tube 5g ) "</t>
  </si>
  <si>
    <t>https://product.hstatic.net/200000428801/product/upload_ce33ce9f8830498092eec97488d8cd1d.jpg</t>
  </si>
  <si>
    <t>Q3020604035</t>
  </si>
  <si>
    <t>" Bài thạch Đà Nẵng( lọ 45 viên nén ) "</t>
  </si>
  <si>
    <t>https://product.hstatic.net/200000428801/product/upload_d0390642f10b48b59e01645cb7b5516e.jpg</t>
  </si>
  <si>
    <t>Q3020604036</t>
  </si>
  <si>
    <t>" Baifem K gel Ba Lan( Tube 15g ) "</t>
  </si>
  <si>
    <t>https://product.hstatic.net/200000428801/product/upload_50490e07a77e4188abebcc6972c4e417.jpg</t>
  </si>
  <si>
    <t>Q3020604037</t>
  </si>
  <si>
    <t>" Bailuzym Zn Hasan( hộp 30 gói x 2g ) "</t>
  </si>
  <si>
    <t>https://product.hstatic.net/200000428801/product/upload_1446c9ad88d84828ba7f59a4e14d288e.jpg</t>
  </si>
  <si>
    <t>Q3020604038</t>
  </si>
  <si>
    <t>" Baking Soda Mỹ( hộp 454g ) "</t>
  </si>
  <si>
    <t>https://product.hstatic.net/200000428801/product/upload_6d6d6132c40249739a82364ce2ab7e0b.jpg</t>
  </si>
  <si>
    <t>Q3020604039</t>
  </si>
  <si>
    <t>" Bambec Bambuterol 10mg AstraZeneca( hộp 3 vỉ x 10 viên ) "</t>
  </si>
  <si>
    <t>https://product.hstatic.net/200000428801/product/upload_6c3e6341a2e645b7bf9f04a3de54ce08.jpg</t>
  </si>
  <si>
    <t>Q3020604040</t>
  </si>
  <si>
    <t>" Bambuterol 10 A.T Bambuterol 10mg An Thiên( hộp 3 vỉ x 10 viên nén ) "</t>
  </si>
  <si>
    <t>https://product.hstatic.net/200000428801/product/0a27fb92024e4b8eb00b5eebe49450d6_966fac5c320349c9bad0afde6efc6275.png</t>
  </si>
  <si>
    <t>Q3020604041</t>
  </si>
  <si>
    <t>" Banitase Phil(hộp 20 vỉ x 5 viên nang ) "</t>
  </si>
  <si>
    <t>https://product.hstatic.net/200000428801/product/upload_a6135e03f59e49cf96ad22363e0e6ffe.jpg</t>
  </si>
  <si>
    <t>Q3020604042</t>
  </si>
  <si>
    <t>" Bao cao su Comdom đắt An Phú(hộp 96 chiếc ) "</t>
  </si>
  <si>
    <t>https://product.hstatic.net/200000428801/product/27_3b0a5f46068847ae8b0cd4c5d6b69511.png</t>
  </si>
  <si>
    <t>Q3020604043</t>
  </si>
  <si>
    <t>" Bao cao su Double Safe Long Shock 12S( hộp 12c ) "</t>
  </si>
  <si>
    <t>https://cdn2-retail-images.kiotviet.vn/giabaopharma/45d2933a759b4a1298f78b27aec29f62.png</t>
  </si>
  <si>
    <t>Q3020604044</t>
  </si>
  <si>
    <t>" Bao cao su Good( hộp 144c) "</t>
  </si>
  <si>
    <t>https://product.hstatic.net/200000428801/product/19_043b6b8eb898416bbf0dda2ad09dde77.png</t>
  </si>
  <si>
    <t>Q3020604045</t>
  </si>
  <si>
    <t>" Bao cao su Innova Malaysia( hộp 12 cái ) "</t>
  </si>
  <si>
    <t>https://product.hstatic.net/200000428801/product/9ac53e9b9bd2598c00c3_c7082ad52640463290bbdefc5f36bcf6.jpg</t>
  </si>
  <si>
    <t>Q3020604046</t>
  </si>
  <si>
    <t>" Bao cao su Innova Malaysia( hộp 3 cái) "</t>
  </si>
  <si>
    <t>https://product.hstatic.net/200000428801/product/29_daf2f187ac6d4fab975c58ee1871ff8d.png</t>
  </si>
  <si>
    <t>Q3020604048</t>
  </si>
  <si>
    <t>" Bao cao su Jex-glamo butterfly Nhật( hộp hồng 12S ) "</t>
  </si>
  <si>
    <t>https://product.hstatic.net/200000428801/product/7_3faf86bf81d0466d85bc463af73eda41.png</t>
  </si>
  <si>
    <t>Q3020604047</t>
  </si>
  <si>
    <t>" Bao cao su Jex-glamo butterfly Nhật(hộp đen 12S ) "</t>
  </si>
  <si>
    <t>https://product.hstatic.net/200000428801/product/tezkin_17339351faed4b16aa197d1ef9ea1937.jpg</t>
  </si>
  <si>
    <t>Q3020604049</t>
  </si>
  <si>
    <t>" Bao cao su Kimiko ( hộp 12S ) "</t>
  </si>
  <si>
    <t>https://product.hstatic.net/200000428801/product/a5aab60cde4819164059_042e2c97aafa4c28b52ebb4846f49d9d.jpg</t>
  </si>
  <si>
    <t>Q3020604101</t>
  </si>
  <si>
    <t>" Bao cao su Masculan ( hộp 3S ) "</t>
  </si>
  <si>
    <t>https://product.hstatic.net/200000428801/product/ca0693311b61de3f8770_f736eca905b24ea98c1287f15710b8e8.jpg</t>
  </si>
  <si>
    <t>Q3020604100</t>
  </si>
  <si>
    <t>" Bao cao su Masculan Malaysia ( hộp 10 cái ) "</t>
  </si>
  <si>
    <t>https://cdn-images.kiotviet.vn/giabaopharma/4f0691d064124f5db5d6d279609a9688.png</t>
  </si>
  <si>
    <t>Q3020604102</t>
  </si>
  <si>
    <t>" Bao cao su Michio ( hộp 12S ) "</t>
  </si>
  <si>
    <t>https://product.hstatic.net/200000428801/product/23_e693ebaa9c5b47a095aa10b9114b1fa8.png</t>
  </si>
  <si>
    <t>Q3020604103</t>
  </si>
  <si>
    <t>" Bao cao su Michio (cọc 12h x 3 cái ) "</t>
  </si>
  <si>
    <t>https://product.hstatic.net/200000428801/product/f8944911729d45249ce11f47695eb9cc_b9105dd79f614890865ed564cd5e23ea.png</t>
  </si>
  <si>
    <t>Q3020604104</t>
  </si>
  <si>
    <t>" Bao cao su Miss You ( hộp 12S ) "</t>
  </si>
  <si>
    <t>https://product.hstatic.net/200000428801/product/7383fd38e72a4297b176a556fc9903a3_77fb3ed9bc28401fba1d1da1a0a8b94a.png</t>
  </si>
  <si>
    <t>Q3020604105</t>
  </si>
  <si>
    <t>" Bao cao su Nobley Malaysia (trắng) ( hộp 10 cái) "</t>
  </si>
  <si>
    <t>https://product.hstatic.net/200000428801/product/8290ea1066c7422da53211554d585b67_2c16e161efd34a4abe084b3b77dfd675.png</t>
  </si>
  <si>
    <t>Q3020604106</t>
  </si>
  <si>
    <t>" Bao cao su OK không mùi (48 hộp nhỏ x 3 chiếc ) "</t>
  </si>
  <si>
    <t>https://product.hstatic.net/200000428801/product/0f9b6df0b4f94ec5ab5c51b5c7185cf2_5b6f83ba6ae048e6b61c2ccb68512a1d.png</t>
  </si>
  <si>
    <t>Q3020604107</t>
  </si>
  <si>
    <t>" Bao cao su Passion đỏ ( hộp 24 hộp nhỏ ) "</t>
  </si>
  <si>
    <t>https://product.hstatic.net/200000428801/product/b6f21973cb9741789efaf797118e6b40_25eb183fa82446ae9ff32377e905e146.png</t>
  </si>
  <si>
    <t>Q3020604108</t>
  </si>
  <si>
    <t>" Bao cao su Power men gia đình ( hộp 12S ) "</t>
  </si>
  <si>
    <t>https://product.hstatic.net/200000428801/product/48fb258105e84a5fa00d3362822567df_bae4341a8cd8493b95702988610bf6a8.png</t>
  </si>
  <si>
    <t>Q3020604109</t>
  </si>
  <si>
    <t>" Bao cao su Power men Hàn Quốc (hộp 12 cái ) "</t>
  </si>
  <si>
    <t>https://product.hstatic.net/200000428801/product/ddbff55201474b0e9723c24658b429e9_66403845c8a641508427014847c552d9.png</t>
  </si>
  <si>
    <t>Q3020604111</t>
  </si>
  <si>
    <t>" Bao cao su Pretex Plain Malaysia (xanh dương) (hộp 100 chiếc ) "</t>
  </si>
  <si>
    <t>https://product.hstatic.net/200000428801/product/2e0a0cc022e04d4482cc2259a754f484_1cf9a75e255e43c0a8eaa35d3923b3c8.png</t>
  </si>
  <si>
    <t>Q3020604112</t>
  </si>
  <si>
    <t>" Bao cao su Rockmen Đen ( hộp 12S ) "</t>
  </si>
  <si>
    <t>https://product.hstatic.net/200000428801/product/acac7c7c398c49539756254aead8fc65_b706ec44ad1e49fe8586d13558097848.png</t>
  </si>
  <si>
    <t>Q3020604113</t>
  </si>
  <si>
    <t>" Bao cao su Rockmen Đen ( hộp 3S ) "</t>
  </si>
  <si>
    <t>https://product.hstatic.net/200000428801/product/4a4fd52664ac4899879a2c9530c627ac_bc809be6052048699c86c7abc67ddbb5.jpg</t>
  </si>
  <si>
    <t>Q3020604114</t>
  </si>
  <si>
    <t>" Bao cao su Rockmen Xanh ( hộp 10S ) "</t>
  </si>
  <si>
    <t>https://product.hstatic.net/200000428801/product/3fbc52390c144ce58f5b377260be34a4_4ab8b51cd1e745fbb165093d920b7da1.png</t>
  </si>
  <si>
    <t>Q3020604115</t>
  </si>
  <si>
    <t>" Bao cao su Rockmen Xanh ( hộp 3S ) "</t>
  </si>
  <si>
    <t>https://product.hstatic.net/200000428801/product/69aacf317a2c4b2cbee9e929daf05c65_9852d54719a646aabe5e4f2073aae5c9.png</t>
  </si>
  <si>
    <t>Q3020604116</t>
  </si>
  <si>
    <t>" Bao cao su Romax bịch 120S( hộp 3S ) "</t>
  </si>
  <si>
    <t>https://product.hstatic.net/200000428801/product/45b1d92417ac45b6be3d08ee0b2d3b2e_e2a940fce4ec4494be17b7219b9ce67c.png</t>
  </si>
  <si>
    <t>Q3020604117</t>
  </si>
  <si>
    <t>" Bao cao su Sagami 002 Nhật ( hộp 2S ) "</t>
  </si>
  <si>
    <t>https://product.hstatic.net/200000428801/product/328a1bd0ecd74549880f5b01f4cb5bda_a0594918487b4e928ea56158502f8f9e.png</t>
  </si>
  <si>
    <t>Q3020604118</t>
  </si>
  <si>
    <t>" Bao cao su Sagami Love Me Gold ( hộp 10 chiếc ) "</t>
  </si>
  <si>
    <t>https://product.hstatic.net/200000428801/product/3d2b714f3c5c42d1a13c7a1f02da1c98_8da99d989ed94bb89d13bb2ba1d4af85.png</t>
  </si>
  <si>
    <t>Q3020604119</t>
  </si>
  <si>
    <t>" Bao cao su Sagami trắng ( hộp 10S ) "</t>
  </si>
  <si>
    <t>https://product.hstatic.net/200000428801/product/3a0e027002ac487ab17fa64ce7bd0546_8b3900ef046b48df8786f1226f97eccf.png</t>
  </si>
  <si>
    <t>Q3020604120</t>
  </si>
  <si>
    <t>" Bao cao su Sagami trắng Nhật Bản ( hộp 3S ) "</t>
  </si>
  <si>
    <t>https://product.hstatic.net/200000428801/product/c5d5dcb03aff4d4d92e6105670af3d31_2e31f19984284a7595bb7ec694d51cc9.png</t>
  </si>
  <si>
    <t>Q3020604121</t>
  </si>
  <si>
    <t>" Bao cao su Sagami Xtreme Không Gai ( hộp 10S ) "</t>
  </si>
  <si>
    <t>https://product.hstatic.net/200000428801/product/10435117e9034430b5b39160fe526483_cbdea4ee1765488c8bfc8130068e5e91.png</t>
  </si>
  <si>
    <t>Q3020604122</t>
  </si>
  <si>
    <t>" Bao cao su Sagami Xtreme Superthin Nhật Bản ( hộp 10 cái ) "</t>
  </si>
  <si>
    <t>https://product.hstatic.net/200000428801/product/b6c36f1a069d43d9837538cb7495c801_f9e19004fb39476bb814af4b17f4a9cc.png</t>
  </si>
  <si>
    <t>Q3020604123</t>
  </si>
  <si>
    <t>" Bao cao su Sagami Xtremi Nâu Có Gai ( hộp 10S ) "</t>
  </si>
  <si>
    <t>https://product.hstatic.net/200000428801/product/a401b5ea397b41ccb5c7a407ef3c9029_f76790095e544209a5382eed88081ed3.png</t>
  </si>
  <si>
    <t>Q3020604124</t>
  </si>
  <si>
    <t>" Bao cao su Sakamura hộp 3S ( hộp 10S ) "</t>
  </si>
  <si>
    <t>https://product.hstatic.net/200000428801/product/upload_b141eb486bf545deac700d7efa063d39.jpg</t>
  </si>
  <si>
    <t>Q30200390</t>
  </si>
  <si>
    <t>" Bao Cao Su Sarkamura Charm Shandong (H/12 cái)"</t>
  </si>
  <si>
    <t>https://product.hstatic.net/200000428801/product/upload_e73958aa85784eedaf335d2a2be22b6c.jpg</t>
  </si>
  <si>
    <t>Q3020604125</t>
  </si>
  <si>
    <t>" Bao cao su Strong Men 12S ( hộp 12S ) "</t>
  </si>
  <si>
    <t>https://product.hstatic.net/200000428801/product/upload_45a324a8261e4f38b3697a7f64f9b496.jpg</t>
  </si>
  <si>
    <t>Q3020604126</t>
  </si>
  <si>
    <t>" Bao cao su Sure Dotted ( hộp 10 cái ) "</t>
  </si>
  <si>
    <t>Q3020604127</t>
  </si>
  <si>
    <t>" Bao cao su Sure đỏ Tatra ( hộp 12 cái ) "</t>
  </si>
  <si>
    <t>https://product.hstatic.net/200000428801/product/346_0b18d2128ae24f80a4d1b23fa3b20241.png</t>
  </si>
  <si>
    <t>Q3020604128</t>
  </si>
  <si>
    <t>" Bao cao su Viva Tatra ( hộp 12 cái ) "</t>
  </si>
  <si>
    <t>https://product.hstatic.net/200000428801/product/upload_da76634d25ac4756a10d3cd7a21b8353.jpg</t>
  </si>
  <si>
    <t>Q3020604130</t>
  </si>
  <si>
    <t>" Bao cao su X Men ( hộp 3S ) "</t>
  </si>
  <si>
    <t>https://product.hstatic.net/200000428801/product/upload_7e464caeebc147858000eb4970ed011f.jpg</t>
  </si>
  <si>
    <t>Q3020604131</t>
  </si>
  <si>
    <t>" Bao cao su Yolo AT Karex Malaysia ( hộp 12 chiếc) "</t>
  </si>
  <si>
    <t>https://product.hstatic.net/200000428801/product/upload_a0ee23198a2a488f8809ee9ee390b8d5.jpg</t>
  </si>
  <si>
    <t>Q3020604132</t>
  </si>
  <si>
    <t>" Bao cao su Yolo AT Karex Malaysia ( hộp 3 chiếc) "</t>
  </si>
  <si>
    <t>https://product.hstatic.net/200000428801/product/upload_799a21df0f7242ad9c827acea9cf9d40.jpg</t>
  </si>
  <si>
    <t>Q3020604134</t>
  </si>
  <si>
    <t>" Bao cao su Yolo UP 4in1 Karex Malaysia (hộp 3 chiếc) "</t>
  </si>
  <si>
    <t>https://product.hstatic.net/200000428801/product/upload_215db54313ed43609183c8978f09b48b.jpg</t>
  </si>
  <si>
    <t>Q3020604133</t>
  </si>
  <si>
    <t>" Bao cao su Yolo UP 4in1 Karex Malaysia( hộp 12 chiếc ) "</t>
  </si>
  <si>
    <t>https://product.hstatic.net/200000428801/product/upload_ba1ee19c4a8449bb93c2089984e3f1a2.jpg</t>
  </si>
  <si>
    <t>Q3020604135</t>
  </si>
  <si>
    <t>" Bao cao su Zero O2 (hộp 12S) "</t>
  </si>
  <si>
    <t>https://product.hstatic.net/200000428801/product/upload_bc193caedbdb4357bb35cffc47d5405b.jpg</t>
  </si>
  <si>
    <t>Q3020604137</t>
  </si>
  <si>
    <t>" Bảo khí khang IMC ( hộp 2 vỉ x 10 viên nén ) "</t>
  </si>
  <si>
    <t>Q3020604136</t>
  </si>
  <si>
    <t>" Bảo khí khang IMC( hộp 2 lọ x 60 viên nén ) "</t>
  </si>
  <si>
    <t>https://product.hstatic.net/200000428801/product/f2a6f4a3262446ba9ad44151106f7456_e9dafbb5af2e4bd583a36f3e317812d6.png</t>
  </si>
  <si>
    <t>Q3020604138</t>
  </si>
  <si>
    <t>" Bảo Thanh ngậm Hoa Linh ( hộp 4 vỉ x 5 viên ) "</t>
  </si>
  <si>
    <t>https://product.hstatic.net/200000428801/product/upload_2db2a79b1fbb426d8c3fe8b2142191ef.jpg</t>
  </si>
  <si>
    <t>Q3020604139</t>
  </si>
  <si>
    <t>" Bảo thanh ngậm không đường Hoa Linh ( hộp 20 vỉ x 5 viên ) "</t>
  </si>
  <si>
    <t>https://product.hstatic.net/200000428801/product/upload_36c80c56df6e4f9594cecb82009c56a2.jpg</t>
  </si>
  <si>
    <t>Q3020604141</t>
  </si>
  <si>
    <t>" Bảo thanh siro ho Hoa Linh ( lọ 90ml ) "</t>
  </si>
  <si>
    <t>https://product.hstatic.net/200000428801/product/upload_7de886a209ae4e8f991202b1d85354ff.jpg</t>
  </si>
  <si>
    <t>Q3020604142</t>
  </si>
  <si>
    <t>" Bảo thanh viên ngậm Hoa Linh( hộp 20 vỉ x 5 viên ) "</t>
  </si>
  <si>
    <t>https://product.hstatic.net/200000428801/product/upload_4580a7c4e983456e9bb2043e7d7a1a50.jpg</t>
  </si>
  <si>
    <t>Q3020604143</t>
  </si>
  <si>
    <t>" Bảo xuân Gold Nam Dược (hộp 3 vỉ x 10 viên nang ) "</t>
  </si>
  <si>
    <t>https://product.hstatic.net/200000428801/product/377_bdaedc41fc8d4281bd32fda51e652cdc.png</t>
  </si>
  <si>
    <t>Q3020604144</t>
  </si>
  <si>
    <t>" Bảo xuân tím U50 Nam Dược ( hộp 3 vỉ x 10 viên nang) "</t>
  </si>
  <si>
    <t>https://product.hstatic.net/200000428801/product/upload_e40cf63003e8463e97af101add500427.jpg</t>
  </si>
  <si>
    <t>Q3020604146</t>
  </si>
  <si>
    <t>" Bar lợi gan mật Pharmedic ( lọ 60 viên nén ) " 2/2025</t>
  </si>
  <si>
    <t>https://product.hstatic.net/200000428801/product/upload_e50cc05c202a48cb9ea3d6872aff4a35.jpg</t>
  </si>
  <si>
    <t>Q3020604145</t>
  </si>
  <si>
    <t>" Bar lợi gan mật Pharmedic( hộp 180 viên ) "</t>
  </si>
  <si>
    <t>https://product.hstatic.net/200000428801/product/60_c4307bfe6f1d4cdbb402ee77f981bef6.png</t>
  </si>
  <si>
    <t>Q3020604147</t>
  </si>
  <si>
    <t>" Barole Rabeprazole 20mg Mega ( hộp 10 vỉ x 10 viên nang ) "</t>
  </si>
  <si>
    <t>https://product.hstatic.net/200000428801/product/49_1809f65487904719bba79724539436f1.png</t>
  </si>
  <si>
    <t>Q3020604148</t>
  </si>
  <si>
    <t>" Basmetin Deflazacort 6mg Medisun ( hộp 2 vỉ x 10 viên nén ) "</t>
  </si>
  <si>
    <t>https://product.hstatic.net/200000428801/product/upload_4716fe661aef4ce7b7f0aebcacfaf462.jpg</t>
  </si>
  <si>
    <t>Q3020604149</t>
  </si>
  <si>
    <t>" Basocholine Citicolin 500mg Mediplantex ( hộp 20 gói ) "</t>
  </si>
  <si>
    <t>https://product.hstatic.net/200000428801/product/339ebdf69dfb4126b7117e86fd36b0a7_76e72c548dc64a6f83040c6d86fb0bac.png</t>
  </si>
  <si>
    <t>Q3020604200</t>
  </si>
  <si>
    <t>" Bát inox không nắp đựng cồn "</t>
  </si>
  <si>
    <t>https://product.hstatic.net/200000428801/product/upload_959064c2149d424ca3c4438d7168eee0.jpg</t>
  </si>
  <si>
    <t>Q3020604201</t>
  </si>
  <si>
    <t>" Batonat Phil( hộp 10 vỉ x 10 viên nang ) "</t>
  </si>
  <si>
    <t>https://product.hstatic.net/200000428801/product/upload_c30d2408c10b4c639468b1b9d372d069.jpg</t>
  </si>
  <si>
    <t>Q3020604203</t>
  </si>
  <si>
    <t>" Beautygel trị mun Hàn Quốc ( tuýp 10g ) "</t>
  </si>
  <si>
    <t>https://product.hstatic.net/200000428801/product/upload_38d3aea6293246acbf8247a36b7ce6a8.jpg</t>
  </si>
  <si>
    <t>Q3020604204</t>
  </si>
  <si>
    <t>" Becberzine 5mg cọc đại uy (10 lọ x 80 viên nén ) "</t>
  </si>
  <si>
    <t>https://product.hstatic.net/200000428801/product/upload_03fcde2391614fc2860d9058c5b9c2f7.jpg</t>
  </si>
  <si>
    <t>Q3020604205</t>
  </si>
  <si>
    <t>" Beclogen Hàn Quốc ( Tube 10g ) "</t>
  </si>
  <si>
    <t>https://product.hstatic.net/200000428801/product/61deac9918d0400687a7c3f86bef11e2_dc7ea2d6bece4fa0838a8f2547e25c5d.png</t>
  </si>
  <si>
    <t>Q3020604206</t>
  </si>
  <si>
    <t>" Becoron C Pymepharco( hộp 10 vỉ x 10 viên ) "</t>
  </si>
  <si>
    <t>https://cdn2-retail-images.kiotviet.vn/giabaopharma/8f553df001db436bb074ac7dd7e22a70.jpg</t>
  </si>
  <si>
    <t>Q3020604207</t>
  </si>
  <si>
    <t>" Bedexlor Hàn Quốc ( lọ 500 viên nén ) "</t>
  </si>
  <si>
    <t>https://cdn2-retail-images.kiotviet.vn/giabaopharma/a4b1ab018cfb4e57a6879ad223220363.png,https://cdn2-retail-images.kiotviet.vn/giabaopharma/41790bd3a334499eb02f760c13f08234.png</t>
  </si>
  <si>
    <t>Q3020604211</t>
  </si>
  <si>
    <t>" Befabrol Ambroxol HCL 15mg/5ml Bến Tre ( lọ 60ml ) "</t>
  </si>
  <si>
    <t>https://cdn2-retail-images.kiotviet.vn/giabaopharma/e826334c4567426694956891c6a43213.jpg</t>
  </si>
  <si>
    <t>Q3020604210</t>
  </si>
  <si>
    <t>" Befabrol Ambroxol HCL 15mg/5ml Bến Tre( hộp 20 gói x 5ml ) "</t>
  </si>
  <si>
    <t>Q3020604212</t>
  </si>
  <si>
    <t>" Begenderm Hàn Quốc( Tube 15g ) "</t>
  </si>
  <si>
    <t>https://cdn2-retail-images.kiotviet.vn/giabaopharma/7d76dd46daaf42398f6bec550c499a5b.png,https://cdn2-retail-images.kiotviet.vn/giabaopharma/14f6fb847de345698d720760e435defc.png</t>
  </si>
  <si>
    <t>Q3020604213</t>
  </si>
  <si>
    <t>" Behamta kem bôi hăm Halaco (hộp 1 tuýp 20g ) "</t>
  </si>
  <si>
    <t>https://product.hstatic.net/200000428801/product/af973a22898047c7bbc6071bd487839f_2e78d88f68534377afdc238627ae66a5.jpg</t>
  </si>
  <si>
    <t>Q3020604214</t>
  </si>
  <si>
    <t>" Belaf chống oxy hóa Phil ( hộp 10 vỉ x 10 viên nang ) "</t>
  </si>
  <si>
    <t>https://cdn2-retail-images.kiotviet.vn/2025/12/23/giabaopharma/7cb6586ad5304089af8714a53ac83322.png</t>
  </si>
  <si>
    <t>Q3020604215</t>
  </si>
  <si>
    <t>" Ben C Bắc Ninh(hộp 20 gói x 10 viên) "</t>
  </si>
  <si>
    <t>https://product.hstatic.net/200000428801/product/1_ccda1d3310604143bb10e05f60f65578.png</t>
  </si>
  <si>
    <t>Q3020604216</t>
  </si>
  <si>
    <t>" Benate Clobetasol 0.05% Merap( Tube 10g ) "</t>
  </si>
  <si>
    <t>https://cdn1-retail-images.kiotviet.vn/2026/01/15/giabaopharma/10e3df53674143898f191ec5b1e74cc9.jpg</t>
  </si>
  <si>
    <t>Q3020604218</t>
  </si>
  <si>
    <t>" Benfosafe Benfotiamin 150mg Z120 ( hộp 3 vỉ x 10 viên nén ) "</t>
  </si>
  <si>
    <t>https://product.hstatic.net/200000428801/product/8_d175a127ba384ad4b206e5afba433370.png</t>
  </si>
  <si>
    <t>Q3020604219</t>
  </si>
  <si>
    <t>" Benita xịt mũi Merap( Lọ 500v ) "</t>
  </si>
  <si>
    <t>Q3020604220</t>
  </si>
  <si>
    <t>" Benthansone Đồng Nai (Lọ 500v ) "</t>
  </si>
  <si>
    <t>https://product.hstatic.net/200000428801/product/42_5d59fc167bb6414985a2dc87ce3cb32a.png</t>
  </si>
  <si>
    <t>Q3020604221</t>
  </si>
  <si>
    <t>" Bepracid 20 Rabeprazol 20mg bao tan Pymepharco( hộp 1 vỉ x 14 viên ) "</t>
  </si>
  <si>
    <t>https://product.hstatic.net/200000428801/product/36_8e7968518b4a4555943f76438766a405.png</t>
  </si>
  <si>
    <t>Q30221032354</t>
  </si>
  <si>
    <t>" Bequantene Dexpanthenol 100mg Mediplantex (hộp 2 vỉ x 10 viên) "</t>
  </si>
  <si>
    <t>https://product.hstatic.net/200000428801/product/20_972e3abf702349a395217070fdbba513.png</t>
  </si>
  <si>
    <t>Q3020604224</t>
  </si>
  <si>
    <t>" Berberin 100mg Domesco ( lọ 100 viên nang ) "</t>
  </si>
  <si>
    <t>https://product.hstatic.net/200000428801/product/05a39f64fb97428fbdba2dbc91177c2a_f3c27adb8cba4592ad1bfc07a9e216e3.jpg</t>
  </si>
  <si>
    <t>Q3020604225</t>
  </si>
  <si>
    <t>" Berberin 5mg bao đường Đại Uyi ( lọ 100 viên nén ) "</t>
  </si>
  <si>
    <t>https://product.hstatic.net/200000428801/product/8e24a3101dd647d5b917b43cd3bcc8e8_84520933c628432398d1448e47a49806.jpg</t>
  </si>
  <si>
    <t>Q3020604226</t>
  </si>
  <si>
    <t>" Berberin Đại Y( lọ 500 viên nén ) "</t>
  </si>
  <si>
    <t>https://product.hstatic.net/200000428801/product/42b4a52fa95f4803adfe948c5cb8f2a4_83dce22826374368ba85f11c03fdd735.jpg</t>
  </si>
  <si>
    <t>Q3020604227</t>
  </si>
  <si>
    <t>" Berberine Mekophar( lọ 100 viên nang ) "</t>
  </si>
  <si>
    <t>https://product.hstatic.net/200000428801/product/9_9daf1570b8c14f95827f9c016ffd2941.png</t>
  </si>
  <si>
    <t>Q3020604228</t>
  </si>
  <si>
    <t>" Bermoric Hà Tĩnh( hộp 25 vỉ x 4 viên ) "</t>
  </si>
  <si>
    <t>https://product.hstatic.net/200000428801/product/3_ec87caf451d94e31b801f9db6cf56d03.png</t>
  </si>
  <si>
    <t>Q3020604229</t>
  </si>
  <si>
    <t>" Beroca viên sủi vị Cam Bayer( tuýp 10 viên ) "</t>
  </si>
  <si>
    <t>https://product.hstatic.net/200000428801/product/412a2e3b21dd4b73ae64832bfa38a147_df0f7b579f6a497ebfd58efcf488242a.png</t>
  </si>
  <si>
    <t>Q3020604230</t>
  </si>
  <si>
    <t>" Berodual khí dung Boehringerc ( lọ 20ml ) "</t>
  </si>
  <si>
    <t>https://product.hstatic.net/200000428801/product/d12de2e35a6f4ab4a2565ec73c7219d9_14a2dfb86cd048d8983c33944efab73d.png</t>
  </si>
  <si>
    <t>Q3020604231</t>
  </si>
  <si>
    <t>" Besolvin Bromhexin 4mg vị dâu NIC( lọ 500 viên nén ) "</t>
  </si>
  <si>
    <t>https://cdn2-retail-images.kiotviet.vn/2025/10/30/giabaopharma/007865b5a0eb426184f4cf818e39a1ca.png</t>
  </si>
  <si>
    <t>Q3020604232</t>
  </si>
  <si>
    <t>" Besolvin Bromhexin 8mg NIC (lọ 500 viên nén ) "</t>
  </si>
  <si>
    <t>https://product.hstatic.net/200000428801/product/457704963e5542ea97757e1f2b658774_a2372dec6ec7412aaf81267f8832716f.jpg</t>
  </si>
  <si>
    <t>Q3020604234</t>
  </si>
  <si>
    <t>" Best GSV Betamethason 3mg Hà Tây ( hộp 1 lọ x 60ml ) "</t>
  </si>
  <si>
    <t>https://product.hstatic.net/200000428801/product/bb774a7203744d91879ece5f7a12fc8e_8933af767bd7463d97f6d54818974061.jpg</t>
  </si>
  <si>
    <t>Q3020604235</t>
  </si>
  <si>
    <t>" Bestimac Q10 Ubidecarenon 30mg Mediplantex( hộp 6 vỉ x 10 viên nang ) "</t>
  </si>
  <si>
    <t>https://product.hstatic.net/200000428801/product/b0641f9b949e4c38b2778f4d0e4fbd97_5f99b01012ae4694b97a0456ee3ff23e.jpg</t>
  </si>
  <si>
    <t>Q3020604236</t>
  </si>
  <si>
    <t>" Bestperme cream Quang Xanh ( tuýp 15g ) "</t>
  </si>
  <si>
    <t>https://product.hstatic.net/200000428801/product/f1afe7e11fd04cceb82898656f9b6f96_05b3391da2a542609530bba8fca64dd3.jpg</t>
  </si>
  <si>
    <t>Q3020604237</t>
  </si>
  <si>
    <t>" Betacylic Mekophar( 10 Tube 15g ) "</t>
  </si>
  <si>
    <t>https://product.hstatic.net/200000428801/product/bf5db122ad17476797e4e27424fb154f_a419229513bb4f8496895fbb229498cf.png</t>
  </si>
  <si>
    <t>Q3020604238</t>
  </si>
  <si>
    <t>" Betaderm Neomycin Phil ( 10 Tube 10g ) "</t>
  </si>
  <si>
    <t>https://product.hstatic.net/200000428801/product/514f9a891eb345e9868866a7503b83ee_70640e93ea444cd082692241cbbad1d8.png</t>
  </si>
  <si>
    <t>Q3020604239</t>
  </si>
  <si>
    <t>" Betadine 10% Ointment Mundipharma ( Tube 40g ) "</t>
  </si>
  <si>
    <t>https://cdn-images.kiotviet.vn/giabaopharma/7e78ae6108834d639bd0526fd85f2064.jpg</t>
  </si>
  <si>
    <t>Q3020604240</t>
  </si>
  <si>
    <t>" Betadine sát khuẩn Mundipharma ( lọ 125m ) "</t>
  </si>
  <si>
    <t>https://product.hstatic.net/200000428801/product/05c4a991bfb148eaaf842a3d1917ef25_11429232e6c44ded9080c3863fee7f87.png</t>
  </si>
  <si>
    <t>Q3020604241</t>
  </si>
  <si>
    <t>" Betadine sát khuẩn Mundipharma ( lọ 30ml ) "</t>
  </si>
  <si>
    <t>https://product.hstatic.net/200000428801/product/879e3a9762f64c8e861721c0cf27ba73_8d3c4c3bad6e44089a3f82a4f19bf883.jpg</t>
  </si>
  <si>
    <t>Q3020604242</t>
  </si>
  <si>
    <t>" Betadine súc họng Mundipharma( lọ 125ml ) "</t>
  </si>
  <si>
    <t>https://cdn1-retail-images.kiotviet.vn/2026/01/10/giabaopharma/9482c57782114a0db9a49313273bad71.jpg</t>
  </si>
  <si>
    <t>Q302444654</t>
  </si>
  <si>
    <t>" Betadine Vaginal Bouche Mundipharma (Chai 125ml) "</t>
  </si>
  <si>
    <t>https://product.hstatic.net/200000428801/product/21221663a774485caebea43975b87edc_97b048e0d9a94130927807ab29fd4647.png</t>
  </si>
  <si>
    <t>Q3020604243</t>
  </si>
  <si>
    <t>" Betadine VSPN Mundipharma( lọ 125ml ) "</t>
  </si>
  <si>
    <t>https://product.hstatic.net/200000428801/product/6f26750291cd4f8d8f3bd22dece4f4c7_08d5fe3bcb094595bcad16f8d69d29dc.png</t>
  </si>
  <si>
    <t>Q3020604244</t>
  </si>
  <si>
    <t>" Betadine xịt họng Mundipharma (lọ 50ml ) "</t>
  </si>
  <si>
    <t>https://product.hstatic.net/200000428801/product/b68af5cf72b4a3eafaa52_af40c91a380c4441aa7c19dd88e8f8a9.jpg</t>
  </si>
  <si>
    <t>Q3020604245</t>
  </si>
  <si>
    <t>" Betahistin 16mg An Thiênc ( hộp 10 vỉ x 10 viên nén ) "</t>
  </si>
  <si>
    <t>https://product.hstatic.net/200000428801/product/14_eb9030f42bb447608915b96a0c5209fc.png</t>
  </si>
  <si>
    <t>Q3020604246</t>
  </si>
  <si>
    <t>" Betahistine 16mg Hậu Giang ( hộp 3 vỉ x 10 viên nén) "</t>
  </si>
  <si>
    <t>https://product.hstatic.net/200000428801/product/0a428382ab3b48a6bdb284ce5f49fc2c_009f4e649cbe4f7cbad45cd9314ef4d6.jpg</t>
  </si>
  <si>
    <t>Q3020604247</t>
  </si>
  <si>
    <t>" Betahistine 16mg Stella (hộp 5 vỉ x 10 viên nén ) "</t>
  </si>
  <si>
    <t>https://product.hstatic.net/200000428801/product/21d1f6fe1b0a44eba6c1fc32364864d2_8a0aba7b18de48cc975e496a5ab311e5.jpg</t>
  </si>
  <si>
    <t>Q3020604248</t>
  </si>
  <si>
    <t>" Betalestin Mekophar( hộp 2 vỉ x 15 viên nén ) "</t>
  </si>
  <si>
    <t>https://cdn2-retail-images.kiotviet.vn/2025/12/23/giabaopharma/b25cf7ebe8a644779d9aca5a1d72fa47.png</t>
  </si>
  <si>
    <t>Q3020604249</t>
  </si>
  <si>
    <t>" Betaloc Metoprolol tartrate 50mg AstraZeneca( hộp 3 vỉ x 20 viên nén ) "</t>
  </si>
  <si>
    <t>Q30220032344</t>
  </si>
  <si>
    <t>" Betaloc Zok Metoprolol succinate 25mg AstraZeneca (hộp 1 vỉ x 14 viên nén) "</t>
  </si>
  <si>
    <t>Q3021204001</t>
  </si>
  <si>
    <t>" Betaloc Zok Metoprolol succinate 25mg AstraZeneca( hộp 1 vỉ x 14 viên nén ) "</t>
  </si>
  <si>
    <t>https://product.hstatic.net/200000428801/product/upload_ff88103055d641acb94cd16787e0b999.jpg</t>
  </si>
  <si>
    <t>Q3021204002</t>
  </si>
  <si>
    <t>" Betaloc Zok Metoprolol succinate 50mg AstraZeneca( hộp 2 vỉ x 14 viên nén ) "</t>
  </si>
  <si>
    <t>Q3021204003</t>
  </si>
  <si>
    <t>" Betamethasone 0.064% Medipharco(Lốc 10 tuýp x 30g ) "</t>
  </si>
  <si>
    <t>https://product.hstatic.net/200000428801/product/upload_81831fd57e9f4dea9653db3f3d35134e.jpg</t>
  </si>
  <si>
    <t>Q3021204004</t>
  </si>
  <si>
    <t>" Betamethasone 0.5mg Hàn Quốc( lọ 1000 viên nén ) "</t>
  </si>
  <si>
    <t>https://product.hstatic.net/200000428801/product/upload_e20451833afa41a18786e57b27d72bce.jpg</t>
  </si>
  <si>
    <t>Q3021204005</t>
  </si>
  <si>
    <t>" Betamethasone 0.5mg nắp hồng Enlie( lọ 500 viên nén ) "</t>
  </si>
  <si>
    <t>https://product.hstatic.net/200000428801/product/db23f47865394de8b1c7a29c1ebe0ac8_924607e05d7f49e4a68a5203e2044052.png</t>
  </si>
  <si>
    <t>Q3021204006</t>
  </si>
  <si>
    <t>" Betamethasone 0.5mg nắp xanh Enlie( lọ 500 viên nén ) "</t>
  </si>
  <si>
    <t>https://product.hstatic.net/200000428801/product/upload_98763cb824ae4f74814daa683938045c.jpg</t>
  </si>
  <si>
    <t>Q3021204007</t>
  </si>
  <si>
    <t>" Betasalic Medipharco ( cọc 10 tuýp x 10g ) "</t>
  </si>
  <si>
    <t>https://product.hstatic.net/200000428801/product/upload_0116ecddd4ae4f7785ddd08eb1d63989.jpg</t>
  </si>
  <si>
    <t>Q3021204008</t>
  </si>
  <si>
    <t>" Betaserc Betahistine 16mg Abbot( hộp 3 vỉ x 20 viên nén ) "</t>
  </si>
  <si>
    <t>https://product.hstatic.net/200000428801/product/upload_da5d6c8bf8b6464ca1696029633b5c19.jpg</t>
  </si>
  <si>
    <t>Q3021204009</t>
  </si>
  <si>
    <t>" Betaserc Betahistine 24mg Abbot( hộp 5 vỉ x 10 viên nén) "</t>
  </si>
  <si>
    <t>https://product.hstatic.net/200000428801/product/upload_2886547726894444a316a63b965036cc.jpg</t>
  </si>
  <si>
    <t>Q302938403</t>
  </si>
  <si>
    <t>" Betaserc Betahistine Dihydrochloride 16mg Abbott (Hộp 3 vỉ x 60 viên) "</t>
  </si>
  <si>
    <t>https://product.hstatic.net/200000428801/product/upload_1480991655fc4b59bb38056d58363004.jpg</t>
  </si>
  <si>
    <t>Q3021204010</t>
  </si>
  <si>
    <t>" Betex Vitamin 3B nén Thái Lan( hộp 5 vỉ x 10 viên ) "</t>
  </si>
  <si>
    <t>https://product.hstatic.net/200000428801/product/upload_e731ce83808b4957ac6aa0b2dba97632.jpg</t>
  </si>
  <si>
    <t>Q3021204011</t>
  </si>
  <si>
    <t>" Bethadesmin Betamethasone 0.25mg Đồng Nai( lọ nắp xanh x 500 viên nén ) "</t>
  </si>
  <si>
    <t>https://product.hstatic.net/200000428801/product/upload_adebc28b32c545e9862cc533c798bb33.jpg</t>
  </si>
  <si>
    <t>Q3021204012</t>
  </si>
  <si>
    <t>" Betnapin Thymodulin 80mg Hàn Quốc( hộp 3 vỉ x 20 viên nén ) "</t>
  </si>
  <si>
    <t>https://product.hstatic.net/200000428801/product/upload_66c9191e537e41e89852daf3d15773dc.jpg</t>
  </si>
  <si>
    <t>Q30221032356</t>
  </si>
  <si>
    <t>" Bezut ngậm ho không đường Vinacare (hộp 5 vỉ x 4 viên) "</t>
  </si>
  <si>
    <t>https://product.hstatic.net/200000428801/product/upload_3d83060c678b4ab3933925cd1c22f550.jpg</t>
  </si>
  <si>
    <t>Q3021204013</t>
  </si>
  <si>
    <t>" Bezut ngậm ho không đường Vinacare( hộp 5 vỉ x 4 viên) "</t>
  </si>
  <si>
    <t>https://product.hstatic.net/200000428801/product/119_e84b8d12e23c45eba448066408c90a61.png</t>
  </si>
  <si>
    <t>Q3021204014</t>
  </si>
  <si>
    <t>" Bezut siro ho Vinacare( lọ 110ml ) "</t>
  </si>
  <si>
    <t>https://product.hstatic.net/200000428801/product/upload_94575c0805a74352b4db026bc75e5cce.jpg</t>
  </si>
  <si>
    <t>Q3021204015</t>
  </si>
  <si>
    <t>" Biafine gel bôi bỏng Pháp(tuýp 93g ) "</t>
  </si>
  <si>
    <t>Q3021204016</t>
  </si>
  <si>
    <t>" Bidisuptilis men tiêu hóa Bình Định( hộp x 20 gói ) "</t>
  </si>
  <si>
    <t>https://product.hstatic.net/200000428801/product/upload_252a5db40eb04502839a2caf35ad5517.jpg</t>
  </si>
  <si>
    <t>Q3021204017</t>
  </si>
  <si>
    <t>" Bidisuptilis men tiêu hóa Bình Định( hộp x 40 gói ) "</t>
  </si>
  <si>
    <t>https://product.hstatic.net/200000428801/product/5a2fde0f9bcd4845a72f336b3b39f84a_25b0b8d4cdc74ec89c9d5032b3818a80.jpg</t>
  </si>
  <si>
    <t>Q3021204018</t>
  </si>
  <si>
    <t>" Bifina R men tiêu hóa Trắng Nhật Bản( hộp 20 gói) "</t>
  </si>
  <si>
    <t>https://product.hstatic.net/200000428801/product/upload_5a6433214fd3488d998832c8e71d3fda.jpg</t>
  </si>
  <si>
    <t>Q3021204019</t>
  </si>
  <si>
    <t>" Bifina R Trắng men tiêu hóa Nhật Bản( hộp 60 gói) "</t>
  </si>
  <si>
    <t>https://product.hstatic.net/200000428801/product/upload_b534e9e0dc8147d4a4fa5e4e50ef1195.jpg</t>
  </si>
  <si>
    <t>Q3021204020</t>
  </si>
  <si>
    <t>" Big BB hộp xanh Viễn Bằng ( hộp 16 gói ) "</t>
  </si>
  <si>
    <t>https://product.hstatic.net/200000428801/product/upload_774bf579efd64834874d688055abd3cc.jpg</t>
  </si>
  <si>
    <t>Q3021204021</t>
  </si>
  <si>
    <t>" Big BB Plus Viễn Bằng( hộp hồng x 16 gói ) "</t>
  </si>
  <si>
    <t>https://product.hstatic.net/200000428801/product/upload_d3441b554cd541a3bbe5a48e981defb6.jpg</t>
  </si>
  <si>
    <t>Q3021204022</t>
  </si>
  <si>
    <t>" Bikozol Ketoconazole 100mg Bình Định( 10 tuýp 5g ) "</t>
  </si>
  <si>
    <t>https://product.hstatic.net/200000428801/product/upload_37e2e93dbfdf4b6e9b51ed713a5d6905.jpg</t>
  </si>
  <si>
    <t>Q3021204023</t>
  </si>
  <si>
    <t>" Bilomag Ginkgo biloba 80mg Ba Lan( hộp 6 vỉ x 10 viên nang ) "</t>
  </si>
  <si>
    <t>https://product.hstatic.net/200000428801/product/upload_3b1ac1dbd5b14721b10f78525249d438.jpg</t>
  </si>
  <si>
    <t>Q3021204024</t>
  </si>
  <si>
    <t>" Bình rửa mũi Nasal Cool ) "</t>
  </si>
  <si>
    <t>https://product.hstatic.net/200000428801/product/upload_75287b96938a41899161083c4e2e41a0.jpg</t>
  </si>
  <si>
    <t>Q3021204025</t>
  </si>
  <si>
    <t>" Bình vị nam TNT Meliphar(lọ 100 viên nén ) "</t>
  </si>
  <si>
    <t>https://product.hstatic.net/200000428801/product/upload_2ec9c4daa5f0469fac0c8e63fd565c92.jpg</t>
  </si>
  <si>
    <t>Q3021204026</t>
  </si>
  <si>
    <t>" Bình Vị Thái Minh Thái Minh( hộp 1 lọ 80 viên nén ) "</t>
  </si>
  <si>
    <t>https://product.hstatic.net/200000428801/product/upload_9da0db01d3934424921f51c0c9fc5899.jpg</t>
  </si>
  <si>
    <t>Q3021204027</t>
  </si>
  <si>
    <t>" Bình Vị Thái Minh Thái Minh( hộp 2 vỉ x 10 viên ) "</t>
  </si>
  <si>
    <t>https://product.hstatic.net/200000428801/product/0add53f856768828d167_ac01f84438a2441ba7bb59bdce1dc05e.jpg</t>
  </si>
  <si>
    <t>Q302554444</t>
  </si>
  <si>
    <t>" Bình Xịt Ventolin Inhaler Salbutamol 100mcg/liều xịt GSK (Hộp 1 bình xịt 200 liều) "</t>
  </si>
  <si>
    <t>https://product.hstatic.net/200000428801/product/upload_981bec0dfa1143a29c822ee563ce4e0f.jpg</t>
  </si>
  <si>
    <t>Q3021204028</t>
  </si>
  <si>
    <t>" Bình Xịt Xua Đuổi Côn Trùng Fly Away Bảo Linh( lọ 100ml ) "</t>
  </si>
  <si>
    <t>https://product.hstatic.net/200000428801/product/upload_bdbb495546034a1a991fc17a904b873c.jpg</t>
  </si>
  <si>
    <t>Q3021204029</t>
  </si>
  <si>
    <t>" Bình Xịt Xua Đuổi Côn Trùng Fly Away Bảo Linh( lọ 60ml ) "</t>
  </si>
  <si>
    <t>https://product.hstatic.net/200000428801/product/upload_e4850c374bd344eebb6561fa4e428c43.jpg</t>
  </si>
  <si>
    <t>Q3021204030</t>
  </si>
  <si>
    <t>" Binozyt Azithromycin 200mg/5ml Sandoz( lọ 15ml ) "</t>
  </si>
  <si>
    <t>https://product.hstatic.net/200000428801/product/upload_fe775aab89344c89b9ad235129aa9bf9.jpg</t>
  </si>
  <si>
    <t>Q3021204031</t>
  </si>
  <si>
    <t>" Bio Acemin Fiber Việt Đức( hộp 30 gói x 4g ) "</t>
  </si>
  <si>
    <t>https://product.hstatic.net/200000428801/product/b1d5065d1bab4b9cbf46ab6d875af859_fe21300603314d4398a59d0201a82325.png</t>
  </si>
  <si>
    <t>Q3021204032</t>
  </si>
  <si>
    <t>" Bio Acimin Gold Việt Đức( hộp 30 gói x 4g ) "</t>
  </si>
  <si>
    <t>https://product.hstatic.net/200000428801/product/upload_84bddffee7904c4da6a1f176319bdda4.jpg</t>
  </si>
  <si>
    <t>Q3021204033</t>
  </si>
  <si>
    <t>" Bioamicus Complete men tiêu hóa giọt Canada( lọ 10ml ) "</t>
  </si>
  <si>
    <t>https://product.hstatic.net/200000428801/product/upload_fb292c1fa0fa4334bfe3a7f47fc9210a.jpg</t>
  </si>
  <si>
    <t>Q3021204035</t>
  </si>
  <si>
    <t>" Biocystine Medistar( hộp 3 vỉ x 10 viên nang ) "</t>
  </si>
  <si>
    <t>https://product.hstatic.net/200000428801/product/upload_481ee3f0f7ff402baccf8d3efb863ad2.jpg</t>
  </si>
  <si>
    <t>Q3021204036</t>
  </si>
  <si>
    <t>" Biodilis men tiêu hóa Vinaphar( hộp 10 vỉ x 10 viên nang ) "</t>
  </si>
  <si>
    <t>https://product.hstatic.net/200000428801/product/upload_8ffe7c451d754127831914179d1c728b.jpg</t>
  </si>
  <si>
    <t>Q3021204037</t>
  </si>
  <si>
    <t>" Biofil Thanh Hóa( hộp 10 ống x 10ml ) "</t>
  </si>
  <si>
    <t>https://product.hstatic.net/200000428801/product/upload_4dc3c1b34d2e45e1ab5d9ec96fc304e0.jpg</t>
  </si>
  <si>
    <t>Q3021204038</t>
  </si>
  <si>
    <t>" Bioflora Saccharomyces bouladii CNCM – I 745 200mg Pháp( hộp 10 viên nang nén ) "</t>
  </si>
  <si>
    <t>https://product.hstatic.net/200000428801/product/upload_17f2c20e4fe0403d838404a637249415.jpg</t>
  </si>
  <si>
    <t>Q3021204039</t>
  </si>
  <si>
    <t>" Bioflora Saccharomyces boulardii 100mg Pháp( hộp 20 gói ) "</t>
  </si>
  <si>
    <t>https://product.hstatic.net/200000428801/product/upload_9ee9bb25b76441eab48aa63ccc8b93d3.jpg</t>
  </si>
  <si>
    <t>Q30220032354</t>
  </si>
  <si>
    <t>" BioGaia Thụy Điển (lọ 5ml) "</t>
  </si>
  <si>
    <t>https://product.hstatic.net/200000428801/product/upload_8afb3336af1149b1ad206d4ad05536e0.jpg</t>
  </si>
  <si>
    <t>Q3021204040</t>
  </si>
  <si>
    <t>" Biolac men tiêu hóa Nha Trang (Hộp 10 hộp bé x 10 gói 1g ) "</t>
  </si>
  <si>
    <t>https://product.hstatic.net/200000428801/product/upload_5a22a426443f46cd9dfa58ee02e37320.jpg</t>
  </si>
  <si>
    <t>Q3021204041</t>
  </si>
  <si>
    <t>" Biolac men tiêu hóa Nha Trang( hộp 10 vỉ x 10 viên nang ) "</t>
  </si>
  <si>
    <t>https://product.hstatic.net/200000428801/product/upload_f4a8343a2bc344e4a1f01b594edd5593.jpg</t>
  </si>
  <si>
    <t>Q3021204045</t>
  </si>
  <si>
    <t>" Biolactomen Plus Thành Châu( hộp 10 gói x 0,65g ) "</t>
  </si>
  <si>
    <t>https://product.hstatic.net/200000428801/product/upload_21cca0be457347a9b72ec36b62c08109.jpg</t>
  </si>
  <si>
    <t>Q302229485</t>
  </si>
  <si>
    <t>" Biotin 5mg Vitamin H Mediplantex (Cọc/ 10 Hộp 2 vỉ x 10 viên nén) "</t>
  </si>
  <si>
    <t>https://product.hstatic.net/200000428801/product/upload_cc79c8dfed37417f84d73e128124977a.jpg</t>
  </si>
  <si>
    <t>Q3021204048</t>
  </si>
  <si>
    <t>" Bisacodyl 5mg Hậu Giang( hộp 4 vỉ x 25 viên nén ) "</t>
  </si>
  <si>
    <t>https://product.hstatic.net/200000428801/product/cotripro-gel-25g-kem-boi-giup-co-va-san-se-bui-tri-1620296992_0b93fe2274df4d85bda5e173461f83dc.png</t>
  </si>
  <si>
    <t>Q3021204049</t>
  </si>
  <si>
    <t>" Biscapro Bisoprolol fumarate 2,5mg Pymepharco AstraZeneca( hộp 2 vỉ x 14 viên nén ) "</t>
  </si>
  <si>
    <t>https://product.hstatic.net/200000428801/product/upload_5d0fa6bdf4ca43819fbe03010009732d.jpg</t>
  </si>
  <si>
    <t>Q3021904001</t>
  </si>
  <si>
    <t>" Biscapro Bisoprolol fumarate 5mg Pymepharco ( hộp 3 vỉ x 10 viên nén ) "</t>
  </si>
  <si>
    <t>https://product.hstatic.net/200000428801/product/upload_d883e7a8215e4a5b8f7a640b133ec3ae.jpg</t>
  </si>
  <si>
    <t>Q3021904002</t>
  </si>
  <si>
    <t>" Biseptol 480 Adamed( hộp 1 vỉ x 20 viên nén ) "</t>
  </si>
  <si>
    <t>https://product.hstatic.net/200000428801/product/upload_f7efb5027f9746b9ae656a921a5ef86f.jpg</t>
  </si>
  <si>
    <t>Q3021904003</t>
  </si>
  <si>
    <t>" Bisolvon Bromhexine 8mg Boehringer ( hộp 3 vỉ x 10 viên nén ) "</t>
  </si>
  <si>
    <t>https://product.hstatic.net/200000428801/product/upload_e8bb025de2674c83ae72c566c110267a.jpg</t>
  </si>
  <si>
    <t>Q3021904004</t>
  </si>
  <si>
    <t>" Bisoplus HTC 5mg/12,5mg Stella ( hộp 3 vỉ x 10 viên nén ) "</t>
  </si>
  <si>
    <t>https://product.hstatic.net/200000428801/product/upload_942c2e4095bd4ccd89cf8a6494ba36af.jpg</t>
  </si>
  <si>
    <t>Q3021904005</t>
  </si>
  <si>
    <t>" Bisoprolol STADA 5mg ( hộp 3 vỉ x 10 viên nén ) "</t>
  </si>
  <si>
    <t>https://product.hstatic.net/200000428801/product/upload_0dac8bab20734a66a1aee88cb08c5258.jpg</t>
  </si>
  <si>
    <t>Q3021904006</t>
  </si>
  <si>
    <t>" Bisostad Bisoprolol 5mg Stella ( hộp 3 vỉ x 10 viên nén ) "</t>
  </si>
  <si>
    <t>https://product.hstatic.net/200000428801/product/upload_fb05bc9ac3ee4b7abff2516cf31cf999.jpg</t>
  </si>
  <si>
    <t>Q3021904007</t>
  </si>
  <si>
    <t>" Bisufat hộp 20 vỉ x 5 viên nang Phil ( hộp 20 vỉ x 5 viên ) "</t>
  </si>
  <si>
    <t>https://product.hstatic.net/200000428801/product/upload_475166069c2e4ddc86eed4689a2f428d.jpg</t>
  </si>
  <si>
    <t>Q3021904008</t>
  </si>
  <si>
    <t>" Bitrepso Alphachymotrypsin 4200IU USP ( hộp 10 vỉ x 10 viên nén ) "</t>
  </si>
  <si>
    <t>https://product.hstatic.net/200000428801/product/upload_70b05830ea334ac594a060d6fe466946.jpg</t>
  </si>
  <si>
    <t>Q3021904009</t>
  </si>
  <si>
    <t>" Bivantox Acid alpha lipoic 600mg TW1 Pharbaco ( hộp 3 vỉ x 10 viên nén ) "</t>
  </si>
  <si>
    <t>https://product.hstatic.net/200000428801/product/upload_4cf9797be5944c4296392be6a0d60e58.jpg</t>
  </si>
  <si>
    <t>Q3021904012</t>
  </si>
  <si>
    <t>" Biviflu bao phim BRV (hộp 10 vỉ x 10 viên nén )"</t>
  </si>
  <si>
    <t>https://product.hstatic.net/200000428801/product/upload_9472be35a37548ff9a46895553958f6e.jpg</t>
  </si>
  <si>
    <t>Q30221032343</t>
  </si>
  <si>
    <t>" Biviflu BRV (hộp 10 vỉ x 10 viên nén bao phim) "</t>
  </si>
  <si>
    <t>https://product.hstatic.net/200000428801/product/upload_6cd104aa15674ab2aece30907cb19525.jpg</t>
  </si>
  <si>
    <t>Q30221032342</t>
  </si>
  <si>
    <t>" Biviflu F BRV (hộp 10 vỉ x 10 viên nén) "</t>
  </si>
  <si>
    <t>https://product.hstatic.net/200000428801/product/upload_48521550403b4de994445db1b5c8bef7.jpg</t>
  </si>
  <si>
    <t>Q3021904013</t>
  </si>
  <si>
    <t>" Bivinadol Paracetamol 500mg BVPharma ( hộp 10 vỉ x 10 viên nén ) "</t>
  </si>
  <si>
    <t>https://product.hstatic.net/200000428801/product/upload_74b05d945e1047e8a90b1000f4b21186.jpg</t>
  </si>
  <si>
    <t>Q3021904026</t>
  </si>
  <si>
    <t>" Boganew Đại Uy( hộp 5 vỉ x 20 viên ) "</t>
  </si>
  <si>
    <t>https://product.hstatic.net/200000428801/product/upload_1c11785a88a24de48dc8d16c7e6d0312.jpg</t>
  </si>
  <si>
    <t>Q302445533</t>
  </si>
  <si>
    <t>" Boganic Forte Traphaco (H/ 5 vỉ x 10 viên nang mềm) "</t>
  </si>
  <si>
    <t>https://product.hstatic.net/200000428801/product/upload_7f067132b48747cdbd8fce03b3d4cef8.jpg</t>
  </si>
  <si>
    <t>Q3021904040</t>
  </si>
  <si>
    <t>" Bostadin Loratadin 10mg Boston ( hộp 10 vỉ x 10 viên nén ) "</t>
  </si>
  <si>
    <t>https://product.hstatic.net/200000428801/product/upload_41ff3451372a4d058203830ecb0b65ac.jpg</t>
  </si>
  <si>
    <t>Q3021904041</t>
  </si>
  <si>
    <t>" Bostanex Desloratadine 5mg Boston(hộp 3 vỉ x 10 viên nén ) "</t>
  </si>
  <si>
    <t>https://product.hstatic.net/200000428801/product/upload_96bcb1f9963247f3a506cac2511d0b90.jpg</t>
  </si>
  <si>
    <t>Q3021904016</t>
  </si>
  <si>
    <t>" Bổ gan Abipha ( hộp 5 vỉ x 10 viên nang ) "</t>
  </si>
  <si>
    <t>https://product.hstatic.net/200000428801/product/upload_0d7892c67dfd4341b18ce497af219cbe.jpg</t>
  </si>
  <si>
    <t>Q30283874896</t>
  </si>
  <si>
    <t>" Bổ Máu Fe Max Vega (Hộp 100 viên) "</t>
  </si>
  <si>
    <t>https://product.hstatic.net/200000428801/product/upload_49c74efc87b94e04b3a1bc5fa44d4165.jpg</t>
  </si>
  <si>
    <t>Q3021904019</t>
  </si>
  <si>
    <t>" Bổ phế Nam Hà ( hộp 2 vỉ x 12 viên ngậm ) "</t>
  </si>
  <si>
    <t>https://product.hstatic.net/200000428801/product/upload_2d4e75821260476bb634061d822f4ce8.jpg</t>
  </si>
  <si>
    <t>Q3021904020</t>
  </si>
  <si>
    <t>" Bổ phế TW3 Foripharm ( hộp 2 vỉ x 12 viên ngậm ) "</t>
  </si>
  <si>
    <t>https://product.hstatic.net/200000428801/product/upload_5f9540c2759c4b4ea90f3ee5c11c086c.jpg</t>
  </si>
  <si>
    <t>Q3021904022</t>
  </si>
  <si>
    <t>" Bổ thận âm Hà Tĩnh( lọ 60g viên hoàn ) "</t>
  </si>
  <si>
    <t>https://product.hstatic.net/200000428801/product/upload_becc0232b2a94690a8993b8a46161a12.jpg</t>
  </si>
  <si>
    <t>Q3021904021</t>
  </si>
  <si>
    <t>" Bổ thận âm TW3 Foripharm( hộp 10 gói x 50g viên hoàn ) "</t>
  </si>
  <si>
    <t>https://product.hstatic.net/200000428801/product/upload_1cb5201fe61d4e68b09e5af1fdf09c70.jpg</t>
  </si>
  <si>
    <t>Q3021904023</t>
  </si>
  <si>
    <t>" Bổ thận nam Abipha ( hộp 3 vỉ x 10 viên nang ) "</t>
  </si>
  <si>
    <t>https://product.hstatic.net/200000428801/product/upload_592a83bb78834928bc70f102ab065e39.jpg</t>
  </si>
  <si>
    <t>Q3021904024</t>
  </si>
  <si>
    <t>" Bổ thận nữ Abipha ( hộp 3 vỉ x 10 viên nang ) "</t>
  </si>
  <si>
    <t>https://product.hstatic.net/200000428801/product/upload_0218362bf0d8465c8c9524068a7e3819.jpg</t>
  </si>
  <si>
    <t>Q3021904028</t>
  </si>
  <si>
    <t>" Bông 100g Bạch Tuyết "</t>
  </si>
  <si>
    <t>https://product.hstatic.net/200000428801/product/upload_ab67dcf4c3a048c39bf7f66c2a470d78.jpg</t>
  </si>
  <si>
    <t>Q3021904029</t>
  </si>
  <si>
    <t>" Bông 10g bịch 50 gói Bình Minh "</t>
  </si>
  <si>
    <t>https://product.hstatic.net/200000428801/product/upload_f60e24255216453c941002d55c442e7d.jpg</t>
  </si>
  <si>
    <t>Q3021904030</t>
  </si>
  <si>
    <t>" Bông 1Kg Bạch Tuyết "</t>
  </si>
  <si>
    <t>https://product.hstatic.net/200000428801/product/upload_ffa4d28a7636459db1bcc14bf3adb2b5.jpg</t>
  </si>
  <si>
    <t>Q3021904031</t>
  </si>
  <si>
    <t>" Bông 1kg cắt miếng Bạch Tuyết 7x7 "</t>
  </si>
  <si>
    <t>https://product.hstatic.net/200000428801/product/upload_5dab3849d91b4acd894472b1ed1541ff.jpg</t>
  </si>
  <si>
    <t>Q3021904032</t>
  </si>
  <si>
    <t>" Bông 1Kg Hiệp Hưng"</t>
  </si>
  <si>
    <t>https://product.hstatic.net/200000428801/product/upload_2454ee212b6a4886b946f9bf4a6621ff.jpg</t>
  </si>
  <si>
    <t>Q3021904033</t>
  </si>
  <si>
    <t>" Bông 1Kg Thịnh Minh "</t>
  </si>
  <si>
    <t>https://product.hstatic.net/200000428801/product/upload_c152f03e76464337ba986b96ee0db538.jpg</t>
  </si>
  <si>
    <t>Q3021904034</t>
  </si>
  <si>
    <t>" Bông 50g bịch 30 gói Bình Minh"</t>
  </si>
  <si>
    <t>https://product.hstatic.net/200000428801/product/upload_4d2e84cb647e471587744dfc0d5770e3.jpg</t>
  </si>
  <si>
    <t>Q3021904035</t>
  </si>
  <si>
    <t>" Bông cắt miếng 2x2cm bịch 500g Bạch Tuyết"</t>
  </si>
  <si>
    <t>https://product.hstatic.net/200000428801/product/upload_cbb3f62003d645e7b104c36460c01e7a.jpg</t>
  </si>
  <si>
    <t>Q3021904036</t>
  </si>
  <si>
    <t>" Bông gạc đắp vết thương 6cm x 15cm Danameco "</t>
  </si>
  <si>
    <t>https://product.hstatic.net/200000428801/product/upload_cfe289ef877c46f4bc8fe12f9a652408.jpg</t>
  </si>
  <si>
    <t>Q3021904037</t>
  </si>
  <si>
    <t>" Bông lót bó bột 10cmx2.7m Orbe "</t>
  </si>
  <si>
    <t>https://product.hstatic.net/200000428801/product/upload_791d974b295240cfbfb084d6176940df.jpg</t>
  </si>
  <si>
    <t>Q3021904038</t>
  </si>
  <si>
    <t>" Bông lót bó bột 15cmx2.7m Orbe "</t>
  </si>
  <si>
    <t>https://cdn1-retail-images.kiotviet.vn/2026/01/21/giabaopharma/ca31f5086be748ca97f94542f91c1d00.jpg</t>
  </si>
  <si>
    <t>Q3021904039</t>
  </si>
  <si>
    <t>" Bông miếng y tế gói 500g Bạch Tuyết"</t>
  </si>
  <si>
    <t>https://product.hstatic.net/200000428801/product/upload_8aaea976596e4687ac5ae1366914d258.jpg</t>
  </si>
  <si>
    <t>Q302894389</t>
  </si>
  <si>
    <t>" Bột Khử Mùi Trapha Traphaco (Chai 30g) "</t>
  </si>
  <si>
    <t>https://product.hstatic.net/200000428801/product/upload_6f6529f4382f438f849e8f732e3b7e6c.jpg</t>
  </si>
  <si>
    <t>Q302483948</t>
  </si>
  <si>
    <t>" Bột Nabifar Natri Bicarbonat 5g Pharmedic (Hộp 10 gói x 5g) "</t>
  </si>
  <si>
    <t>https://product.hstatic.net/200000428801/product/66e66f06c3a24919870ae9f8227b85cc_f4f2cc4bc02443f0a902ac1229846c9f.png</t>
  </si>
  <si>
    <t>Q302444531</t>
  </si>
  <si>
    <t>" Bơm Tiêm 10ml/cc Vinahankook ( Hộp 100 cái) "</t>
  </si>
  <si>
    <t>https://product.hstatic.net/200000428801/product/upload_6d4338527de74a6aa382c8bc4d27e9c8.jpg</t>
  </si>
  <si>
    <t>Q302789838</t>
  </si>
  <si>
    <t>" Bơm Tiêm 1ml/cc Vinahankook ( Hộp 100 cái) "</t>
  </si>
  <si>
    <t>https://product.hstatic.net/200000428801/product/upload_6c09df21704c4fed99d34f134ace9ce0.jpg</t>
  </si>
  <si>
    <t>Q302556441</t>
  </si>
  <si>
    <t>" Bơm Tiêm 20ml/cc Vinahankook ( Hộp 50 cái) "</t>
  </si>
  <si>
    <t>https://product.hstatic.net/200000428801/product/upload_faba2f02f84d4b80b630814c196c5215.jpg</t>
  </si>
  <si>
    <t>Q302456344</t>
  </si>
  <si>
    <t>" Bơm Tiêm 3ml/cc Vinahankook ( Hộp 100 cái) "</t>
  </si>
  <si>
    <t>https://product.hstatic.net/200000428801/product/upload_aba315d9c550451aafa8cbaa4c3d9851.jpg</t>
  </si>
  <si>
    <t>Q302998374</t>
  </si>
  <si>
    <t>" Bơm Tiêm 50ml/cc Vinahankook ( Hộp 25 cái) "</t>
  </si>
  <si>
    <t>https://product.hstatic.net/200000428801/product/3fde41e8770aa954f01b_f2b29ae29ed04aff988ad43d4a84209c.jpg</t>
  </si>
  <si>
    <t>Q302099040</t>
  </si>
  <si>
    <t>" Bơm Tiêm 5ml/cc Vinahankook ( Hộp 100 cái) "</t>
  </si>
  <si>
    <t>https://product.hstatic.net/200000428801/product/upload_1b798f44472640d1915f84a5f0d7fca0.jpg</t>
  </si>
  <si>
    <t>Q3021904042</t>
  </si>
  <si>
    <t>" Brexin Piroxicam 20mg Chiesi Pháp ( hộp 2 vỉ x 10 viên nén ) "</t>
  </si>
  <si>
    <t>https://product.hstatic.net/200000428801/product/upload_48713f61484e4943900014cd3eb9f807.jpg</t>
  </si>
  <si>
    <t>Q3021904043</t>
  </si>
  <si>
    <t>" Briozcal Calcium 1250mg Úc( hộp 3 vỉ x 10 viên nén) "</t>
  </si>
  <si>
    <t>https://product.hstatic.net/200000428801/product/upload_84b15c6aa483404aa42cdd615d726adc.jpg</t>
  </si>
  <si>
    <t>Q302373483</t>
  </si>
  <si>
    <t>" Bromhexin 8 Bromhexin Hydroclorid 8mg Vacopharm (Lọ 500 viên) "</t>
  </si>
  <si>
    <t>https://product.hstatic.net/200000428801/product/upload_be39504cdc364fa1b4730eda17b6d3a4.jpg</t>
  </si>
  <si>
    <t>Q3021904044</t>
  </si>
  <si>
    <t>" Bromhexine 8mg Domesco(hộp 3 vỉ x 10 viên nén ) "</t>
  </si>
  <si>
    <t>https://product.hstatic.net/200000428801/product/upload_27586c5da0c64a3687352386d5a255aa.jpg</t>
  </si>
  <si>
    <t>Q3021904045</t>
  </si>
  <si>
    <t>" Bromhexine AT 4mg/5ml An Thiên ( hộp 30 ống x 5ml ) "</t>
  </si>
  <si>
    <t>https://product.hstatic.net/200000428801/product/upload_69d159cc09604980a5435ab33e6724d3.jpg</t>
  </si>
  <si>
    <t>Q302168474</t>
  </si>
  <si>
    <t>" Bù Nước Và Điện Giải Oresol 3B Á Châu (Hộp 40 gói x 4,1g) "</t>
  </si>
  <si>
    <t>https://product.hstatic.net/200000428801/product/upload_c926c8f71f3c4b55a3bbfa09af4e22f5.jpg</t>
  </si>
  <si>
    <t>Q3021904046</t>
  </si>
  <si>
    <t>" Bunpil Cream Terbinafine HCL 10mg/g tuýp 15g Aprogen Hàn Quốc "</t>
  </si>
  <si>
    <t>https://product.hstatic.net/200000428801/product/upload_d1ddf7f9664944daabb6dc4b81356198.jpg</t>
  </si>
  <si>
    <t>Q3021904048</t>
  </si>
  <si>
    <t>" Buscopan 10mg Sanofi ( hộp 5 vỉ x 20 viên ) "</t>
  </si>
  <si>
    <t>https://product.hstatic.net/200000428801/product/upload_0ac82f36874a41c6a4fc8e2fe4337153.jpg</t>
  </si>
  <si>
    <t>Q3021904049</t>
  </si>
  <si>
    <t>" Buscopan 20mg/1ml tiêm Boehringer ( hộp 10 ống x 1ml ) "</t>
  </si>
  <si>
    <t>https://product.hstatic.net/200000428801/product/upload_c0d6012eebbb420cbfa57fcef6d3490a.jpg</t>
  </si>
  <si>
    <t>Q3023444451</t>
  </si>
  <si>
    <t>" Cà gai Leo - Xạ Đen Giải Độc Gan Tradiphar (Hộp 12 vỉ x 5 viên) "</t>
  </si>
  <si>
    <t>https://product.hstatic.net/200000428801/product/upload_b9630912540248c883efcc2a865f622f.jpg</t>
  </si>
  <si>
    <t>Q3022004001</t>
  </si>
  <si>
    <t>" Cà Gai Leo Tuệ Linh ( lọ 60 viên nén ) "</t>
  </si>
  <si>
    <t>https://product.hstatic.net/200000428801/product/upload_2799b352c47945558732eb1b2d6eecae.jpg</t>
  </si>
  <si>
    <t>Q3022004101</t>
  </si>
  <si>
    <t>" Cà gai leo Tuệ Linh lọ "</t>
  </si>
  <si>
    <t>https://product.hstatic.net/200000428801/product/upload_702d1c6ebf5446358feb9ec1142815f1.jpg</t>
  </si>
  <si>
    <t>Q3022004004</t>
  </si>
  <si>
    <t>" Cabendaz Mebendazol 500mg USP( cọc 10 hộp x 1 viên nén ) "</t>
  </si>
  <si>
    <t>https://product.hstatic.net/200000428801/product/upload_1bb7632418f5466f837741bd18c9a287.jpg</t>
  </si>
  <si>
    <t>Q3022004005</t>
  </si>
  <si>
    <t>" Cadiazith Azithromycin 500mg USP (hộp 5 vỉ x 6 viên nén ) "</t>
  </si>
  <si>
    <t>https://product.hstatic.net/200000428801/product/upload_3fb3260dc2784f86b36babb4e0c6efed.jpg</t>
  </si>
  <si>
    <t>Q3022004006</t>
  </si>
  <si>
    <t>" Cadicefdin Cefdinir 100mg USP ( hộp 2 vỉ x 10 viên nén ) "</t>
  </si>
  <si>
    <t>https://product.hstatic.net/200000428801/product/upload_102064a6b3af46dead0be06efb1c073f.jpg</t>
  </si>
  <si>
    <t>Q3022004007</t>
  </si>
  <si>
    <t>" Cadicefdin Cefdinir 125mg USP (hộp 10 gói) "</t>
  </si>
  <si>
    <t>https://product.hstatic.net/200000428801/product/upload_1c78b0ca294f4cd5ba532c3a6970e62e.jpg</t>
  </si>
  <si>
    <t>Q3022004008</t>
  </si>
  <si>
    <t>" Cadicefpo Cefpodoxim 100mg USP ( hộp 10 viên nén ) "</t>
  </si>
  <si>
    <t>https://product.hstatic.net/200000428801/product/c1da5b1869fab7a4eeeb_fb16ea8222cd467ebeeab7ba920fcdfa.jpg</t>
  </si>
  <si>
    <t>Q3022004009</t>
  </si>
  <si>
    <t>" Cadicefpo Cefpodoxime 100mg USP ( hộp 10 gói x 3g ) "</t>
  </si>
  <si>
    <t>https://product.hstatic.net/200000428801/product/upload_ac47186a27824188b5fbb787f027de30.jpg</t>
  </si>
  <si>
    <t>Q3022004010</t>
  </si>
  <si>
    <t>" Cadicelox Celecoxib 200mg USP ( hộp 3 vỉ x 10 viên nang ) "</t>
  </si>
  <si>
    <t>https://product.hstatic.net/200000428801/product/upload_95fd5d9571884a4cafe0fa39fb36bc91.jpg</t>
  </si>
  <si>
    <t>Q3022004011</t>
  </si>
  <si>
    <t>" Cadifast Fexofenadine 120mg USP ( hộp 3 vỉ x 10 viên nén ) "</t>
  </si>
  <si>
    <t>https://product.hstatic.net/200000428801/product/upload_d0317f5670d849338e30f591148f8909.jpg</t>
  </si>
  <si>
    <t>Q3022004012</t>
  </si>
  <si>
    <t>" Cadifast Fexofenadine 180mg USP( hộp 10 viên nén ) "</t>
  </si>
  <si>
    <t>https://product.hstatic.net/200000428801/product/upload_ab946f618dcc481188246c44b0998ce9.jpg</t>
  </si>
  <si>
    <t>Q3022004013</t>
  </si>
  <si>
    <t>" Cadigesic Extra USP ( hộp 10 vỉ x 10 viên nén ) "</t>
  </si>
  <si>
    <t>https://product.hstatic.net/200000428801/product/upload_19e01e99d73d4bea9f31b5a6be64682c.jpg</t>
  </si>
  <si>
    <t>Q3022004014</t>
  </si>
  <si>
    <t>" Cadigesic Paracetamol 650mg USP (hộp 10 vỉ x 10 viên nén ) "</t>
  </si>
  <si>
    <t>https://product.hstatic.net/200000428801/product/upload_fb020aa41a91498dbd8e955dc944d633.jpg</t>
  </si>
  <si>
    <t>Q3022004015</t>
  </si>
  <si>
    <t>" Cadimelcox Meloxicam 7.5mg USP (hộp 10 vỉ x 10 viên nén ) "</t>
  </si>
  <si>
    <t>https://product.hstatic.net/200000428801/product/upload_b6ea22185f2448308b9bac5da10426b5.jpg</t>
  </si>
  <si>
    <t>Q3022004016</t>
  </si>
  <si>
    <t>" Cadimin C Vitamin C 500mg USP ( hộp 10 vỉ x 10 viên nang ) "</t>
  </si>
  <si>
    <t>Q3022004017</t>
  </si>
  <si>
    <t>" Cadimusol Acetylcystein 200mg USP(hộp 10 vỉ x 10 viên nang ) "</t>
  </si>
  <si>
    <t>https://product.hstatic.net/200000428801/product/upload_bdfbeee2d6834c39a1e10d84d789d0c5.jpg</t>
  </si>
  <si>
    <t>Q3022004018</t>
  </si>
  <si>
    <t>" Cadinamic Mefenamic Acid 500mg USP (hộp 10 vỉ x 10 viên nén ) "</t>
  </si>
  <si>
    <t>https://product.hstatic.net/200000428801/product/upload_510621b9674749b4a659a7a17dac7a26.jpg</t>
  </si>
  <si>
    <t>Q3022004019</t>
  </si>
  <si>
    <t>" Cadineuron USP( hộp 5 vỉ x 10 viên nén ) "</t>
  </si>
  <si>
    <t>https://product.hstatic.net/200000428801/product/upload_902c23190ea44431b7e4db1c6700f891.jpg</t>
  </si>
  <si>
    <t>Q3022004021</t>
  </si>
  <si>
    <t>" Cadipredson Methylprednisolon 16mg USP( hộp 3 vỉ x 10 viên nén ) "</t>
  </si>
  <si>
    <t>https://product.hstatic.net/200000428801/product/upload_267fc770c8254f2d996ab5fa0f1e32cc.jpg</t>
  </si>
  <si>
    <t>Q3022004022</t>
  </si>
  <si>
    <t>" Cadipredson Methylprednisolon 4mg USP (hộp 5 vỉ x 10 viên nén ) "</t>
  </si>
  <si>
    <t>https://product.hstatic.net/200000428801/product/upload_0798e162b8e346fda5b60f0020bd91b6.jpg</t>
  </si>
  <si>
    <t>Q3022004023</t>
  </si>
  <si>
    <t>" Cadiramid Loperamid 2mg USP (hộp 10 vỉ x 10 viên nang ) "</t>
  </si>
  <si>
    <t>https://product.hstatic.net/200000428801/product/upload_30637e02a65a4023a906ffb3e4ae44ea.jpg</t>
  </si>
  <si>
    <t>Q3022004024</t>
  </si>
  <si>
    <t>" Cadirizin Cetirizin 10mg USP( hộp 10 vỉ x 10 viên nén ) "</t>
  </si>
  <si>
    <t>https://product.hstatic.net/200000428801/product/upload_8f388f3165fd44219eb03a19a7ba8008.jpg</t>
  </si>
  <si>
    <t>Q3022004025</t>
  </si>
  <si>
    <t>" Cadirovib Acyclovir USP( cọc 10 tuýp x 5g ) "</t>
  </si>
  <si>
    <t>https://product.hstatic.net/200000428801/product/upload_68bfff7afa4d4fe1959a2bd6cedeaff8.jpg</t>
  </si>
  <si>
    <t>Q3022004026</t>
  </si>
  <si>
    <t>" Cadiroxime Cefuroxim 500mg USP(hộp 6 vỉ x 5 viên nén) "</t>
  </si>
  <si>
    <t>https://product.hstatic.net/200000428801/product/upload_0d93674a6218400994ae5145f5deed32.jpg</t>
  </si>
  <si>
    <t>Q3022004027</t>
  </si>
  <si>
    <t>" Cagu ngậm ho Traphaco ( hộp 2 vỉ x 10 viên ) "</t>
  </si>
  <si>
    <t>https://product.hstatic.net/200000428801/product/upload_9fbd5ce5332c458397e0d34822c602cb.jpg</t>
  </si>
  <si>
    <t>Q302009700</t>
  </si>
  <si>
    <t>" Calci B12 Đại Uy (Hộp 20 ống x 10ml) ống nhựa "</t>
  </si>
  <si>
    <t>https://product.hstatic.net/200000428801/product/110_21522ee41d554c979059c3890e8054cb.png</t>
  </si>
  <si>
    <t>Q302221322</t>
  </si>
  <si>
    <t>https://product.hstatic.net/200000428801/product/upload_fc0c0386cad84be8a3ce5000f503a29f.jpg</t>
  </si>
  <si>
    <t>Q3022004029</t>
  </si>
  <si>
    <t>" Calci B12 Đại Y( hộp 20 ống thủy tinh ) "</t>
  </si>
  <si>
    <t>https://product.hstatic.net/200000428801/product/upload_802ac030aae849e7bf6c1f57cae80925.jpg</t>
  </si>
  <si>
    <t>Q302667898</t>
  </si>
  <si>
    <t>" Calci Clorid 10% 500mg /5ml TW1 Pharbaco (Hộp 50 ống dung dịch tiêm 5ml) "</t>
  </si>
  <si>
    <t>https://product.hstatic.net/200000428801/product/111_53e224bc358d4620b0a616403725f6cf.png</t>
  </si>
  <si>
    <t>Q3022004030</t>
  </si>
  <si>
    <t>" Calci D Mekophar (hộp 10 vỉ x 10 viên nén ) "</t>
  </si>
  <si>
    <t>https://product.hstatic.net/200000428801/product/upload_5c26b169e07a4bfeab8653d3425e7f91.jpg</t>
  </si>
  <si>
    <t>Q3022004032</t>
  </si>
  <si>
    <t>" Calci D3 Boston( hộp 10 vỉ x 10 viên nang ) "</t>
  </si>
  <si>
    <t>https://product.hstatic.net/200000428801/product/upload_d9db222f4f2f4d87976fb56a680bf95d.jpg</t>
  </si>
  <si>
    <t>Q3022004034</t>
  </si>
  <si>
    <t>" Calci D3 HV USP ( lọ 100 viên nang ) "</t>
  </si>
  <si>
    <t>https://product.hstatic.net/200000428801/product/upload_3f92529f76424dfd823f3db3c1137bbf.jpg</t>
  </si>
  <si>
    <t>Q3021142378</t>
  </si>
  <si>
    <t>" Calci D3 HV USP (lọ 100 viên nang) "</t>
  </si>
  <si>
    <t>https://product.hstatic.net/200000428801/product/upload_5815e41bd1e2472c83bae4802bb39128.jpg</t>
  </si>
  <si>
    <t>Q3022004033</t>
  </si>
  <si>
    <t>" Calci D3 HV USP(hộp 10 vỉ x 10 viên nang ) "</t>
  </si>
  <si>
    <t>https://product.hstatic.net/200000428801/product/upload_22f573ce60ef4acdb0252a271bb8cb4b.jpg</t>
  </si>
  <si>
    <t>Q3022004035</t>
  </si>
  <si>
    <t>" Calci D3 viên Abipha( hộp 6 vỉ x 10 viên nang ) "</t>
  </si>
  <si>
    <t>Q3021142379</t>
  </si>
  <si>
    <t>" Calci Nano K2 Tảo biển đỏ Vega Pharma (lọ 30 viên nang) "</t>
  </si>
  <si>
    <t>https://product.hstatic.net/200000428801/product/upload_b45bba0ebe8c46afb89a79d4cfc953ae.jpg</t>
  </si>
  <si>
    <t>Q3022004036</t>
  </si>
  <si>
    <t>" Calciuc Diamond( hộp 20 ống x 10ml ) "</t>
  </si>
  <si>
    <t>https://product.hstatic.net/200000428801/product/upload_47bfcdfb1f40443aa72a2383516f04ef.jpg</t>
  </si>
  <si>
    <t>Q3022004037</t>
  </si>
  <si>
    <t>" Calcium 500mg Stella ( Tube 20 viên sủi ) "</t>
  </si>
  <si>
    <t>https://product.hstatic.net/200000428801/product/116_38394636751444199868a0736e638655.png</t>
  </si>
  <si>
    <t>Q3022004038</t>
  </si>
  <si>
    <t>" Calcium Corbiere Extra Kids Sanofi( hộp 30 ống x 5ml ) "</t>
  </si>
  <si>
    <t>https://product.hstatic.net/200000428801/product/upload_d12d5edba9214a85835bafa0eefb5476.jpg</t>
  </si>
  <si>
    <t>Q3022004039</t>
  </si>
  <si>
    <t>" Calcium Fort USP ( hộp 10 vỉ x 10 viên nang ) "</t>
  </si>
  <si>
    <t>https://product.hstatic.net/200000428801/product/upload_0a95c872950544c693f2ba9aff19c843.jpg</t>
  </si>
  <si>
    <t>Q3021142381</t>
  </si>
  <si>
    <t>" Calcium Fort USP (lọ 100 viên nang) "</t>
  </si>
  <si>
    <t>https://product.hstatic.net/200000428801/product/upload_cd0a50aec4e44be18e67083027c81ae4.jpg</t>
  </si>
  <si>
    <t>Q3022004041</t>
  </si>
  <si>
    <t>" Calcium Magnesium Zinc D3 Nature’s Bounty Mỹ lọ 100 viên nén ) "</t>
  </si>
  <si>
    <t>https://product.hstatic.net/200000428801/product/upload_02501324324e440db19bfbe2a364ab72.jpg</t>
  </si>
  <si>
    <t>Q3022004043</t>
  </si>
  <si>
    <t>" Calcium Stella Vitamin C.PP Stella(hộp 24 ống x 10ml ) "</t>
  </si>
  <si>
    <t>https://product.hstatic.net/200000428801/product/upload_1b12ff7d7344486695129a0b02f35675.jpg</t>
  </si>
  <si>
    <t>Q3022004044</t>
  </si>
  <si>
    <t>" Cảm xuyên hương bột tắm Yên Bái( hộp 1 gói x100g ) "</t>
  </si>
  <si>
    <t>https://product.hstatic.net/200000428801/product/upload_91296ffe44cf4afbac74e1fc86dd5bd3.jpg</t>
  </si>
  <si>
    <t>Q3022004045</t>
  </si>
  <si>
    <t>" Cảm xuyên hương Hà Thành( hộp 10 vỉ x 10 viên nang ) "</t>
  </si>
  <si>
    <t>https://product.hstatic.net/200000428801/product/upload_7895986a06ec4ba5b044e501031806dd.jpg</t>
  </si>
  <si>
    <t>Q3022004046</t>
  </si>
  <si>
    <t>" Cảm xuyên hương Yên Bái ( hộp 10 vỉ x 10 viên nang ) "</t>
  </si>
  <si>
    <t>https://product.hstatic.net/200000428801/product/upload_71f1788c42c14178bdbf263ec2a42e32.jpg</t>
  </si>
  <si>
    <t>Q3022004047</t>
  </si>
  <si>
    <t>" Cảm xuyên hương Yên Bái( siro lọ 60ml ) "</t>
  </si>
  <si>
    <t>https://product.hstatic.net/200000428801/product/upload_e3aaaabfecd741c49644c8be7e8813b7.jpg</t>
  </si>
  <si>
    <t>Q3022004048</t>
  </si>
  <si>
    <t>" Candid Clotrimazole 1% nhỏ tai Glenmark Ấn Độ( lọ 15ml ) "</t>
  </si>
  <si>
    <t>https://product.hstatic.net/200000428801/product/upload_4cc6d1d9a09c4ec4a13bd780b20faaaf.jpg</t>
  </si>
  <si>
    <t>Q3022004049</t>
  </si>
  <si>
    <t>" Canesten Clotrimazole 1% Tube 20g Bayer"</t>
  </si>
  <si>
    <t>https://product.hstatic.net/200000428801/product/upload_2ed70564ee5d48058cec2190d1ea4fd0.jpg</t>
  </si>
  <si>
    <t>Q3022004102</t>
  </si>
  <si>
    <t>" Cao chè vằng lợi sữa giảm cân cung đình Huế(5 gói x 20g ) "</t>
  </si>
  <si>
    <t>https://cdn2-retail-images.kiotviet.vn/2025/11/01/giabaopharma/802fc01ae8e74dd2b0003419a9f82dd5.jpg</t>
  </si>
  <si>
    <t>Q302774637</t>
  </si>
  <si>
    <t>" Cao Dán Salonsip Gel Patch Hisamitsu (Hộp 2 miếng x 10 bao) "</t>
  </si>
  <si>
    <t>https://product.hstatic.net/200000428801/product/upload_9694ec5716d94db4902034dd9a561cc8.jpg</t>
  </si>
  <si>
    <t>Q3022004104</t>
  </si>
  <si>
    <t>" Cao sao vàng 10g TW3 Foripharm ( hộp 12 lọ ) "</t>
  </si>
  <si>
    <t>https://product.hstatic.net/200000428801/product/upload_ea9f2978405e4d559f956ade93de7100.jpg</t>
  </si>
  <si>
    <t>Q3022004105</t>
  </si>
  <si>
    <t>" Cao sao vàng TW3 Foripharm ( gói 10 lọ x 3g ) "</t>
  </si>
  <si>
    <t>https://cdn1-retail-images.kiotviet.vn/2026/01/15/giabaopharma/00e4094912de4012b72ca788782fed61.jpg</t>
  </si>
  <si>
    <t>Q3022004106</t>
  </si>
  <si>
    <t>" Cao sao vàng TW3 Foripharm (hộp 12 lọ x 8g ) "</t>
  </si>
  <si>
    <t>https://product.hstatic.net/200000428801/product/upload_d9d4aa9f1cdb47ef845ca06b88e80610.jpg</t>
  </si>
  <si>
    <t>Q3022004107</t>
  </si>
  <si>
    <t>" Cao tan Kim Đan (bịch 10 gói x 2 lá) "</t>
  </si>
  <si>
    <t>https://product.hstatic.net/200000428801/product/upload_065d69b47bc64477a0860bc12d11717f.jpg</t>
  </si>
  <si>
    <t>Q302857298</t>
  </si>
  <si>
    <t>" Cao Xoa Bóp Bạch Hổ Hoạt Lạc Cao Bảo Linh 20g (Hộp 12 lọ) "</t>
  </si>
  <si>
    <t>https://product.hstatic.net/200000428801/product/upload_6fb74dd5073b44c09e19d2930f43e0e7.jpg</t>
  </si>
  <si>
    <t>Q3022004108</t>
  </si>
  <si>
    <t>" Capriles Piracetam 800mg Hà Tây (hộp 20 ống x 10ml ) "</t>
  </si>
  <si>
    <t>https://product.hstatic.net/200000428801/product/115_c2156b4aa1114ad5899a86fcbe8c2c88.png</t>
  </si>
  <si>
    <t>Q3022004109</t>
  </si>
  <si>
    <t>" CaptoHasan comp 25/12.5 Hasan ( hộp 10 vỉ x 10 viên nén ) "</t>
  </si>
  <si>
    <t>https://product.hstatic.net/200000428801/product/upload_6605fc6cbdf448d39fac53b6d732aaad.jpg</t>
  </si>
  <si>
    <t>Q3022004111</t>
  </si>
  <si>
    <t>" Carbocistein 100mg Imexpharm( hộp 30 gói x1g ) "</t>
  </si>
  <si>
    <t>https://product.hstatic.net/200000428801/product/upload_48c71bd668be4eb7801618d4d07eb8fe.jpg</t>
  </si>
  <si>
    <t>Q3022004112</t>
  </si>
  <si>
    <t>" Cardioton Ubidecarenone 30mg hộp 3 vỉ x 10 viên nang Úc( hộp 3 vỉ x 10 viên ) "</t>
  </si>
  <si>
    <t>https://product.hstatic.net/200000428801/product/upload_2bc24a981d8f4126b40e6ffd3949fee1.jpg</t>
  </si>
  <si>
    <t>Q3022004113</t>
  </si>
  <si>
    <t>" Cardorite 10mg Zim Ấn Độ (hộp 3 vỉ x 10 viên ) "</t>
  </si>
  <si>
    <t>Q3022004114</t>
  </si>
  <si>
    <t>" Carduran Doksazosin 2mg Pfizer (hộp 1 vỉ x 10 viên nén ) "</t>
  </si>
  <si>
    <t>https://product.hstatic.net/200000428801/product/upload_01265dd5d1be40f9a67e2306306f7df0.jpg</t>
  </si>
  <si>
    <t>Q3022004115</t>
  </si>
  <si>
    <t>" Cavinton Forte Vinpocetin 10mg n Hungary( hộp 2 vỉ x 15 viên nén ) "</t>
  </si>
  <si>
    <t>https://product.hstatic.net/200000428801/product/upload_ae35ea53d5d148d1970b7a4a16e49903.jpg</t>
  </si>
  <si>
    <t>Q3022004116</t>
  </si>
  <si>
    <t>" Cavinton Vinpocetin 5mg Gedeon Richter ( hộp 2 vỉ x 25 viên nén ) "</t>
  </si>
  <si>
    <t>https://product.hstatic.net/200000428801/product/upload_93dd6c6bce0f495cb7335c83d3b77d1d.jpg</t>
  </si>
  <si>
    <t>Q302748373</t>
  </si>
  <si>
    <t>" Cavinton Vinpocetine 5mg Gedeon Richter (Hộp 2 vỉ x 25 viên nén) "</t>
  </si>
  <si>
    <t>https://product.hstatic.net/200000428801/product/upload_ea4bfaa20ae64954a09ff51efbbab272.jpg</t>
  </si>
  <si>
    <t>Q3022004117</t>
  </si>
  <si>
    <t>" Cebastin Ebastin 20mg DP 3/2 (hộp 3 vỉ x 10 viên nén) "</t>
  </si>
  <si>
    <t>https://product.hstatic.net/200000428801/product/upload_b7baa53ba07e45339199227b4e0afb38.jpg</t>
  </si>
  <si>
    <t>Q3022004118</t>
  </si>
  <si>
    <t>" Cebraton Traphaco ( hộp 5 vỉ x 10 viên nang ) "</t>
  </si>
  <si>
    <t>https://product.hstatic.net/200000428801/product/upload_47f0de651a1948e3a8b4afb9fb6ee536.jpg</t>
  </si>
  <si>
    <t>Q3022004120</t>
  </si>
  <si>
    <t>" Ceclor Cefaclor 125mg/5ml Menarini (lọ 60ml ) "</t>
  </si>
  <si>
    <t>https://product.hstatic.net/200000428801/product/upload_3f22c81dc3a247d9960e7139ca9a17d6.jpg</t>
  </si>
  <si>
    <t>Q3022004119</t>
  </si>
  <si>
    <t>" Ceclor Cefaclor 125mg/5ml Menarini(lọ 30ml) "</t>
  </si>
  <si>
    <t>https://product.hstatic.net/200000428801/product/117_41735ac04d704e25bc584c73388fa37e.png</t>
  </si>
  <si>
    <t>Q3022004121</t>
  </si>
  <si>
    <t>" Cedesfarnin Đồng Nai (lọ 200 viên nén ) "</t>
  </si>
  <si>
    <t>https://product.hstatic.net/200000428801/product/1eb9d649b5134803afb97708817b3eba_dd842b3684dc4aa6921ab1941e0bb51a.png</t>
  </si>
  <si>
    <t>Q3022004123</t>
  </si>
  <si>
    <t>" Cedetamin Betamethasone 0.25mg &amp; Dex 2mg h Khánh Hòa(lọ 500 viên nén nắp xanh ) "</t>
  </si>
  <si>
    <t>https://product.hstatic.net/200000428801/product/upload_b6b79dfee4f84f629af4844fdc6e7015.jpg</t>
  </si>
  <si>
    <t>Q3022004122</t>
  </si>
  <si>
    <t>" Cedetamin Betamethasone 0.25mg &amp; Dex 2mg Khánh Hòa ( lọ 500 viên nén nắp hồng ) "</t>
  </si>
  <si>
    <t>https://product.hstatic.net/200000428801/product/upload_ffcc27e705a44a649fc0e2901df66513.jpg</t>
  </si>
  <si>
    <t>Q3022004124</t>
  </si>
  <si>
    <t>" Cedex NIC (lọ 200 viên nén ) "</t>
  </si>
  <si>
    <t>https://product.hstatic.net/200000428801/product/upload_56fd5608a82b4638bf72942bd4550a56.jpg</t>
  </si>
  <si>
    <t>Q3022004125</t>
  </si>
  <si>
    <t>" Cefaclor 250mg TW25 Uphace (hộp 1 vỉ x 12 viên nang ) "</t>
  </si>
  <si>
    <t>https://product.hstatic.net/200000428801/product/upload_0d760334d6c04c72b5ba2ab687aaf587.jpg</t>
  </si>
  <si>
    <t>Q3022004126</t>
  </si>
  <si>
    <t>" Cefadroxil 250mg Domesco (hộp 10 gói x 2g ) "</t>
  </si>
  <si>
    <t>https://product.hstatic.net/200000428801/product/upload_a8286a2e9b354dbc9bbbfdc520a949fc.jpg</t>
  </si>
  <si>
    <t>Q3022004128</t>
  </si>
  <si>
    <t>" Cefadroxil 500mg TW2 Dopharma (hộp 10 vỉ x 10 viên nang ) "</t>
  </si>
  <si>
    <t>https://product.hstatic.net/200000428801/product/upload_db4ebed2112246dda8d8926fcaa51f82.jpg</t>
  </si>
  <si>
    <t>Q3022004127</t>
  </si>
  <si>
    <t>" Cefadroxil EG 500mg Pymepharco (hộp 10 vỉ x 10 viên nang ) "</t>
  </si>
  <si>
    <t>https://product.hstatic.net/200000428801/product/upload_4c346dd72abc45a09cfc2028489f0dee.jpg</t>
  </si>
  <si>
    <t>Q3022004129</t>
  </si>
  <si>
    <t>" Cefakid Cefalexin 250mg Pymepharco (hộp 24 gói x 3g ) "</t>
  </si>
  <si>
    <t>https://product.hstatic.net/200000428801/product/upload_4a09a358cdbf4838823efb814e2096e7.jpg</t>
  </si>
  <si>
    <t>Q302338747</t>
  </si>
  <si>
    <t>" Cefalexin 250mg Domesco (Hộp 10vỉ x 10 viên nang) "</t>
  </si>
  <si>
    <t>https://product.hstatic.net/200000428801/product/upload_9db9896f0f1140a589e4b8634134e589.jpg</t>
  </si>
  <si>
    <t>Q3022004130</t>
  </si>
  <si>
    <t>" Cefalexin 250mg Tiền Giang (lọ 100 viên nang ) "</t>
  </si>
  <si>
    <t>https://product.hstatic.net/200000428801/product/upload_963f2e63ded242d685fb4992588eb531.jpg</t>
  </si>
  <si>
    <t>Q3022004131</t>
  </si>
  <si>
    <t>" Cefalexin 500mg Domesco (hộp 10 vỉ x 10 viên nang ) "</t>
  </si>
  <si>
    <t>https://product.hstatic.net/200000428801/product/upload_e871ae270ff04890b722de837ed48764.jpg</t>
  </si>
  <si>
    <t>Q3022004132</t>
  </si>
  <si>
    <t>" Cefalexin 500mg TW2 Dopharma ( hộp 10 vỉ x 10 viên nang ) "</t>
  </si>
  <si>
    <t>https://product.hstatic.net/200000428801/product/upload_f02e098ab12b4e81aec9f41c710199fe.jpg</t>
  </si>
  <si>
    <t>Q3022004133</t>
  </si>
  <si>
    <t>" Cefatam Cephalexin 500mg nang Pymepharco ( hộp 10 vỉ x 10 viên ) "</t>
  </si>
  <si>
    <t>https://product.hstatic.net/200000428801/product/upload_783fb34c304d4daa81c5051976addc5b.jpg</t>
  </si>
  <si>
    <t>Q3022004134</t>
  </si>
  <si>
    <t>" Cefatam Cephalexin 750mg Pymepharco (hộp 10 vỉ x 10 viên nang) "</t>
  </si>
  <si>
    <t>https://product.hstatic.net/200000428801/product/upload_e3bb03b88cfb437a9688c28ea1408b7c.jpg</t>
  </si>
  <si>
    <t>Q3022004135</t>
  </si>
  <si>
    <t>" Cefatam kid Cephalexin 250mg Pymepharco ( hộp 24 gói x 3g ) "</t>
  </si>
  <si>
    <t>https://product.hstatic.net/200000428801/product/upload_28d5b87ae39c480280d6b0c4d82714d4.jpg</t>
  </si>
  <si>
    <t>Q3022004136</t>
  </si>
  <si>
    <t>" Cefbuten Ceftibuten 200mg Am Vi( hộp 1 vỉ x 10 viên nang ) "</t>
  </si>
  <si>
    <t>https://product.hstatic.net/200000428801/product/upload_3bb2421a5b1f46d98679d734aba9adf4.jpg</t>
  </si>
  <si>
    <t>Q3022004137</t>
  </si>
  <si>
    <t>" Cefcenat Cefuroxim 250mg Tiền Giang ( hộp 2 vỉ x 10 viên nén ) "</t>
  </si>
  <si>
    <t>https://product.hstatic.net/200000428801/product/upload_07a80b19d1164fe292082b50c2654a7c.jpg</t>
  </si>
  <si>
    <t>Q3022004138</t>
  </si>
  <si>
    <t>" Cefcenat Cefuroxim 500mg Tiền Giang ( hộp 20 viên nén ) "</t>
  </si>
  <si>
    <t>https://product.hstatic.net/200000428801/product/upload_0aeda3dc9e224ab8a19f57986a771b48.jpg</t>
  </si>
  <si>
    <t>Q3022004140</t>
  </si>
  <si>
    <t>" Cefdinir 125mg hình con rùa S.Pharm (hộp 30 gói x 1.5g ) "</t>
  </si>
  <si>
    <t>https://product.hstatic.net/200000428801/product/upload_05be054bbae04e3794bfe1037124b7e7.jpg</t>
  </si>
  <si>
    <t>Q3022004141</t>
  </si>
  <si>
    <t>" Cefdinir 125mg MV Minh Việt (hộp 10 gói x 2.5g ) "</t>
  </si>
  <si>
    <t>https://product.hstatic.net/200000428801/product/upload_094a1845195a4efdb3ebfebe1efbf8ae.jpg</t>
  </si>
  <si>
    <t>Q3022004142</t>
  </si>
  <si>
    <t>" Cefdinir HV 300mg USP ( hộp 2 vỉ x 10 viên nang ) "</t>
  </si>
  <si>
    <t>https://product.hstatic.net/200000428801/product/upload_3ffc082cd26a43558e7de06892bfc9a6.jpg</t>
  </si>
  <si>
    <t>Q3022004143</t>
  </si>
  <si>
    <t>" Cefdiri 250 Cefprozil 250mg Medisun (hộp 10 gói x 4,5g ) "</t>
  </si>
  <si>
    <t>https://product.hstatic.net/200000428801/product/upload_9ef9744fa99b4f1d91a4f91cc15c69f8.jpg</t>
  </si>
  <si>
    <t>Q3022004144</t>
  </si>
  <si>
    <t>" Cefimbrano Cefixime 100mg Vidipha ( hộp 20 gói x 2g ) "</t>
  </si>
  <si>
    <t>https://product.hstatic.net/200000428801/product/upload_22a4cf9c2add4ce7bc75b83a7773abef.jpg</t>
  </si>
  <si>
    <t>Q3022004145</t>
  </si>
  <si>
    <t>" Cefixim 100mg Mekophar (Cọc 5 hộp 12 gói x1.5g) "</t>
  </si>
  <si>
    <t>https://product.hstatic.net/200000428801/product/upload_d0b36507bf60452eb14de298a7f97c43.jpg</t>
  </si>
  <si>
    <t>Q3022004146</t>
  </si>
  <si>
    <t>" Cefixime Uphace 100 Cefixim 100mg TW25 (Cọc 5 hộp 10 gói x 2g ) "</t>
  </si>
  <si>
    <t>https://product.hstatic.net/200000428801/product/upload_9abc4fdcb465470893c6f4b5170285f1.jpg</t>
  </si>
  <si>
    <t>Q3022004147</t>
  </si>
  <si>
    <t>" Cefnirvid Cefdinir 125mg Vidiphar ( hộp 10 gói x 1.5g ) "</t>
  </si>
  <si>
    <t>https://product.hstatic.net/200000428801/product/upload_339fa03488cc4d8882ebbc8ba981aa81.jpg</t>
  </si>
  <si>
    <t>Q3022004148</t>
  </si>
  <si>
    <t>" Cefpodoxim HV 200mg USP ( hộp 3 vỉ x 10 viên nén ) "</t>
  </si>
  <si>
    <t>https://product.hstatic.net/200000428801/product/upload_9d78a90c41ec483ab5f40e375e228f64.jpg</t>
  </si>
  <si>
    <t>Q3022004149</t>
  </si>
  <si>
    <t>" Cefpodoxime 100mg Mekophar (hộp 12 gói x 3g ) "</t>
  </si>
  <si>
    <t>https://product.hstatic.net/200000428801/product/upload_64d8421ac3524ba199c08142dc9b4571.jpg</t>
  </si>
  <si>
    <t>Q302260501</t>
  </si>
  <si>
    <t>" Cefprozil 250mg USP (hộp 10 viên nén ) "</t>
  </si>
  <si>
    <t>https://product.hstatic.net/200000428801/product/upload_6647168340ef4d988c4e692a62ac587a.jpg</t>
  </si>
  <si>
    <t>Q302260502</t>
  </si>
  <si>
    <t>" Cefprozil 500mg USP (hộp 10 viên nén ) "</t>
  </si>
  <si>
    <t>https://product.hstatic.net/200000428801/product/f050efd7ee724925a3c4d53722fe9419_e885c005cf464b36bba2278538d4882b.png</t>
  </si>
  <si>
    <t>Q302260503</t>
  </si>
  <si>
    <t>" Ceftanir Cefdinir 300mg Pymepharco (hộp 2 vỉ x 4 viên nang ) "</t>
  </si>
  <si>
    <t>https://product.hstatic.net/200000428801/product/upload_5914ffbef9504128bb7d4f78a86a16d2.jpg</t>
  </si>
  <si>
    <t>Q302260504</t>
  </si>
  <si>
    <t>" Ceftume Cefuroxim 250mg TW1 Pharbaco (hộp 2 vỉ x 10 viên nén ) "</t>
  </si>
  <si>
    <t>https://product.hstatic.net/200000428801/product/upload_44bd27924acf4727b1c148166761c314.jpg</t>
  </si>
  <si>
    <t>Q302260505</t>
  </si>
  <si>
    <t>" Ceftume Cefuroxim 500mg TW1 Pharbaco(hộp 2 vỉ x 10 viên nén ) "</t>
  </si>
  <si>
    <t>https://product.hstatic.net/200000428801/product/upload_a1980e0c6c87438998ce3a4f3ea3f94f.jpg</t>
  </si>
  <si>
    <t>Q302260507</t>
  </si>
  <si>
    <t>" Cefurich 500 Cefuroxim 500mg USP(hộp 2 vỉ x 5 viên nén ) "</t>
  </si>
  <si>
    <t>https://product.hstatic.net/200000428801/product/upload_cc076005bdd04128bcc7414cf67c6d69.jpg</t>
  </si>
  <si>
    <t>Q302260509</t>
  </si>
  <si>
    <t>" Cefurovid Cefuroxim 125mg Vidipha (hộp 10 gói x 3g) "</t>
  </si>
  <si>
    <t>https://product.hstatic.net/200000428801/product/upload_f6438dc2be88421eafdaaa18376a0a86.jpg</t>
  </si>
  <si>
    <t>Q302260510</t>
  </si>
  <si>
    <t>" Cefurovid Cefuroxim 250mg Vidipha(hộp 10 vỉ x 10 viên nén) "</t>
  </si>
  <si>
    <t>https://product.hstatic.net/200000428801/product/112_b544016457284b02a65d139fe75e3ca1.png</t>
  </si>
  <si>
    <t>Q302260511</t>
  </si>
  <si>
    <t>" Cefurovid Cefuroxim 250mg Vidipha(hộp 2 vỉ x 5 viên) "</t>
  </si>
  <si>
    <t>https://product.hstatic.net/200000428801/product/upload_a1cc51629250461d8cacd084d6e2f82e.jpg</t>
  </si>
  <si>
    <t>Q302260514</t>
  </si>
  <si>
    <t>" Cefuroxime 500mg SHYT Mebiphar (hộp 2 vỉ x 5 viên nén) "</t>
  </si>
  <si>
    <t>https://product.hstatic.net/200000428801/product/114_7844c3cbc51343319c6033bd9826a942.png</t>
  </si>
  <si>
    <t>Q302636365</t>
  </si>
  <si>
    <t>" Cefuroxime Cefuroxime 250mg Stada (Hộp 2 vỉ x 5 viên bao phim) "</t>
  </si>
  <si>
    <t>https://product.hstatic.net/200000428801/product/upload_2a1b8a482019431a9300fc08a23e957f.jpg</t>
  </si>
  <si>
    <t>Q302884747</t>
  </si>
  <si>
    <t>" Cefuroxime Cefuroxime 500mg Stada (Hộp 2 vỉ x 5 viên bao phim) "</t>
  </si>
  <si>
    <t>https://product.hstatic.net/200000428801/product/upload_e300b6cb895d4189b6d8f9b536ad6d47.jpg</t>
  </si>
  <si>
    <t>Q302260515</t>
  </si>
  <si>
    <t>" Celebrex Celecoxib 200mg Pfizer(hộp 3 vỉ x 10 viên nang ) "</t>
  </si>
  <si>
    <t>https://product.hstatic.net/200000428801/product/upload_a94c4999e753457d9fdee2319759162b.jpg</t>
  </si>
  <si>
    <t>Q302260517</t>
  </si>
  <si>
    <t>" Celecoxib 200mg Đồng Nai ( lọ 100 viên nang ) "</t>
  </si>
  <si>
    <t>https://product.hstatic.net/200000428801/product/upload_19e929f2b67a457caf55c98eff6d4b80.jpg</t>
  </si>
  <si>
    <t>Q302260516</t>
  </si>
  <si>
    <t>" Celecoxib 200mg USA (hộp 3 vỉ x 10 viên nang ) "</t>
  </si>
  <si>
    <t>https://product.hstatic.net/200000428801/product/upload_d26d80d033e24d73b110cc8d6ed79794.jpg</t>
  </si>
  <si>
    <t>Q302260518</t>
  </si>
  <si>
    <t>" Celecoxib HV 200mg USPi ( hộp 3 vỉ x 10 viên nang ) "</t>
  </si>
  <si>
    <t>https://product.hstatic.net/200000428801/product/upload_56631c29a24d413b9cf1adb8ed1b2ccd.jpg</t>
  </si>
  <si>
    <t>Q302888746</t>
  </si>
  <si>
    <t>" Celosti Celecoxib 200mg DHG (Hộp 2vỉ x 10 viên nang cứng) "</t>
  </si>
  <si>
    <t>https://product.hstatic.net/200000428801/product/upload_a80474cf0ef9454b9b074f55bab5e5ed.jpg</t>
  </si>
  <si>
    <t>Q302260520</t>
  </si>
  <si>
    <t>" Cenflu paracetamol TW3 (hộp 10 vỉ x 10 viên nén ) "</t>
  </si>
  <si>
    <t>https://product.hstatic.net/200000428801/product/upload_70974d24c4bf4fbb8a809f907f95ae17.jpg</t>
  </si>
  <si>
    <t>Q302676543</t>
  </si>
  <si>
    <t>" Cephalexin 250mg Vidipha (Hộp 10vỉ x 10 viên nang cứng) "</t>
  </si>
  <si>
    <t>https://product.hstatic.net/200000428801/product/upload_537e1ea8364749ff89050a4c1cf446de.jpg</t>
  </si>
  <si>
    <t>Q302260522</t>
  </si>
  <si>
    <t>" Cephalexin 500 Cephalexin khan 500mg VPC( chai 200 viên nang) "</t>
  </si>
  <si>
    <t>https://product.hstatic.net/200000428801/product/upload_8629aca496764a47b8a92787952dc557.jpg</t>
  </si>
  <si>
    <t>Q302260524</t>
  </si>
  <si>
    <t>" Cephalexin 500mg Hà Tây ( hộp 10 vỉ x 10 viên nang) "</t>
  </si>
  <si>
    <t>https://product.hstatic.net/200000428801/product/upload_db07bc7de4ae4d659ca22131779334df.jpg</t>
  </si>
  <si>
    <t>Q302447930</t>
  </si>
  <si>
    <t>" Cephalexin 500mg Pharbaco (Hộp 10 vỉ x 10 viên nang mềm) "</t>
  </si>
  <si>
    <t>https://product.hstatic.net/200000428801/product/upload_3930b8e21a554fc8bf7518e3f73d871d.jpg</t>
  </si>
  <si>
    <t>Q302260525</t>
  </si>
  <si>
    <t>" Cephalexin 500mg TW1 Pharbaco ( hộp 10 vỉ x 10 viên nang) "</t>
  </si>
  <si>
    <t>https://product.hstatic.net/200000428801/product/upload_d25d5ebde65c4274b83bee3c72a509b1.jpg</t>
  </si>
  <si>
    <t>Q302260526</t>
  </si>
  <si>
    <t>" Cephalexin MKP 500mg Mekophar( hộp 10 vỉ x 10 viên nang) "</t>
  </si>
  <si>
    <t>https://cdn2-retail-images.kiotviet.vn/giabaopharma/b0206a51af9e458bbaeeb65bae787185.jpg</t>
  </si>
  <si>
    <t>Q302260527</t>
  </si>
  <si>
    <t>" Cepoxitil Cefpodoxim 100mg Pymepharco ( hộp 1 vỉ x 10 viên nén ) "</t>
  </si>
  <si>
    <t>https://product.hstatic.net/200000428801/product/3d40ef00fdda23847acb_0b7829f060674f5c94615302853ff7d1.jpg</t>
  </si>
  <si>
    <t>Q302260528</t>
  </si>
  <si>
    <t>" Cepoxitil Cefpodoxim 200mg Pymepharco (hộp 1 vỉ x 10 viên nén) "</t>
  </si>
  <si>
    <t>https://product.hstatic.net/200000428801/product/upload_dce99115f91d43a1b7032b214bf247f8.jpg</t>
  </si>
  <si>
    <t>Q302260529</t>
  </si>
  <si>
    <t>" Ceradan Ceramide Cream Tube 10g Hyphene "</t>
  </si>
  <si>
    <t>https://product.hstatic.net/200000428801/product/upload_8f27ae20d2e04484839dde01629e4a06.jpg</t>
  </si>
  <si>
    <t>Q302260530</t>
  </si>
  <si>
    <t>" Ceradan Tube 30g Hyphene'</t>
  </si>
  <si>
    <t>https://product.hstatic.net/200000428801/product/upload_9141d96190fd414283fb8ec992961952.jpg</t>
  </si>
  <si>
    <t>Q302260533</t>
  </si>
  <si>
    <t>" Cerecaps Mediplantex (hộp 3 vỉ x 10 viên nang ) "</t>
  </si>
  <si>
    <t>https://product.hstatic.net/200000428801/product/upload_bfa976641b5a41b595e1726b805afd41.jpg</t>
  </si>
  <si>
    <t>Q302260534</t>
  </si>
  <si>
    <t>" Cerepril Enalapril 10mg SPM(hộp 3 vỉ x 10 viên nén ) "</t>
  </si>
  <si>
    <t>https://product.hstatic.net/200000428801/product/upload_4e604d4792d64dc49e3891ab09694b6f.jpg</t>
  </si>
  <si>
    <t>Q302260535</t>
  </si>
  <si>
    <t>" Cerepril Enalapril 5mg SPM (hộp 3 vỉ x 10 viên nén ) "</t>
  </si>
  <si>
    <t>https://product.hstatic.net/200000428801/product/upload_ab7154a1c54d45cd9e9534482c312b7f.jpg</t>
  </si>
  <si>
    <t>Q302260536</t>
  </si>
  <si>
    <t>" Cerina Cream Gamma (Tube 50g) "</t>
  </si>
  <si>
    <t>https://product.hstatic.net/200000428801/product/upload_2ea45721f7084da19f882f89a685b440.jpg</t>
  </si>
  <si>
    <t>Q302260537</t>
  </si>
  <si>
    <t>" Cestasin Vacopharm (lọ 500 viên nang nắp hồng ) "</t>
  </si>
  <si>
    <t>https://product.hstatic.net/200000428801/product/upload_f3bb5e9651b44ab2b9f09c1d581d6d4c.jpg</t>
  </si>
  <si>
    <t>Q302260538</t>
  </si>
  <si>
    <t>" Cetasone Betamethason 0.5mg TW1 Pharbaco(lọ 100 viên nén ) "</t>
  </si>
  <si>
    <t>https://product.hstatic.net/200000428801/product/upload_e6d3ee58536f4b188c61d2c63e10f314.jpg</t>
  </si>
  <si>
    <t>Q302260539</t>
  </si>
  <si>
    <t>" Cetazin Cetirizin 10mg Vacopharm(lọ 200 viên nén ) "</t>
  </si>
  <si>
    <t>https://product.hstatic.net/200000428801/product/upload_0e9490dc7243459bbc69400f03b56ebd.jpg</t>
  </si>
  <si>
    <t>Q302260540</t>
  </si>
  <si>
    <t>" Ceteco Cenflu paracetamol 500mg TW3 (lọ 100 viên nén ) "</t>
  </si>
  <si>
    <t>https://product.hstatic.net/200000428801/product/upload_c323a74262e24a908a0a29071c7ad4ed.jpg</t>
  </si>
  <si>
    <t>Q302260542</t>
  </si>
  <si>
    <t>" CetecoViba Methylprednisolon 16mg TW3 TW3 (lọ 200 viên nén ) "</t>
  </si>
  <si>
    <t>https://product.hstatic.net/200000428801/product/upload_5dda8737cb6846d1954013c58ddbca8f.jpg</t>
  </si>
  <si>
    <t>Q302260543</t>
  </si>
  <si>
    <t>" Cetirizin 10mg Domesco (hộp 10 vỉ x 10 viên nén) "</t>
  </si>
  <si>
    <t>https://product.hstatic.net/200000428801/product/upload_02b70719086743b082468788d2d2fd84.jpg</t>
  </si>
  <si>
    <t>Q302260545</t>
  </si>
  <si>
    <t>" Cetirizin 10mg Đồng Nai (lọ 200 viên nén ) "</t>
  </si>
  <si>
    <t>https://product.hstatic.net/200000428801/product/upload_0310addd42a14aa7aa272b39430cadef.jpg</t>
  </si>
  <si>
    <t>Q302260546</t>
  </si>
  <si>
    <t>" Cetirizin 10mg Enlie(lọ 500 viên nén ) "</t>
  </si>
  <si>
    <t>https://product.hstatic.net/200000428801/product/upload_575d427507a34e2a96c18b4cb2075324.jpg</t>
  </si>
  <si>
    <t>Q302260547</t>
  </si>
  <si>
    <t>" Cetirizine 10mg Đồng nai ( hộp 10 vỉ x 10 viên ) "</t>
  </si>
  <si>
    <t>https://cdn2-retail-images.kiotviet.vn/2026/02/07/giabaopharma/2008f324072f4df3b80ee78624bbfa8b.jpg</t>
  </si>
  <si>
    <t>Q302260548</t>
  </si>
  <si>
    <t>" Cetirizine EG 10mg Stada Việt Nam (hộp 10 vỉ x 10 viên nén ) "</t>
  </si>
  <si>
    <t>https://cdn-images.kiotviet.vn/2025/09/17/giabaopharma/9450213fd94a4cc3bc29d28b43e78390.jpg,https://cdn-images.kiotviet.vn/2025/09/17/giabaopharma/5d4cef3ead784eb0a46672f92a8a3a5e.jpg,https://cdn-images.kiotviet.vn/2025/09/17/giabaopharma/8f0b91480e75415b817ce4e5d4b09635.jpg</t>
  </si>
  <si>
    <t>Q302260549</t>
  </si>
  <si>
    <t>" Cevocame Cold &amp; Flu USP (hộp 10 vỉ x 10 viên nén ) "</t>
  </si>
  <si>
    <t>https://product.hstatic.net/200000428801/product/upload_6b5cb822aebc456f8ce1bd221e06e672.jpg</t>
  </si>
  <si>
    <t>Q3022605101</t>
  </si>
  <si>
    <t>" Cezirnate Cefuroxim 250mg TW25 Uphace (hộp 2 vỉ x 5 viên nén ) "</t>
  </si>
  <si>
    <t>https://product.hstatic.net/200000428801/product/upload_c77fb438514e40238361a1bf6a04bb13.jpg</t>
  </si>
  <si>
    <t>Q3022605102</t>
  </si>
  <si>
    <t>" Cezirnate Cefuroxim 500mg TW25 Uphace(hộp 2 vỉ x 10 viên nén ) "</t>
  </si>
  <si>
    <t>https://product.hstatic.net/200000428801/product/upload_e782fbde2b2b4eaebbde67693cb98c65.jpg</t>
  </si>
  <si>
    <t>Q302883713</t>
  </si>
  <si>
    <t>" Chai Xịt Towders Spray Permethrin 5% Ocean (Chai 100ml) "</t>
  </si>
  <si>
    <t>https://product.hstatic.net/200000428801/product/upload_b5a0b210b62c407ba5e4bde7ba068164.jpg</t>
  </si>
  <si>
    <t>Q3022605105</t>
  </si>
  <si>
    <t>" Chela Calcium D3 Ba Lan (hộp 3 vỉ x 10 viên nang ) "</t>
  </si>
  <si>
    <t>https://product.hstatic.net/200000428801/product/upload_fac9706968304db68e6f9036f766bf71.jpg</t>
  </si>
  <si>
    <t>Q3022605106</t>
  </si>
  <si>
    <t>" Chela Ferr Forte Ba Lan (hộp 30 viên ) "</t>
  </si>
  <si>
    <t>https://product.hstatic.net/200000428801/product/upload_e1c5bf94815447bba07b573a31bd8b48.jpg</t>
  </si>
  <si>
    <t>Q302118493</t>
  </si>
  <si>
    <t>" Chỉ Nha Khoa Oral-B Essential Floss Hoa Kỳ (Hộp 6 cuộn x 50m) "</t>
  </si>
  <si>
    <t>https://product.hstatic.net/200000428801/product/upload_0ba9a70e41aa4697ad9e8417bcd68c26.jpg</t>
  </si>
  <si>
    <t>Q302883974</t>
  </si>
  <si>
    <t>" Chỉ nha khoa Oraltana Dental Floss Tanaphar (Hộp 6 cuộn x 50m) "</t>
  </si>
  <si>
    <t>https://product.hstatic.net/200000428801/product/upload_522e107b213b426caa95c64b3d9c1c84.jpg</t>
  </si>
  <si>
    <t>Q3022605107</t>
  </si>
  <si>
    <t>" Chicoryn plus chất xơ tự nhiên Nam Việt ( hộp 30 gói ) "</t>
  </si>
  <si>
    <t>https://product.hstatic.net/200000428801/product/upload_0b049039f1564ff7bc58123fc715a83f.jpg</t>
  </si>
  <si>
    <t>Q3022605108</t>
  </si>
  <si>
    <t>" Chil Destimine Desloratadine 2.5mg New TW1 (hộp 10 gói x 1.5g ) "</t>
  </si>
  <si>
    <t>https://product.hstatic.net/200000428801/product/upload_1305213056354ca1b2ba88bc35383a1a.jpg</t>
  </si>
  <si>
    <t>Q3022605109</t>
  </si>
  <si>
    <t>" Chimitol Clotriimazole 500mg Hàn Quốc ( hộp 2 viên đặt ) "</t>
  </si>
  <si>
    <t>https://product.hstatic.net/200000428801/product/upload_63feb9ee0b8540b280000d59d5288d01.jpg</t>
  </si>
  <si>
    <t>Q3022605110</t>
  </si>
  <si>
    <t>" Cholessen giảm mỡ máu Decotra ( lọ 30v nang ) "</t>
  </si>
  <si>
    <t>https://product.hstatic.net/200000428801/product/upload_11cfbbc272244f398450fe1035d51290.jpg</t>
  </si>
  <si>
    <t>Q3022605111</t>
  </si>
  <si>
    <t>" Choliver Hậu Giang( Tube 100 viên nén ) "</t>
  </si>
  <si>
    <t>https://product.hstatic.net/200000428801/product/upload_fd149fd2332b4c9cbcafc94e6c3959aa.jpg</t>
  </si>
  <si>
    <t>Q3022605112</t>
  </si>
  <si>
    <t>" Chophytol Artichoke 200mg Rosa Pháp ( hộp 6 vỉ x 30 viên nén ) "</t>
  </si>
  <si>
    <t>https://product.hstatic.net/200000428801/product/upload_3371b53062574e3a8368a2882b4a7a96.jpg</t>
  </si>
  <si>
    <t>Q302993948</t>
  </si>
  <si>
    <t>" Chống Say Tàu Xe Nautamine Diphenhydramine Sanofi ( Hộp 20 vỉ x 4 viên) "</t>
  </si>
  <si>
    <t>https://product.hstatic.net/200000428801/product/ad37151d39a64b5087211676096fc897_a4f2763d6cee44f1b36e3b255e042a71.jpg</t>
  </si>
  <si>
    <t>Q3022605113</t>
  </si>
  <si>
    <t>" Ciclevir Aciclovir 800mg Glomed ( hộp 10 vỉ x 5 viên nén ) "</t>
  </si>
  <si>
    <t>https://product.hstatic.net/200000428801/product/upload_d2cb2ceb05ec47fcbe1764b60c672941.jpg</t>
  </si>
  <si>
    <t>Q3022605114</t>
  </si>
  <si>
    <t>" Cidemax NIC ( hộp 10 vỉ x 10 viêm nang ) "</t>
  </si>
  <si>
    <t>https://product.hstatic.net/200000428801/product/107_dc7c3895c56c4590bfd1804472b6e54c.png</t>
  </si>
  <si>
    <t>Q3022605115</t>
  </si>
  <si>
    <t>" Cidetuss Imexpharm ( hộp 10 vỉ x 10 viên nang) "</t>
  </si>
  <si>
    <t>https://product.hstatic.net/200000428801/product/upload_672b69a3a6394f59a064c3a7c5a94cfc.jpg</t>
  </si>
  <si>
    <t>Q302678456</t>
  </si>
  <si>
    <t>" Cifga Ciprofloxacin 500mg DHG (Hộp 2vỉ x 10 viên bao phim) "</t>
  </si>
  <si>
    <t>https://product.hstatic.net/200000428801/product/upload_cc6a381b77fe44ce8082e43674b27a99.jpg</t>
  </si>
  <si>
    <t>Q3022605116</t>
  </si>
  <si>
    <t>" Ciheptal Piracetam 1200mg Medisun( hộp 20 ống ) "</t>
  </si>
  <si>
    <t>https://product.hstatic.net/200000428801/product/upload_6360963539644db9a77339455e740add.jpg</t>
  </si>
  <si>
    <t>Q3022605117</t>
  </si>
  <si>
    <t>" Cimetidin 200mg Mekophar ( hộp 10 vỉ x 10 viên nén ) "</t>
  </si>
  <si>
    <t>https://product.hstatic.net/200000428801/product/upload_97b147fb34a448e7a7d12064654f24e5.jpg</t>
  </si>
  <si>
    <t>Q3022605118</t>
  </si>
  <si>
    <t>" Cimetidine 300mg Mekophar ( hộp 10 vỉ x 10 viên nén ) "</t>
  </si>
  <si>
    <t>https://product.hstatic.net/200000428801/product/upload_a0401a6a3e604fe1817c03a8a61f2c17.jpg</t>
  </si>
  <si>
    <t>Q3022605119</t>
  </si>
  <si>
    <t>" Cinarizin 25mg Hà nội ( hộp 50 vỉ x 25 viên nén ) "</t>
  </si>
  <si>
    <t>https://product.hstatic.net/200000428801/product/upload_ce3a8ad06b5d4b1cac6f997314c11e39.jpg</t>
  </si>
  <si>
    <t>Q3022605120</t>
  </si>
  <si>
    <t>" Cinarizine 25mg Hà Tây ( hộp 50 vỉ x 25 viên nén ) "</t>
  </si>
  <si>
    <t>https://product.hstatic.net/200000428801/product/upload_328a4abacb08405f8dc86f94fa1d5d27.jpg</t>
  </si>
  <si>
    <t>Q3022605121</t>
  </si>
  <si>
    <t>" Cinnarizin 25mg Quảng Bình ( hộp 10 vỉ x 50 viên nén ) "</t>
  </si>
  <si>
    <t>https://product.hstatic.net/200000428801/product/upload_e260e520d1cd477bbd2e98b60019fdb8.jpg</t>
  </si>
  <si>
    <t>Q3022605122</t>
  </si>
  <si>
    <t>" Ciprofloxacin 500mg Domesco ( lọ 100 viên nén ) "</t>
  </si>
  <si>
    <t>https://product.hstatic.net/200000428801/product/upload_d9d2407752954387813932383a08a31b.jpg</t>
  </si>
  <si>
    <t>Q3022605123</t>
  </si>
  <si>
    <t>" Ciprofloxacin EG 500mg Pymepharco ( hộp 10 vỉ x 10 viên nén ) "</t>
  </si>
  <si>
    <t>https://product.hstatic.net/200000428801/product/upload_02f43fd6fb1347388a91ce8908e33414.jpg</t>
  </si>
  <si>
    <t>Q3022605124</t>
  </si>
  <si>
    <t>" Ciprom Ciproflxacin 500mg Boston ( hộp 5 vỉ x 10 viên nén) "</t>
  </si>
  <si>
    <t>https://product.hstatic.net/200000428801/product/upload_4a57e1f122674e72b3ea25c2b633b586.jpg</t>
  </si>
  <si>
    <t>Q302644876</t>
  </si>
  <si>
    <t>" Clabact Clarithromycin 250mg DHG (Hộp 2vỉ x 10 viên nén bao phim) "</t>
  </si>
  <si>
    <t>https://product.hstatic.net/200000428801/product/upload_9a3cf5bc20514019a8711349a404be7e.jpg</t>
  </si>
  <si>
    <t>Q3022605125</t>
  </si>
  <si>
    <t>" Clabact Clarithromycin 250mg Hậu Giang ( hộp 2 vỉ x 10 viên nén ) "</t>
  </si>
  <si>
    <t>https://product.hstatic.net/200000428801/product/upload_e0ec80620fd845b195f926965e11b672.jpg</t>
  </si>
  <si>
    <t>Q302312321</t>
  </si>
  <si>
    <t>" Clabact Clarithromycin 500mg DHG (Hộp 2vỉ x 10 viên nén bao phim) "</t>
  </si>
  <si>
    <t>https://product.hstatic.net/200000428801/product/upload_87990ee668d74dadb6eb673d5913d78d.jpg</t>
  </si>
  <si>
    <t>Q3022605126</t>
  </si>
  <si>
    <t>" Clabact Clarithromycin 500mg Hậu Giang ( hộp 2 vỉ x 10 viên nén ) "</t>
  </si>
  <si>
    <t>https://product.hstatic.net/200000428801/product/upload_9dac4a6eaa71408d9e45f90cc88ea707.jpg</t>
  </si>
  <si>
    <t>Q3022605127</t>
  </si>
  <si>
    <t>" Claminat 1g Imexpharm( hộp 2 vỉ x 7 viên) "</t>
  </si>
  <si>
    <t>https://product.hstatic.net/200000428801/product/upload_e7a81544a5424367aa05965ebfe1ab57.jpg</t>
  </si>
  <si>
    <t>Q3022605128</t>
  </si>
  <si>
    <t>" Claminat 625mg Imexpharm ( hộp 2 vỉ x 7 viên nén) "</t>
  </si>
  <si>
    <t>https://product.hstatic.net/200000428801/product/upload_fdd9dea2f3df4776a79d69ec4a3f1666.jpg</t>
  </si>
  <si>
    <t>Q302443874</t>
  </si>
  <si>
    <t>" Clamoxyl Amoxicillin 250mg GSK (Hộp 12 gói bột pha hỗn dịch uống) "</t>
  </si>
  <si>
    <t>https://product.hstatic.net/200000428801/product/upload_c7bab0c6496f4267949d06425511a6a0.jpg</t>
  </si>
  <si>
    <t>Q302135791</t>
  </si>
  <si>
    <t>" Clanoz Loratadin 10mg DHG (Hộp 2vỉ x 10 viên nén) "</t>
  </si>
  <si>
    <t>https://product.hstatic.net/200000428801/product/upload_64df06501a954c45903460a93a0f662f.jpg</t>
  </si>
  <si>
    <t>Q302112118</t>
  </si>
  <si>
    <t>" Cledomox 1000 Co-amoxiclav (Clavulanic acid và Amoxicillin) Medophar (Hộp 2vỉ x 7 viên) "</t>
  </si>
  <si>
    <t>https://product.hstatic.net/200000428801/product/upload_75010c434c644230bf4b11db785827a9.jpg</t>
  </si>
  <si>
    <t>Q3022605132</t>
  </si>
  <si>
    <t>" Clopheniramin 4mg Đồng Nai ( lọ 500 viên nén ) "</t>
  </si>
  <si>
    <t>https://product.hstatic.net/200000428801/product/upload_2fa180389b224f96ba1e36cb2e198d3d.jpg</t>
  </si>
  <si>
    <t>Q3022605131</t>
  </si>
  <si>
    <t>" Clopheniramin 4mg NIC ( lọ 500 viên nang ) "</t>
  </si>
  <si>
    <t>https://product.hstatic.net/200000428801/product/upload_a3c4c2d6d9ba4d31b0b4bf4fba1015b7.jpg</t>
  </si>
  <si>
    <t>Q3022605134</t>
  </si>
  <si>
    <t>" Clopheniramin 4mg NIC (lọ 500 viên nén nắp Xanh ) "</t>
  </si>
  <si>
    <t>https://product.hstatic.net/200000428801/product/upload_f7c930d457eb42dfa9bc6571d3d53270.jpg</t>
  </si>
  <si>
    <t>Q3022605133</t>
  </si>
  <si>
    <t>" Clopheniramin 4mg NIC( lọ 500 viên nén nắp hồng ) "</t>
  </si>
  <si>
    <t>https://product.hstatic.net/200000428801/product/upload_2e28c3dd50c84c929bacef1a3f23fac5.jpg</t>
  </si>
  <si>
    <t>Q3022605135</t>
  </si>
  <si>
    <t>" Clopheniramin 4mg Vacopharm ( lọ 500 viên nén ) "</t>
  </si>
  <si>
    <t>https://product.hstatic.net/200000428801/product/upload_9fc52eaaa7c2454f9f4426283b499368.jpg</t>
  </si>
  <si>
    <t>Q3022605136</t>
  </si>
  <si>
    <t>" Cloroquin Phosphat 250mg Mekophar ( lọ 200 viên nén ) "</t>
  </si>
  <si>
    <t>https://product.hstatic.net/200000428801/product/106_0849d31bd603461faaca655ff33e533f.png</t>
  </si>
  <si>
    <t>Q3022605138</t>
  </si>
  <si>
    <t>" Clorpheniramin 4mg Hậu Giang ( lọ 200 viên nén) "</t>
  </si>
  <si>
    <t>https://product.hstatic.net/200000428801/product/upload_6a246fffd1a94da5a609146725f15995.jpg</t>
  </si>
  <si>
    <t>Q3022605137</t>
  </si>
  <si>
    <t>" Clorpheniramin 4mg Khanh Hòa ( hộp 10 vỉ x 20 viên nén ) "</t>
  </si>
  <si>
    <t>https://product.hstatic.net/200000428801/product/upload_dfabff07179744da9b4762591bdc8fdb.jpg</t>
  </si>
  <si>
    <t>Q302865457</t>
  </si>
  <si>
    <t>" Clorpheniramin Maleat 4mg GMP-WHO (Hộp 10 vỉ x 20 viên nén dài) "</t>
  </si>
  <si>
    <t>https://product.hstatic.net/200000428801/product/upload_dd14bd8724564c6da6d35374d87ac0e9.jpg</t>
  </si>
  <si>
    <t>Q3022605139</t>
  </si>
  <si>
    <t>" Clostilbegyt Clomiphene 50mg Egis Hungaryi ( hộp 1 vỉ x 10 viên nén ) "</t>
  </si>
  <si>
    <t>https://product.hstatic.net/200000428801/product/upload_90a30e27d6de417e890e73f93d6c88d9.jpg</t>
  </si>
  <si>
    <t>Q3022605140</t>
  </si>
  <si>
    <t>" Clovucire Sao Kim ( hộp 2 vỉ x 6 viên đặt ) "</t>
  </si>
  <si>
    <t>https://product.hstatic.net/200000428801/product/upload_dbe936a91c7b4a1d8b77688d77da5fae.jpg</t>
  </si>
  <si>
    <t>Q3022605141</t>
  </si>
  <si>
    <t>" Co Diovan 80mg/12,5mg Novartis ( hộp 2 vỉ x 14 viên nén ) "</t>
  </si>
  <si>
    <t>https://product.hstatic.net/200000428801/product/upload_8519bfea88de43fa81faec713547da72.jpg</t>
  </si>
  <si>
    <t>Q3022605143</t>
  </si>
  <si>
    <t>" CoAprovel 150/12.5mg Sanofi( hộp 2 vỉ x 14 viên nén ) "</t>
  </si>
  <si>
    <t>https://product.hstatic.net/200000428801/product/upload_870a76288e3640199be4d532099de857.jpg</t>
  </si>
  <si>
    <t>Q3022605144</t>
  </si>
  <si>
    <t>" Cobimol Imexpharm ( hộp 24 gói ) "date 5/2026</t>
  </si>
  <si>
    <t>https://product.hstatic.net/200000428801/product/108_6c9bdf5c086244e5ad45605eac7e0168.png</t>
  </si>
  <si>
    <t>Q3022605145</t>
  </si>
  <si>
    <t>" Cobxid Celecoxib 200mg xanh dương NIC( lọ 200 viên nang ) "</t>
  </si>
  <si>
    <t>https://product.hstatic.net/200000428801/product/upload_ae4e5e99550542acb8a52a32df47b390.jpg</t>
  </si>
  <si>
    <t>Q3022605146</t>
  </si>
  <si>
    <t>" Cobxid Celecoxib 200mg xanh lá NIC (lọ 200 viên nang ) "</t>
  </si>
  <si>
    <t>https://product.hstatic.net/200000428801/product/upload_763492a21ad44f7cabd5724f5fdeb435.jpg</t>
  </si>
  <si>
    <t>Q3022605147</t>
  </si>
  <si>
    <t>" Codatux Daily giảm ho tăng đề kháng ADC ( hộp 30 gói x 5ml ) "</t>
  </si>
  <si>
    <t>https://product.hstatic.net/200000428801/product/upload_a138690299e24cbca15314bfcc427655.jpg</t>
  </si>
  <si>
    <t>Q3022605148</t>
  </si>
  <si>
    <t>" Codatux ngậm ho ADC ( hộp 200 viên ) "</t>
  </si>
  <si>
    <t>https://product.hstatic.net/200000428801/product/upload_bbce15a5338342dcba1ae3ac7c513046.jpg</t>
  </si>
  <si>
    <t>Q3022605149</t>
  </si>
  <si>
    <t>" Codatux siro ADC ( hộp 30 gói x 5ml ) "</t>
  </si>
  <si>
    <t>https://product.hstatic.net/200000428801/product/upload_b3db363d04784a88b55d47476e3d6df7.jpg</t>
  </si>
  <si>
    <t>Q302270500</t>
  </si>
  <si>
    <t>" Coenzym Q10 50mg Hasan (hộp 5 vỉ x 10 viên nén ) "</t>
  </si>
  <si>
    <t>https://product.hstatic.net/200000428801/product/upload_6590aba1437346588da1726ff87c567b.jpg</t>
  </si>
  <si>
    <t>Q302270502</t>
  </si>
  <si>
    <t>" Colchicin 1mg Traphaco (hộp 1 vỉ x 20 viên nén ) "</t>
  </si>
  <si>
    <t>https://product.hstatic.net/200000428801/product/upload_e03f94fbf08741998f5bf3ce256373d9.jpg</t>
  </si>
  <si>
    <t>Q302774875</t>
  </si>
  <si>
    <t>" Coldacmin Flu Cảm, Sốt, Sổ Mũi DHG (Hộp 10 x 10 viên nang cứng)</t>
  </si>
  <si>
    <t>https://product.hstatic.net/200000428801/product/upload_b475f906df604c54af1e68ffc97ec410.jpg</t>
  </si>
  <si>
    <t>Q302270503</t>
  </si>
  <si>
    <t>" Coldnic NIC (lọ 100 viên nang ) "</t>
  </si>
  <si>
    <t>https://product.hstatic.net/200000428801/product/upload_7ec26b19b2c4469ba1d94853131a3899.jpg</t>
  </si>
  <si>
    <t>Q302270505</t>
  </si>
  <si>
    <t>" Colexib Celecoxib 200mg USP màu đỏ (hộp 3 vỉ x 10 viên nang ) "</t>
  </si>
  <si>
    <t>Q30200415</t>
  </si>
  <si>
    <t>" Collagen Glutathion Gold Hải Linh (H/30 viên)"</t>
  </si>
  <si>
    <t>https://product.hstatic.net/200000428801/product/upload_dc3f073738684787acfd87a0fa815a0d.jpg</t>
  </si>
  <si>
    <t>Q302888387</t>
  </si>
  <si>
    <t>" Collydexa Gold Nhỏ Mắt - Mũi - Tai Hà Nội (Lốc 10lọ x lọ 5ml) "</t>
  </si>
  <si>
    <t>https://product.hstatic.net/200000428801/product/upload_d137e331313d496cb1220a11cf97c839.jpg</t>
  </si>
  <si>
    <t>Q302270506</t>
  </si>
  <si>
    <t>" Colocol Extra Sao Kim( hộp 10 vỉ x 10 viên nén ) "</t>
  </si>
  <si>
    <t>https://product.hstatic.net/200000428801/product/upload_060ef243c0b84f2bb7779bfd13bf1ffd.jpg</t>
  </si>
  <si>
    <t>Q302270507</t>
  </si>
  <si>
    <t>" Cologrin đường ăn kiêng viên Đức (lọ 1200 ) "</t>
  </si>
  <si>
    <t>https://product.hstatic.net/200000428801/product/upload_7dc97d85d32543faa4139367b8a75474.jpg</t>
  </si>
  <si>
    <t>Q302270510</t>
  </si>
  <si>
    <t>" Comazil Mediplantex (hộp 10 vỉ x 10 viên nang ) "</t>
  </si>
  <si>
    <t>https://product.hstatic.net/200000428801/product/upload_138523de14c1449a9c176f3698aec640.jpg</t>
  </si>
  <si>
    <t>Q302888899</t>
  </si>
  <si>
    <t>" Comazil Mediplantex (Hộp 10vỉ x 10 viên nang cứng) "</t>
  </si>
  <si>
    <t>Q302180323104</t>
  </si>
  <si>
    <t>" COMBO 10 chai Dịch truyền Ringer Lactat RL lọ 500ml / kiện 10 chai) "</t>
  </si>
  <si>
    <t>https://product.hstatic.net/200000428801/product/upload_c2bfbbe7dd3f45c8b4202d35a656231b.jpg</t>
  </si>
  <si>
    <t>Q30213032397</t>
  </si>
  <si>
    <t>" COMBO 10 LỌ Vaseline Lavender E Fuli Phương Liên (lọ 10g) "</t>
  </si>
  <si>
    <t>https://product.hstatic.net/200000428801/product/upload_b8a74ac96fd5498d8f9f1400647d39d3.jpg</t>
  </si>
  <si>
    <t>Q302765789</t>
  </si>
  <si>
    <t>" COMBO 10H Thuốc Tẩy Giun Fubenzon Mebendazol 500mg DHG (Hộp 1vỉ x 1 viên nén nhai) "</t>
  </si>
  <si>
    <t>https://product.hstatic.net/200000428801/product/upload_7b2298c9725d4ab6b0067975a92f74a5.jpg</t>
  </si>
  <si>
    <t>Q3029032398</t>
  </si>
  <si>
    <t>" COMBO 10H Vitamin B1 Thiamin nitrat 10mg Hà Tây (lọ 300 viên nén) "</t>
  </si>
  <si>
    <t>https://product.hstatic.net/200000428801/product/upload_d5b55f7b492f4ac685f8b94839d48c33.jpg</t>
  </si>
  <si>
    <t>Q302270323154</t>
  </si>
  <si>
    <t>" COMBO 5 CHAI Quý phi vệ sinh phụ nữ hồng Thái Dương (chai 120ml) "</t>
  </si>
  <si>
    <t>https://product.hstatic.net/200000428801/product/upload_c06fcbf869b248b781a688bafe69196e.jpg</t>
  </si>
  <si>
    <t>Q302270323155</t>
  </si>
  <si>
    <t>" COMBO 5 CHAI Quý phi vệ sinh phụ nữ xanh lá Thái Dương (chai 120ml) "</t>
  </si>
  <si>
    <t>https://product.hstatic.net/200000428801/product/upload_59f62c526eca4d6593c7a7cee41d2af8.jpg</t>
  </si>
  <si>
    <t>Q3021252366</t>
  </si>
  <si>
    <t>" COMBO 5 LỌ Nước súc miệng Cool Mint lọ hương Bạc Hà (500ml) "</t>
  </si>
  <si>
    <t>https://product.hstatic.net/200000428801/product/upload_097c048f36f247f881377db92e714a5e.jpg</t>
  </si>
  <si>
    <t>ĐÁI THÁO ĐƯỜNG</t>
  </si>
  <si>
    <t>Q302270511</t>
  </si>
  <si>
    <t>" CoMiaryl 2mg/500mg Hasan (hộp 3 vỉ x 10 viên nén ) "</t>
  </si>
  <si>
    <t>https://product.hstatic.net/200000428801/product/upload_9ec28fd62d42459c8b249ea76c7a0be0.jpg</t>
  </si>
  <si>
    <t>Q302270514</t>
  </si>
  <si>
    <t>" Concmin Nam Hà (hộp 12 vỉ x 5 viên nang ) "</t>
  </si>
  <si>
    <t>Q302270515</t>
  </si>
  <si>
    <t>" Concor Bisoprolol fumarate 2.5mg Merck Đức (hộp 3 vỉ x 10 viên ) "</t>
  </si>
  <si>
    <t>https://product.hstatic.net/200000428801/product/upload_d3d9e1324b9841d3a3cb20fffe1805f4.jpg</t>
  </si>
  <si>
    <t>Q30221032346</t>
  </si>
  <si>
    <t>" Concor Bisoprolol fumarate 2.5mg Merck Đức (hộp 3 vỉ x 10 viên nén) "</t>
  </si>
  <si>
    <t>https://product.hstatic.net/200000428801/product/upload_66a049376d7d443cbb05c6531c185f2a.jpg</t>
  </si>
  <si>
    <t>Q302270516</t>
  </si>
  <si>
    <t>" Concor Bisoprolol fumarate 5mg Merck Đức (hộp 3 vỉ x 10 viên nén ) "</t>
  </si>
  <si>
    <t>https://product.hstatic.net/200000428801/product/upload_97516aec3ab54dc398e7092b54480a48.jpg</t>
  </si>
  <si>
    <t>Q30221032345</t>
  </si>
  <si>
    <t>" Concor Bisoprolol fumarate 5mg Merck Đức (hộp 3 vỉ x 10 viên nén) "</t>
  </si>
  <si>
    <t>https://product.hstatic.net/200000428801/product/0bde9c4fe4b24af290f110caa93138ac_6de0420769024258be25cb9d11a28d23.jpg</t>
  </si>
  <si>
    <t>Q302270518</t>
  </si>
  <si>
    <t>" Cordaflex Nifedipine 20mg Egis Hungari (hộp 6 vỉ x 10 viên nén ) "</t>
  </si>
  <si>
    <t>https://product.hstatic.net/200000428801/product/upload_d1a3b1dd2b42480e8c4e58123f915710.jpg</t>
  </si>
  <si>
    <t>Q302270521</t>
  </si>
  <si>
    <t>" Cota xoang Pulipha (hộp 5 vỉ x 10 viên nang ) "</t>
  </si>
  <si>
    <t>https://product.hstatic.net/200000428801/product/upload_368e4a347ae6400f8053004426f3d3fe.jpg</t>
  </si>
  <si>
    <t>Q302270523</t>
  </si>
  <si>
    <t>" Cotrimoxazol 480mg Thanh Hóa (hộp 20 vỉ x 20 viên nén) "</t>
  </si>
  <si>
    <t>https://product.hstatic.net/200000428801/product/upload_cd333c5a4fa94f8fa28e85de72f3b125.jpg</t>
  </si>
  <si>
    <t>Q302290501</t>
  </si>
  <si>
    <t>" Cotrimoxazole 400/80 Stella (hộp 10 vỉ x 10 viên nén) "</t>
  </si>
  <si>
    <t>https://product.hstatic.net/200000428801/product/upload_b8c574add8ec43888ff1b280721ca241.jpg</t>
  </si>
  <si>
    <t>Q302290502</t>
  </si>
  <si>
    <t>" Cotrimoxazole 800mg/160mg Stella (hộp 10 vỉ x 10 viên nén) "</t>
  </si>
  <si>
    <t>Q302290503</t>
  </si>
  <si>
    <t>" Cotripro bôi trĩ (Tube 25g ) "</t>
  </si>
  <si>
    <t>https://cdn2-retail-images.kiotviet.vn/giabaopharma/e61e704c518a41c9bc288eb7cd8c0544.png</t>
  </si>
  <si>
    <t>Q302290504</t>
  </si>
  <si>
    <t>" Coveram 5mg/10mg Servier(lọ 30 viên nén ) "</t>
  </si>
  <si>
    <t>https://product.hstatic.net/200000428801/product/upload_c36f571f72e84bbd98a7abb779d8a3eb.jpg</t>
  </si>
  <si>
    <t>Q302290505</t>
  </si>
  <si>
    <t>" Coveram 5mg/5mg Servier(lọ 30 viên nén) "</t>
  </si>
  <si>
    <t>https://product.hstatic.net/200000428801/product/upload_73b0a762ea2b4b7f8a0e7a4edca78c37.jpg</t>
  </si>
  <si>
    <t>Q30221032347</t>
  </si>
  <si>
    <t>" Coversyl 5mg Servier (lọ 30 viên nén) "</t>
  </si>
  <si>
    <t>https://cdn1-retail-images.kiotviet.vn/2026/03/11/giabaopharma/c259960f8a5f48d6b27ec8dfd1e3c88e.jpg</t>
  </si>
  <si>
    <t>Q30221032348</t>
  </si>
  <si>
    <t>" Coversyl Plus 5mg/1.25mg Servier (lọ 30 viên nén) "</t>
  </si>
  <si>
    <t>https://product.hstatic.net/200000428801/product/upload_9e0ff53a1e8d4abf9891406283c9e4e5.jpg</t>
  </si>
  <si>
    <t>Q30221032350</t>
  </si>
  <si>
    <t>" Cozaar Losartan 50mg MSD (hộp 2 vỉ x 14 viên nén) "</t>
  </si>
  <si>
    <t>https://product.hstatic.net/200000428801/product/upload_827e2a7435b24ffbb3834e5fe021b966.jpg</t>
  </si>
  <si>
    <t>Q302270508</t>
  </si>
  <si>
    <t>" Cốm bình dạ dày HVQY (hộp 20 gói x 4g ) "</t>
  </si>
  <si>
    <t>https://product.hstatic.net/200000428801/product/upload_2dc3273d22694af1a5a621ecc60f6d1c.jpg</t>
  </si>
  <si>
    <t>Q302774689</t>
  </si>
  <si>
    <t>" Cốm Bio-acimin Fiber Việt Đức (Hộp 30 gói x 4g) "</t>
  </si>
  <si>
    <t>https://product.hstatic.net/200000428801/product/upload_afb7f614eb4349918bf88e560e72a438.jpg</t>
  </si>
  <si>
    <t>Q302398897</t>
  </si>
  <si>
    <t>" Cốm bổ Calci Goldi Kid Đại Y (Lọ 50g) "</t>
  </si>
  <si>
    <t>https://product.hstatic.net/200000428801/product/upload_dcc5edf538ba45deaf2480e7e10de627.jpg</t>
  </si>
  <si>
    <t>Q302116488</t>
  </si>
  <si>
    <t>" Cốm Lợi Sữa MumMilk God Health (Hộp 20 gói x 3g) "</t>
  </si>
  <si>
    <t>https://product.hstatic.net/200000428801/product/upload_fb1c00ec1e384062a0ed730b1720d48f.jpg</t>
  </si>
  <si>
    <t>Q302663768</t>
  </si>
  <si>
    <t>" Cốm Lợi Sữa ProMilk Bros (Hộp 20gói x 3g) "</t>
  </si>
  <si>
    <t>https://product.hstatic.net/200000428801/product/upload_d0fe8e0b30e74f31bbff0e8a3eca4943.jpg</t>
  </si>
  <si>
    <t>Q302270509</t>
  </si>
  <si>
    <t>" Cốm lợi sữa Traly Trang Ly (hộp 20 gói x 3g ) "</t>
  </si>
  <si>
    <t>https://cdn-images.kiotviet.vn/giabaopharma/31976375b97d417da658e68ce8dca92d.png</t>
  </si>
  <si>
    <t>Q302008750</t>
  </si>
  <si>
    <t>" Cốm vi sinh Bio-acimin Gold Meliphar (Hộp 30 gói x 4g) "</t>
  </si>
  <si>
    <t>https://product.hstatic.net/200000428801/product/upload_c53762f2ad7e47a593193e0fc27159f4.jpg</t>
  </si>
  <si>
    <t>Q302270323253</t>
  </si>
  <si>
    <t>" Cồn 90 Hóa Dược (cọc 10 lọ x 50ml) "</t>
  </si>
  <si>
    <t>https://product.hstatic.net/200000428801/product/upload_eb08a54ba914485993be28d6d41eb3a7.jpg</t>
  </si>
  <si>
    <t>Q302270512</t>
  </si>
  <si>
    <t>" Cồn xoa bóp đa dụng An Triệu (Lọ 100ml ) "</t>
  </si>
  <si>
    <t>https://product.hstatic.net/200000428801/product/upload_0e96a8db411e40cd9a8e7bafbf1df92c.jpg</t>
  </si>
  <si>
    <t>Q302270513</t>
  </si>
  <si>
    <t>" Cồn xoa bóp OPC(lọ 60ml ) "</t>
  </si>
  <si>
    <t>https://product.hstatic.net/200000428801/product/upload_c4a5d4712f0344ff81af66d3758947e6.jpg</t>
  </si>
  <si>
    <t>Q302270520</t>
  </si>
  <si>
    <t>" Cốt thoái vương Á Âu (hộp 3 vỉ x 10 viên nén ) "</t>
  </si>
  <si>
    <t>https://product.hstatic.net/200000428801/product/upload_168f681093ff4c079e8260780838c311.jpg</t>
  </si>
  <si>
    <t>Q302007570</t>
  </si>
  <si>
    <t>" Cốt Thoái Vương Á Âu (Hộp 3vỉ x 10 viên nén) "</t>
  </si>
  <si>
    <t>https://product.hstatic.net/200000428801/product/upload_ac821fa309474b2d9853f659070d1285.jpg</t>
  </si>
  <si>
    <t>Q302290506</t>
  </si>
  <si>
    <t>" Cravit 0.5% nhỏ mắt Saten (lọ 5ml ) "</t>
  </si>
  <si>
    <t>https://product.hstatic.net/200000428801/product/upload_c43098a2e6794df6ad20ee166fb2fb5b.jpg</t>
  </si>
  <si>
    <t>Q302290507</t>
  </si>
  <si>
    <t>" Cravit 1.5% nhỏ mắt Santen (lọ 5ml) "</t>
  </si>
  <si>
    <t>https://product.hstatic.net/200000428801/product/upload_fc5a4161f9ad4ae2823590c908b67fc6.jpg</t>
  </si>
  <si>
    <t>Q302290508</t>
  </si>
  <si>
    <t>" Crestor rosuvastatin 10mg AstraZeneca(hộp 2 vỉ x 14 viên nén ) "</t>
  </si>
  <si>
    <t>https://product.hstatic.net/200000428801/product/upload_8044a8f8971646d898dbaf1cad3e8d46.jpg</t>
  </si>
  <si>
    <t>Q302290509</t>
  </si>
  <si>
    <t>" Crestor rosuvastatin 20mg Astra (hộp 2 vỉ x 14 viên nén ) "</t>
  </si>
  <si>
    <t>https://product.hstatic.net/200000428801/product/upload_c5cf2509901140abad76c56169e916fc.jpg</t>
  </si>
  <si>
    <t>Q302290510</t>
  </si>
  <si>
    <t>" Crila Thiên Dược(hộp 4 lọ x 40 viên nang ) "</t>
  </si>
  <si>
    <t>https://product.hstatic.net/200000428801/product/upload_9f6b61a7bbc749fcb8186d7aa89e2944.jpg</t>
  </si>
  <si>
    <t>Q302290511</t>
  </si>
  <si>
    <t>" Crocin Kid Cefixim 100mg Pymepharco (hộp 25 gói) "</t>
  </si>
  <si>
    <t>https://product.hstatic.net/200000428801/product/upload_e6ff104d80544c238dac8da25496b70c.jpg</t>
  </si>
  <si>
    <t>Q302290512</t>
  </si>
  <si>
    <t>" Crocin Kid cefixim 50mg Pymepharco (hộp 25 gói x 1,5g ) "</t>
  </si>
  <si>
    <t>https://product.hstatic.net/200000428801/product/upload_244217bd96ad46bcafedbccd2e991a31.jpg</t>
  </si>
  <si>
    <t>Q302290513</t>
  </si>
  <si>
    <t>" Cumargold Kare CVI Pharma( hộp 3 vỉ x 10 viên nang ) "</t>
  </si>
  <si>
    <t>https://product.hstatic.net/200000428801/product/upload_628cd05a8e6649c4ac03e59c94e65c4d.jpg</t>
  </si>
  <si>
    <t>Q302290514</t>
  </si>
  <si>
    <t>" Cumargold New Nanocurcumin CVI Pharma (hộp 3 vỉ x 10 viên nang mềm ) "</t>
  </si>
  <si>
    <t>https://product.hstatic.net/200000428801/product/upload_c41df0428a2e4c4ca9155055c4be62f1.jpg</t>
  </si>
  <si>
    <t>Q302200231</t>
  </si>
  <si>
    <t>" Cummua Abipolis Xuyên Tâm Liên 500mg Abipha (H/4 vỉ x 5 viên) "</t>
  </si>
  <si>
    <t>https://product.hstatic.net/200000428801/product/59f7404b3164ef3ab675_0bf3f5d194db49d28824a89ec9fa75bf.jpg</t>
  </si>
  <si>
    <t>Q302290515</t>
  </si>
  <si>
    <t>" Cường phế Lotus(hộp 10 ống x 10ml ) "</t>
  </si>
  <si>
    <t>https://product.hstatic.net/200000428801/product/6aa28f7a0f55d10b8844_5291155434dd4deab4dc15d24209be71.jpg</t>
  </si>
  <si>
    <t>Q302290516</t>
  </si>
  <si>
    <t>" Cyclo Progynova Bayer Đức (hộp 1 vỉ x 21 viên nén ) "</t>
  </si>
  <si>
    <t>https://product.hstatic.net/200000428801/product/upload_d6ce29c623de4e0dbdd67307556cab3a.jpg</t>
  </si>
  <si>
    <t>Q302290517</t>
  </si>
  <si>
    <t>" Cystine B6 Pháp(hộp 20 viên nén ) "</t>
  </si>
  <si>
    <t>https://product.hstatic.net/200000428801/product/upload_dd81765efceb4d95a10a692f4aae271e.jpg</t>
  </si>
  <si>
    <t>Q302290519</t>
  </si>
  <si>
    <t>" Dạ Dày Ích Nhân Nam Dược(hộp 10 gói cốm x 8g ) "</t>
  </si>
  <si>
    <t>https://product.hstatic.net/200000428801/product/upload_7cb38218dc174403bb7548ce6ac92625.jpg</t>
  </si>
  <si>
    <t>Q302290520</t>
  </si>
  <si>
    <t>" Dạ dày Nhất Nhất (hộp 2 vỉ x 10 viên nén) "</t>
  </si>
  <si>
    <t>https://product.hstatic.net/200000428801/product/upload_2ce9a4765b4944d79307df0a4cd2bfbf.jpg</t>
  </si>
  <si>
    <t>Q302290521</t>
  </si>
  <si>
    <t>" Daflavon Pymepharco( hộp 4 vỉ x 15 viên nén ) "</t>
  </si>
  <si>
    <t>https://product.hstatic.net/200000428801/product/upload_500f502d345f4e0e86bdaf72c8f89e19.jpg</t>
  </si>
  <si>
    <t>Q302290522</t>
  </si>
  <si>
    <t>" Daflon 500mg Servier(hộp 4 vỉ x 15 viên nén ) "</t>
  </si>
  <si>
    <t>https://product.hstatic.net/200000428801/product/upload_9396b1b585f749b9b86018abf9aa0f00.jpg</t>
  </si>
  <si>
    <t>Q302290523</t>
  </si>
  <si>
    <t>" Daivonex Calcipotriol 50mcg/g Leo (Tube 30g ) "</t>
  </si>
  <si>
    <t>https://product.hstatic.net/200000428801/product/upload_431e7e7f8f734f308a2a84012075ae7e.jpg</t>
  </si>
  <si>
    <t>Q302290524</t>
  </si>
  <si>
    <t>" Daktarin Oralgel Miconazole 200mg Janssen (Tube 10g ) "</t>
  </si>
  <si>
    <t>https://product.hstatic.net/200000428801/product/upload_ddb92a6b35fe45f9bd174dcc51ab26dd.jpg</t>
  </si>
  <si>
    <t>Q302290525</t>
  </si>
  <si>
    <t>" DaktinMictiasol Daktin(hộp 10 vỉ x 10 viên bao đường ) "</t>
  </si>
  <si>
    <t>https://product.hstatic.net/200000428801/product/upload_9e370928da054f9ebf3b9506696c6d1c.jpg</t>
  </si>
  <si>
    <t>Q302290526</t>
  </si>
  <si>
    <t>" Dalacin C Clindamycin 300mg Pfizer(hộp 2 vỉ x 8 viên nang ) "</t>
  </si>
  <si>
    <t>https://product.hstatic.net/200000428801/product/upload_704b0d9dd41847b09457a2238736ebd5.jpg</t>
  </si>
  <si>
    <t>Q302290528</t>
  </si>
  <si>
    <t>" Dán say xe thảo dược Kichio Kichiladi (hộp 24 miếng) "</t>
  </si>
  <si>
    <t>https://product.hstatic.net/200000428801/product/upload_edbccd8a5bf24cd48daabf406dbd6a33.jpg</t>
  </si>
  <si>
    <t>Q302290529</t>
  </si>
  <si>
    <t>" Danazym 5mg Khánh Minh(hộp 10 vỉ x 10 viên nén) "</t>
  </si>
  <si>
    <t>https://product.hstatic.net/200000428801/product/upload_73be72c92b8a428db5754e5e40cd6968.jpg</t>
  </si>
  <si>
    <t>Q302290530</t>
  </si>
  <si>
    <t>" Danzym 10mg Phong Phú(hộp 10 vỉ x 10 viên nén ) "</t>
  </si>
  <si>
    <t>https://product.hstatic.net/200000428801/product/upload_7a5182d3553841f7a58edd5d9e90f71c.jpg</t>
  </si>
  <si>
    <t>Q3021252358</t>
  </si>
  <si>
    <t>" date 2027 Nuceftri-1000 Ceftriaxone USP 1000mg Ấn Độ (Hộp x 10 lọ tiêm) "</t>
  </si>
  <si>
    <t>https://product.hstatic.net/200000428801/product/upload_9dc93197b10842ec9db8a81c8956a029.jpg</t>
  </si>
  <si>
    <t>Q302136674</t>
  </si>
  <si>
    <t>" Dầu gội chống gầu Selsun (H/60gói x 5ml)"</t>
  </si>
  <si>
    <t>https://product.hstatic.net/200000428801/product/upload_3940ce92c01e4e60bf48ca39350e14bc.jpg</t>
  </si>
  <si>
    <t>Q302887556</t>
  </si>
  <si>
    <t>" Dầu gội Jasunny Gia Nguyễn (Hộp 50 gói x 5g) "</t>
  </si>
  <si>
    <t>https://product.hstatic.net/200000428801/product/upload_56286ad445eb470d85547224a3168c5d.jpg</t>
  </si>
  <si>
    <t>Q302789546</t>
  </si>
  <si>
    <t>" Dầu gội Jasunny Gia Nguyễn (Tuýp 50g) "</t>
  </si>
  <si>
    <t>https://product.hstatic.net/200000428801/product/upload_17f4ba97aebc4c59aa656f36eae70c45.jpg</t>
  </si>
  <si>
    <t>Q30200035</t>
  </si>
  <si>
    <t>" Dầu gừng Thái Dương 6ml ( C/6 ml)"</t>
  </si>
  <si>
    <t>https://product.hstatic.net/200000428801/product/e476b89c6f544bdcbbc875ea2ee8f190_e752212eb9da4d74ac581ac33abe642b.jpg</t>
  </si>
  <si>
    <t>Q302237384</t>
  </si>
  <si>
    <t>" Dầu Húng Chanh Lên Men Minion Gold Secret Life (Hộp 1lọ x 30ml) "</t>
  </si>
  <si>
    <t>https://product.hstatic.net/200000428801/product/upload_5031eabbdbe642bc8e806583dccd72bf.jpg</t>
  </si>
  <si>
    <t>Q30221032352</t>
  </si>
  <si>
    <t>" Dầu Phật linh Trường Sơn hộp 10 lọ x 1.5ml "</t>
  </si>
  <si>
    <t>https://product.hstatic.net/200000428801/product/upload_4fc450d0b41542479007a14f495cc286.jpg</t>
  </si>
  <si>
    <t>Q30221032353</t>
  </si>
  <si>
    <t>" Dầu Phật linh Trường Sơn hộp 12 lọ x 5ml "</t>
  </si>
  <si>
    <t>https://product.hstatic.net/200000428801/product/902c9ca256134e43820fad6fb8d0ea49_b8500c3ae6e54a73b9b6a2410264f846.png</t>
  </si>
  <si>
    <t>SP648519</t>
  </si>
  <si>
    <t>" Dây truyền dịch AM ( Bịch 25 dây) "</t>
  </si>
  <si>
    <t>https://product.hstatic.net/200000428801/product/upload_168a0f0122224a118267683c69f6b3c0.jpg</t>
  </si>
  <si>
    <t>Q302875745</t>
  </si>
  <si>
    <t>" Decolgen Forte United (Hộp 25 vỉ x 4 viên) "</t>
  </si>
  <si>
    <t>https://product.hstatic.net/200000428801/product/upload_2fb16d315b8849b39d6494a9aa5cd8c3.jpg</t>
  </si>
  <si>
    <t>Q302887678</t>
  </si>
  <si>
    <t>" Decolgen ND United (Hộp 25 vỉ x 4 viên) "</t>
  </si>
  <si>
    <t>https://product.hstatic.net/200000428801/product/upload_a0a547c0b7a54f96aaa8289a2220be32.jpg</t>
  </si>
  <si>
    <t>Q30221032344</t>
  </si>
  <si>
    <t>" Depo Medrol Methylprednisolone 40mg hỗn dịch tiêm Pfizer) "</t>
  </si>
  <si>
    <t>https://product.hstatic.net/200000428801/product/598a9798c78a19d4409b_af413f6a02bb45dc92e2390eb3605838.jpg</t>
  </si>
  <si>
    <t>Q30221032357</t>
  </si>
  <si>
    <t>" Dermatix Ultra Gel Hanson Mỹ (Tube 15g) "</t>
  </si>
  <si>
    <t>https://product.hstatic.net/200000428801/product/upload_c0615ffbd28f4429bac7762492ea948e.jpg</t>
  </si>
  <si>
    <t>Q30221032358</t>
  </si>
  <si>
    <t>" Dermatix Ultra Gel Hanson Mỹ (Tube 7g) "</t>
  </si>
  <si>
    <t>https://product.hstatic.net/200000428801/product/upload_f40fc20fbcb44fc4a12d8166d048f08e.jpg</t>
  </si>
  <si>
    <t>Q302776655</t>
  </si>
  <si>
    <t>" Dexamethason 0,5g Medipharco (Hộp 50 vỉ x 30 viên nén ) "</t>
  </si>
  <si>
    <t>https://product.hstatic.net/200000428801/product/upload_e5ad63c5f08e433a98af34462ecdd2d0.jpg</t>
  </si>
  <si>
    <t>Q302747773</t>
  </si>
  <si>
    <t>" Dexamethasone 0.5mg Mekophar (Lọ 200 viên nén màu cam) "</t>
  </si>
  <si>
    <t>https://product.hstatic.net/200000428801/product/upload_66164624f0ba493db7fd63e81dc4b373.jpg</t>
  </si>
  <si>
    <t>Q302181221</t>
  </si>
  <si>
    <t>" Diabetna Nam Dược (Hộp 4 vỉ x 10 viên nang) "</t>
  </si>
  <si>
    <t>https://product.hstatic.net/200000428801/product/upload_1f3409182b754cb990834dd2b8a80b8b.jpg</t>
  </si>
  <si>
    <t>Q302655658</t>
  </si>
  <si>
    <t>" Diamicron MR Gliclazide 30mg Servier (Hộp 2 vỉ x 30 viên) "</t>
  </si>
  <si>
    <t>https://product.hstatic.net/200000428801/product/upload_c44589c6249140ffb40851f315f66070.jpg</t>
  </si>
  <si>
    <t>Q302737364</t>
  </si>
  <si>
    <t>" Diamicron MR Gliclazide 60mg Servier (Hộp 2 vỉ x 15 viên) "</t>
  </si>
  <si>
    <t>https://product.hstatic.net/200000428801/product/upload_e94fbe68b37a4f419f2262035aac4b08.jpg</t>
  </si>
  <si>
    <t>Q302270323250</t>
  </si>
  <si>
    <t>" Dibetalic Traphaco (cọc 10 tuýp x 15g) "</t>
  </si>
  <si>
    <t>Q302180323103</t>
  </si>
  <si>
    <t>" Dịch truyền Glucose 5% G5 (lọ 500ml / kiện 10 chai) "</t>
  </si>
  <si>
    <t>https://product.hstatic.net/200000428801/product/upload_a5ee8bdc3b094f8e847a6295313a670f.jpg</t>
  </si>
  <si>
    <t>Q302180323102</t>
  </si>
  <si>
    <t>" Dịch truyền Natri Clorid 0.9% (lọ 100ml / kiện 40 chai) "</t>
  </si>
  <si>
    <t>https://product.hstatic.net/200000428801/product/upload_07f72fa642f44d228b868fc72b0ac09c.jpg</t>
  </si>
  <si>
    <t>Q302180323101</t>
  </si>
  <si>
    <t>" Dịch truyền Natri Clorid 0.9% (lọ 500ml / kiện 10chai) "</t>
  </si>
  <si>
    <t>https://product.hstatic.net/200000428801/product/upload_3f4316caf5e648aa818456339de38e38.jpg</t>
  </si>
  <si>
    <t>Q302995843</t>
  </si>
  <si>
    <t>" Diclofenac Natri 50mg Hà Nội (Hộp 50 vỉ x 10 viên nén bao tan trong ruột) "</t>
  </si>
  <si>
    <t>https://product.hstatic.net/200000428801/product/upload_65007b1694394ccdbe5e16c710a3abea.jpg</t>
  </si>
  <si>
    <t>q30298989897</t>
  </si>
  <si>
    <t>" Dimedrol Diphenhydramin 10mg/ml hộp 100 ống x 1ml Vĩnh Phúc "</t>
  </si>
  <si>
    <t>https://product.hstatic.net/200000428801/product/upload_f6008c70140e4e9f90637f6db7b0e94e.jpg</t>
  </si>
  <si>
    <t>Q302847564</t>
  </si>
  <si>
    <t>" Dimenhydrinat 50mg Traphaco (Hộp 10 vỉ x 10 viên nén) "</t>
  </si>
  <si>
    <t>https://product.hstatic.net/200000428801/product/upload_7fb3b99966714e4da17070e36cc5c8ad.jpg</t>
  </si>
  <si>
    <t>Q3021142383</t>
  </si>
  <si>
    <t>" DongDo Calio Nam Hà (hộp 6 vỉ x 10 viên nang mềm) "</t>
  </si>
  <si>
    <t>https://product.hstatic.net/200000428801/product/upload_c7b8853653124d6eb79a259b9a540344.jpg</t>
  </si>
  <si>
    <t>Q30222032340</t>
  </si>
  <si>
    <t>" Dorocron MR Gliclazide 30mg Domesco (hộp 2 vỉ x 30 viên nén) "</t>
  </si>
  <si>
    <t>https://product.hstatic.net/200000428801/product/upload_112b6bb9bd8f416383116300530af660.jpg</t>
  </si>
  <si>
    <t>Q302474773</t>
  </si>
  <si>
    <t>" Dụng Cụ Hút Mũi Cho Bé Kichilachi (1 cái / vỉ) "</t>
  </si>
  <si>
    <t>https://product.hstatic.net/200000428801/product/upload_824af43453914c9da5a58390d17664a8.jpg</t>
  </si>
  <si>
    <t>Q302647364</t>
  </si>
  <si>
    <t>" Dụng Cụ Hút Mũi Hanomed Tanaphar (1 cái/ 1 vỉ) "</t>
  </si>
  <si>
    <t>https://product.hstatic.net/200000428801/product/upload_db801e9b6ce142a1881afb4ccd97bc3b.jpg</t>
  </si>
  <si>
    <t>Q302778997</t>
  </si>
  <si>
    <t>" Dung Dịch ASA Hóa Dược (Lốc 10lọ x 20ml) "</t>
  </si>
  <si>
    <t>https://product.hstatic.net/200000428801/product/upload_5d4dd1fb0d9d41cba95cbf526c260562.jpg</t>
  </si>
  <si>
    <t>Q302754483</t>
  </si>
  <si>
    <t>" Dung Dịch Bơm Trực Tràng Rectiofar (Hộp 40 túi x 1 ống bơm 5ml) "</t>
  </si>
  <si>
    <t>https://product.hstatic.net/200000428801/product/upload_bf3a57390bd7481ca80aaa0838dfb3ab.jpg</t>
  </si>
  <si>
    <t>Q302665876</t>
  </si>
  <si>
    <t>" Dung Dịch Bơm Trực Tràng Rectiofar trẻ em (Hộp 50 túi x 1 ống bơm 3ml) "</t>
  </si>
  <si>
    <t>https://product.hstatic.net/200000428801/product/upload_0d629cca7d704ae5b1bd06c90d755134.jpg</t>
  </si>
  <si>
    <t>SP648479</t>
  </si>
  <si>
    <t>" Dung dịch muối nhỏ mũi Buona Nebial 3% (H/ 20 ống) "</t>
  </si>
  <si>
    <t>https://product.hstatic.net/200000428801/product/upload_9eed1bf0055c4049a3a05a54a6124ea3.jpg</t>
  </si>
  <si>
    <t>Q302667867</t>
  </si>
  <si>
    <t>" Dung Dịch Nhỏ Mắt Naphacollyre Nam Hà (cọc 10 lọ x 8ml) "</t>
  </si>
  <si>
    <t>https://cdn-images.kiotviet.vn/giabaopharma/36a3ec93d5bf4e418d2885fe4ec5164e.jpg</t>
  </si>
  <si>
    <t>Q302994845</t>
  </si>
  <si>
    <t>" Dung Dịch Povidine Povidone 10% Pharmedic (Cọc 10 lọ x 20ml) "</t>
  </si>
  <si>
    <t>https://product.hstatic.net/200000428801/product/upload_1257e1d7594743e08765d1b89e8fa73e.jpg</t>
  </si>
  <si>
    <t>Q302447832</t>
  </si>
  <si>
    <t>" Dung Dịch Rơ Miệng Natri Borat Denicol 20% Sagopha (Cọc 10 Chai x15ml) "</t>
  </si>
  <si>
    <t>https://product.hstatic.net/200000428801/product/upload_325370b6fe8f4e56a6a9f97a8829fa97.jpg</t>
  </si>
  <si>
    <t>Q302665445</t>
  </si>
  <si>
    <t>" Dung Dịch Vệ Sinh Lactacyd Soft &amp; Silky 250ml (tím) "</t>
  </si>
  <si>
    <t>https://product.hstatic.net/200000428801/product/upload_8549dafe255340dd9e9f908222b7fc23.jpg</t>
  </si>
  <si>
    <t>Q302555587</t>
  </si>
  <si>
    <t>" Dung Dịch Vệ Sinh Phụ Nữ Dạ Hương Hoa Linh (Hộp 1lọ x 100ml) (tím) "</t>
  </si>
  <si>
    <t>https://product.hstatic.net/200000428801/product/upload_3adaac0c95604d46b2796760fa5e31bf.jpg</t>
  </si>
  <si>
    <t>Q302884889</t>
  </si>
  <si>
    <t>" Dung Dịch Vệ Sinh Phụ Nữ Dạ Hương Hoa Linh (Hộp 1lọ x 100ml) (xanh dương) "</t>
  </si>
  <si>
    <t>Q302774877</t>
  </si>
  <si>
    <t>" Dung Dịch Vệ Sinh Phụ Nữ Dạ Hương Hoa Linh (Hộp 1lọ x 100ml) (xanh lá) "</t>
  </si>
  <si>
    <t>https://product.hstatic.net/200000428801/product/upload_7b6b432f0a2b45faab881143e0872115.jpg</t>
  </si>
  <si>
    <t>Q302911854</t>
  </si>
  <si>
    <t>" Dung Dịch Vệ Sinh Saforelle Iprad Pháp 100ml "</t>
  </si>
  <si>
    <t>https://product.hstatic.net/200000428801/product/upload_0dcc062d2fd64145815286778e1f9c87.jpg</t>
  </si>
  <si>
    <t>Q30215032342</t>
  </si>
  <si>
    <t>" Dung Dịch Xịt Họng Hoa Hương Thảo Alaska Us (Hộp 1chai 30ml) "</t>
  </si>
  <si>
    <t>https://product.hstatic.net/200000428801/product/upload_a8e21c2d7ccd4cf6929dcb5cc986f436.jpg</t>
  </si>
  <si>
    <t>Q30220032353</t>
  </si>
  <si>
    <t>" Đại tràng Tâm Bình (hộp 5 vỉ x 12 viên nang) "</t>
  </si>
  <si>
    <t>https://product.hstatic.net/200000428801/product/upload_be30c521014d4061a6ad2f1e910f1f34.jpg</t>
  </si>
  <si>
    <t>Q302558490</t>
  </si>
  <si>
    <t>" Đạm Ống Philatop Đại Y (Hộp 20 ống x 10ml) "</t>
  </si>
  <si>
    <t>https://product.hstatic.net/200000428801/product/upload_db7b8c242a044dcab9772d77216d5e02.jpg</t>
  </si>
  <si>
    <t>Q302445632</t>
  </si>
  <si>
    <t>" Điều trị tiêu chảy Smecta Ipsen (Hộp 30 gói x 3g) "</t>
  </si>
  <si>
    <t>https://product.hstatic.net/200000428801/product/upload_afafa457779e4c0babb1c3c95131b185.jpg</t>
  </si>
  <si>
    <t>Q30200056</t>
  </si>
  <si>
    <t>" Effer- Paralmax Paracetamol C500/150 Boston (H/20 viên)"</t>
  </si>
  <si>
    <t>https://product.hstatic.net/200000428801/product/upload_4332b9d452f04533ab4f1c7e08e3584b.jpg</t>
  </si>
  <si>
    <t>Q302664763</t>
  </si>
  <si>
    <t>" Efferalgan Paracetamol 150mg Pháp (Hộp 12 gói) "</t>
  </si>
  <si>
    <t>https://product.hstatic.net/200000428801/product/upload_97507a39c9ea4455b9d2df9403c99af9.jpg</t>
  </si>
  <si>
    <t>Q302117437</t>
  </si>
  <si>
    <t>" Efferalgan Paracetamol 250mg Pháp (Hộp 12 gói) "</t>
  </si>
  <si>
    <t>https://product.hstatic.net/200000428801/product/upload_d8c426871ed54192890d7411faeb054f.jpg</t>
  </si>
  <si>
    <t>Q302444982</t>
  </si>
  <si>
    <t>" Efferalgan Paracetamol 500mg Pháp (Hộp 4 vỉ x 4 viên sủi) "</t>
  </si>
  <si>
    <t>https://product.hstatic.net/200000428801/product/upload_3075ceb1732c46899e6d43c7b80961fe.jpg</t>
  </si>
  <si>
    <t>Q302336476</t>
  </si>
  <si>
    <t>" Efferalgan Paracetamol 80mg Pháp (Hộp 12 gói) "</t>
  </si>
  <si>
    <t>https://product.hstatic.net/200000428801/product/upload_4bd3aa46bab54746a9a13c601f3b6887.jpg</t>
  </si>
  <si>
    <t>Q302180323108</t>
  </si>
  <si>
    <t>" Emla 5% Lidocaine Recipharm Thụy Điển (hộp 5 Tube x 5g) "</t>
  </si>
  <si>
    <t>https://product.hstatic.net/200000428801/product/upload_ee765384235944048f6678efeb4f127b.jpg</t>
  </si>
  <si>
    <t>Q302270323255</t>
  </si>
  <si>
    <t>" Enalapril 10mg Stella (hộp 3 vỉ x 10 viên nén) "</t>
  </si>
  <si>
    <t>https://product.hstatic.net/200000428801/product/upload_96453344fcea4a418ba00556d4c777a6.jpg</t>
  </si>
  <si>
    <t>Q302270323256</t>
  </si>
  <si>
    <t>" Enalapril 5mg Stella (hộp 3 vỉ x 10 viên nén) "</t>
  </si>
  <si>
    <t>https://product.hstatic.net/200000428801/product/28d6cfb673b74137b0a68161ec898bbe_c95a0a19b6bc405b9b4ee7b606f12ff0.png</t>
  </si>
  <si>
    <t>SP648470</t>
  </si>
  <si>
    <t>" ERECFIL sildenafil citrate 100 mg ( H/4 v) "</t>
  </si>
  <si>
    <t>https://product.hstatic.net/200000428801/product/upload_442c5dc0a1374c43969e67c3066dd3e5.jpg</t>
  </si>
  <si>
    <t>Q302227376</t>
  </si>
  <si>
    <t>" Fahado Paracetamol 500mg Hà Tây (Hộp 50 vỉ x 10 viên nén) "</t>
  </si>
  <si>
    <t>https://product.hstatic.net/200000428801/product/upload_5820dfd7eddb4bbcb050c09d8bfa911a.jpg</t>
  </si>
  <si>
    <t>Q302438873</t>
  </si>
  <si>
    <t>" Falgankid Paracetamol 16mg/10ml CPC1 Hà Nội (Hộp 4 Vỉ x 5 Ống) "</t>
  </si>
  <si>
    <t>https://product.hstatic.net/200000428801/product/upload_e67f1c9c150c4f52868ff5e2e21d34a9.jpg</t>
  </si>
  <si>
    <t>Q302773667</t>
  </si>
  <si>
    <t>" Falgankid Paracetamol 250mg/10ml CPC1 Hà Nội (Hộp 20 ống x 10ml) "</t>
  </si>
  <si>
    <t>https://product.hstatic.net/200000428801/product/upload_a309fac9470d40bf9f1ac222a98c1f86.jpg</t>
  </si>
  <si>
    <t>Q302776483</t>
  </si>
  <si>
    <t>" Febustad Febuxostat 40mg Stella (Hộp 3 vỉ x 10 viên nén) "</t>
  </si>
  <si>
    <t>https://product.hstatic.net/200000428801/product/upload_24e5f041da5d44f2887c7efe4a322e72.jpg</t>
  </si>
  <si>
    <t>Q30290909090</t>
  </si>
  <si>
    <t>" Ficemix cefixim 400 (1 vỉ x 10 viên)"</t>
  </si>
  <si>
    <t>Q302666378</t>
  </si>
  <si>
    <t>" Fluconazole 150mg Stada (Hộp 1 vỉ x 1 viên nang cứng) "</t>
  </si>
  <si>
    <t>https://product.hstatic.net/200000428801/product/upload_1f5d3ee1138440f69aedcf1604ecbfca.jpg</t>
  </si>
  <si>
    <t>Q30221032331</t>
  </si>
  <si>
    <t>" Furosemid 40mg Traphaco (hộp 2 vỉ x 20 viên nén) "</t>
  </si>
  <si>
    <t>https://product.hstatic.net/200000428801/product/upload_37a90dc7f46045afa119f964c8ba1145.jpg</t>
  </si>
  <si>
    <t>Q302993890</t>
  </si>
  <si>
    <t>" Gel Bôi Trơn Ky Jelly Durex (Tuýp 50g) "</t>
  </si>
  <si>
    <t>https://product.hstatic.net/200000428801/product/upload_22d27695ea0849319f48441327bdde78.jpg</t>
  </si>
  <si>
    <t>Q302733555</t>
  </si>
  <si>
    <t>" Gel Bôi Zytee RB Sát Trùng Giảm Đau Ấn Độ (Tuýp 10ml) "</t>
  </si>
  <si>
    <t>https://product.hstatic.net/200000428801/product/upload_0807a03a79224199b889d4798b90e29a.jpg</t>
  </si>
  <si>
    <t>Q302309584</t>
  </si>
  <si>
    <t>" Gel Làm Sạch Da Và Kháng Khuẩn Subạc Spaphar (Tuýp 25g) "</t>
  </si>
  <si>
    <t>https://product.hstatic.net/200000428801/product/99_778225475cc14dd1b671b5172da25410.png</t>
  </si>
  <si>
    <t>Q302555666</t>
  </si>
  <si>
    <t>" GliritDHG 500mg/5mg DHG (Hộp 3 vỉ x 10 viên nén bao phim) "</t>
  </si>
  <si>
    <t>https://product.hstatic.net/200000428801/product/upload_ea7d331a952a492d850c2574c6a1ed24.jpg</t>
  </si>
  <si>
    <t>Q302115566</t>
  </si>
  <si>
    <t>" Glucofine Metformin Hydroclorid 1000mg (Hộp 3 vỉ x 10 viên nén bao phim) "</t>
  </si>
  <si>
    <t>https://product.hstatic.net/200000428801/product/upload_b162a60a1f1c4818bb6ae4ca1cf23f48.jpg</t>
  </si>
  <si>
    <t>Q302887557</t>
  </si>
  <si>
    <t>" Glucofine Metformin Hydroclorid 500mg (Hộp 5 vỉ x 10 viên nén bao phim) "</t>
  </si>
  <si>
    <t>https://product.hstatic.net/200000428801/product/upload_2898d085ac354ce09a59ce0e384bf838.jpg</t>
  </si>
  <si>
    <t>Q302009800</t>
  </si>
  <si>
    <t>" Glucofine Metformin Hydroclorid 850mg (Hộp 4 vỉ x 5 viên nén bao phim) "</t>
  </si>
  <si>
    <t>https://product.hstatic.net/200000428801/product/upload_20fa8318766146c08b4cdb18d7423779.jpg</t>
  </si>
  <si>
    <t>Q302993748</t>
  </si>
  <si>
    <t>" Glucophage 1000mg Metformin Hydrochloride 1000mg Merck (Hộp 2 vỉ x 15 viên) "</t>
  </si>
  <si>
    <t>https://product.hstatic.net/200000428801/product/upload_2573561153584e209a4d5549cacf1017.jpg</t>
  </si>
  <si>
    <t>Q302229833</t>
  </si>
  <si>
    <t>" Glucophage 500mg Metformin Hydrochloride 500mg Merck (Hộp 5 vỉ x 10 viên) "</t>
  </si>
  <si>
    <t>https://product.hstatic.net/200000428801/product/upload_518f02619980408aa7a95d3626cee9a4.jpg</t>
  </si>
  <si>
    <t>Q302883744</t>
  </si>
  <si>
    <t>" Glucophage 850mg Metformin Hydrochloride 850mg Merck (Hộp 5 vỉ x 20 viên) "</t>
  </si>
  <si>
    <t>https://product.hstatic.net/200000428801/product/upload_9a95f6bc297b4450b0e0013174346ab7.jpg</t>
  </si>
  <si>
    <t>Q30221032359</t>
  </si>
  <si>
    <t>" Glucovance 500/5mg Merck (hộp 2 vỉ x 15 viên nén) "</t>
  </si>
  <si>
    <t>https://product.hstatic.net/200000428801/product/upload_4732a6fd53bc40fa8cd918aed164db2b.jpg</t>
  </si>
  <si>
    <t>Q302993984</t>
  </si>
  <si>
    <t>" Glumeben DHG 500mg/2,5mg DHG (Hộp 3 vỉ x 10 viên nén bao phim) "</t>
  </si>
  <si>
    <t>https://product.hstatic.net/200000428801/product/upload_94d4107f7bdd42d48b8ed34c423e1dfd.jpg</t>
  </si>
  <si>
    <t>Q302364736</t>
  </si>
  <si>
    <t>" Glumeform 500 Metformin hydroclorid 500mg (Hộp 10 vỉ x 10 viên) "</t>
  </si>
  <si>
    <t>Q302545457</t>
  </si>
  <si>
    <t>" Grandaxin Tofisopam 50mg Egis (Hộp 2vỉ x 10 viên nén) "</t>
  </si>
  <si>
    <t>https://product.hstatic.net/200000428801/product/upload_ef47cee2172d40b7b42eaf5a7967d18c.jpg</t>
  </si>
  <si>
    <t>Q30224021</t>
  </si>
  <si>
    <t>" Grangel dạ dày Shinpoong (Hộp 20 gói x 10ml ) "</t>
  </si>
  <si>
    <t>https://product.hstatic.net/200000428801/product/upload_71e040f6eed4420abafe9aa0676ba512.jpg</t>
  </si>
  <si>
    <t>Q30200038</t>
  </si>
  <si>
    <t>" Hapacol 150Flu DHG ( Hộp 24 gói x 1,5g thuốc bột sửi bọt) "</t>
  </si>
  <si>
    <t>https://product.hstatic.net/200000428801/product/upload_53aebb53d053472ca3158e1e600023f8.jpg</t>
  </si>
  <si>
    <t>Q302565468</t>
  </si>
  <si>
    <t>" Hapacol 250 Sinus Flu DHG (Hộp 24 gói x 1,5g) "</t>
  </si>
  <si>
    <t>https://product.hstatic.net/200000428801/product/upload_3a88ddf7be3444dba5e1aff394565465.jpg</t>
  </si>
  <si>
    <t>Q302663897</t>
  </si>
  <si>
    <t>" Hapacol Blue Paracetamol 500mg DHG (Hộp 10 vỉ x 10 viên nén bao phim) "</t>
  </si>
  <si>
    <t>https://product.hstatic.net/200000428801/product/96_e57c59e006614841b061328c49038634.png</t>
  </si>
  <si>
    <t>SP648506</t>
  </si>
  <si>
    <t>" Hapacol extra giảm đau hạ sốt (H/ 10 vỉ x 10 viên)</t>
  </si>
  <si>
    <t>https://product.hstatic.net/200000428801/product/upload_07356e1494f94e78bb9d9b9ebf510fbe.jpg</t>
  </si>
  <si>
    <t>Q302875986</t>
  </si>
  <si>
    <t>" Hapacol Paracetamol 150mg DHG (Hộp 24 gói x 1,5g thuốc bột sủi bọt) "</t>
  </si>
  <si>
    <t>https://product.hstatic.net/200000428801/product/upload_d9ad010be65c469383cb3fbb62cd0df9.jpg</t>
  </si>
  <si>
    <t>Q302197546</t>
  </si>
  <si>
    <t>" Hapacol Paracetamol 250mg DHG (Hộp 24 gói x 1,5g thuốc bột sủi bọt) "</t>
  </si>
  <si>
    <t>https://product.hstatic.net/200000428801/product/upload_b47fee341e564a248c0326e97786ef46.jpg</t>
  </si>
  <si>
    <t>Q302779097</t>
  </si>
  <si>
    <t>" Hapacol Paracetamol 325mg DHG (Hộp 10 vỉ x 10 viên nén dài) "</t>
  </si>
  <si>
    <t>https://product.hstatic.net/200000428801/product/upload_44f21885973c4039a9b9f7751994b42f.jpg</t>
  </si>
  <si>
    <t>Q302059489</t>
  </si>
  <si>
    <t>" Hapacol Paracetamol 650mg DHG (Hộp 10 vỉ x 5 viên nén) "</t>
  </si>
  <si>
    <t>https://product.hstatic.net/200000428801/product/upload_30104886f737463385817082a1c96702.jpg</t>
  </si>
  <si>
    <t>Q302096789</t>
  </si>
  <si>
    <t>" Hapacol Paracetamol 80mg DHG (Hộp 24 gói x 1,5g thuốc bột sủi bọt) "</t>
  </si>
  <si>
    <t>https://product.hstatic.net/200000428801/product/upload_5db51c0219904b6d8ab3b8d57ee40222.jpg</t>
  </si>
  <si>
    <t>Q302117986</t>
  </si>
  <si>
    <t>" Hapacol Sủi Paracetamol 500mg DHG (Hộp 4 vỉ x 4 viên sủi bọt) "</t>
  </si>
  <si>
    <t>https://product.hstatic.net/200000428801/product/upload_c7230e1b4e0d4656bf6981315968a058.jpg</t>
  </si>
  <si>
    <t>Q302456246</t>
  </si>
  <si>
    <t>" Hapenxin Cephalexin 250 Kids DHG (Hộp 24 gói x 1,4 g) "</t>
  </si>
  <si>
    <t>https://product.hstatic.net/200000428801/product/upload_02f4c015b2874e69ab210503ddcab5bb.jpg</t>
  </si>
  <si>
    <t>Q302884739</t>
  </si>
  <si>
    <t>" Hepatotherapy Heltan L-Ornithine-L-Aspartate 500mg/5ml Myung-In (Hộp 10 ống x 5ml) "</t>
  </si>
  <si>
    <t>https://product.hstatic.net/200000428801/product/upload_b4f63617c49d4d60b42cccd97cda1e06.jpg</t>
  </si>
  <si>
    <t>q3029997777</t>
  </si>
  <si>
    <t>" Himalaya chanh muối ( hộp 12 gói) "</t>
  </si>
  <si>
    <t>https://product.hstatic.net/200000428801/product/upload_60b775c1931a434d93aad2d15d74c52f.jpg</t>
  </si>
  <si>
    <t>Q302948978</t>
  </si>
  <si>
    <t>" Hoàn Cứng Sitar Traphaco (Hộp 10 gói x 5g) "</t>
  </si>
  <si>
    <t>https://product.hstatic.net/200000428801/product/upload_4ecc253b27ed41da9b64a36aa832fb6f.jpg</t>
  </si>
  <si>
    <t>Q302520052</t>
  </si>
  <si>
    <t>" Hoạt Huyết Dưỡng Não Trapaco (Hộp 5 vỉ x 20 viên nén bao đường) "</t>
  </si>
  <si>
    <t>https://product.hstatic.net/200000428801/product/upload_63c9f9904dff4bfe822085b13bac2342.jpg</t>
  </si>
  <si>
    <t>Q30211133344</t>
  </si>
  <si>
    <t>" Hoạt Huyết Nhất Nhất (H/3 vỉ x 10 viên)"</t>
  </si>
  <si>
    <t>https://product.hstatic.net/200000428801/product/upload_61b43e93c0f94d2e8d56367aeb1b08bd.jpg</t>
  </si>
  <si>
    <t>SP000005</t>
  </si>
  <si>
    <t>" Hoạt Huyết Thông Mạch P/H ( LỌ 250ml) '</t>
  </si>
  <si>
    <t>https://product.hstatic.net/200000428801/product/upload_1f6736f9ef0642588013bfab634f4581.jpg</t>
  </si>
  <si>
    <t>q3021818183839</t>
  </si>
  <si>
    <t>" Hoạt huyết thông mạch TW 3( H/30v) "</t>
  </si>
  <si>
    <t>https://product.hstatic.net/200000428801/product/upload_e561ef82e1c74d2a9aed2daffb2a6f26.jpg</t>
  </si>
  <si>
    <t>Q30220032341</t>
  </si>
  <si>
    <t>" Hồ Nước Hóa Dược (cọc 10 lọ x 20g) "</t>
  </si>
  <si>
    <t>https://product.hstatic.net/200000428801/product/upload_acb59659623f43ada57767fa714640f6.jpg</t>
  </si>
  <si>
    <t>Q30221032351</t>
  </si>
  <si>
    <t>" Humer xịt muối biển màu xanh Pháp (lọ 150ml xịt người lớn) "</t>
  </si>
  <si>
    <t>https://product.hstatic.net/200000428801/product/upload_ce1672c92ef147a295522423c92b2474.jpg</t>
  </si>
  <si>
    <t>Q30221032364</t>
  </si>
  <si>
    <t>" Janumet 50mg/1000mg MSD (hộp 4 vỉ x 7 viên nén) "</t>
  </si>
  <si>
    <t>https://product.hstatic.net/200000428801/product/upload_897db2842a8d42028ed649a5ed7de5b3.jpg</t>
  </si>
  <si>
    <t>Q30221032365</t>
  </si>
  <si>
    <t>" Janumet 50mg/500mg MSD (hộp 4 vỉ x 7 viên nén) "</t>
  </si>
  <si>
    <t>https://product.hstatic.net/200000428801/product/upload_ffec2c914330470ea37917d447a49759.jpg</t>
  </si>
  <si>
    <t>Q30221032366</t>
  </si>
  <si>
    <t>" Janumet 50mg/850mg MSD (hộp 4 vỉ x 7 viên nén) "</t>
  </si>
  <si>
    <t>https://product.hstatic.net/200000428801/product/upload_561f2570995f422e8b3b4d27dccb5679.jpg</t>
  </si>
  <si>
    <t>Q30221032367</t>
  </si>
  <si>
    <t>" Janumet XR 100mg/1000mg MSD (lọ 28 viên) "</t>
  </si>
  <si>
    <t>https://product.hstatic.net/200000428801/product/upload_53f9549e0d164685817e3a554a74c5df.jpg</t>
  </si>
  <si>
    <t>Q30220032349</t>
  </si>
  <si>
    <t>" Johnson Baby Oil Thái Lan (lọ 200ml) "</t>
  </si>
  <si>
    <t>https://product.hstatic.net/200000428801/product/upload_9b451a028e0a4f87ac61fa4ee56c4ff9.jpg</t>
  </si>
  <si>
    <t>Q30220032350</t>
  </si>
  <si>
    <t>" Johnson Baby Oil Thái Lan (lọ 50ml) "</t>
  </si>
  <si>
    <t>https://product.hstatic.net/200000428801/product/upload_cc3d5c11eb7e4c34a8a00d4fcbcc5237.jpg</t>
  </si>
  <si>
    <t>Q3023052319</t>
  </si>
  <si>
    <t>" Kalecin Clarithromycin 500mg Mekophar (hộp 2 vỉ x 5 viên nén bao phim) "</t>
  </si>
  <si>
    <t>https://product.hstatic.net/200000428801/product/upload_f9d03d6004b04ff2ab3469103cee39ec.jpg</t>
  </si>
  <si>
    <t>Q3023052320</t>
  </si>
  <si>
    <t>" Kaleorid Potassium 600mg Đan Mạch (hộp 3 vỉ x 10 viên nén) "</t>
  </si>
  <si>
    <t>https://product.hstatic.net/200000428801/product/98_64d9eeea69aa467f814397b2b425e1c1.png</t>
  </si>
  <si>
    <t>Q3023052321</t>
  </si>
  <si>
    <t>" Kali Clorid Vĩnh Phúc (hộp 10 vỉ x 5 ống x 5ml tiêm) "</t>
  </si>
  <si>
    <t>https://product.hstatic.net/200000428801/product/upload_f75f5ba4ca5d46db81b1010867df351f.jpg</t>
  </si>
  <si>
    <t>Q3023052322</t>
  </si>
  <si>
    <t>" Kamelox Meloxicam 7,5mg Khánh Hòa (hộp 2 x 10 viên nén) "</t>
  </si>
  <si>
    <t>https://product.hstatic.net/200000428801/product/upload_f38faed4b76e4a07a9114be4a8fba3e5.jpg</t>
  </si>
  <si>
    <t>Q3023052323</t>
  </si>
  <si>
    <t>" Kaminzetad New gel nhiệt miệng Hadophar (hộp 1 tuýp 10g) "</t>
  </si>
  <si>
    <t>https://product.hstatic.net/200000428801/product/upload_f56f0b4c7fce499b8328c212f4bf107e.jpg</t>
  </si>
  <si>
    <t>Q3023052324</t>
  </si>
  <si>
    <t>" Kamistad gel Stada (tuýp 10g) "</t>
  </si>
  <si>
    <t>https://product.hstatic.net/200000428801/product/89_99dd54ddd82447799a70a65ee3e671fd.png</t>
  </si>
  <si>
    <t>Q3023052325</t>
  </si>
  <si>
    <t>" Kan Imunoglukan P4H Syrup Slovakia (lọ 120ml) "</t>
  </si>
  <si>
    <t>https://product.hstatic.net/200000428801/product/90_b3075b8a049545cfa66bbf777d3a1773.png</t>
  </si>
  <si>
    <t>Q3023052326</t>
  </si>
  <si>
    <t>" Kary Uni Pirenoxin 0.005% nhỏ mắt 5ml Nhật "</t>
  </si>
  <si>
    <t>https://product.hstatic.net/200000428801/product/upload_16177773616d405cb126e055fcde54a7.jpg</t>
  </si>
  <si>
    <t>Q3023052328</t>
  </si>
  <si>
    <t>" Kedermfa Quang Minh (cọc 10 tuýp x 5g) "</t>
  </si>
  <si>
    <t>https://product.hstatic.net/200000428801/product/91_e238917072b34cb2902e7356efbede97.png</t>
  </si>
  <si>
    <t>Q3023052329</t>
  </si>
  <si>
    <t>" Kefcin Cefaclor 125mg Hậu Giang (hộp 24 gói x 1.5g) "</t>
  </si>
  <si>
    <t>https://product.hstatic.net/200000428801/product/upload_64907fa45e124a6aa09ac511d483bbe2.jpg</t>
  </si>
  <si>
    <t>Q3023052330</t>
  </si>
  <si>
    <t>" Kegynan Quang Minh (Cọc 10h x 1 vỉ x 10 viên đặt) "</t>
  </si>
  <si>
    <t>https://product.hstatic.net/200000428801/product/upload_0f16ca14b00f4d8e8f980d526f69d136.jpg</t>
  </si>
  <si>
    <t>Q302999473</t>
  </si>
  <si>
    <t>" Kem Bôi Acyclovir Stada (Lốc 10 tuýp x tuýp 2g) "</t>
  </si>
  <si>
    <t>https://product.hstatic.net/200000428801/product/93_0e277a53f65247af8458f2381431520c.png</t>
  </si>
  <si>
    <t>Q302235434</t>
  </si>
  <si>
    <t>" Kem Bôi Clotrimazole B.P Satyam (Tuýp 15g) "</t>
  </si>
  <si>
    <t>https://product.hstatic.net/200000428801/product/upload_a816fe27af224a08a4cb2e982213b4bc.jpg</t>
  </si>
  <si>
    <t>Q302846784</t>
  </si>
  <si>
    <t>" Kem Bôi Da Promethazin 2% Medipharco ( Lốc 10 tuýp - Tuýp 10g) "</t>
  </si>
  <si>
    <t>https://product.hstatic.net/200000428801/product/upload_6f073eaddaf2461195f11debfe5e8eea.jpg</t>
  </si>
  <si>
    <t>Q30200076</t>
  </si>
  <si>
    <t>" Kem bôi da Thuần Mộc Thanh Mộc Hương (Tuýp 16g)"</t>
  </si>
  <si>
    <t>https://product.hstatic.net/200000428801/product/upload_aa191b062032409fbb2bd61074aa623e.jpg</t>
  </si>
  <si>
    <t>Q302000112</t>
  </si>
  <si>
    <t>" Kem bôi da YOOSUN rau má Đại Bắc (Lốc 10 tuýp/ 25g)"</t>
  </si>
  <si>
    <t>https://product.hstatic.net/200000428801/product/upload_401a4f395bd4452fb80695f19768d614.jpg</t>
  </si>
  <si>
    <t>Q302900383</t>
  </si>
  <si>
    <t>" Kem Bôi Megaduo Gel Azelaic Acid &amp; Glycolic acid (AHA) Gamma Chemicals (Tuýp 15g) "</t>
  </si>
  <si>
    <t>https://product.hstatic.net/200000428801/product/upload_72ba1ae6807b4f5cbcc4d989e573b72f.jpg</t>
  </si>
  <si>
    <t>Q302778200</t>
  </si>
  <si>
    <t>" Kem Bôi Towders Permethrin 5% Ocean (Tuýp 15g) "</t>
  </si>
  <si>
    <t>https://product.hstatic.net/200000428801/product/upload_875e529c5c6240f5a871aae6d3f6f7cb.jpg</t>
  </si>
  <si>
    <t>Q302335643</t>
  </si>
  <si>
    <t>" Kem Dưỡng Da Evita New Traphaco (Hộp 1 tuýp 30g) "</t>
  </si>
  <si>
    <t>https://product.hstatic.net/200000428801/product/upload_cc8a2f621f654175a501f66cf983053a.jpg</t>
  </si>
  <si>
    <t>Q302337489</t>
  </si>
  <si>
    <t>" Kem Đánh Răng Aquafresh Fresh &amp; Minty GSK (Tuýp 100ml) "</t>
  </si>
  <si>
    <t>https://product.hstatic.net/200000428801/product/upload_d80ffbd388154728aa03b051fd90f0b9.jpg</t>
  </si>
  <si>
    <t>Q302011983</t>
  </si>
  <si>
    <t>" Kem Đánh Răng Dược Liệu Ngọc Châu Hoa Linh (Tuýp 125g) "</t>
  </si>
  <si>
    <t>https://product.hstatic.net/200000428801/product/upload_01c6646ed9454ea48f28abfcfdb81a37.jpg</t>
  </si>
  <si>
    <t>Q302665458</t>
  </si>
  <si>
    <t>" Kem Đánh Răng Dược Liệu Ngọc Châu Trắng Sáng Hoa Linh (Tuýp 100g) "</t>
  </si>
  <si>
    <t>https://product.hstatic.net/200000428801/product/upload_1c82a53850904e7f914a8010ca113808.jpg</t>
  </si>
  <si>
    <t>Q302095849</t>
  </si>
  <si>
    <t>" Kem Gót Sen Thái Dương (cọc 10 tuýp x 20g) "</t>
  </si>
  <si>
    <t>https://product.hstatic.net/200000428801/product/upload_ac2767cda1ed47afbebf2d70e25dd2f9.jpg</t>
  </si>
  <si>
    <t>Q302294838</t>
  </si>
  <si>
    <t>" Kem Nghệ và Vitamin Thái Dương Nano Bạc (Lốc 10 hộp x Tuýp 20g) "</t>
  </si>
  <si>
    <t>https://product.hstatic.net/200000428801/product/upload_de0217645da941d18f16dc64a092c9be.jpg</t>
  </si>
  <si>
    <t>Q302877166</t>
  </si>
  <si>
    <t>" Kem Tẩy Lông Veet Silk&amp;Fresh Pakistan (Tuýp 50g) (hồng) "</t>
  </si>
  <si>
    <t>https://product.hstatic.net/200000428801/product/upload_6272736efa5c4ea3b9018af86b177b49.jpg</t>
  </si>
  <si>
    <t>Q30200024</t>
  </si>
  <si>
    <t>" Kẹo ngậm ho Eucatol Bostone (H/100 viên)"</t>
  </si>
  <si>
    <t>https://product.hstatic.net/200000428801/product/upload_832d67a56422416888fe3ce9eebeffa6.jpg</t>
  </si>
  <si>
    <t>Q302676483</t>
  </si>
  <si>
    <t>" Kẹo Ngậm Vitamin Bipp C DHG (Hộp 35 gói x 10 viên) "</t>
  </si>
  <si>
    <t>https://product.hstatic.net/200000428801/product/upload_ee2537d754234d489e3d52640dde6e7d.jpg</t>
  </si>
  <si>
    <t>Q3023052308</t>
  </si>
  <si>
    <t>" Khương thảo đan Gold Thái Minh (lọ 30 viên) "</t>
  </si>
  <si>
    <t>https://product.hstatic.net/200000428801/product/upload_d77396d2d5fe4bbfa7487865fb5d61fe.jpg</t>
  </si>
  <si>
    <t>Q3023052309</t>
  </si>
  <si>
    <t>" Kibaluron Phil (Tube 10g) " (10/2025)</t>
  </si>
  <si>
    <t>https://product.hstatic.net/200000428801/product/upload_f1b77ac13050451b9235d4ed26c5b1f0.jpg</t>
  </si>
  <si>
    <t>Q3023052310</t>
  </si>
  <si>
    <t>" Kichidogel dán hạ sốt Kichilachi (hộp 6 miếng) " (cọc 5 hộp)</t>
  </si>
  <si>
    <t>https://product.hstatic.net/200000428801/product/upload_8ca3b08de49e408e9a07b83648a530ae.jpg</t>
  </si>
  <si>
    <t>Q3023052311</t>
  </si>
  <si>
    <t>" Kichigo băng cá nhân bé Kichilachi (hộp 102 miếng) "</t>
  </si>
  <si>
    <t>Q3023052312</t>
  </si>
  <si>
    <t>" Kid Eye Việt Đức (hộp 20 gói x 3g) "</t>
  </si>
  <si>
    <t>https://product.hstatic.net/200000428801/product/upload_9d89570525e04dfe8524d1b7896891fa.jpg</t>
  </si>
  <si>
    <t>Q3021142385</t>
  </si>
  <si>
    <t>" Kiddie Cal Úc (lọ 30 viên) "</t>
  </si>
  <si>
    <t>https://product.hstatic.net/200000428801/product/upload_dd34d81dbd1643ecbe2f15fef5da63e9.jpg</t>
  </si>
  <si>
    <t>Q3023052314</t>
  </si>
  <si>
    <t>" Kidmega UBB (lọ 60 viên) "</t>
  </si>
  <si>
    <t>https://product.hstatic.net/200000428801/product/upload_f649419da06048eb9f9083fa37d15ea7.jpg</t>
  </si>
  <si>
    <t>Q3023052316</t>
  </si>
  <si>
    <t>" KIDVita – TDF Hà Nam (hộp 20 ống x 7,5ml) "</t>
  </si>
  <si>
    <t>https://product.hstatic.net/200000428801/product/97_d83a39bfbf5d4f83bfe7e7a8022ccca9.png</t>
  </si>
  <si>
    <t>Q3023052317</t>
  </si>
  <si>
    <t>" KIDVita – TDF Vitamin Acid amin Khoáng chất Hà Nam (hộp 20 ống x 15ml) "</t>
  </si>
  <si>
    <t>https://product.hstatic.net/200000428801/product/upload_1207293ad7d64c36a61e027a38ae7a55.jpg</t>
  </si>
  <si>
    <t>Q3023052301</t>
  </si>
  <si>
    <t>" Kiện khớp tiêu thống collagen Học viện Quân Y (lọ 60 viên) "</t>
  </si>
  <si>
    <t>https://product.hstatic.net/200000428801/product/upload_b6f0ee39cc894a09974860351d0656df.jpg</t>
  </si>
  <si>
    <t>Q3023052302</t>
  </si>
  <si>
    <t>" Kiều xuân tăng cường nội tiết Vinh Gia (hộp 2 vỉ x 10 viên) "</t>
  </si>
  <si>
    <t>https://product.hstatic.net/200000428801/product/upload_7d58e62490fc402994fa01b95b2e3569.jpg</t>
  </si>
  <si>
    <t>Q3022652377</t>
  </si>
  <si>
    <t>" Kim lấy thuốc 18G Vinahankook (hộp 100 chiếc) "</t>
  </si>
  <si>
    <t>https://product.hstatic.net/200000428801/product/100_24cf2222981e47ebb011c082fb0d8f26.png</t>
  </si>
  <si>
    <t>Q3022652378</t>
  </si>
  <si>
    <t>" Kim lấy thuốc 20G Vinahankook (hộp 100 chiếc) "</t>
  </si>
  <si>
    <t>https://product.hstatic.net/200000428801/product/102_7e85c48866b24b28bff12c0bc103cd85.png</t>
  </si>
  <si>
    <t>Q3022652379</t>
  </si>
  <si>
    <t>" Kim lấy thuốc 23G Vinahankook (hộp 100 chiếc) "</t>
  </si>
  <si>
    <t>https://product.hstatic.net/200000428801/product/upload_a821d9ae13a54abb917823bfa7a2b39a.jpg</t>
  </si>
  <si>
    <t>Q3022652380</t>
  </si>
  <si>
    <t>" Kim Long Bảo Long (hộp 10 gói x 4g) "</t>
  </si>
  <si>
    <t>https://product.hstatic.net/200000428801/product/upload_16014da336f74c64888fb1e8c696069e.jpg</t>
  </si>
  <si>
    <t>Q302230323243</t>
  </si>
  <si>
    <t>" Kim luồn 22G Nervtec Ấn Độ (hộp 100 cái) "</t>
  </si>
  <si>
    <t>https://product.hstatic.net/200000428801/product/upload_523667521c4043819bfb078462a702d7.jpg</t>
  </si>
  <si>
    <t>Q302230323244</t>
  </si>
  <si>
    <t>" Kim luồn tĩnh mạch 22G Vivon hộp 100 chiếc "</t>
  </si>
  <si>
    <t>https://product.hstatic.net/200000428801/product/upload_1fffc91063914c9e8d2dd11a31d85278.jpg</t>
  </si>
  <si>
    <t>Q302230323245</t>
  </si>
  <si>
    <t>" Kim luồn tĩnh mạch 24G Helflon hộp 100 chiếc "</t>
  </si>
  <si>
    <t>https://product.hstatic.net/200000428801/product/upload_3a5e1d2ad9294ee18d25063530b32b53.jpg</t>
  </si>
  <si>
    <t>Q302230323246</t>
  </si>
  <si>
    <t>" Kim luồn tĩnh mạch 24G Introcan B.Braun (hộp 50 chiếc) "</t>
  </si>
  <si>
    <t>https://product.hstatic.net/200000428801/product/e74ef8432ad84c63958e18a168e9593f_b01f197ae90549848c6fe940d445a361.png</t>
  </si>
  <si>
    <t>Q302230323247</t>
  </si>
  <si>
    <t>" Kim luồn tĩnh mạch 24G Vivon hộp 100 chiếc "</t>
  </si>
  <si>
    <t>https://product.hstatic.net/200000428801/product/upload_21142f13aa404a87bb87d2375ce99dd5.jpg</t>
  </si>
  <si>
    <t>Q3022652381</t>
  </si>
  <si>
    <t>" Kim miễn khang Á Âu (hộp 3 vỉ x 10 viên nén) "</t>
  </si>
  <si>
    <t>https://product.hstatic.net/200000428801/product/upload_76ecdf6dbf8b40dd9d47f6f68ee686c1.jpg</t>
  </si>
  <si>
    <t>Q3022652383</t>
  </si>
  <si>
    <t>" Kim thần khang Á Âu (hộp 3 vỉ x 10 viên nén) "</t>
  </si>
  <si>
    <t>https://product.hstatic.net/200000428801/product/upload_c0730a68c3114e728c87d7f6968008d1.jpg</t>
  </si>
  <si>
    <t>Q3022652384</t>
  </si>
  <si>
    <t>" Kim thính Á Âu (hộp 3 vỉ x 10 viên) "</t>
  </si>
  <si>
    <t>https://product.hstatic.net/200000428801/product/95_131c7b31a3e44c11aed005011086f1d7.png</t>
  </si>
  <si>
    <t>Q3022652386</t>
  </si>
  <si>
    <t>" Kim tiền thảo Đại Y (Cọc 6 lọ / 100 viên bao phim) "</t>
  </si>
  <si>
    <t>https://product.hstatic.net/200000428801/product/upload_5b1fff71b1d14c39bacbaa87829b6797.jpg</t>
  </si>
  <si>
    <t>Q3022652389</t>
  </si>
  <si>
    <t>" Kim tiền thảo Hậu Giang (lọ 100 viên nén bao phim) "</t>
  </si>
  <si>
    <t>https://product.hstatic.net/200000428801/product/upload_d0d886dccd134357aeddfdd8de305085.jpg</t>
  </si>
  <si>
    <t>Q3022652385</t>
  </si>
  <si>
    <t>" Kim tiền thảo OPC (lọ 100 viên bao đường) "</t>
  </si>
  <si>
    <t>https://product.hstatic.net/200000428801/product/upload_f4d8ce7e67e44ac9a35d0b03f8f4dd86.jpg</t>
  </si>
  <si>
    <t>Q3022652387</t>
  </si>
  <si>
    <t>" Kim tiền thảo OPC (lọ 100 viên không đường) "</t>
  </si>
  <si>
    <t>https://product.hstatic.net/200000428801/product/upload_ae9756c29d0745ab8285fbe52437b6b1.jpg</t>
  </si>
  <si>
    <t>Q3022652388</t>
  </si>
  <si>
    <t>" Kim tiền thảo PV Phúc Vinh (lọ 100 viên bao đường) "</t>
  </si>
  <si>
    <t>https://product.hstatic.net/200000428801/product/upload_2e0749fcc304455ba34491711719c550.jpg</t>
  </si>
  <si>
    <t>Q302127438</t>
  </si>
  <si>
    <t>" Kim Tiền Thảo Rau Mèo Abipha (Hộp 1 lọ X 100 Viên nang mềm) "</t>
  </si>
  <si>
    <t>https://product.hstatic.net/200000428801/product/upload_fd8a43b29bb74a4fb4c213a2d45a6760.jpg</t>
  </si>
  <si>
    <t>Q302773642</t>
  </si>
  <si>
    <t>" Kim Tiền Thảo Rau Mèo DHG (Hộp 1 chai x 100 viên nén bao đường) "</t>
  </si>
  <si>
    <t>https://product.hstatic.net/200000428801/product/upload_6ac031a3ee5c4ca7977f298ae73e6fe9.jpg</t>
  </si>
  <si>
    <t>Q302230323240</t>
  </si>
  <si>
    <t>" Kim truyền tĩnh mạch cánh bướm 23G Vinahankook (hộp 50 chiếc) "</t>
  </si>
  <si>
    <t>https://product.hstatic.net/200000428801/product/upload_d6c97b6c1ac5454f9876c68fad11da3f.jpg</t>
  </si>
  <si>
    <t>Q302230323241</t>
  </si>
  <si>
    <t>" Kim truyền tĩnh mạch cánh bướm 25G B.Braun Đức (hộp 50 chiếc) "</t>
  </si>
  <si>
    <t>https://product.hstatic.net/200000428801/product/101_21f1b2c6c7c94f34ba6a4a9d0c5c083c.png</t>
  </si>
  <si>
    <t>Q302230323242</t>
  </si>
  <si>
    <t>" Kim truyền tĩnh mạch cánh bướm 25G Vinahankook (hộp 50 chiếc) "</t>
  </si>
  <si>
    <t>https://product.hstatic.net/200000428801/product/upload_856037233c054ae1827f1548d5ffc28e.jpg</t>
  </si>
  <si>
    <t>Q3022652392</t>
  </si>
  <si>
    <t>" Kitbipharton Hà Tây (hộp 10 vỉ x 10 viên nang mềm) "</t>
  </si>
  <si>
    <t>https://product.hstatic.net/200000428801/product/upload_c7d168d414a4400da1c4f6fb9bd13f92.jpg</t>
  </si>
  <si>
    <t>Q3022652393</t>
  </si>
  <si>
    <t>" Kizemit-S Thành Nam (hộp 5 vỉ x 20 viên nhai) "</t>
  </si>
  <si>
    <t>https://product.hstatic.net/200000428801/product/upload_5c3bf32d479b4e2ea5a25eb2127bbb51.jpg</t>
  </si>
  <si>
    <t>Q3022652394</t>
  </si>
  <si>
    <t>" Klacid 125mg/5mg Clarithromycin siro Abbott (lọ 60ml) "</t>
  </si>
  <si>
    <t>https://product.hstatic.net/200000428801/product/upload_2fbd0c44a24f4cdc8a64bd149d3cb9bb.jpg</t>
  </si>
  <si>
    <t>Q3022652395</t>
  </si>
  <si>
    <t>" Klacid Clarithromycin 250mg Abbott (hộp 1 vỉ x 10 viên nén) "</t>
  </si>
  <si>
    <t>https://product.hstatic.net/200000428801/product/236d35817193afcdf682_f3cdc1ffca364a57b1d6d6dcf70cf36b.jpg</t>
  </si>
  <si>
    <t>Q3022652396</t>
  </si>
  <si>
    <t>" Klacid Fort Clarithromycin 500mg Abbott (hộp 1 vỉ x 14 viên) "</t>
  </si>
  <si>
    <t>https://product.hstatic.net/200000428801/product/upload_a9031ea167284b0a86252cb589290f5b.jpg</t>
  </si>
  <si>
    <t>Q3022652397</t>
  </si>
  <si>
    <t>" Klacid MR Clarithromycin 500mg Abbott (hộp 1 vỉ x 5 viên) "</t>
  </si>
  <si>
    <t>https://product.hstatic.net/200000428801/product/upload_7d68621cfdbb41968374623e1bdced40.jpg</t>
  </si>
  <si>
    <t>Q3022652398</t>
  </si>
  <si>
    <t>" Klamentin 250/31.25 Hậu Giang (hộp 24 gói x 1g) "</t>
  </si>
  <si>
    <t>https://product.hstatic.net/200000428801/product/upload_228a9391956f4c8db43b0f2f4fa2a3d0.jpg</t>
  </si>
  <si>
    <t>Q30200059</t>
  </si>
  <si>
    <t>" Klamentin 500/125 Dhg ( H/12v)"</t>
  </si>
  <si>
    <t>https://product.hstatic.net/200000428801/product/upload_f3c36900353442b09a24761d233c6749.jpg</t>
  </si>
  <si>
    <t>Q3022652399</t>
  </si>
  <si>
    <t>" Klamentin 500/62.5 Hậu Giang (hộp 24 gói x 2g) "</t>
  </si>
  <si>
    <t>https://product.hstatic.net/200000428801/product/upload_0a77fcd4ce0a4890b1235d89b8b14364.jpg</t>
  </si>
  <si>
    <t>Q3020000673</t>
  </si>
  <si>
    <t>" Klamentin 875/125 Dhg ( H/14v)"</t>
  </si>
  <si>
    <t>https://product.hstatic.net/200000428801/product/upload_b18af3aef11840969ec571c1bf337c9e.jpg</t>
  </si>
  <si>
    <t>Q30221032340</t>
  </si>
  <si>
    <t>" Klavunamox BID 1000mg Atabay Thổ Nhĩ Kỳ (hộp 2 vỉ x 5 viên) "</t>
  </si>
  <si>
    <t>https://product.hstatic.net/200000428801/product/upload_d4477530ca084cd28342eb5d9df33dcc.jpg</t>
  </si>
  <si>
    <t>Q3022652400</t>
  </si>
  <si>
    <t>" Klenzit C trị mụn Glenmark Ấn Độ (Tube 15g) "date 8/25</t>
  </si>
  <si>
    <t>https://product.hstatic.net/200000428801/product/upload_cd03c29a1b6740d78605b2a5885d83a8.jpg</t>
  </si>
  <si>
    <t>Q3022652401</t>
  </si>
  <si>
    <t>" Klenzit MS trị mụn Glenmark Ấn Độ (Tube 15g) "</t>
  </si>
  <si>
    <t>https://product.hstatic.net/200000428801/product/upload_13a5b3dd1a484421b6169bf6fd205c74.jpg</t>
  </si>
  <si>
    <t>Q3022652403</t>
  </si>
  <si>
    <t>" Konimag PT Konimex Indonesia (hộp 30 gói x 7ml) "</t>
  </si>
  <si>
    <t>https://product.hstatic.net/200000428801/product/upload_900de53dbca64df8ab89bc78225b7296.jpg</t>
  </si>
  <si>
    <t>Q3022652407</t>
  </si>
  <si>
    <t>" Korudan Thymodulin 80mg Ecolife (hộp 6 vỉ x 10 viên nang) "</t>
  </si>
  <si>
    <t>https://product.hstatic.net/200000428801/product/upload_373e92092a12441693294bc6ea36e60b.jpg</t>
  </si>
  <si>
    <t>Q3022652408</t>
  </si>
  <si>
    <t>" Kremil S United (hộp 10 vỉ x 10 viên) "</t>
  </si>
  <si>
    <t>https://cdn-images.kiotviet.vn/giabaopharma/d64954f4949443098c65161098e887c3.png</t>
  </si>
  <si>
    <t>Q3022652409</t>
  </si>
  <si>
    <t>" Kutieskin chiết xuất yến mạch &amp; bơ shea Đức CVI (tuýp 30g) "</t>
  </si>
  <si>
    <t>https://product.hstatic.net/200000428801/product/upload_436a732b75be4042a2405ca54b9281be.jpg</t>
  </si>
  <si>
    <t>Q3022652410</t>
  </si>
  <si>
    <t>" Kutieskin chiết xuất yến mạch và nano bạc CVI (tuýp 30g) "</t>
  </si>
  <si>
    <t>https://product.hstatic.net/200000428801/product/upload_f89738c2f14d470d963ec5bb61126836.jpg</t>
  </si>
  <si>
    <t>Q3022652411</t>
  </si>
  <si>
    <t>" Kutieskin dầu hướng dương và bơ shea Đức CVI (tuýp 30g) "</t>
  </si>
  <si>
    <t>https://product.hstatic.net/200000428801/product/upload_66e73515be8a4240a636a43d4e4c618c.jpg</t>
  </si>
  <si>
    <t>Q3022652414</t>
  </si>
  <si>
    <t>" La Hán Quả Tana Tân Á (Cọc 5 hộp 3 vỉ x 8 viên ngậm) "</t>
  </si>
  <si>
    <t>https://product.hstatic.net/200000428801/product/upload_25d2ae83b7844548b8ab9c754bb87edd.jpg</t>
  </si>
  <si>
    <t>Q3022652417</t>
  </si>
  <si>
    <t>" Lacalut Aktiv chống viêm nướu Đức (Tube 75ml) "</t>
  </si>
  <si>
    <t>https://product.hstatic.net/200000428801/product/upload_f9ad716556184ab78f75a8ed4c29eac8.jpg</t>
  </si>
  <si>
    <t>Q3022652418</t>
  </si>
  <si>
    <t>" Laci eye Hydroxypropyl methylcellulose 0,3% CPC1 (hộp 1 lọ 10ml) "</t>
  </si>
  <si>
    <t>https://product.hstatic.net/200000428801/product/upload_2f38a4b293f94a58be94cb23c233b89b.jpg</t>
  </si>
  <si>
    <t>Q3022652420</t>
  </si>
  <si>
    <t>" Lacrifresh 0.2% Avizor (hộp 20 ống x 0.4ml) "</t>
  </si>
  <si>
    <t>https://product.hstatic.net/200000428801/product/63c21ce74ff591abc8e4_09912fa21903429f8caf2d8136071595.jpg</t>
  </si>
  <si>
    <t>Q3022652421</t>
  </si>
  <si>
    <t>" Lactomin men vi sinh RexGene Hàn Quốc (hộp 6 vỉ x 10 viên) "</t>
  </si>
  <si>
    <t>https://product.hstatic.net/200000428801/product/c39402c9e313457c95189516daa36636_0acc072eece148409a0a07aa0f84a616.jpg</t>
  </si>
  <si>
    <t>Q3022652325</t>
  </si>
  <si>
    <t>" Lacves LTD Farmaprim (hộp 2 vỉ x 5 viên đặt) "</t>
  </si>
  <si>
    <t>https://product.hstatic.net/200000428801/product/upload_a09bee90d1c64e8db80e8352e3a13b79.jpg</t>
  </si>
  <si>
    <t>Q3022652326</t>
  </si>
  <si>
    <t>" Lada bôi trĩ CPC1 (tube 10g) "</t>
  </si>
  <si>
    <t>https://product.hstatic.net/200000428801/product/upload_e2b6c3f7c4cd4f7fb1b7f19a5ab4b5e8.jpg</t>
  </si>
  <si>
    <t>Q3022652327</t>
  </si>
  <si>
    <t>" Lady Balance Đan Mạch (hộp 12 viên đặt) "</t>
  </si>
  <si>
    <t>https://product.hstatic.net/200000428801/product/upload_dcdb3434afa8433a8b126fca6ca32c73.jpg</t>
  </si>
  <si>
    <t>Q3022652328</t>
  </si>
  <si>
    <t>" Lady care Plus VSPN Hải Minh (lọ 200ml) "</t>
  </si>
  <si>
    <t>https://cdn2-retail-images.kiotviet.vn/2026/03/07/giabaopharma/e893c78a7fe140f6b7251c8606c74dfd.jpg</t>
  </si>
  <si>
    <t>Q3022652329</t>
  </si>
  <si>
    <t>" Lady Formine vệ sinh phụ nữ USP (hộp 4 vỉ x 4 viên nén sủi) "</t>
  </si>
  <si>
    <t>https://product.hstatic.net/200000428801/product/f9c8ebbe052b4f0ea3abb06eb4dbf1de_d4fa4ae2cef049a2b6fb38d5d3eba2d6.jpg</t>
  </si>
  <si>
    <t>Q3022652330</t>
  </si>
  <si>
    <t>" Ladza Cotrimazol 1% bôi da Dopharma TW2 (tuýp 15g) "</t>
  </si>
  <si>
    <t>https://product.hstatic.net/200000428801/product/upload_ac68cda7ee0842fcac446fdba5984ffb.jpg</t>
  </si>
  <si>
    <t>Q3022652331</t>
  </si>
  <si>
    <t>" Lambertu Pyridostigmin bromid 60mg Davipharm (hộp 6 vỉ x 10 viên nén) "</t>
  </si>
  <si>
    <t>https://cdn2-retail-images.kiotviet.vn/giabaopharma/c4cf11bb14b4470696e67f8f5d0df0db.jpg</t>
  </si>
  <si>
    <t>Q3022652332</t>
  </si>
  <si>
    <t>" Lamictal Lamotrigine 25mg Gsk (hộp 3 vỉ x 10 viên nén) "</t>
  </si>
  <si>
    <t>https://product.hstatic.net/200000428801/product/upload_56513072aa144380b57ca024f10af2fd.jpg</t>
  </si>
  <si>
    <t>Q3022652333</t>
  </si>
  <si>
    <t>" Lamictal Lamotrigine 50mg Gsk (hộp 3 vỉ x 10 viên nén) "</t>
  </si>
  <si>
    <t>https://product.hstatic.net/200000428801/product/upload_f5eb82f9b0014564860528a707738c70.jpg</t>
  </si>
  <si>
    <t>Q3022652334</t>
  </si>
  <si>
    <t>" Lamisil trị nấm da Novartis Thụy Sỹ (Tube 5g) "</t>
  </si>
  <si>
    <t>https://product.hstatic.net/200000428801/product/upload_f79fa94c82bd4daf9eeb80b5d018793a.jpg</t>
  </si>
  <si>
    <t>Q3022652335</t>
  </si>
  <si>
    <t>" Lamivudin Hasan 100 Lamivudine 100mg (hộp 10 vỉ x 10 viên nén) "</t>
  </si>
  <si>
    <t>https://product.hstatic.net/200000428801/product/upload_ff797ec56d634fc5a95cbc95c3b3316d.jpg</t>
  </si>
  <si>
    <t>Q3022652336</t>
  </si>
  <si>
    <t>" Langitax 10 Rivaroxaban 10mg Phong Phú (hộp 14 viên nén) "</t>
  </si>
  <si>
    <t>https://product.hstatic.net/200000428801/product/upload_55a2c69f72af4766abbc2455d9f75ff9.jpg</t>
  </si>
  <si>
    <t>Q3022652337</t>
  </si>
  <si>
    <t>" Langitax 15 Rivaroxaban 15mg Phong Phú (hộp 2 vỉ x 7 viên) "</t>
  </si>
  <si>
    <t>https://product.hstatic.net/200000428801/product/upload_0897993df9f24a74ac67d372506a6651.jpg</t>
  </si>
  <si>
    <t>Q3022652338</t>
  </si>
  <si>
    <t>" Langitax Rivaroxaban 20mg Usarich (hộp 2 vỉ x 7 viên nén) "</t>
  </si>
  <si>
    <t>https://product.hstatic.net/200000428801/product/upload_8b0be0b99c0c4423aec3b3d7f4f3e910.jpg</t>
  </si>
  <si>
    <t>Q3022652339</t>
  </si>
  <si>
    <t>" Lanocorbic Caps Vitamin C 500mg Pymepharco (hộp 10 vỉ x 10 viên nang) "</t>
  </si>
  <si>
    <t>https://product.hstatic.net/200000428801/product/upload_4a40e8767d594b40b29c6c025e537e2e.jpg</t>
  </si>
  <si>
    <t>Q3022652340</t>
  </si>
  <si>
    <t>" Lansoprazol 30mg Stella (hộp 3 vỉ x 10 viên nang cứng) "</t>
  </si>
  <si>
    <t>https://product.hstatic.net/200000428801/product/upload_be77b92380ce421c85a74cb58a945163.jpg</t>
  </si>
  <si>
    <t>Q3022652341</t>
  </si>
  <si>
    <t>" Lanzonium Lansoprazole 30mg Pymepharco (hộp 3 vỉ x 10 viên nang) "</t>
  </si>
  <si>
    <t>https://product.hstatic.net/200000428801/product/upload_68022d3785974204856075f06404a427.jpg</t>
  </si>
  <si>
    <t>Q3022652342</t>
  </si>
  <si>
    <t>" Laroxen an thần ngủ ngon Học viện Quân Y (lọ 100ml) "</t>
  </si>
  <si>
    <t>https://product.hstatic.net/200000428801/product/upload_bc76f5dda67c4257b0b3d70978039d12.jpg</t>
  </si>
  <si>
    <t>Q3022652344</t>
  </si>
  <si>
    <t>" Lasam xịt mũi người lớn Halaco (lọ 70ml) "</t>
  </si>
  <si>
    <t>https://product.hstatic.net/200000428801/product/upload_f222005919de47ccbf7137847cd20dd4.jpg</t>
  </si>
  <si>
    <t>Q3022652345</t>
  </si>
  <si>
    <t>" Lasam xịt mũi trẻ em Halaco (lọ 70ml) "</t>
  </si>
  <si>
    <t>https://product.hstatic.net/200000428801/product/upload_945de4bce0fa41519798efb8e25add6b.jpg</t>
  </si>
  <si>
    <t>Q3022652346</t>
  </si>
  <si>
    <t>" Lastro Lansoprazol 30mg Hậu Giang (hộp 3 vỉ x 10 viên nang cứng) "</t>
  </si>
  <si>
    <t>https://product.hstatic.net/200000428801/product/upload_b697d7eeaf884bbbb0ceed216ff7026d.jpg</t>
  </si>
  <si>
    <t>Q3022652349</t>
  </si>
  <si>
    <t>" Lavima Biotic (hộp 2 vỉ x 10 viên nang) "</t>
  </si>
  <si>
    <t>https://product.hstatic.net/200000428801/product/upload_7df39374f4844ef39636e04e27654838.jpg</t>
  </si>
  <si>
    <t>Q3022652350</t>
  </si>
  <si>
    <t>" Ldnil Rosuvastatin 10mg Ấn Độ (hộp 3 vỉ x 10 viên) "</t>
  </si>
  <si>
    <t>https://product.hstatic.net/200000428801/product/upload_51463744382e46479f7e460e9f631fc1.jpg</t>
  </si>
  <si>
    <t>Q3022652351</t>
  </si>
  <si>
    <t>" Leciflex 500 Levofloxacin 500mg Abbott (hộp 2 vỉ x 10 viên nén) "</t>
  </si>
  <si>
    <t>https://product.hstatic.net/200000428801/product/upload_b9b89c65e6d64b569f9c8837264d7429.jpg</t>
  </si>
  <si>
    <t>Q3022652352</t>
  </si>
  <si>
    <t>" Legalon 140mg Madaus (hộp 6 vỉ x 10 viên) "</t>
  </si>
  <si>
    <t>https://product.hstatic.net/200000428801/product/upload_df5294216a1747e38abdde668b5a7fcb.jpg</t>
  </si>
  <si>
    <t>Q3022652353</t>
  </si>
  <si>
    <t>" Legalon 70mg Madaus (hộp 10 vỉ x 10 viên nang) "</t>
  </si>
  <si>
    <t>https://product.hstatic.net/200000428801/product/upload_1cd2b0397ebc4a5aa60ba73d181be4be.jpg</t>
  </si>
  <si>
    <t>Q3022652354</t>
  </si>
  <si>
    <t>" Leolen Forte OPC (hộp 3 vỉ x 10 viên) "</t>
  </si>
  <si>
    <t>https://product.hstatic.net/200000428801/product/upload_b86163be29ac4aabacf1f0f5ef99b008.jpg</t>
  </si>
  <si>
    <t>Q3022652355</t>
  </si>
  <si>
    <t>" Lepatis điều trị rối loạn chức năng gan Phil (hộp 100 viên nang mềm) "</t>
  </si>
  <si>
    <t>https://product.hstatic.net/200000428801/product/upload_6d8ecdfce40a49f79696805c9167b009.jpg</t>
  </si>
  <si>
    <t>Q3022652356</t>
  </si>
  <si>
    <t>" Lepigin Clozapin 100mg Danapha (hộp 10 vỉ x 10 viên nén) "</t>
  </si>
  <si>
    <t>https://product.hstatic.net/200000428801/product/upload_8e398cf20fa5415db28556fe75cb5e65.jpg</t>
  </si>
  <si>
    <t>Q3022652357</t>
  </si>
  <si>
    <t>" Leukas Montelukast 4mg Thanh Hóa (hộp 30 gói) "</t>
  </si>
  <si>
    <t>https://product.hstatic.net/200000428801/product/upload_2125cc9dcd454e95b2aa036d0a918571.jpg</t>
  </si>
  <si>
    <t>Q3022652358</t>
  </si>
  <si>
    <t>" Levigatus liền da tránh sẹo Traphaco (Lốc 10 tuýp x 20g) "</t>
  </si>
  <si>
    <t>https://product.hstatic.net/200000428801/product/upload_efaac80ab6ca4b8ea532e1cd74c2489c.jpg</t>
  </si>
  <si>
    <t>Q3022652359</t>
  </si>
  <si>
    <t>" Levina Vardenafil 20mg Z150 (hộp 1 vỉ x 4 viên nén) "</t>
  </si>
  <si>
    <t>https://product.hstatic.net/200000428801/product/upload_7325192441c4405a8beb490100a0523d.jpg</t>
  </si>
  <si>
    <t>Q3022652360</t>
  </si>
  <si>
    <t>" Levistel Telmisartan 80mg Tada (hộp 4 vỉ x 7 viên) "</t>
  </si>
  <si>
    <t>https://product.hstatic.net/200000428801/product/upload_7c176e309c724882a912a09b28fcebf1.jpg</t>
  </si>
  <si>
    <t>Q3022652361</t>
  </si>
  <si>
    <t>" Levivina Vardenafil 10mg Hà Tây (hộp 1 vỉ x 4 viên nén) "</t>
  </si>
  <si>
    <t>https://product.hstatic.net/200000428801/product/upload_ab3e858de4c749f0825de19cd2d8946f.jpg</t>
  </si>
  <si>
    <t>Q3022652362</t>
  </si>
  <si>
    <t>" Levodhg Levofloxacin 250mg Hậu Giang (hộp 3 vỉ x 10 viên bao phim) "</t>
  </si>
  <si>
    <t>https://product.hstatic.net/200000428801/product/upload_f59a542458fe447cb725ffe32c197148.jpg</t>
  </si>
  <si>
    <t>Q3022652363</t>
  </si>
  <si>
    <t>" Levodhg Levofloxaxin 500mg Hậu giang (hộp 3 vỉ x 10 viên nén bao phim) "</t>
  </si>
  <si>
    <t>Q30221032332</t>
  </si>
  <si>
    <t>" Levothyrox 100mcg Merck Đức (hộp 3 vỉ x 10 viên) "</t>
  </si>
  <si>
    <t>https://product.hstatic.net/200000428801/product/upload_169f834c8285466b8aba10ecc4a6d1f6.jpg</t>
  </si>
  <si>
    <t>Q30221032349</t>
  </si>
  <si>
    <t>" Levothyrox 50mcg Merck Đức (hộp 3 vỉ x 10 viên) "</t>
  </si>
  <si>
    <t>https://product.hstatic.net/200000428801/product/upload_99df353bc1584f5f8f58970751b26641.jpg</t>
  </si>
  <si>
    <t>Q3022652365</t>
  </si>
  <si>
    <t>" LH Tana thử rụng trứng Tân Á Tanaphar (hộp 12 que) "</t>
  </si>
  <si>
    <t>https://product.hstatic.net/200000428801/product/upload_185300f04c854ae59bf348cbe142edb8.jpg</t>
  </si>
  <si>
    <t>Q302180323107</t>
  </si>
  <si>
    <t>" Lidocain 40mg/2ml Vĩnh Phúc (hộp 100 ống tiêm x 2ml) "</t>
  </si>
  <si>
    <t>https://product.hstatic.net/200000428801/product/upload_671b75ffbd90497cbb61a638645ee239.jpg</t>
  </si>
  <si>
    <t>Q3022652367</t>
  </si>
  <si>
    <t>" Lilonton Piracetam 1000mg/5ml Trung Quốc (hộp 10 ống tiêm x 5ml) "</t>
  </si>
  <si>
    <t>https://product.hstatic.net/200000428801/product/upload_9f158231522e46cb9859f2d9b2b7d0aa.jpg</t>
  </si>
  <si>
    <t>Q3022652368</t>
  </si>
  <si>
    <t>" Lilonton Piracetam 3000mg/15ml Trung Quốc (hộp 5 ống tiêm x 15ml) "</t>
  </si>
  <si>
    <t>https://cdn2-retail-images.kiotviet.vn/giabaopharma/6c1df55233eb47ecb0aef332146af5c1.jpg</t>
  </si>
  <si>
    <t>Q3022652374</t>
  </si>
  <si>
    <t>" Lincomycin 500mg Domesco (hộp 20 xỉ x 10 viên) "</t>
  </si>
  <si>
    <t>Q3022652370</t>
  </si>
  <si>
    <t>" Lincomycin 500mg Nghệ An (hộp 10 vỉ x 10 viên nang) "</t>
  </si>
  <si>
    <t>Q3022652372</t>
  </si>
  <si>
    <t>" Lincomycin 500mg Thanh Hóa (hộp 20 vỉ x 10 viên nang ) "</t>
  </si>
  <si>
    <t>https://product.hstatic.net/200000428801/product/upload_769fcc7a7f034f0f96dd2f538a20fe24.jpg</t>
  </si>
  <si>
    <t>Q3022652369</t>
  </si>
  <si>
    <t>" Lincomycin 500mg Vidipha (hộp 10 vỉ x 10 viên nang cứng) "</t>
  </si>
  <si>
    <t>https://cdn2-retail-images.kiotviet.vn/2025/12/03/giabaopharma/b43426e5f853491e85b63de73ff8e14c.jpg</t>
  </si>
  <si>
    <t>Q3022652371</t>
  </si>
  <si>
    <t>" Lincomycin 500mg Vĩnh Phúc (hộp 10 vỉ x 10 viên nang) "</t>
  </si>
  <si>
    <t>https://product.hstatic.net/200000428801/product/upload_f04d14dd3853483fb404d225280d9726.jpg</t>
  </si>
  <si>
    <t>Q3022652373</t>
  </si>
  <si>
    <t>" Lincomycin 500mg Vĩnh Phúc (hộp 20 vỉ x 10 viên nang) "</t>
  </si>
  <si>
    <t>https://product.hstatic.net/200000428801/product/upload_5122a7b532f7447c8639b607dc7e14eb.jpg</t>
  </si>
  <si>
    <t>Q3022652376</t>
  </si>
  <si>
    <t>" Lincomycin 600mg/2ml TW1 Pharbaco (hộp 50 ống tiêm x 2ml) "</t>
  </si>
  <si>
    <t>https://product.hstatic.net/200000428801/product/upload_b8f97f2205e84a0f92342a315fa6e5d2.jpg</t>
  </si>
  <si>
    <t>Q3022652375</t>
  </si>
  <si>
    <t>" Lincomycin 600mg/2ml Vĩnh Phúc (hộp 10 ống tiêm x 2ml) "</t>
  </si>
  <si>
    <t>https://product.hstatic.net/200000428801/product/upload_23b184b755054a96bc3907aa16becc80.jpg</t>
  </si>
  <si>
    <t>Q3022652303</t>
  </si>
  <si>
    <t>" Liozin Alpha chymotrypsin USP (hộp 10 vỉ x 10 viên nén) "</t>
  </si>
  <si>
    <t>https://product.hstatic.net/200000428801/product/upload_c18e5717f2c2421c870a8b432f325711.jpg</t>
  </si>
  <si>
    <t>Q302448095</t>
  </si>
  <si>
    <t>" Lipanthyl 200m Fenofibrate 200mg Abbott (Hộp 2 vỉ x 15 viên) "</t>
  </si>
  <si>
    <t>https://product.hstatic.net/200000428801/product/upload_bbc9954b3f314fe4b1592ba86f4e7534.jpg</t>
  </si>
  <si>
    <t>Q302774657</t>
  </si>
  <si>
    <t>" Lipanthyl NT Fenofibrate 145mg Abbott (Hộp 3 vỉ x 10 viên) "</t>
  </si>
  <si>
    <t>https://product.hstatic.net/200000428801/product/upload_53c94faa8c4b4a0fb170809ee50781d7.jpg</t>
  </si>
  <si>
    <t>Q302463784</t>
  </si>
  <si>
    <t>" Lipanthyl Supra Fenofibrate 160mg Abbott (Hộp 3 vỉ x 10 viên) "</t>
  </si>
  <si>
    <t>https://product.hstatic.net/200000428801/product/upload_5eacf773ee23451a87d6e0efbb2a0af6.jpg</t>
  </si>
  <si>
    <t>Q3022352330</t>
  </si>
  <si>
    <t>" Lipcor 50 Losartan kali 50mg DHG Hậu Giang (hộp 3 vỉ x 10 viên nén) "</t>
  </si>
  <si>
    <t>https://product.hstatic.net/200000428801/product/upload_985f9d8946b34eedb283450e5b07e06f.jpg</t>
  </si>
  <si>
    <t>Q3022352331</t>
  </si>
  <si>
    <t>" Lipistad Atorvastatin 10mg Stella (hộp 3 vỉ x 10 viên nén bao phim) "</t>
  </si>
  <si>
    <t>https://product.hstatic.net/200000428801/product/upload_e0cd860b8f624e5bb1484ba962dc0cc5.jpg</t>
  </si>
  <si>
    <t>Q3022352332</t>
  </si>
  <si>
    <t>" Lipistad Atorvastatin 20mg Stella (hộp 3 vỉ x 10 viên nén bao phim) "</t>
  </si>
  <si>
    <t>https://product.hstatic.net/200000428801/product/upload_d5cf2b864a1644e49ed5fe071ce8b277.jpg</t>
  </si>
  <si>
    <t>Q3022352333</t>
  </si>
  <si>
    <t>" Lipitor 40mg Atorvastatin Pfizer (hộp 3 vỉ x 10 viên nén) "</t>
  </si>
  <si>
    <t>https://product.hstatic.net/200000428801/product/upload_e28e32fb0eab4894bbd93e38d0717fee.jpg</t>
  </si>
  <si>
    <t>Q3022352334</t>
  </si>
  <si>
    <t>" Lipitor Atorvastatin 10mg Pfizer (hộp 3 vỉ x 10 viên nén bao phim) "</t>
  </si>
  <si>
    <t>https://product.hstatic.net/200000428801/product/upload_32529083032343909dadbd4768e6ff90.jpg</t>
  </si>
  <si>
    <t>Q3022352335</t>
  </si>
  <si>
    <t>" Lipitor Atorvastatin 20mg Pfizer (hộp 3 vỉ x 10 viên nén bao phim) "</t>
  </si>
  <si>
    <t>https://product.hstatic.net/200000428801/product/upload_44ea8e6c9c2942b3a37d417d066d2c3c.jpg</t>
  </si>
  <si>
    <t>Q3022352336</t>
  </si>
  <si>
    <t>" Liposic Carbomer điều trị mắt Đức (Tube 10g) "</t>
  </si>
  <si>
    <t>Q3022352337</t>
  </si>
  <si>
    <t>" Lipvar Atorvastatin 10mg Hậu Giang (hộp 3 vỉ x 10 viên nén) "</t>
  </si>
  <si>
    <t>https://product.hstatic.net/200000428801/product/upload_7601d0512b964fc28faa2500251273ce.jpg</t>
  </si>
  <si>
    <t>Q3022352338</t>
  </si>
  <si>
    <t>" Lipvar Atorvastatin 20mg Hậu Giang (hộp 3 vỉ x 10 viên nén) "</t>
  </si>
  <si>
    <t>https://product.hstatic.net/200000428801/product/upload_96a010de4cce4b99b3a643cdee4d2ad9.jpg</t>
  </si>
  <si>
    <t>Q3021142386</t>
  </si>
  <si>
    <t>" Liquid calcium + D3 Akopha (lọ 30 viên nang) "</t>
  </si>
  <si>
    <t>https://product.hstatic.net/200000428801/product/upload_b1d9d175f0f14f52be395d05c9c6693f.jpg</t>
  </si>
  <si>
    <t>Q3022352341</t>
  </si>
  <si>
    <t>" Lisinopril 10mg Stella (hộp 10 vỉ x 10 viên nén) "</t>
  </si>
  <si>
    <t>https://product.hstatic.net/200000428801/product/upload_79ee36008fad4d3ab5c7ba59b6683248.jpg</t>
  </si>
  <si>
    <t>Q3022352342</t>
  </si>
  <si>
    <t>" Lisinopril 5mg Domesco (hộp 3 vỉ x 10 viên) "</t>
  </si>
  <si>
    <t>https://product.hstatic.net/200000428801/product/upload_de39885b27624bc7810cafac143789cb.jpg</t>
  </si>
  <si>
    <t>Q3022352343</t>
  </si>
  <si>
    <t>" Lisiplus HCT 10/12.5 Stella (hộp 3 vỉ x 10 viên nén) "</t>
  </si>
  <si>
    <t>https://product.hstatic.net/200000428801/product/upload_36db48d2f518433da1ad9382e94be6f9.jpg</t>
  </si>
  <si>
    <t>Q3022352344</t>
  </si>
  <si>
    <t>" Lisiplus HCT 20/12.5 Stella (hộp 3 vỉ x 10 viên nén) "</t>
  </si>
  <si>
    <t>https://product.hstatic.net/200000428801/product/upload_b4d5b06b29154ce1808063366b8821e5.jpg</t>
  </si>
  <si>
    <t>Q3022352345</t>
  </si>
  <si>
    <t>" Lisonorn Amlodipine 5mg Gedeon Richter Hungary (hộp 3 vỉ x 10 viên nén) "</t>
  </si>
  <si>
    <t>https://product.hstatic.net/200000428801/product/upload_09606cf6fed8499587fded3b5b4e9b18.jpg</t>
  </si>
  <si>
    <t>Q3022352346</t>
  </si>
  <si>
    <t>" Livercom Hà Tây (hộp 12 vỉ x 5 viên nang) "</t>
  </si>
  <si>
    <t>https://product.hstatic.net/200000428801/product/upload_dbf6062fe2ad4667940e556cb2188cd3.jpg</t>
  </si>
  <si>
    <t>Q3022352347</t>
  </si>
  <si>
    <t>" Livermarin 140 Silymarin 140mg BRV (hộp 3 vỉ x 10 viên nang) "</t>
  </si>
  <si>
    <t>https://product.hstatic.net/200000428801/product/upload_5a91bde2184b4157966aa5f9b603a57f.jpg</t>
  </si>
  <si>
    <t>Q3022352348</t>
  </si>
  <si>
    <t>" Liverton 140 Silymarin 140mg Pymepharco (hộp 10 vỉ x 10 viên nang) "</t>
  </si>
  <si>
    <t>https://product.hstatic.net/200000428801/product/upload_8d17cc92ddf14b86b1a04855603a6835.jpg</t>
  </si>
  <si>
    <t>Q3022352349</t>
  </si>
  <si>
    <t>" LiveSpo Colon LiveSpo Colon hộp 10 ống x 5ml (hộp 10 ống x 5ml) "</t>
  </si>
  <si>
    <t>https://product.hstatic.net/200000428801/product/upload_91cc0d7daf2c4f9b8cc156707a9c1d8e.jpg</t>
  </si>
  <si>
    <t>Q3022352350</t>
  </si>
  <si>
    <t>" Livolin H Mega (hộp 10 vỉ x 10 viên nang) "</t>
  </si>
  <si>
    <t>https://product.hstatic.net/200000428801/product/upload_f61ad06c8fd84483860578653a11659c.jpg</t>
  </si>
  <si>
    <t>Q3022652304</t>
  </si>
  <si>
    <t>" Livosil Silymarin 140mg Aconitum (hộp 8 vỉ x 15 viên) "</t>
  </si>
  <si>
    <t>https://product.hstatic.net/200000428801/product/upload_c7c50cca6f374244879bdf4974c36f25.jpg</t>
  </si>
  <si>
    <t>Q3022652305</t>
  </si>
  <si>
    <t>" Locgoda 0,1% Mometason furoat 0,1%w/w Me Di Sun (hộp 1 tuýp 15g) "</t>
  </si>
  <si>
    <t>https://product.hstatic.net/200000428801/product/87_0fe8e5b9467b4c4f82703765849b3a78.png</t>
  </si>
  <si>
    <t>Q3022652306</t>
  </si>
  <si>
    <t>" Lodimax Amlodipine 5mg OPV (hộp 2 vỉ x 10 viên nén bao phim) "</t>
  </si>
  <si>
    <t>https://product.hstatic.net/200000428801/product/upload_53a9b36cb7ee4229a58fa53a2bbe48bc.jpg</t>
  </si>
  <si>
    <t>Q3022652307</t>
  </si>
  <si>
    <t>" Logpatat 25mg Phil (hộp 6 vỉ x 10 viên) "</t>
  </si>
  <si>
    <t>https://product.hstatic.net/200000428801/product/upload_f48d6570b76c47b5822dea0e59bb8368.jpg</t>
  </si>
  <si>
    <t>Q3022652308</t>
  </si>
  <si>
    <t>" Lohha Trí não (hộp 3 vỉ x 10 viên) "</t>
  </si>
  <si>
    <t>https://product.hstatic.net/200000428801/product/upload_709374fd92d9467cb862005c8e3d7e1f.jpg</t>
  </si>
  <si>
    <t>Q30200037</t>
  </si>
  <si>
    <t>" Long huyết P/H Phúc Hưng (H/24v) "</t>
  </si>
  <si>
    <t>https://product.hstatic.net/200000428801/product/upload_93b9716b1cf3478a846f1156f838c368.jpg</t>
  </si>
  <si>
    <t>Q3022652310</t>
  </si>
  <si>
    <t>" Lopenca Hậu Giang (hộp 5 vỉ x 20 viên nén) "</t>
  </si>
  <si>
    <t>https://product.hstatic.net/200000428801/product/upload_78c6856dacac4f0cb8b94ca5720ad796.jpg</t>
  </si>
  <si>
    <t>Q3022652311</t>
  </si>
  <si>
    <t>" Loperamid 2mg Khánh Hòa (hộp 10 vỉ x 10 viên) "</t>
  </si>
  <si>
    <t>https://product.hstatic.net/200000428801/product/upload_b301dddbb66547e7904da72dbddbe5ce.jpg</t>
  </si>
  <si>
    <t>Q3022652312</t>
  </si>
  <si>
    <t>" Loperamid Stella 2mg (hộp 5 vỉ x 10 viên nang cứng) "</t>
  </si>
  <si>
    <t>https://product.hstatic.net/200000428801/product/upload_cb6344be7a54431ea0fce20ab6318fbf.jpg</t>
  </si>
  <si>
    <t>Q3022652313</t>
  </si>
  <si>
    <t>" Lopetab Loperamid 2mg Agimexpham (hộp 10 vỉ x 15 viên nén) "</t>
  </si>
  <si>
    <t>https://product.hstatic.net/200000428801/product/upload_38f4873dfeab4d4bb853dc7f278895cd.jpg</t>
  </si>
  <si>
    <t>Q3022652314</t>
  </si>
  <si>
    <t>" Lopitid 200 Bezafibrate 200mg Hasan (hộp 3 vỉ x 10 viên nén) "</t>
  </si>
  <si>
    <t>https://product.hstatic.net/200000428801/product/upload_ea3a507f5c534c68948daa6a7fb941c0.jpg</t>
  </si>
  <si>
    <t>Q3022652315</t>
  </si>
  <si>
    <t>" Lopradium Loperamid HCL 2mg Imexpharm (hộp 10 vỉ x 10 viên nang) "</t>
  </si>
  <si>
    <t>https://product.hstatic.net/200000428801/product/upload_df4ad43f09f9446eb21d0a4b1b71e6f2.jpg</t>
  </si>
  <si>
    <t>Q3022652316</t>
  </si>
  <si>
    <t>" Lorastad D Desloratadine 5mg Stella (hộp 2 vỉ x 10 viên nén bao phim) "</t>
  </si>
  <si>
    <t>Q3022652318</t>
  </si>
  <si>
    <t>" Lorastad Loratadine 10mg Stella (hộp 10 vỉ x 10 viên nén) "</t>
  </si>
  <si>
    <t>https://product.hstatic.net/200000428801/product/84_7e835d818ff44175a53b456bb02f8c1f.png</t>
  </si>
  <si>
    <t>Q3022652319</t>
  </si>
  <si>
    <t>" Lorastad Loratadine 10mg Stella (hộp 2 vỉ x 10 viên nén) "</t>
  </si>
  <si>
    <t>https://product.hstatic.net/200000428801/product/upload_b9a647e1ba824ff2b01dbd247da427d7.jpg</t>
  </si>
  <si>
    <t>Q3022652317</t>
  </si>
  <si>
    <t>" Lorastad Stella (lọ 60ml) "</t>
  </si>
  <si>
    <t>https://product.hstatic.net/200000428801/product/upload_b60e1dfd54e246f0b6cddb1b9dc568de.jpg</t>
  </si>
  <si>
    <t>Q3022652320</t>
  </si>
  <si>
    <t>" Lorasweet Thành Nam (lọ 200 viên nén) "</t>
  </si>
  <si>
    <t>https://product.hstatic.net/200000428801/product/upload_8849249607d745698501eda2b8c3abd7.jpg</t>
  </si>
  <si>
    <t>Q3022652321</t>
  </si>
  <si>
    <t>" Loratadin 10mg Domesco (hộp 2 vỉ x 10 viên nén) "</t>
  </si>
  <si>
    <t>https://product.hstatic.net/200000428801/product/upload_8617a6791aef4967a7dec64ac71b1dd6.jpg</t>
  </si>
  <si>
    <t>Q302573729</t>
  </si>
  <si>
    <t>" Loratadin 10mg Traphaco (Hộp 1 vỉ x 10 viên nén) "</t>
  </si>
  <si>
    <t>https://product.hstatic.net/200000428801/product/upload_50649e58814e44c19d6f948eeb3448f6.jpg</t>
  </si>
  <si>
    <t>Q3022652322</t>
  </si>
  <si>
    <t>" Loratadine 10mg Nic (lọ 500 viên nang) "</t>
  </si>
  <si>
    <t>https://cdn-images.kiotviet.vn/giabaopharma/6913d3469dbc48f7b7e5d312ccd82f01.jpg</t>
  </si>
  <si>
    <t>Q3022652323</t>
  </si>
  <si>
    <t>" Loravidi Loratadin 10mg Vidiphar (hộp 10 vỉ x 10 viên nén) "</t>
  </si>
  <si>
    <t>https://product.hstatic.net/200000428801/product/upload_dbb83d0f064a4c8f915dd07af2acab07.jpg</t>
  </si>
  <si>
    <t>Q3022652324</t>
  </si>
  <si>
    <t>" Lordivas Amlodipine 5mg Hasan (hộp 10 vỉ x 10 viên nén) "</t>
  </si>
  <si>
    <t>https://product.hstatic.net/200000428801/product/86_9675720bdba14fb894b0cf288a1360d2.png</t>
  </si>
  <si>
    <t>Q3022352303</t>
  </si>
  <si>
    <t>" Lorista H 50/12.5mg Slovenia (hộp 2 vỉ x 14 viên) "</t>
  </si>
  <si>
    <t>https://product.hstatic.net/200000428801/product/upload_5b18dcfd59b949639bc9635d3e326f2b.jpg</t>
  </si>
  <si>
    <t>Q3022352304</t>
  </si>
  <si>
    <t>" Lorista Losartan 50mg Slovenia (hộp 28 viên) "</t>
  </si>
  <si>
    <t>https://product.hstatic.net/200000428801/product/upload_ef15550b57344865aa91eb6a29744aa2.jpg</t>
  </si>
  <si>
    <t>Q3022352305</t>
  </si>
  <si>
    <t>" Losar Denk 50mg Denk Đức (hộp 2 vỉ x 14 viên) "</t>
  </si>
  <si>
    <t>https://product.hstatic.net/200000428801/product/upload_6ef9527a272a4de4807f20ad72c2ef86.jpg</t>
  </si>
  <si>
    <t>Q3022252308</t>
  </si>
  <si>
    <t>" Losartan Plus HCT 50/12.5 Savipharm (hộp 3 vỉ x 10 viên nén) "</t>
  </si>
  <si>
    <t>https://product.hstatic.net/200000428801/product/upload_48e6dc83164c49468f1e273c0e019d01.jpg</t>
  </si>
  <si>
    <t>Q3022252309</t>
  </si>
  <si>
    <t>" Losartan potassium 50mg Tvpharm (hộp 3 vỉ x 10 viên nén) "</t>
  </si>
  <si>
    <t>https://product.hstatic.net/200000428801/product/upload_bc2237d0a7ea4f4fbaf1fb14ad1a6d21.jpg</t>
  </si>
  <si>
    <t>Q3022252310</t>
  </si>
  <si>
    <t>" Losartan STADA 50mg (hộp 2 vỉ x 15 viên nén) "</t>
  </si>
  <si>
    <t>https://product.hstatic.net/200000428801/product/upload_6feffba54969415dbe47838ffccf9152.jpg</t>
  </si>
  <si>
    <t>Q3022252311</t>
  </si>
  <si>
    <t>" Lostad HCT 50mg/12.5mg Stella (hộp 3 vỉ x 10 viên nén) "</t>
  </si>
  <si>
    <t>https://product.hstatic.net/200000428801/product/upload_e32f86b5a0414fe98b35f66f89bc8bec.jpg</t>
  </si>
  <si>
    <t>Q3022252312</t>
  </si>
  <si>
    <t>" Lostad T25 Losartan 25mg Stella (hộp 3 vỉ x 10 viên nén) "</t>
  </si>
  <si>
    <t>https://product.hstatic.net/200000428801/product/upload_cdb39183198548e78389ecd6e9a3e179.jpg</t>
  </si>
  <si>
    <t>Q3022252313</t>
  </si>
  <si>
    <t>" Lostad T50 Losartan 50mg Stella (hộp 3 vỉ x 10 viên nén) "</t>
  </si>
  <si>
    <t>https://product.hstatic.net/200000428801/product/upload_8a59fcd002bf46d283406b9a81f29f54.jpg</t>
  </si>
  <si>
    <t>Q3022252314</t>
  </si>
  <si>
    <t>" Lotrial S 200 Cefixime 200mg USP (hộp 10 gói x 3g) "</t>
  </si>
  <si>
    <t>https://product.hstatic.net/200000428801/product/upload_fecfb2e2d7a24c2280323b5d01a004fd.jpg</t>
  </si>
  <si>
    <t>Q3021952414</t>
  </si>
  <si>
    <t>" Lotusalic viêm da nhiễm trùng Medipharco (Tube 15g) "</t>
  </si>
  <si>
    <t>https://product.hstatic.net/200000428801/product/upload_00c8bc3f301c4f249463b238becc2f45.jpg</t>
  </si>
  <si>
    <t>Q3021952415</t>
  </si>
  <si>
    <t>" Lotusone Betamethasone 0.064% Medipharco (Tube 15g) "</t>
  </si>
  <si>
    <t>https://product.hstatic.net/200000428801/product/upload_631d90364e634f6da88595372ffad190.jpg</t>
  </si>
  <si>
    <t>Q3021952416</t>
  </si>
  <si>
    <t>" Lovastatin 20mg Domesco (hộp 1 vỉ x 10 viên nén) "</t>
  </si>
  <si>
    <t>https://product.hstatic.net/200000428801/product/upload_e402da8392b943a5bd3d388190841eed.jpg</t>
  </si>
  <si>
    <t>Q3021952417</t>
  </si>
  <si>
    <t>" Lovegra sildenafil 50mg TW1 Pharbaco (hộp 1 vỉ x 4 viên nén) "</t>
  </si>
  <si>
    <t>https://product.hstatic.net/200000428801/product/upload_e2566e7839d341218e4a3f4a5ba9fe02.jpg</t>
  </si>
  <si>
    <t>Q3021952418</t>
  </si>
  <si>
    <t>" Lovenox 4000IU/0.4ml Sanofi (hộp 2 ống tiêm) "</t>
  </si>
  <si>
    <t>https://product.hstatic.net/200000428801/product/upload_f67f255930be4585ba279dc18ade9405.jpg</t>
  </si>
  <si>
    <t>Q3021952419</t>
  </si>
  <si>
    <t>" LStafloxin Levofloxacin 500mg Stella (hộp 2 vỉ x 7 viên nén bao phim) "</t>
  </si>
  <si>
    <t>https://product.hstatic.net/200000428801/product/upload_e4321ef03716401598f157b8dd5e3406.jpg</t>
  </si>
  <si>
    <t>Q3021952420</t>
  </si>
  <si>
    <t>" Lukacino Montelukas 4mg Hà Nam (hộp 30 gói) "</t>
  </si>
  <si>
    <t>https://product.hstatic.net/200000428801/product/upload_72371af631034fa6a4a20a9a2cfd5607.jpg</t>
  </si>
  <si>
    <t>Q3021952421</t>
  </si>
  <si>
    <t>" Lumbrotine DP TW3 Foripharm (hộp 3 vỉ x 10 viên nang) "</t>
  </si>
  <si>
    <t>https://product.hstatic.net/200000428801/product/upload_6b3099a359134c0fae3d960ec05b2b77.jpg</t>
  </si>
  <si>
    <t>Q3021952422</t>
  </si>
  <si>
    <t>" Lumbrotine DP TW3 Foripharm (lọ 30 viên nang) "</t>
  </si>
  <si>
    <t>https://product.hstatic.net/200000428801/product/upload_909cd01ded054698820c5c2ead6901f2.jpg</t>
  </si>
  <si>
    <t>Q3021952423</t>
  </si>
  <si>
    <t>" Luotai 100mg Trung Quốc (lọ 30 viên) "</t>
  </si>
  <si>
    <t>https://product.hstatic.net/200000428801/product/upload_2d42971cceff457590a4afdc8c8d3d3f.jpg</t>
  </si>
  <si>
    <t>Q3021952424</t>
  </si>
  <si>
    <t>" Lupilopram Escitalopram Oxalate 10mg Ấn Độ (hộp 3 vỉ x 10 viên nén) "</t>
  </si>
  <si>
    <t>https://product.hstatic.net/200000428801/product/82_c80edca15cf242578e0eadb3fa57b430.png</t>
  </si>
  <si>
    <t>Q3021952425</t>
  </si>
  <si>
    <t>" Lutein 20mg Nature’s Bounty Mỹ (lọ 30 viên nang) "</t>
  </si>
  <si>
    <t>https://product.hstatic.net/200000428801/product/upload_46356aeba4e94ba4b48f706c71754da7.jpg</t>
  </si>
  <si>
    <t>Q3022252316</t>
  </si>
  <si>
    <t>" Lưu Ly kem tẩy lông Thái Dương (Lốc 10 tube x 20g) "</t>
  </si>
  <si>
    <t>https://product.hstatic.net/200000428801/product/upload_f614aa50ed5a41a7af312886a4e2f23c.jpg</t>
  </si>
  <si>
    <t>Q3022252318</t>
  </si>
  <si>
    <t>" Lyfomin fosfomycin 400mg Hamedi (hộp 12 gói) "</t>
  </si>
  <si>
    <t>Q3022252319</t>
  </si>
  <si>
    <t>" Lykopen Akopha Pháp (cọc 10 tuýp x 24 viên ngậm) "</t>
  </si>
  <si>
    <t>https://product.hstatic.net/200000428801/product/upload_9e627c2504154493aa91fc8983aa165d.jpg</t>
  </si>
  <si>
    <t>Q3022252320</t>
  </si>
  <si>
    <t>" Lyodura 100mg CPC1 (hộp 4 vỉ x 15 viên) "</t>
  </si>
  <si>
    <t>https://product.hstatic.net/200000428801/product/upload_6eefb5c436af4010bbb63de867b54421.jpg</t>
  </si>
  <si>
    <t>Q3022252323</t>
  </si>
  <si>
    <t>" Lysopengol bạc hà Pulipha (cọc 10 hộp x tuýp 24 viên ngậm) "</t>
  </si>
  <si>
    <t>Q3022252324</t>
  </si>
  <si>
    <t>" Lysopengol Đăng Khoa (cọc 10 tuýp x 24 viên ngậm) "</t>
  </si>
  <si>
    <t>https://product.hstatic.net/200000428801/product/upload_1b9eae8001d94c738b719c27cc045ed7.jpg</t>
  </si>
  <si>
    <t>Q3022252325</t>
  </si>
  <si>
    <t>" Lyzopean ngậm ho Khánh Minh (cọc 10 tuýp x 24 viên) "</t>
  </si>
  <si>
    <t>https://product.hstatic.net/200000428801/product/upload_9747508dea484310bb154763fa73782f.jpg</t>
  </si>
  <si>
    <t>Q3022252326</t>
  </si>
  <si>
    <t>" Macetux 200 Acetylxicin Hasan (hộp 30 gói x 1g) "</t>
  </si>
  <si>
    <t>https://product.hstatic.net/200000428801/product/upload_cb5039166dba4f63bbff96abc86b2dc7.jpg</t>
  </si>
  <si>
    <t>Q3022252328</t>
  </si>
  <si>
    <t>" Macibin Acid ursodeoxycholic 300mg Phil (hộp 6 vỉ x 10 viên nang mềm) "</t>
  </si>
  <si>
    <t>https://product.hstatic.net/200000428801/product/upload_d9df009579c84b928c666de12d938b3c.jpg</t>
  </si>
  <si>
    <t>Q3022252329</t>
  </si>
  <si>
    <t>" Macromax SK Azithromicin 250mg Sao Kim (hộp 1 vỉ x 6 viên nang cứng) "</t>
  </si>
  <si>
    <t>https://product.hstatic.net/200000428801/product/upload_2ae1777317e34734b915b77200557587.jpg</t>
  </si>
  <si>
    <t>Q3022352307</t>
  </si>
  <si>
    <t>" Maecran Kolmar Hàn Quốc (hộp 12 vỉ x 5 viên) "</t>
  </si>
  <si>
    <t>https://product.hstatic.net/200000428801/product/upload_6ac4064cf65b4cd28ef983049bcabaf7.jpg</t>
  </si>
  <si>
    <t>Q3022352308</t>
  </si>
  <si>
    <t>" Magcaldi Úc (hộp 60 viên nén) "</t>
  </si>
  <si>
    <t>https://product.hstatic.net/200000428801/product/upload_c09b04a1606f4b298ab637b4d3b82880.jpg</t>
  </si>
  <si>
    <t>Q3022352310</t>
  </si>
  <si>
    <t>" Magne B6 Boston (hộp 10 vỉ x 10 viên nén bao phim) "</t>
  </si>
  <si>
    <t>https://product.hstatic.net/200000428801/product/upload_74197aeac01e42f990bde9dfa8e4b09a.jpg</t>
  </si>
  <si>
    <t>Q3022352309</t>
  </si>
  <si>
    <t>" Magne B6 Corbiere Sanofi (hộp 5 vỉ x 10 viên) "</t>
  </si>
  <si>
    <t>https://product.hstatic.net/200000428801/product/upload_edb1f8db29ef4857a505ebde4cd141be.jpg</t>
  </si>
  <si>
    <t>Q3022352311</t>
  </si>
  <si>
    <t>" Magne B6 Stella (hộp 5 vỉ x 10 viên nén bao phim) "</t>
  </si>
  <si>
    <t>https://product.hstatic.net/200000428801/product/upload_e537296ecdee438f8e53dd9f11cc9bfa.jpg</t>
  </si>
  <si>
    <t>Q3022352312</t>
  </si>
  <si>
    <t>" Magne Fer Suveal Densmore Pháp (hộp 30 viên) "</t>
  </si>
  <si>
    <t>https://product.hstatic.net/200000428801/product/upload_1066f74b3e814e6689842b6f418d34a0.jpg</t>
  </si>
  <si>
    <t>Q3022352313</t>
  </si>
  <si>
    <t>" Magnesi B6 Hà Thành (hộp 10 vỉ x 10 viên bao phim) "</t>
  </si>
  <si>
    <t>https://product.hstatic.net/200000428801/product/upload_f1600597300a409aa3ac6b90f69bf824.jpg</t>
  </si>
  <si>
    <t>Q3022352314</t>
  </si>
  <si>
    <t>" Magnesi B6 Hậu Giang (hộp 10 vỉ x 10 viên bao phim) "</t>
  </si>
  <si>
    <t>https://product.hstatic.net/200000428801/product/upload_7e7dd563982f48c4963f57a90c0af2a7.jpg</t>
  </si>
  <si>
    <t>Q3022352315</t>
  </si>
  <si>
    <t>" Magnesi B6 Khapharco (hộp 5 vỉ x 10 viên nén) "</t>
  </si>
  <si>
    <t>https://product.hstatic.net/200000428801/product/upload_55e45a5d81ba4921b1b612f9644fcf6e.jpg</t>
  </si>
  <si>
    <t>Q3022352316</t>
  </si>
  <si>
    <t>" Magnesi Sulfat kabi 15% Bình Định (hộp 10 ống tiêm) "</t>
  </si>
  <si>
    <t>https://product.hstatic.net/200000428801/product/upload_ad46e0c3fc884a8493fce675847022dd.jpg</t>
  </si>
  <si>
    <t>Q3022352317</t>
  </si>
  <si>
    <t>" Magnesi sulfat nhuận tràng Hóa Dược (bịch 50 gói x 5g) "</t>
  </si>
  <si>
    <t>Q3022352318</t>
  </si>
  <si>
    <t>" Maibezym men tiêu hóa Hasan (hộp 30 gói x 2g) "</t>
  </si>
  <si>
    <t>Q3022352319</t>
  </si>
  <si>
    <t>" Maipochi Phil (hộp 12 vỉ x 5 viên nang mềm) "</t>
  </si>
  <si>
    <t>Q3022352320</t>
  </si>
  <si>
    <t>" Maleutyl 500mg Hasan (hộp 5 vỉ x 10 viên nén) "</t>
  </si>
  <si>
    <t>Q3022352321</t>
  </si>
  <si>
    <t>" Malis Trà Xanh vệ sinh phụ nữ Olympia (lọ 150ml) "</t>
  </si>
  <si>
    <t>Q3022352322</t>
  </si>
  <si>
    <t>" Maloxid Mekophar (hộp 10 vỉ x 8 viên nhai) "</t>
  </si>
  <si>
    <t>https://product.hstatic.net/200000428801/product/upload_667ccc999fdf44358c911982c98408bf.jpg</t>
  </si>
  <si>
    <t>Q3022352323</t>
  </si>
  <si>
    <t>" Maltagit Hà Tây (hộp 30 gói x 3,3g) "</t>
  </si>
  <si>
    <t>https://product.hstatic.net/200000428801/product/upload_12a49e51916e48a8b9f1d78894d03697.jpg</t>
  </si>
  <si>
    <t>Q30200036</t>
  </si>
  <si>
    <t>" Marvelon bayer (H/21v)"</t>
  </si>
  <si>
    <t>https://product.hstatic.net/200000428801/product/78_575232c24ecb422f862058dc4723feba.png</t>
  </si>
  <si>
    <t>Q3022352328</t>
  </si>
  <si>
    <t>" Masopen 250/25 Hasan (hộp 3 vỉ x 10 viên nén) "</t>
  </si>
  <si>
    <t>https://product.hstatic.net/200000428801/product/upload_b66dfd9b64a94265baaea88fc7af14f5.jpg</t>
  </si>
  <si>
    <t>Q3022252303</t>
  </si>
  <si>
    <t>" Maxbumin Mỹ (lọ 60 viên) "</t>
  </si>
  <si>
    <t>Q3022252304</t>
  </si>
  <si>
    <t>" Maxdotyl Sulpirid 50mg Domesco (hộp 2 vỉ x 15 viên nang cứng) "</t>
  </si>
  <si>
    <t>https://product.hstatic.net/200000428801/product/80_9b13c00e4e444f91b93f0675fdb1d72a.png</t>
  </si>
  <si>
    <t>Q3022252305</t>
  </si>
  <si>
    <t>" Maxgel SPM (cọc 10 tuýp x 10g) "</t>
  </si>
  <si>
    <t>https://product.hstatic.net/200000428801/product/upload_841c0697c69246b090b69424b02a7931.jpg</t>
  </si>
  <si>
    <t>Q3022252307</t>
  </si>
  <si>
    <t>" Maxitrol Alcon Bỉ (lọ 5ml) "</t>
  </si>
  <si>
    <t>https://product.hstatic.net/200000428801/product/upload_51b2e9071e9b4dd99c07230fd202b495.jpg</t>
  </si>
  <si>
    <t>Q3021952390</t>
  </si>
  <si>
    <t>" Maxxacne C Clindamycin 1% trị mụn Ampharco (Tube 15g) "</t>
  </si>
  <si>
    <t>https://product.hstatic.net/200000428801/product/upload_bfd2112dea274fa5b65f7b19bccf4382.jpg</t>
  </si>
  <si>
    <t>Q3021952391</t>
  </si>
  <si>
    <t>" Maxxhair ngăn rụng tóc Thái Minh (hộp 3 vỉ x 10 viên nén) "</t>
  </si>
  <si>
    <t>https://product.hstatic.net/200000428801/product/upload_dff3a2a6e94d4fb088fa38b53d4164e8.jpg</t>
  </si>
  <si>
    <t>Q3021952392</t>
  </si>
  <si>
    <t>" MaxxSkin kem bôi da Mediplantex (Lốc 10 tuýp 10g) "</t>
  </si>
  <si>
    <t>https://product.hstatic.net/200000428801/product/upload_cdd04a2f200c4c07bb05d5544ae68af6.jpg</t>
  </si>
  <si>
    <t>Q3021952393</t>
  </si>
  <si>
    <t>" Maxxviton Piracetam 800mg Ampharco (hộp 10 vỉ x 10 viên nén bao phim) "</t>
  </si>
  <si>
    <t>https://product.hstatic.net/200000428801/product/upload_33db73d8f5d949d3ae13ac877717f754.jpg</t>
  </si>
  <si>
    <t>Q3021952394</t>
  </si>
  <si>
    <t>" Maxxviton Plus Ampharco (hộp 10 vỉ x 10 viên nang) "</t>
  </si>
  <si>
    <t>https://product.hstatic.net/200000428801/product/upload_9d5a8083b1b242b49ddba2f065597ece.jpg</t>
  </si>
  <si>
    <t>Q3021952395</t>
  </si>
  <si>
    <t>" Mayrovit KID With Lysine Mekophar (lọ 90ml vị cam) "</t>
  </si>
  <si>
    <t>https://product.hstatic.net/200000428801/product/upload_cb35258b2d2d4dfc97a193ec2fc0f03e.jpg</t>
  </si>
  <si>
    <t>Q3022352301</t>
  </si>
  <si>
    <t>" Mật ong nghệ vàng Ban Mê Thuột (lọ 120g) "</t>
  </si>
  <si>
    <t>https://product.hstatic.net/200000428801/product/upload_e2525ae17a894e2092f592c763ead61e.jpg</t>
  </si>
  <si>
    <t>Q3022352302</t>
  </si>
  <si>
    <t>" Mật ong nghệ vàng Ban Mê Thuột (lọ 250g) "</t>
  </si>
  <si>
    <t>https://product.hstatic.net/200000428801/product/upload_3f77e18e32124d118fdc3484557376b5.jpg</t>
  </si>
  <si>
    <t>Q3022252302</t>
  </si>
  <si>
    <t>" Mẫu đơn cảm cúm Tâm Việt (hộp 3 vỉ x 10 viên) "</t>
  </si>
  <si>
    <t>https://product.hstatic.net/200000428801/product/upload_819e3b57f68f456e83acbd43dc4e3782.jpg</t>
  </si>
  <si>
    <t>Q3021952396</t>
  </si>
  <si>
    <t>" Mebaal 1500 Mecobalamin 1500mcg Mega (hộp 3 vỉ x 10 viên nén) "</t>
  </si>
  <si>
    <t>https://product.hstatic.net/200000428801/product/upload_a7bdde1780d04ad18b27f717eaa8e4a7.jpg</t>
  </si>
  <si>
    <t>Q3021952398</t>
  </si>
  <si>
    <t>" Mebicefpo 100 Cefpodoxim proxetil Mebiphar (hộp 2 vỉ x 10 viên nén) "</t>
  </si>
  <si>
    <t>https://product.hstatic.net/200000428801/product/upload_b5190389ade44a07832406fe4e5ff2bd.jpg</t>
  </si>
  <si>
    <t>Q3021952399</t>
  </si>
  <si>
    <t>" Mebilax Meloxicam 15mg Hậu Giang (hộp 2 vỉ x 10 viên nén) "</t>
  </si>
  <si>
    <t>https://product.hstatic.net/200000428801/product/79_b35ae71769914a52aadd7818ab828d6f.png</t>
  </si>
  <si>
    <t>Q3021952400</t>
  </si>
  <si>
    <t>" Mebilax Meloxicam 7.5mg Hậu Giang (hộp 2 vỉ x 10 viên nén) "</t>
  </si>
  <si>
    <t>https://product.hstatic.net/200000428801/product/upload_2e5d27abd0d54bbd92b775f97c50251a.jpg</t>
  </si>
  <si>
    <t>Q3021952401</t>
  </si>
  <si>
    <t>" Mecosol Esomeprazole 40mg Mediplantex (hộp 1 vỉ x 10 viên nang) "</t>
  </si>
  <si>
    <t>https://product.hstatic.net/200000428801/product/upload_8ede641c0c6548a18fc373f3fb2dafa5.jpg</t>
  </si>
  <si>
    <t>Q3021952402</t>
  </si>
  <si>
    <t>" Medexa Methylprednisolon 16mg Indonesia (hộp 5 vỉ x 6 viên) "</t>
  </si>
  <si>
    <t>https://product.hstatic.net/200000428801/product/upload_a92c47993f7149ee8c6e3195d71462fb.jpg</t>
  </si>
  <si>
    <t>Q3021952403</t>
  </si>
  <si>
    <t>" Medexa Methylprednisolon 4mg Indonesia (hộp 10 vỉ x 10 viên) "</t>
  </si>
  <si>
    <t>https://product.hstatic.net/200000428801/product/upload_3047def4c872404e8dd08712acf5a884.jpg</t>
  </si>
  <si>
    <t>Q3021952404</t>
  </si>
  <si>
    <t>" Medi Levosulpirid 25mg Medisun (hộp 3 vỉ x 10 viên nén) "</t>
  </si>
  <si>
    <t>https://product.hstatic.net/200000428801/product/upload_af7804bd9bcd469f9f9b487f58f96b3d.jpg</t>
  </si>
  <si>
    <t>Q3021952405</t>
  </si>
  <si>
    <t>" Medi Levosulpirid 50mg Medisun (hộp 3 vỉ x 10 viên nén) "</t>
  </si>
  <si>
    <t>https://product.hstatic.net/200000428801/product/upload_47004661621b46b18b163e981fbec7cb.jpg</t>
  </si>
  <si>
    <t>Q3021952406</t>
  </si>
  <si>
    <t>" Medi Neuro Mediplantex (hộp 10 vỉ x 10 viên nén bao phim) "</t>
  </si>
  <si>
    <t>https://cdn2-retail-images.kiotviet.vn/giabaopharma/74f3b43c806e42ff984d04387baedfa3.png,https://cdn2-retail-images.kiotviet.vn/giabaopharma/3d5d0611cb8f4ef88547098e3ef19aa0.png,https://cdn2-retail-images.kiotviet.vn/giabaopharma/1387ad1260b040c2b9a2ff8bc8e0b709.png,https://cdn2-retail-images.kiotviet.vn/giabaopharma/e37a39cff15645c785bb38061b1288c3.png,https://cdn2-retail-images.kiotviet.vn/giabaopharma/545c6b63cd504bea97f3d2163464ad12.png</t>
  </si>
  <si>
    <t>Q3021952407</t>
  </si>
  <si>
    <t>" MediClary loratadin 10mg Mediplantex (cọc 10 hộp x 10 viên nén) "</t>
  </si>
  <si>
    <t>https://product.hstatic.net/200000428801/product/upload_34f3104e674c425b8088b4d641e6494f.jpg</t>
  </si>
  <si>
    <t>Q302161422</t>
  </si>
  <si>
    <t>" Mediclovir Acyclovir 3% Medipharco (Tuýp 5g) "</t>
  </si>
  <si>
    <t>Q3021952408</t>
  </si>
  <si>
    <t>" MediPhylamin 500mg chiết xuất bèo hoa dâu Mediplantex (hộp 10 vỉ x 10 viên nang) "</t>
  </si>
  <si>
    <t>https://product.hstatic.net/200000428801/product/upload_e54fe20a9fa74be6a3537b5a83fea29e.jpg</t>
  </si>
  <si>
    <t>Q302301023</t>
  </si>
  <si>
    <t>" Mediprist Mifepriston 200mg Stada (Hộp 1 vỉ x 1 viên nén) "</t>
  </si>
  <si>
    <t>https://product.hstatic.net/200000428801/product/upload_47fabbe1b39341f2adb81ecc77a65630.jpg</t>
  </si>
  <si>
    <t>Q3021952409</t>
  </si>
  <si>
    <t>" Medisamin Tranexamic 250mg Mediplantex (hộp 10 vỉ x 10 viên) "</t>
  </si>
  <si>
    <t>https://product.hstatic.net/200000428801/product/upload_7f6d62953e1a4b02a9247c29c2f1fbfb.jpg</t>
  </si>
  <si>
    <t>Q3021952410</t>
  </si>
  <si>
    <t>" Medisamin Tranexamic 500mg Mediplantex (hộp 10 vỉ x 10 viên) "</t>
  </si>
  <si>
    <t>https://product.hstatic.net/200000428801/product/upload_29af2f261d084a959ff703ac9d618cbe.jpg</t>
  </si>
  <si>
    <t>Q3021952411</t>
  </si>
  <si>
    <t>" Medlon Methylprednisolone 16mg Hậu Giang (hộp 3 vỉ x 10 viên) "</t>
  </si>
  <si>
    <t>https://product.hstatic.net/200000428801/product/upload_3940bca9489948538b3573db2e1989e2.jpg</t>
  </si>
  <si>
    <t>Q3021952412</t>
  </si>
  <si>
    <t>" Medlon Methylprednisolone 4mg Hậu Giang (hộp 10 vỉ x 10 viên) "</t>
  </si>
  <si>
    <t>https://product.hstatic.net/200000428801/product/upload_a67b87a688bb4b97aad41862454a8ad7.jpg</t>
  </si>
  <si>
    <t>Q3021952413</t>
  </si>
  <si>
    <t>" Medoral Chlorheixdin súc miệng họng Merap (lọ 250ml) "</t>
  </si>
  <si>
    <t>https://product.hstatic.net/200000428801/product/upload_589834dde1a14af2b84989198344b61e.jpg</t>
  </si>
  <si>
    <t>Q302994377</t>
  </si>
  <si>
    <t>" Medrol Methylprednisolone 16mg Pfizer (Hộp 3vỉ x 10 viên) "</t>
  </si>
  <si>
    <t>https://product.hstatic.net/200000428801/product/upload_02b1fe444cb84192983353c88242bbd9.jpg</t>
  </si>
  <si>
    <t>Q302999384</t>
  </si>
  <si>
    <t>" Medrol Methylprednisolone 4mg Pfizer (Hộp 3vỉ x 10 viên) "</t>
  </si>
  <si>
    <t>https://product.hstatic.net/200000428801/product/upload_7a4054fd815d41129f8549e94101f7d9.jpg</t>
  </si>
  <si>
    <t>Q302636364</t>
  </si>
  <si>
    <t>" MedSkin Acyclovir 200mg DHG (Hộp 5 vỉ x 10 viên nén) "</t>
  </si>
  <si>
    <t>https://product.hstatic.net/200000428801/product/upload_9df8432736a447719f35814db9b01547.jpg</t>
  </si>
  <si>
    <t>Q3021952331</t>
  </si>
  <si>
    <t>" Medskin Acyclovir 800mg Hậu Giang (hộp 3 vỉ x 10 viên nén) "</t>
  </si>
  <si>
    <t>https://product.hstatic.net/200000428801/product/upload_21132c9f438643528ef6004b685e23d8.jpg</t>
  </si>
  <si>
    <t>Q302774659</t>
  </si>
  <si>
    <t>" MedSkin Clovir Acyclovir 400mg DHG (Hộp 6 vỉ x 10 viên nén) "</t>
  </si>
  <si>
    <t>https://product.hstatic.net/200000428801/product/upload_5b7332d828f54188bf778dffec150944.jpg</t>
  </si>
  <si>
    <t>Q3021952332</t>
  </si>
  <si>
    <t>" Medskin Erythromycin 4% Hậu Giang (Tube 10g) "</t>
  </si>
  <si>
    <t>https://product.hstatic.net/200000428801/product/upload_d13fcb4cff1b4e509211ff1fc69ccf05.jpg</t>
  </si>
  <si>
    <t>Q3021952333</t>
  </si>
  <si>
    <t>" Medskin Fusi Acid Fusidic 2% Hậu Giang (Tube 10g) "</t>
  </si>
  <si>
    <t>https://product.hstatic.net/200000428801/product/upload_3ba9b6a04a2c430c9992577317c25c9d.jpg</t>
  </si>
  <si>
    <t>Q3021952334</t>
  </si>
  <si>
    <t>" Medsolu Methylprednisolone 16mg Quảng Bình (hộp 3 vỉ x 10 viên nén) "</t>
  </si>
  <si>
    <t>https://product.hstatic.net/200000428801/product/upload_52485719b6784021a7dd71d229c0aa56.jpg</t>
  </si>
  <si>
    <t>Q3021952335</t>
  </si>
  <si>
    <t>" Medsolu Methylprednisolone 4mg Quảng Bình (hộp 3 vỉ x 10 viên nén) "</t>
  </si>
  <si>
    <t>https://product.hstatic.net/200000428801/product/upload_15788398b759403d96e8a389aeb9b754.jpg</t>
  </si>
  <si>
    <t>Q3021952337</t>
  </si>
  <si>
    <t>" Mefogin Pantoprazole 40mg Bilim Thổ Nhĩ Kỳ (lọ 14 viên nén) "</t>
  </si>
  <si>
    <t>https://product.hstatic.net/200000428801/product/upload_fba44778fb9c48a8af8b3d915575d967.jpg</t>
  </si>
  <si>
    <t>Q3021952338</t>
  </si>
  <si>
    <t>" Meiact 200mg Tedec Meiji Tây Ban Nha (hộp 20 viên) "</t>
  </si>
  <si>
    <t>https://product.hstatic.net/200000428801/product/upload_dfc87c4b4c16453cae1c85ef28ea81e8.jpg</t>
  </si>
  <si>
    <t>Q3021952339</t>
  </si>
  <si>
    <t>" Meiact Meiji Nhật Bản (hộp 21 gói 0.5g) "</t>
  </si>
  <si>
    <t>https://cdn2-retail-images.kiotviet.vn/2025/11/12/giabaopharma/fff9b1f92aca40aca5d798f138f60708.jpg</t>
  </si>
  <si>
    <t>Q3021952340</t>
  </si>
  <si>
    <t>" Meko Allergy F Mekophar (lọ 100 viên nén) "</t>
  </si>
  <si>
    <t>https://product.hstatic.net/200000428801/product/upload_f16ad12737f74a909aab1cd9588498ec.jpg</t>
  </si>
  <si>
    <t>Q3021952341</t>
  </si>
  <si>
    <t>" Meko INH 150 Mekophar (lọ 100 viên nén) "</t>
  </si>
  <si>
    <t>https://product.hstatic.net/200000428801/product/upload_d3e42732c7c84a61bb212778c2639bb7.jpg</t>
  </si>
  <si>
    <t>Q3021952342</t>
  </si>
  <si>
    <t>" Mekocefaclor Cefaclor 125mg Mekophar (hộp 12 gõi 2g) "</t>
  </si>
  <si>
    <t>https://product.hstatic.net/200000428801/product/81_713ec158b7f243148ac35d376fd5b230.png</t>
  </si>
  <si>
    <t>Q3021952343</t>
  </si>
  <si>
    <t>" Mekocefaclor Cefaclor 250mg Mekophar (hộp 1 vỉ x 12 viên) "</t>
  </si>
  <si>
    <t>https://product.hstatic.net/200000428801/product/upload_31f9dd020ceb4c1cb5b2b37eb0813828.jpg</t>
  </si>
  <si>
    <t>Q3021952344</t>
  </si>
  <si>
    <t>" Mekocefal Cefadroxil 250mg Mekophar (hộp 30 gói x 2g) "</t>
  </si>
  <si>
    <t>https://product.hstatic.net/200000428801/product/upload_975b0170d48f4af79aa8538b936a0dd5.jpg</t>
  </si>
  <si>
    <t>Q302445654</t>
  </si>
  <si>
    <t>" Mekocetin Betamethasone 0,5 mg Mekophar (Hộp 5 vỉ x 20 viên nén) "</t>
  </si>
  <si>
    <t>https://product.hstatic.net/200000428801/product/upload_a7cda223f65f462cae9c791318e4271f.jpg</t>
  </si>
  <si>
    <t>Q3021952345</t>
  </si>
  <si>
    <t>" Mekocoramin ngậm Mekophar (hộp 5 vỉ x 4 viên) "</t>
  </si>
  <si>
    <t>https://product.hstatic.net/200000428801/product/upload_2327774d56be4e3280fb1918147493ff.jpg</t>
  </si>
  <si>
    <t>SP648525</t>
  </si>
  <si>
    <t>" Mekopen Mekophar (H/100 viên)"</t>
  </si>
  <si>
    <t>https://product.hstatic.net/200000428801/product/upload_b9ed7e5866b942b8ba7d10f901493cd9.jpg</t>
  </si>
  <si>
    <t>Q302648373</t>
  </si>
  <si>
    <t>" Mekotricin Tyrothricin 1mg Mekophar (Hộp 1 gói x 24 viên) "</t>
  </si>
  <si>
    <t>Q3021952346</t>
  </si>
  <si>
    <t>" Mekotropyl Piracetam 800mg Mekophar (hộp 10 vỉ x 10 viên bao phim) "</t>
  </si>
  <si>
    <t>https://product.hstatic.net/200000428801/product/489a28f1d41d419d96d283197d98ac70_0ccc2e0b32ce4c49aa6e8b65bdb826ac.png</t>
  </si>
  <si>
    <t>Q3021952347</t>
  </si>
  <si>
    <t>" Melankit Mediplantex (hộp 7 kit) "</t>
  </si>
  <si>
    <t>https://product.hstatic.net/200000428801/product/c36cfced36b4e9eab0a511_96630c9ffe644708925a340352889374.jpg</t>
  </si>
  <si>
    <t>Q3021952349</t>
  </si>
  <si>
    <t>" Melopower 300mg Mediplantex (hộp 12 vỉ x 5 viên nang mềm) "</t>
  </si>
  <si>
    <t>https://product.hstatic.net/200000428801/product/upload_011d95e1b9ad451892c140d0c9549b39.jpg</t>
  </si>
  <si>
    <t>Q3021952350</t>
  </si>
  <si>
    <t>" Meloxboston Meloxicam 15mg Boston (hộp 5 vỉ x 10 viên nén) "</t>
  </si>
  <si>
    <t>https://product.hstatic.net/200000428801/product/upload_754c999a4511408e886a01696733393f.jpg</t>
  </si>
  <si>
    <t>Q3021952351</t>
  </si>
  <si>
    <t>" Meloxboston Meloxicam 7,5mg Boston (hộp 10 vỉ x 10 viên nén) "</t>
  </si>
  <si>
    <t>https://product.hstatic.net/200000428801/product/upload_695224a602454930af8f8247ed0b2eea.jpg</t>
  </si>
  <si>
    <t>Q30200078</t>
  </si>
  <si>
    <t>" Men Biolacto Lactobacillus Robinson( H/ 10 vỉ x 10 viên)"</t>
  </si>
  <si>
    <t>https://product.hstatic.net/200000428801/product/upload_e18b33cb4f584968b6535e64e1a1148e.jpg</t>
  </si>
  <si>
    <t>Q302222234</t>
  </si>
  <si>
    <t>" Men sống Bạch Mai Dp Ecolife(H/20 ống x 10ml)"</t>
  </si>
  <si>
    <t>https://product.hstatic.net/200000428801/product/upload_52fe4aca97c9405ebe4e3446504b6538.jpg</t>
  </si>
  <si>
    <t>Q302774930</t>
  </si>
  <si>
    <t>" Men Vi Sinh Enterogermina Sanofi Aventis (Hộp 20 ống x 5ml) "mẫu mới TPCN</t>
  </si>
  <si>
    <t>https://product.hstatic.net/200000428801/product/upload_bd804e44e2d14eed93347d3d320c8e15.jpg</t>
  </si>
  <si>
    <t>Q302881184</t>
  </si>
  <si>
    <t>" Menfelix Bổ Tinh Trùng Hepharco (Hộp 30 gói x 5g bột cốm hòa tan) "</t>
  </si>
  <si>
    <t>https://product.hstatic.net/200000428801/product/upload_f56cf793269e4c7aa6332267b25d7b3f.jpg</t>
  </si>
  <si>
    <t>Q3021952352</t>
  </si>
  <si>
    <t>" Menison Methylprednisolon 16mg Pymepharco (hộp 3 vỉ x 10 viên nén) "</t>
  </si>
  <si>
    <t>https://product.hstatic.net/200000428801/product/upload_83e95fbadf7e448c9f93f2ced88f9752.jpg</t>
  </si>
  <si>
    <t>Q3021952353</t>
  </si>
  <si>
    <t>" Menison Methylprednisolon 4mg Pymepharco (hộp 3 vỉ x 10 viên nén) "</t>
  </si>
  <si>
    <t>https://product.hstatic.net/200000428801/product/upload_93ab81a864bd4ffd94b3cdf58c96a0fc.jpg</t>
  </si>
  <si>
    <t>Q3021952354</t>
  </si>
  <si>
    <t>" Mentarelax Nam Việt (hộp 3 vỉ x 10 viên) "</t>
  </si>
  <si>
    <t>https://product.hstatic.net/200000428801/product/68_da37f242a05549cfb6b7484831fe5588.png</t>
  </si>
  <si>
    <t>Q3021952355</t>
  </si>
  <si>
    <t>" Menthosil cough lozenges bạc hà Ấn Độ (hộp 2 vỉ x 8 viên ngậm) "</t>
  </si>
  <si>
    <t>https://product.hstatic.net/200000428801/product/bioamicus-complete_efc3885bfc3740a9a3ab637140dee320.jpg</t>
  </si>
  <si>
    <t>Q3021952356</t>
  </si>
  <si>
    <t>" Menystin Bidiphar Bình Định (hộp 2 vỉ x 10 viên nén) "</t>
  </si>
  <si>
    <t>https://product.hstatic.net/200000428801/product/73_e52272a06e5a4052bf4618d57ba92baf.png</t>
  </si>
  <si>
    <t>Q3021952357</t>
  </si>
  <si>
    <t>" Mepoly nhỏ mắt mũi Merap (lọ 10ml) "</t>
  </si>
  <si>
    <t>https://product.hstatic.net/200000428801/product/2b1ea405d5020b5c5213_7bd16d7dbbe0417a91880479adf58f9d.jpg</t>
  </si>
  <si>
    <t>Q3021952358</t>
  </si>
  <si>
    <t>" Mepraz Omeprazole 20mg Sanofi (hộp 7 vỉ x 4 viên nang) "</t>
  </si>
  <si>
    <t>https://product.hstatic.net/200000428801/product/upload_750d3a292bfb4a06a33ebb09ea3922c6.jpg</t>
  </si>
  <si>
    <t>Q3021952359</t>
  </si>
  <si>
    <t>" Mercilon tránh thai Bayer (hộp 21 viên nén) "</t>
  </si>
  <si>
    <t>https://product.hstatic.net/200000428801/product/upload_5c1f5a7a66ac456aa9a858e81caa5317.jpg</t>
  </si>
  <si>
    <t>Q3021952362</t>
  </si>
  <si>
    <t>" Meseca Fort xịt mũi Merap (lọ 60 liều) "</t>
  </si>
  <si>
    <t>https://product.hstatic.net/200000428801/product/upload_92469a77d277470d942e79816452e247.jpg</t>
  </si>
  <si>
    <t>Q3021952363</t>
  </si>
  <si>
    <t>" Meseca xịt mũi Merap (lọ 60 liều) "</t>
  </si>
  <si>
    <t>https://product.hstatic.net/200000428801/product/upload_60dc2787f97e46fb88a89acf9ce3c31a.jpg</t>
  </si>
  <si>
    <t>Q3021952364</t>
  </si>
  <si>
    <t>" Mestad 500 Mebendazole Stella (hộp 1 vỉ x 1 viên nhai) "</t>
  </si>
  <si>
    <t>https://product.hstatic.net/200000428801/product/upload_3bf2f001726244ad83921e4e379a7948.jpg</t>
  </si>
  <si>
    <t>Q3021952365</t>
  </si>
  <si>
    <t>" Mesulpine Rabeprazole 20mg hộp 2 vỉ x 14 viên nén) "</t>
  </si>
  <si>
    <t>https://product.hstatic.net/200000428801/product/upload_c6b9dd98c5dc4ed4a42af74160448480.jpg</t>
  </si>
  <si>
    <t>Q3021952366</t>
  </si>
  <si>
    <t>" Metazydyna Trimetazidine 20mg Ba Lan (hộp 2 vỉ x 30 viên nén bao phim) "</t>
  </si>
  <si>
    <t>https://product.hstatic.net/200000428801/product/upload_cec688405860470e9140004a2d9ae11a.jpg</t>
  </si>
  <si>
    <t>Q3021952367</t>
  </si>
  <si>
    <t>" Meteospasmyl Pháp (hộp 2 vỉ x 10 viên nang) "</t>
  </si>
  <si>
    <t>https://product.hstatic.net/200000428801/product/upload_7a5fd3d2bdf3408e8b114d400cd4c501.jpg</t>
  </si>
  <si>
    <t>Q3021952368</t>
  </si>
  <si>
    <t>" Metfomin 850mg Stella (hộp 4 vỉ x 15 viên nén bao phim) "</t>
  </si>
  <si>
    <t>https://product.hstatic.net/200000428801/product/upload_fd362ffceeb04256a3e0f6948b48f2b9.jpg</t>
  </si>
  <si>
    <t>Q3021952369</t>
  </si>
  <si>
    <t>" Metfomine EG 1000mg Pymepharco (hộp 2 vỉ x 15 viên nén) "</t>
  </si>
  <si>
    <t>https://product.hstatic.net/200000428801/product/upload_8fe120c5fbec4fc698b7a7e31d84d85c.jpg</t>
  </si>
  <si>
    <t>Q3021952370</t>
  </si>
  <si>
    <t>" Metfomine EG 850mg Pymepharco (hộp 5 vỉ x 20 viên nén) "</t>
  </si>
  <si>
    <t>https://product.hstatic.net/200000428801/product/upload_cf2d22f1a96a468aaa86fc87f6b1599e.jpg</t>
  </si>
  <si>
    <t>Q3021952371</t>
  </si>
  <si>
    <t>" Metformin 1000mg Stella (hộp 6 vỉ x 10 viên nén) "</t>
  </si>
  <si>
    <t>https://product.hstatic.net/200000428801/product/upload_357b954950094a78b4242a744e64598d.jpg</t>
  </si>
  <si>
    <t>Q3021952372</t>
  </si>
  <si>
    <t>" Methionine 250mg Mekophar (lọ 100 viên nang) "</t>
  </si>
  <si>
    <t>https://product.hstatic.net/200000428801/product/upload_644b0b6d72354429af4302e1c9f4c03a.jpg</t>
  </si>
  <si>
    <t>Q3021952373</t>
  </si>
  <si>
    <t>" Methocarbamol 500mg Khánh Hòa (lọ 100 viên nén) "</t>
  </si>
  <si>
    <t>https://product.hstatic.net/200000428801/product/upload_6c1520438ac24687be348e18026994a6.jpg</t>
  </si>
  <si>
    <t>Q3021032350</t>
  </si>
  <si>
    <t>" Methorphan Bee Traphaco (siro lọ 100ml) "</t>
  </si>
  <si>
    <t>https://product.hstatic.net/200000428801/product/upload_f5b98fa122ee4951a6418c8c30dd25e2.jpg</t>
  </si>
  <si>
    <t>Q3021032351</t>
  </si>
  <si>
    <t>" Methorphan Traphaco (hộp 10 vỉ x 10 viên nén) "</t>
  </si>
  <si>
    <t>https://product.hstatic.net/200000428801/product/upload_1d00ee49f1e2468e9b8181fe62811f01.jpg</t>
  </si>
  <si>
    <t>Q3021032352</t>
  </si>
  <si>
    <t>" Methorphan Traphaco (hộp 2 vỉ x 10 viên bao phim) "</t>
  </si>
  <si>
    <t>https://product.hstatic.net/200000428801/product/upload_3a2197eaa20b45bd8be5cddfa149b729.jpg</t>
  </si>
  <si>
    <t>Q3021952374</t>
  </si>
  <si>
    <t>" Methotrexat – Belmed 2.5mg Belarus (hộp 2 vỉ x 10 viên nén) "</t>
  </si>
  <si>
    <t>https://product.hstatic.net/200000428801/product/upload_e3a8d0b2bf4f48b2980349b3007337cd.jpg</t>
  </si>
  <si>
    <t>Q302998478</t>
  </si>
  <si>
    <t>" Methycobal 500µg Mecobalamin (Hộp 3 vỉ x 10 viên) "</t>
  </si>
  <si>
    <t>https://product.hstatic.net/200000428801/product/upload_3ac4c3c2eac640278adf8f1bab650855.jpg</t>
  </si>
  <si>
    <t>Q3021952375</t>
  </si>
  <si>
    <t>" Methycoban 0.5mg Nhật Bản (hộp 10 ống tiêm) "</t>
  </si>
  <si>
    <t>https://cdn1-retail-images.kiotviet.vn/2026/01/21/giabaopharma/fb69a7f458ad4f6382356387095f1630.jpg</t>
  </si>
  <si>
    <t>Q3021952376</t>
  </si>
  <si>
    <t>" Methyldopa 250mg Traphaco (hộp 10 vỉ x 10 viên nén) "</t>
  </si>
  <si>
    <t>https://product.hstatic.net/200000428801/product/b42ac519aae676b82ff7_be7fcd7cd1c6496d9725879e99e818f7.jpg</t>
  </si>
  <si>
    <t>Q3021952377</t>
  </si>
  <si>
    <t>" Methylpred 4mg NIC (hộp 3 vỉ x10 viên nén) "</t>
  </si>
  <si>
    <t>https://product.hstatic.net/200000428801/product/upload_a8ed53e1e822467e8e5d71b12c5555ce.jpg</t>
  </si>
  <si>
    <t>Q3021952380</t>
  </si>
  <si>
    <t>" Methylprednisolon 16mg NIC (hộp 3 vỉ x 10 viên nén) "</t>
  </si>
  <si>
    <t>https://product.hstatic.net/200000428801/product/upload_1c04c360803c43ba8439f9a49c432e10.jpg</t>
  </si>
  <si>
    <t>Q3021952382</t>
  </si>
  <si>
    <t>" Methylprednisolon 16mg NIC (lọ 100 viên nén) "</t>
  </si>
  <si>
    <t>Q3021952378</t>
  </si>
  <si>
    <t>" Methylprednisolon 16mg TW1 Pharbaco (hộp 10 vỉ x 10 viên nén) "</t>
  </si>
  <si>
    <t>https://product.hstatic.net/200000428801/product/upload_9f7f6e42ba224689aa4c63b4159fb9f7.jpg</t>
  </si>
  <si>
    <t>Q3021952379</t>
  </si>
  <si>
    <t>" Methylprednisolon 16mg Vidipha (hộp 10 vỉ x 10 viên nén) "4/2025</t>
  </si>
  <si>
    <t>https://product.hstatic.net/200000428801/product/upload_dfff28e1a71e4b088e8ee2ecb9db3ec3.jpg</t>
  </si>
  <si>
    <t>Q3021952383</t>
  </si>
  <si>
    <t>" Methylprednisolon 4mg Khánh Hòa (hộp 10 vỉ x 10 viên nén) "</t>
  </si>
  <si>
    <t>https://product.hstatic.net/200000428801/product/upload_0e7080bcb7b142f99c1de8298120be30.jpg</t>
  </si>
  <si>
    <t>Q3021952384</t>
  </si>
  <si>
    <t>" Methylprednisolon 4mg NIC (lọ 100 viên nén) "</t>
  </si>
  <si>
    <t>Q3021952385</t>
  </si>
  <si>
    <t>" Methylprednisolon STADA 16mg (hộp 3 vỉ x 10 viên nén) "</t>
  </si>
  <si>
    <t>https://product.hstatic.net/200000428801/product/db5acc96199ac7c49e8b_456827a2d2084259962e950881f1c41c.jpg</t>
  </si>
  <si>
    <t>Q3021952386</t>
  </si>
  <si>
    <t>" Methylprednisolone 16mg nắp xoắn USA Nic (lọ 100 viên nén) "</t>
  </si>
  <si>
    <t>https://product.hstatic.net/200000428801/product/upload_4e2a83ae2c254bb2860cff02f8adbf5c.jpg</t>
  </si>
  <si>
    <t>Q3021952387</t>
  </si>
  <si>
    <t>" Methylprednisolone MKP 16mg Mekophar (hộp 10 vỉ x 10 viên nén) "</t>
  </si>
  <si>
    <t>https://product.hstatic.net/200000428801/product/66_36c37cbd33d24a8eb48b0e0a36a0fa13.png</t>
  </si>
  <si>
    <t>Q3021952388</t>
  </si>
  <si>
    <t>" Methylprednisolone MKP 4mg Mekophar (hộp 10 vỉ x 10 viên nén) "</t>
  </si>
  <si>
    <t>https://product.hstatic.net/200000428801/product/upload_784c8d84f2fb412d916880e6ec52031d.jpg</t>
  </si>
  <si>
    <t>Q3021952389</t>
  </si>
  <si>
    <t>" Metiocolin 100mg CPC1 (hộp 20 ống) "</t>
  </si>
  <si>
    <t>https://product.hstatic.net/200000428801/product/upload_f5fb49c914e94910babd8c09e0c3e998.jpg</t>
  </si>
  <si>
    <t>Q302117568</t>
  </si>
  <si>
    <t>" Metronidazol 250mg Hà Tây (Hợp 50 vỉ x 10 viên) "</t>
  </si>
  <si>
    <t>https://product.hstatic.net/200000428801/product/upload_f69a05b86d70455b955e3d2fd85da35d.jpg</t>
  </si>
  <si>
    <t>Q3021952314</t>
  </si>
  <si>
    <t>" Metronidazol 500mg Đồng Nai (lọ 100 viên nang) "</t>
  </si>
  <si>
    <t>https://product.hstatic.net/200000428801/product/upload_e11a8b75b76045abac860c9d2e4691b1.jpg</t>
  </si>
  <si>
    <t>Q3021952315</t>
  </si>
  <si>
    <t>" Metronidazol Kabi 500mg truyền Bidiphar Bình Định (lọ 100ml) "</t>
  </si>
  <si>
    <t>Q3021952316</t>
  </si>
  <si>
    <t>" Metronidazole 250mg Stella (hộp 2 vỉ x 10 viên nén) "</t>
  </si>
  <si>
    <t>https://product.hstatic.net/200000428801/product/upload_ed9a47de257045e1b5903cb9a85a63e0.jpg</t>
  </si>
  <si>
    <t>Q3021952317</t>
  </si>
  <si>
    <t>" Metronidazole 400mg Stella (hộp 2 vỉ x 7 viên nén) "</t>
  </si>
  <si>
    <t>https://product.hstatic.net/200000428801/product/upload_22355523d7a849529704751f1aaf8296.jpg</t>
  </si>
  <si>
    <t>Q3021952318</t>
  </si>
  <si>
    <t>" Mexcold Plus Imexpharm (hộp 10 vỉ x 10 viên nén dài) "</t>
  </si>
  <si>
    <t>https://product.hstatic.net/200000428801/product/upload_194830e1a6b2435ab96c79ed6c9dea1c.jpg</t>
  </si>
  <si>
    <t>Q3021952319</t>
  </si>
  <si>
    <t>" Meyer Vita DC Calci D3 hộp 20 gói x 5g cốm uống "</t>
  </si>
  <si>
    <t>https://product.hstatic.net/200000428801/product/upload_a427b896fa38460892b4299af7e0b116.jpg</t>
  </si>
  <si>
    <t>Q3021952320</t>
  </si>
  <si>
    <t>" Meyercetam Piracetam 333,3mg Meyer BPC (hộp 20 ống x 10ml) "</t>
  </si>
  <si>
    <t>https://product.hstatic.net/200000428801/product/upload_ff4cd65bc76a43ff803e6f1fbd4e6a4e.jpg</t>
  </si>
  <si>
    <t>Q3021952321</t>
  </si>
  <si>
    <t>" Meyercolin Citicolin 500mg Meyer BPC (hộp 2 vỉ x 10 viên nén) "</t>
  </si>
  <si>
    <t>https://product.hstatic.net/200000428801/product/upload_4e360f1c43484fb7a64f32df6a5716b0.jpg</t>
  </si>
  <si>
    <t>Q3021952322</t>
  </si>
  <si>
    <t>" Meyersibi 200mg Mayer BPC (hộp 10 vỉ x 10 viên nén bao phim) "</t>
  </si>
  <si>
    <t>https://product.hstatic.net/200000428801/product/upload_1c7683eb4ebc4122a262b3aba72a307a.jpg</t>
  </si>
  <si>
    <t>Q3021952323</t>
  </si>
  <si>
    <t>" Meyerursolic F Acid Ursodeoxycholic 500mg Meyer (hộp 3 vỉ x 10 viên nén) "</t>
  </si>
  <si>
    <t>https://product.hstatic.net/200000428801/product/upload_1f0cb03413cd43e49307958e2063c788.jpg</t>
  </si>
  <si>
    <t>Q302270323252</t>
  </si>
  <si>
    <t>" Mezapulgit Hà Tây (hộp 30 gói x 3.3g) "</t>
  </si>
  <si>
    <t>https://product.hstatic.net/200000428801/product/upload_3f3ef929b777434b91d530631031bbc4.jpg</t>
  </si>
  <si>
    <t>Q3021952324</t>
  </si>
  <si>
    <t>" Mezathin 500mg Hà Tây (hộp 12 vỉ x 5 viên nang mềm) "</t>
  </si>
  <si>
    <t>https://product.hstatic.net/200000428801/product/64_b565bcd74acb436588f2b7b53bf71b08.png</t>
  </si>
  <si>
    <t>Q3021952325</t>
  </si>
  <si>
    <t>" Mezathin S Hà Tây (hộp 10 gói x 5g) "</t>
  </si>
  <si>
    <t>https://product.hstatic.net/200000428801/product/upload_1f86c86241854650b9a8d87ace7ab763.jpg</t>
  </si>
  <si>
    <t>Q3021952326</t>
  </si>
  <si>
    <t>" Mezondin Thymodulin 80mg Hàn Quốc ( hộp 6 vỉ x 10 viên nang) "</t>
  </si>
  <si>
    <t>https://product.hstatic.net/200000428801/product/upload_7dbe90bbc5334952b4f9647cd110e291.jpg</t>
  </si>
  <si>
    <t>Q3021352365</t>
  </si>
  <si>
    <t>" Mibedotyl Cefpodoxime 100mg Hasan (hộp 30 gói x 3g) "</t>
  </si>
  <si>
    <t>https://product.hstatic.net/200000428801/product/upload_bac04649365e494e835618ce3c1ec5c3.jpg</t>
  </si>
  <si>
    <t>Q3021952327</t>
  </si>
  <si>
    <t>" Mibeproxil Tenofovir 300mg Hasan (hộp 10 vỉ x 7 viên nén) "</t>
  </si>
  <si>
    <t>https://product.hstatic.net/200000428801/product/upload_be60bd2f677445db8fbd8ba3ce916244.jpg</t>
  </si>
  <si>
    <t>Q3021352366</t>
  </si>
  <si>
    <t>https://product.hstatic.net/200000428801/product/upload_bc5963257d314f85bbf74173f2d1fb2b.jpg</t>
  </si>
  <si>
    <t>Q3021952328</t>
  </si>
  <si>
    <t>" Mibeserc Betahistidin 16mg Hasan (hộp 3 vỉ x 20 viên nén) "</t>
  </si>
  <si>
    <t>https://product.hstatic.net/200000428801/product/upload_0da351dded90410aa5c3c631e9ef5660.jpg</t>
  </si>
  <si>
    <t>Q3021352368</t>
  </si>
  <si>
    <t>" Mibetel Plus Telmisartan 40mg Hasan (hộp 3 vỉ x 10 viên nén) "</t>
  </si>
  <si>
    <t>https://product.hstatic.net/200000428801/product/upload_e4e2a99b17f14d86a579180fd10465d2.jpg</t>
  </si>
  <si>
    <t>Q3021352369</t>
  </si>
  <si>
    <t>" Mibetel Telmisartan 40mg Hasan (hộp 3 vỉ x 10 viên nén) "</t>
  </si>
  <si>
    <t>https://product.hstatic.net/200000428801/product/upload_31fd1cd2ae0547b193440014c7f37ab9.jpg</t>
  </si>
  <si>
    <t>Q3021352370</t>
  </si>
  <si>
    <t>" Mibeviru Acyclovir 800mg Hasan (hộp 5 vỉ x 5 viên nén) "</t>
  </si>
  <si>
    <t>https://product.hstatic.net/200000428801/product/upload_350ff723bb3c4d38bf48e60934c6c880.jpg</t>
  </si>
  <si>
    <t>Q3021352371</t>
  </si>
  <si>
    <t>" Mibeviru cream Hasan (Tube 5g) "</t>
  </si>
  <si>
    <t>https://product.hstatic.net/200000428801/product/upload_6d8f2b45e6ff49df877423b0015712cf.jpg</t>
  </si>
  <si>
    <t>Q3021352372</t>
  </si>
  <si>
    <t>" Mibezisol Oresol thuốc bù điện giải Hasan (hộp 30 gói) "</t>
  </si>
  <si>
    <t>https://product.hstatic.net/200000428801/product/upload_e75e169668b8492298862f808f6f2349.jpg</t>
  </si>
  <si>
    <t>Q30220032342</t>
  </si>
  <si>
    <t>" Micardis Plus 40/12.5mg Boehringer Đức (hộp 3 vỉ x 10 viên nén) "</t>
  </si>
  <si>
    <t>https://product.hstatic.net/200000428801/product/upload_6d2b5a588e6742328bc039cce2ce29f7.jpg</t>
  </si>
  <si>
    <t>Q3021352373</t>
  </si>
  <si>
    <t>" Micardis Telmisartan 40mg Boehringer Đức (hộp 3 vỉ nhôm x 10 viên nén) "</t>
  </si>
  <si>
    <t>https://product.hstatic.net/200000428801/product/upload_85b810545c1b4a0da304f9f57abcdab8.jpg</t>
  </si>
  <si>
    <t>Q3021352374</t>
  </si>
  <si>
    <t>" Micardis Telmisartan 80mg Boehringer Đức (hộp 3 vỉ nhôm x 10 viên nén) "</t>
  </si>
  <si>
    <t>https://product.hstatic.net/200000428801/product/65_b76ee9a6140d4db481c20e488f5dbe3c.png</t>
  </si>
  <si>
    <t>Q3021352375</t>
  </si>
  <si>
    <t>" Micomedil Miconazole Nitrate 2%ww CH Síp (tuýp 15g) "</t>
  </si>
  <si>
    <t>https://product.hstatic.net/200000428801/product/upload_8608239e246f49f2a6c6826bcda71711.jpg</t>
  </si>
  <si>
    <t>Q3021352376</t>
  </si>
  <si>
    <t>" Microclismi 3g Ý (hộp 6 ống thụt) "</t>
  </si>
  <si>
    <t>https://product.hstatic.net/200000428801/product/upload_4b84f6fcfce048a1a01eb2a4a0461493.jpg</t>
  </si>
  <si>
    <t>Q3021352377</t>
  </si>
  <si>
    <t>" Microclismi 9g Ý (hộp 6 ống thụt) "</t>
  </si>
  <si>
    <t>https://product.hstatic.net/200000428801/product/upload_a3643d7f4c274b00bd4613e65852f013.jpg</t>
  </si>
  <si>
    <t>Q3021352378</t>
  </si>
  <si>
    <t>" Mictableu Apco (hộp 10 vỉ x 10 viên bao đường) "</t>
  </si>
  <si>
    <t>https://product.hstatic.net/200000428801/product/upload_897c3f673177489c9269a86ca720eff0.jpg</t>
  </si>
  <si>
    <t>Q3021352379</t>
  </si>
  <si>
    <t>" Midasol Thành Nam (hộp 10 vỉ x 10 viên bao đường) "</t>
  </si>
  <si>
    <t>https://product.hstatic.net/200000428801/product/upload_43a760622f4d4d90aaf894d3e6ae3a9d.jpg</t>
  </si>
  <si>
    <t>Q302908080877</t>
  </si>
  <si>
    <t>" Miếng dán hạ sốt "</t>
  </si>
  <si>
    <t>https://product.hstatic.net/200000428801/product/upload_d072f3ec44324cf58a8c12c51a630500.jpg</t>
  </si>
  <si>
    <t>Q302876586</t>
  </si>
  <si>
    <t>" Miếng Dán Hạ Sốt Aikido Gel Cool Patch (Hộp 3 gói x 2 miếng) "</t>
  </si>
  <si>
    <t>https://product.hstatic.net/200000428801/product/upload_b9405f364b02492faff6e382f37a39c9.jpg</t>
  </si>
  <si>
    <t>Q302773839</t>
  </si>
  <si>
    <t>" Miếng Dán Mụn Mayan Care Ultra Thin Spot Hồng Korea (Hộp 24 miếng) "</t>
  </si>
  <si>
    <t>https://product.hstatic.net/200000428801/product/upload_9dc2c63151294bfc86563347c9ade201.jpg</t>
  </si>
  <si>
    <t>Q302884737</t>
  </si>
  <si>
    <t>" Miếng Dán Mụn Mayan Care Ultra Thin Spot Plus Xanh Korea (Hộp 20 Miếng) "</t>
  </si>
  <si>
    <t>https://product.hstatic.net/200000428801/product/upload_c647d680617d496db628d653d225e6c2.jpg</t>
  </si>
  <si>
    <t>Q3021352380</t>
  </si>
  <si>
    <t>" Miếng dán sưởi ấm Thiên Thanh (hộp 10 miếng) "</t>
  </si>
  <si>
    <t>https://product.hstatic.net/200000428801/product/upload_e21489be086e4478bf109af9b71b6286.jpg</t>
  </si>
  <si>
    <t>Q3021352381</t>
  </si>
  <si>
    <t>" Mife 10 Mifepristone 10mg Hera (cọc 10 hộp 1 vỉ x 1 viên nén) "</t>
  </si>
  <si>
    <t>https://product.hstatic.net/200000428801/product/upload_2b745a4902c74a7aa7f229c1d1fd7af9.jpg</t>
  </si>
  <si>
    <t>Q3021352382</t>
  </si>
  <si>
    <t>" Mifepriston 10mg Ba Đình (cọc 20 hộp x 1 viên nén) "</t>
  </si>
  <si>
    <t>https://product.hstatic.net/200000428801/product/67_5d6f88d3fad74a70989408cd314adc65.png</t>
  </si>
  <si>
    <t>Q302647389</t>
  </si>
  <si>
    <t>" Mifestad 10 Mifepristone 10mg Stella 120giờ (Hộp 1 vỉ x 1 viên) "</t>
  </si>
  <si>
    <t>https://product.hstatic.net/200000428801/product/upload_ae7faefae0844d698768f60f1ff5b476.jpg</t>
  </si>
  <si>
    <t>Q3021352383</t>
  </si>
  <si>
    <t>" Mifestad Mifepristone 200mg Stella ( hộp 1 viên nén) "</t>
  </si>
  <si>
    <t>https://product.hstatic.net/200000428801/product/upload_363e323ce79d4073acb9adf305e7d2bf.jpg</t>
  </si>
  <si>
    <t>Q3021352385</t>
  </si>
  <si>
    <t>" Mifexton Citicoline 500mg Mediplantex (hộp 3 vỉ x 10 viên bao phim) "</t>
  </si>
  <si>
    <t>https://product.hstatic.net/200000428801/product/upload_a70544fee5e64183b8877c4c4c5a4000.jpg</t>
  </si>
  <si>
    <t>Q3021352386</t>
  </si>
  <si>
    <t>" Mifros Penicilamin 300mg Davipharm (hộp 3 vỉ x 10 viên nén) "</t>
  </si>
  <si>
    <t>https://product.hstatic.net/200000428801/product/upload_405988eadb5e4edd99c177a4b37deb39.jpg</t>
  </si>
  <si>
    <t>Q3021352387</t>
  </si>
  <si>
    <t>" Migomik Dihydroergotamine mesylate 3mg Hasan (hộp 3 vỉ x 10 viên nén) "</t>
  </si>
  <si>
    <t>https://product.hstatic.net/200000428801/product/upload_5feb3f63323b4e49838e432c0a670dd0.jpg</t>
  </si>
  <si>
    <t>Q3021352388</t>
  </si>
  <si>
    <t>" Migrin plus giảm đau nửa đầu New Tech Pharm (hộp 2 vỉ x 10 viên nang) "</t>
  </si>
  <si>
    <t>https://product.hstatic.net/200000428801/product/upload_0af13eb2771e4342952e39b78af71cf8.jpg</t>
  </si>
  <si>
    <t>Q302280323255</t>
  </si>
  <si>
    <t>" Mikfepris Mifepristone 10mg Nam Hà (cọc 10 hộp x 1 viên nén) "</t>
  </si>
  <si>
    <t>https://product.hstatic.net/200000428801/product/upload_4410ba9f52644d4689ceb48c9ab66056.jpg</t>
  </si>
  <si>
    <t>Q3021352389</t>
  </si>
  <si>
    <t>" Milgamma N Đức (hộp 5 ống tiêm) "</t>
  </si>
  <si>
    <t>https://product.hstatic.net/200000428801/product/upload_167916dd784b43a383f41087ee5d069a.jpg</t>
  </si>
  <si>
    <t>Q3021352390</t>
  </si>
  <si>
    <t>" Milian sát trùng da OPC (cọc 10 lọ x 20ml) "</t>
  </si>
  <si>
    <t>https://product.hstatic.net/200000428801/product/upload_b277cf1065e9465b94e58448d00a0533.jpg</t>
  </si>
  <si>
    <t>Q3021352391</t>
  </si>
  <si>
    <t>" Milurit Allopurinol 300mg Egis Hungary (hộp 30 viên nén) "</t>
  </si>
  <si>
    <t>https://product.hstatic.net/200000428801/product/upload_6203689c01fc48368624f024059bafb2.jpg</t>
  </si>
  <si>
    <t>Q30221032360</t>
  </si>
  <si>
    <t>" Mimosa an thần OPC (hộp 5 vỉ x 10 viên nén) "</t>
  </si>
  <si>
    <t>https://product.hstatic.net/200000428801/product/upload_6bba6ec50b7b40cea2a1936724b935d3.jpg</t>
  </si>
  <si>
    <t>Q3021352392</t>
  </si>
  <si>
    <t>" Minh Nhãn Khang Trung Mỹ (hộp 3 vỉ x 10 viên nén) "</t>
  </si>
  <si>
    <t>https://product.hstatic.net/200000428801/product/56_06ac8cb62883477595f32cbb377ded29.png</t>
  </si>
  <si>
    <t>Q3021352393</t>
  </si>
  <si>
    <t>" Mintar Liquid dầu gội trì gầu Gamma (lọ 150ml) "</t>
  </si>
  <si>
    <t>https://product.hstatic.net/200000428801/product/upload_02447acd9d4b48bfad6e0eb70d5fbd8a.jpg</t>
  </si>
  <si>
    <t>Q3021352394</t>
  </si>
  <si>
    <t>" Mirastad Mirtazapin 30mg Stella (hộp 2 vỉ x 14 viên) "</t>
  </si>
  <si>
    <t>https://product.hstatic.net/200000428801/product/upload_624b674b1b8b49aea4784d44ebccd0f8.jpg</t>
  </si>
  <si>
    <t>Q3021352395</t>
  </si>
  <si>
    <t>" Mirtha RS-P Foam vệ sinh phụ nữ Bỉ (lọ 150ml) "</t>
  </si>
  <si>
    <t>Q3021352396</t>
  </si>
  <si>
    <t>" Mirzaten 30mg KRKA (hộp 30 viên nén bao phim) "</t>
  </si>
  <si>
    <t>https://product.hstatic.net/200000428801/product/upload_1ba3e6ae528448daab10d43551f40c82.jpg</t>
  </si>
  <si>
    <t>Q3021352397</t>
  </si>
  <si>
    <t>" Misanlugel Aluminium Phosphate Gel 20% Hasan (hộp 26 gói x 20g) "</t>
  </si>
  <si>
    <t>https://product.hstatic.net/200000428801/product/upload_7060e90d6e7b41fa82df9e09f81c6d48.jpg</t>
  </si>
  <si>
    <t>Q3021352398</t>
  </si>
  <si>
    <t>" Misoprostol 200mcg Stella (hộp 3 vỉ x 10 viên nén) "</t>
  </si>
  <si>
    <t>https://product.hstatic.net/200000428801/product/upload_57425cee3df34e748ed5d1fd6bacea8a.jpg</t>
  </si>
  <si>
    <t>Q3021352399</t>
  </si>
  <si>
    <t>" Mitafix Cefixim 100mg vị ngọt Cophavina (hộp 12 gói x 1.5g) "</t>
  </si>
  <si>
    <t>https://product.hstatic.net/200000428801/product/upload_0821d501225d4dc390e095321e879293.jpg</t>
  </si>
  <si>
    <t>Q3021452301</t>
  </si>
  <si>
    <t>" Mithra Folic bổ sung acid folic cho trẻ Bỉ (hộp 84 viên) "</t>
  </si>
  <si>
    <t>https://cdn-images.kiotviet.vn/giabaopharma/f0c398e988c34fe2973c1156edd97626.png</t>
  </si>
  <si>
    <t>Q302009768</t>
  </si>
  <si>
    <t>" Mitux Acetylcystein 100mg DHG (Hộp 24 gói x 1,5 thuốc bột) "</t>
  </si>
  <si>
    <t>https://product.hstatic.net/200000428801/product/upload_79ed79960fc246debdd3b759f1ec42e4.jpg</t>
  </si>
  <si>
    <t>Q302554787</t>
  </si>
  <si>
    <t>" Mitux Acetylcystein 200mg DHG (Hộp 24 gói x 1,5 thuốc bột) "</t>
  </si>
  <si>
    <t>https://product.hstatic.net/200000428801/product/upload_34e550365d4247fe81eaa29c8b544412.jpg</t>
  </si>
  <si>
    <t>Q3021452302</t>
  </si>
  <si>
    <t>" Mixtard 30 Novo Nordisk Đan Mạch (lọ 10ml tiêm) "</t>
  </si>
  <si>
    <t>https://cdn-images.kiotviet.vn/giabaopharma/f8c315d2bc3e465fb47d424b0b42b153.jpg</t>
  </si>
  <si>
    <t>Q3021452305</t>
  </si>
  <si>
    <t>" Mobic 15mg/1.5ml Boehringer Đức (hộp 5 ống tiêm x 1.5ml) "</t>
  </si>
  <si>
    <t>https://product.hstatic.net/200000428801/product/upload_49f68aeb620b4a7d87556905ccbc421c.jpg</t>
  </si>
  <si>
    <t>Q302663476</t>
  </si>
  <si>
    <t>" Mobic Meloxicam 7,5mg Boehringer (Hộp 2 vỉ x 10 viên) "</t>
  </si>
  <si>
    <t>https://product.hstatic.net/200000428801/product/upload_d8fad0bc4e3146c48f55e5b465ce9303.jpg</t>
  </si>
  <si>
    <t>Q3021452306</t>
  </si>
  <si>
    <t>" Mobimed Meloxicam 15mg Pymepharco (hộp 2 vỉ x 10 viên nén) "</t>
  </si>
  <si>
    <t>https://product.hstatic.net/200000428801/product/upload_117f112ba6db4a6c8f6f1335ec18f1ef.jpg</t>
  </si>
  <si>
    <t>Q3021452307</t>
  </si>
  <si>
    <t>" Mobimed Meloxicam 7.5mg Pymepharco (hộp 2 vỉ x 10 viên nén) "</t>
  </si>
  <si>
    <t>https://product.hstatic.net/200000428801/product/upload_c2da5d376dfe4ee3883e088920a68bcd.jpg</t>
  </si>
  <si>
    <t>Q3021952329</t>
  </si>
  <si>
    <t>" Modom S Donperidon 10mg Hậu Giang (hộp 10 vỉ x 10 viên nén) "</t>
  </si>
  <si>
    <t>https://product.hstatic.net/200000428801/product/upload_c51e10f51eb24f699b3fe83142451b7e.jpg</t>
  </si>
  <si>
    <t>Q302466981</t>
  </si>
  <si>
    <t>" Mofen 400 Ibuprofen Medophar (Hộp 10 vỉ x 10 viên) "</t>
  </si>
  <si>
    <t>https://product.hstatic.net/200000428801/product/upload_2a5d147f65b0491e9f3e6c327fbf41d0.jpg</t>
  </si>
  <si>
    <t>Q3021952301</t>
  </si>
  <si>
    <t>" Molukat 4 Montelukast 4mg DHG Hậu Giang (hộp 3 vỉ x 10 viên nén) "</t>
  </si>
  <si>
    <t>https://product.hstatic.net/200000428801/product/upload_635e1c2d96394ac987dec1ce93b56d3a.jpg</t>
  </si>
  <si>
    <t>Q3021952302</t>
  </si>
  <si>
    <t>" Momate – S Ấn (tube 10g) "</t>
  </si>
  <si>
    <t>https://product.hstatic.net/200000428801/product/upload_3753ca1422574dfca5cc2d0dc1dbfc4c.jpg</t>
  </si>
  <si>
    <t>Q3021952303</t>
  </si>
  <si>
    <t>" Momvina Dimenhydrinate 50mg Hadiphar (hộp 25 vỉ x 4 viên nén) "</t>
  </si>
  <si>
    <t>https://product.hstatic.net/200000428801/product/upload_c435f4ad34b1418b8ba8d181e7b5f32c.jpg</t>
  </si>
  <si>
    <t>Q3021952304</t>
  </si>
  <si>
    <t>" Montelukast 10mg TW2 Dopharma (hộp 10 vỉ x 10 viên nén) "</t>
  </si>
  <si>
    <t>https://product.hstatic.net/200000428801/product/upload_bf717fc993854153a406d880d63e5bc4.jpg</t>
  </si>
  <si>
    <t>Q302773627</t>
  </si>
  <si>
    <t>" Montiget Montelukast Sodium 10mg Getz (Hộp 2vỉ x 7 viên) "</t>
  </si>
  <si>
    <t>https://product.hstatic.net/200000428801/product/upload_1c61d154645445fa9fcab897d117487c.jpg</t>
  </si>
  <si>
    <t>Q302987476</t>
  </si>
  <si>
    <t>" Montiget Montelukast Sodium 4mg Getz (Hộp 2vỉ x 7 viên nhai) "</t>
  </si>
  <si>
    <t>https://product.hstatic.net/200000428801/product/upload_6d2488403602446c9a2350ec07f93d54.jpg</t>
  </si>
  <si>
    <t>Q3021952305</t>
  </si>
  <si>
    <t>" Morganin Arginin 500mg Hà Tây (hộp 6 vỉ x 10 viên nén) "</t>
  </si>
  <si>
    <t>https://product.hstatic.net/200000428801/product/52_1ce8133f052c479894174bd5bd84c738.png</t>
  </si>
  <si>
    <t>Q3021952306</t>
  </si>
  <si>
    <t>" Moriamin Forte Roussel (hộp 10 vỉ x 10 viên nang) "</t>
  </si>
  <si>
    <t>https://product.hstatic.net/200000428801/product/upload_71afab5a411a46b8b696bf30d14eed39.jpg</t>
  </si>
  <si>
    <t>Q3021952308</t>
  </si>
  <si>
    <t>" Moslve xịt mũi Drogsan ( hộp 1 lọ 18g) "</t>
  </si>
  <si>
    <t>https://product.hstatic.net/200000428801/product/upload_f104166c6def446288b7895c42566047.jpg</t>
  </si>
  <si>
    <t>Q3021952307</t>
  </si>
  <si>
    <t>" Mosvidick Plus An Hưng (lọ 10ml bôi) "</t>
  </si>
  <si>
    <t>https://product.hstatic.net/200000428801/product/upload_4ae2aef0242a4eed93f34c8de9c5a0a3.jpg</t>
  </si>
  <si>
    <t>Q3021952313</t>
  </si>
  <si>
    <t>" MotiBoston Domperidon 10mg Boston (hộp 10 vỉ x 10 viên nén) "</t>
  </si>
  <si>
    <t>https://product.hstatic.net/200000428801/product/upload_3c8cad7afaa44a34950a6000f3960b3b.jpg</t>
  </si>
  <si>
    <t>Q302887568</t>
  </si>
  <si>
    <t>" Motilium - M Domperidon Janssen (Hộp 10 vỉ x 10 viên nén) "</t>
  </si>
  <si>
    <t>https://product.hstatic.net/200000428801/product/upload_0bf10f0f998441d79e85e03dfab9fe26.jpg</t>
  </si>
  <si>
    <t>Q3021352317</t>
  </si>
  <si>
    <t>" Motimilum Domperidon 10mg Phúc Vinh (hộp 10 vỉ x 10 viên nén) "</t>
  </si>
  <si>
    <t>https://product.hstatic.net/200000428801/product/upload_5f6a594b542d49ba9585e7e32b935086.jpg</t>
  </si>
  <si>
    <t>Q3021352318</t>
  </si>
  <si>
    <t>" Mouthpaste bôi nhiệt Medipharco (Tube 5g) "</t>
  </si>
  <si>
    <t>https://product.hstatic.net/200000428801/product/upload_50ff4ef52d804e889592dcc6b1cf9960.jpg</t>
  </si>
  <si>
    <t>Q3021352319</t>
  </si>
  <si>
    <t>" Moxydar Đức (hộp 5 vỉ x 6 viên nhũ tương) "</t>
  </si>
  <si>
    <t>https://product.hstatic.net/200000428801/product/upload_673703301762468aa2f05795d447ce2b.jpg</t>
  </si>
  <si>
    <t>Q3021452303</t>
  </si>
  <si>
    <t>" Mồ hôi trộm Đức Thịnh (lọ 200ml) "</t>
  </si>
  <si>
    <t>https://product.hstatic.net/200000428801/product/upload_260acf69d45b4d6fb7f94d6d1c95a8f0.jpg</t>
  </si>
  <si>
    <t>Q302889366</t>
  </si>
  <si>
    <t>" Mộc Hoa Trắng HT Hadiphar (Hộp 10vỉ x 10 viên nén) "</t>
  </si>
  <si>
    <t>https://product.hstatic.net/200000428801/product/upload_87cce81d88c84129b35894ddf3b9ee8f.jpg</t>
  </si>
  <si>
    <t>Q3021452304</t>
  </si>
  <si>
    <t>" Mỡ máu Tâm Bình hộp 5 vỉ x 12 viên nang "</t>
  </si>
  <si>
    <t>https://product.hstatic.net/200000428801/product/upload_d3a6b74f9ba34a0297fc341d10fccf08.jpg</t>
  </si>
  <si>
    <t>Q3021352320</t>
  </si>
  <si>
    <t>" Mucosta 100mg Hàn Quốc (hộp 10 vỉ x 10 viên nén) "</t>
  </si>
  <si>
    <t>https://product.hstatic.net/200000428801/product/upload_e1b75f09b7b745229127b2ea57bc7cff.jpg</t>
  </si>
  <si>
    <t>Q3021352321</t>
  </si>
  <si>
    <t>" Multi Vitamin Apco (lọ 500 viên nang) "</t>
  </si>
  <si>
    <t>https://product.hstatic.net/200000428801/product/upload_e17c3e11817741de971c722b6feea216.jpg</t>
  </si>
  <si>
    <t>Q3021352322</t>
  </si>
  <si>
    <t>" Multidex Bột Ref 46 701 DeRoyal (Tube 45g) "</t>
  </si>
  <si>
    <t>https://product.hstatic.net/200000428801/product/upload_dbd1bcb20d7942dfa3b4fdf6565f851e.jpg</t>
  </si>
  <si>
    <t>Q3021352324</t>
  </si>
  <si>
    <t>" Multivitamin Đại Uy (hộp 10 vỉ x 10 viên nén) "</t>
  </si>
  <si>
    <t>https://product.hstatic.net/200000428801/product/upload_3b178473186946da86a19cf2fa7c709e.jpg</t>
  </si>
  <si>
    <t>Q3021352323</t>
  </si>
  <si>
    <t>" Multivitamin Đại Y (hộp 10 vỉ x 10 nén) "</t>
  </si>
  <si>
    <t>https://product.hstatic.net/200000428801/product/59_ec279913a30041ca93c41295cd470b9b.png</t>
  </si>
  <si>
    <t>Q3021352325</t>
  </si>
  <si>
    <t>" Multivitamin Plus Chanh leo viên sủi plusszs Hạnh Dung (cọc 10 tuýp) "</t>
  </si>
  <si>
    <t>https://product.hstatic.net/200000428801/product/upload_4215f64817f84a38a0343f3f523c2a6d.jpg</t>
  </si>
  <si>
    <t>Q302009894</t>
  </si>
  <si>
    <t>" Muối Rửa Mũi Xoang Cát Linh (Hộp 30 gói x 1 chai) "</t>
  </si>
  <si>
    <t>https://product.hstatic.net/200000428801/product/upload_956f3381b15a4c82b008a313ece7f95e.jpg</t>
  </si>
  <si>
    <t>Q3021352327</t>
  </si>
  <si>
    <t>" Muối tinh 0,9% An Hòa (lọ 25 viên pha 1 Lít) "</t>
  </si>
  <si>
    <t>https://product.hstatic.net/200000428801/product/upload_984b3fd802754ffbae81ee131d67883a.jpg</t>
  </si>
  <si>
    <t>Q3021352328</t>
  </si>
  <si>
    <t>" Muối Tinh 4.5g An Phú (lọ 50 viên) "</t>
  </si>
  <si>
    <t>https://product.hstatic.net/200000428801/product/upload_e481c114d82c42ccb7dbc41ce3964893.jpg</t>
  </si>
  <si>
    <t>Q3021352329</t>
  </si>
  <si>
    <t>" Muscat Tab Mosaprid citrat 5mg Hàn Quốc (hộp 10 vỉ x 10 viên nén) "</t>
  </si>
  <si>
    <t>https://product.hstatic.net/200000428801/product/upload_9f9c5fe74e124683b8a84b9440c56f4e.jpg</t>
  </si>
  <si>
    <t>Q3021352330</t>
  </si>
  <si>
    <t>" Mutecium M Domperidon 10mg Mekophar (hộp 10 vỉ x 10 viên nén) "</t>
  </si>
  <si>
    <t>https://product.hstatic.net/200000428801/product/upload_0025e243e76e477b9bd574466d7326f8.jpg</t>
  </si>
  <si>
    <t>Q3021352331</t>
  </si>
  <si>
    <t>" Mutecium M Domperidon 2.5mg Mekophar (hộp 30 gói x 1g) "</t>
  </si>
  <si>
    <t>https://product.hstatic.net/200000428801/product/upload_6960245bf8814eaca33b3fed35c61263.jpg</t>
  </si>
  <si>
    <t>Q3021352332</t>
  </si>
  <si>
    <t>" Mutecium M Domperidone Mekophar (lọ 100ml) "</t>
  </si>
  <si>
    <t>https://product.hstatic.net/200000428801/product/upload_8f92b7f8b1e34486af31590a0722b658.jpg</t>
  </si>
  <si>
    <t>Q3021352333</t>
  </si>
  <si>
    <t>" My Vita Multivitamin vị cam cọc 10 SPM (Tube x 20 viên sủi) "</t>
  </si>
  <si>
    <t>https://product.hstatic.net/200000428801/product/upload_ef10f5c19cda43f08fe8275f501c3bf0.jpg</t>
  </si>
  <si>
    <t>Q3021352334</t>
  </si>
  <si>
    <t>" Mycomucc Acetylcystein 200mg Mediplantex (hộp 30 gói x 2g) "</t>
  </si>
  <si>
    <t>https://product.hstatic.net/200000428801/product/upload_4c346cd193d842939a1e2d44c7249f73.jpg</t>
  </si>
  <si>
    <t>Q3021352335</t>
  </si>
  <si>
    <t>" Mycorozan Ketoconazol 20mg Hà Tĩnh (cọc x 10 tube 5g) "</t>
  </si>
  <si>
    <t>https://product.hstatic.net/200000428801/product/upload_f933c83c89984d7bbdecfe0fef1ec621.jpg</t>
  </si>
  <si>
    <t>Q302773646</t>
  </si>
  <si>
    <t>" Mydocalm Tolperisone Hydrochlorid 150mg Gedeon (Hộp 3 vỉ x 10 viên bao phim) "</t>
  </si>
  <si>
    <t>https://product.hstatic.net/200000428801/product/upload_742f8d9b0880488c9573511694103324.jpg</t>
  </si>
  <si>
    <t>Q302387648</t>
  </si>
  <si>
    <t>" Mydocalm Tolperisone Hydrochlorid 50mg Gedeon (Hộp 3 vỉ x 10 viên bao phim) "</t>
  </si>
  <si>
    <t>https://product.hstatic.net/200000428801/product/upload_cfdcc4cda90a4371b74cc70dde11fb33.jpg</t>
  </si>
  <si>
    <t>Q3021352337</t>
  </si>
  <si>
    <t>" Mynarac Tolperison Hcl 150mg Hậu Giang (hộp 6 vỉ x 10 viên nén) "</t>
  </si>
  <si>
    <t>https://product.hstatic.net/200000428801/product/upload_ff629346de4b4037926913e82f3fa110.jpg</t>
  </si>
  <si>
    <t>Q3021352338</t>
  </si>
  <si>
    <t>" Mypicos Tây Ban Nha (hộp 60 gói x 4g) "</t>
  </si>
  <si>
    <t>https://product.hstatic.net/200000428801/product/upload_0de78086f07f454cbbdc8fd85b099583.jpg</t>
  </si>
  <si>
    <t>Q3021352339</t>
  </si>
  <si>
    <t>" Mysobenal Eperison hydroclorid 50mg Hasan (hộp 5 vỉ x 10 viên nén) "</t>
  </si>
  <si>
    <t>Q302445766</t>
  </si>
  <si>
    <t>" Myspa Isotretionin 10mg Medisun (Hộp 3 vỉ x 10 viên) "</t>
  </si>
  <si>
    <t>Q3021352340</t>
  </si>
  <si>
    <t>" Nabica thuốc muối Hóa Dược (Bịch 10 gói x 100g) "</t>
  </si>
  <si>
    <t>https://product.hstatic.net/200000428801/product/upload_885c97ed740947c9af712c1e2042b916.jpg</t>
  </si>
  <si>
    <t>Q3021352341</t>
  </si>
  <si>
    <t>" Nabicalady Natri hydrocarbonat VSPN 5g Hóa Dược (hộp 10 gói x 5g) "</t>
  </si>
  <si>
    <t>https://product.hstatic.net/200000428801/product/upload_aa30103a7f104502ac89d7c0204076fb.jpg</t>
  </si>
  <si>
    <t>Q3021352342</t>
  </si>
  <si>
    <t>" Nacotri Cream bôi hậu môn Nhất Anh (tuýp 25g) "</t>
  </si>
  <si>
    <t>https://product.hstatic.net/200000428801/product/upload_2f6a08861fcf437abc51dc36ed7c1259.jpg</t>
  </si>
  <si>
    <t>Q3021352343</t>
  </si>
  <si>
    <t>" Nacugo Gel NewTech (tube 20g) "</t>
  </si>
  <si>
    <t>https://product.hstatic.net/200000428801/product/upload_fa220a5ce7404167b95188da3ec041f3.jpg</t>
  </si>
  <si>
    <t>Q3021352344</t>
  </si>
  <si>
    <t>" Nacurgo 100 lần xịt NewTech "</t>
  </si>
  <si>
    <t>https://product.hstatic.net/200000428801/product/upload_31c1ceb3c09445f6a736eef3c726701b.jpg</t>
  </si>
  <si>
    <t>Q3021352345</t>
  </si>
  <si>
    <t>" Nacurgo 200 lần xịt NewTech "</t>
  </si>
  <si>
    <t>https://product.hstatic.net/200000428801/product/upload_6a0689eeeee44e4cbd15d86af2deecd0.jpg</t>
  </si>
  <si>
    <t>Q3021352346</t>
  </si>
  <si>
    <t>" Nacurgo dung dịch rửa Newtech Pharm (hộp 1 chai 125ml) "</t>
  </si>
  <si>
    <t>https://product.hstatic.net/200000428801/product/upload_6cbd660b9d7140f99c456f9f57ef6849.jpg</t>
  </si>
  <si>
    <t>Q3021352348</t>
  </si>
  <si>
    <t>" Nadiflex 180 Fexofenadin HCL 180mg HV USP (hộp 1 vỉ x 10 viên nén) "</t>
  </si>
  <si>
    <t>https://product.hstatic.net/200000428801/product/upload_9b1169e26bcc4ad7ad0ab6f2a42dd896.jpg</t>
  </si>
  <si>
    <t>Q3021352351</t>
  </si>
  <si>
    <t>" Nagyteccap Hà Tây (hộp 2 vỉ x 10 viên) "</t>
  </si>
  <si>
    <t>https://product.hstatic.net/200000428801/product/upload_02431571d68d4df582f6c1259c244615.jpg</t>
  </si>
  <si>
    <t>Q3021352353</t>
  </si>
  <si>
    <t>" Namory Plus hoạt huyết dưỡng não Nhất Anh (hộp 10 vỉ x 10 viên nang) "</t>
  </si>
  <si>
    <t>https://product.hstatic.net/200000428801/product/upload_347f40f5acbd4045b4a1e15ae7224b82.jpg</t>
  </si>
  <si>
    <t>Q3021352354</t>
  </si>
  <si>
    <t>" Nanfizy Natamycin 100mg Moldova (hộp 1 vỉ x 3 viên đặt) "</t>
  </si>
  <si>
    <t>https://product.hstatic.net/200000428801/product/upload_bbb632cf283c4791b4c5caa64aea47e8.jpg</t>
  </si>
  <si>
    <t>Q3021352356</t>
  </si>
  <si>
    <t>" Nano Calcium Complex vitamin D3 + ZinC Tradiphar (hộp 100 viên nang) "</t>
  </si>
  <si>
    <t>https://product.hstatic.net/200000428801/product/upload_a88f3369e8164f98815256fee1c0cc3e.jpg</t>
  </si>
  <si>
    <t>Q3021352357</t>
  </si>
  <si>
    <t>" Nano Curcumin Học Viện Quân Y (Lọ 30 viên) "</t>
  </si>
  <si>
    <t>https://product.hstatic.net/200000428801/product/upload_f863a0dd1f3e458ca879c0f8dd6040f5.jpg</t>
  </si>
  <si>
    <t>Q3021352358</t>
  </si>
  <si>
    <t>" Nano Curcumin Tam Thất Xạ Đen Học Viện Quân Y (hộp 3 vỉ x 10 viên) "</t>
  </si>
  <si>
    <t>https://product.hstatic.net/200000428801/product/upload_0b2de16705e14d599320fe1b91e97410.jpg</t>
  </si>
  <si>
    <t>Q3021352359</t>
  </si>
  <si>
    <t>" Nanokine 4000IU/ 1ml dung dịch tiêm Nanogen (hộp 1 lọ x 1ml) "</t>
  </si>
  <si>
    <t>https://product.hstatic.net/200000428801/product/upload_1118795806e346ddb0dea2658b461b6b.jpg</t>
  </si>
  <si>
    <t>Q3021352360</t>
  </si>
  <si>
    <t>" Naomy TW3 Foripharm (lọ 120ml) "</t>
  </si>
  <si>
    <t>https://product.hstatic.net/200000428801/product/upload_5a76dbad10184aa08c34d83cf4b34aac.jpg</t>
  </si>
  <si>
    <t>Q3021352361</t>
  </si>
  <si>
    <t>" Naomy TW3 Foripharm (lọ 60ml) "</t>
  </si>
  <si>
    <t>Q302776587</t>
  </si>
  <si>
    <t>" Naphacogyl Nam Hà (Hộp 2 vỉ x 10 viên) "</t>
  </si>
  <si>
    <t>Q3021352362</t>
  </si>
  <si>
    <t>" Naphar Fresh hương cam Nam Hà (hộp 1 tuýp 10 viên nén sủi) "</t>
  </si>
  <si>
    <t>Q3021352363</t>
  </si>
  <si>
    <t>" Naphar Multi Nam Hà (cọc 10 tuýp x 20 viên sủi) "</t>
  </si>
  <si>
    <t>Q3021352364</t>
  </si>
  <si>
    <t>" Naphar With Amino Aicid Nam Hà (hộp 10 vỉ x 15 viên nang mềm) "</t>
  </si>
  <si>
    <t>https://product.hstatic.net/200000428801/product/upload_aa97812614594ae18249412cde74eeff.jpg</t>
  </si>
  <si>
    <t>Q3021952309</t>
  </si>
  <si>
    <t>" Napharangan Paracetamol 500mg viên sủi Nam Hà ( Hộp 4 vỉ x 4 viên) "</t>
  </si>
  <si>
    <t>https://product.hstatic.net/200000428801/product/upload_3643c3d65cda47efa0fa2fae12408bb2.jpg</t>
  </si>
  <si>
    <t>Q3021952310</t>
  </si>
  <si>
    <t>" Naphazolin 0.05% nhỏ mũi Đà Nẵng (cọc 10 lọ x 5ml) "</t>
  </si>
  <si>
    <t>https://product.hstatic.net/200000428801/product/upload_089e5d1a96a24182bf6ace3614603bd3.jpg</t>
  </si>
  <si>
    <t>Q3021952311</t>
  </si>
  <si>
    <t>" Naphazolin 0.05% nhỏ mũi Đà Nẵng (hộp 50 lọ x 10ml) "</t>
  </si>
  <si>
    <t>https://product.hstatic.net/200000428801/product/upload_12149d5c7d304ad7b8c643a36ce99c34.jpg</t>
  </si>
  <si>
    <t>Q3021952312</t>
  </si>
  <si>
    <t>" Naphazolin 0.05% nhỏ mũi Hà Nội (hộp 50 lọ x 8ml) "</t>
  </si>
  <si>
    <t>https://product.hstatic.net/200000428801/product/50_d487ce74f9bc45da8daecb5afea76f04.png</t>
  </si>
  <si>
    <t>SP648481</t>
  </si>
  <si>
    <t>" Naphazolin 0.05% nhỏ mũi hộp 50 lọ x 10ml Đà Nẵng "</t>
  </si>
  <si>
    <t>https://product.hstatic.net/200000428801/product/51_7e18005b3e264baea2b94c66d25dc919.png</t>
  </si>
  <si>
    <t>Q3021352303</t>
  </si>
  <si>
    <t>" NasalRinse muối rửa mũi Provix (hộp 25 gói 3.75g) "</t>
  </si>
  <si>
    <t>https://product.hstatic.net/200000428801/product/upload_c7672faf10d44f3c9daeeba64e938c4b.jpg</t>
  </si>
  <si>
    <t>Q3021352304</t>
  </si>
  <si>
    <t>" Nasonex Bỉ (lọ 60 liều xịt) "</t>
  </si>
  <si>
    <t>https://product.hstatic.net/200000428801/product/54_8e10f45733b7462d81d85af0383a7cde.png</t>
  </si>
  <si>
    <t>Q3021252404</t>
  </si>
  <si>
    <t>" Nasrix Davipharm (hộp 4 vỉ x 7 viên nén) "</t>
  </si>
  <si>
    <t>https://product.hstatic.net/200000428801/product/upload_077deb1c3ad64f86a36f3c8b6d346f8f.jpg</t>
  </si>
  <si>
    <t>Q3021252405</t>
  </si>
  <si>
    <t>" Natri Bicarbonat 5g Vidipha (hộp 10 gói x 5g) "</t>
  </si>
  <si>
    <t>https://product.hstatic.net/200000428801/product/upload_9534d64d54da4d058aea261e6850ba3e.jpg</t>
  </si>
  <si>
    <t>Q3021252407</t>
  </si>
  <si>
    <t>" Natri clorid 0,9% nhỏ mắt mũi Namha (cọc 10 lọ x 10ml) "</t>
  </si>
  <si>
    <t>https://product.hstatic.net/200000428801/product/upload_d71114f7c0634e33902214bfddfb9e22.jpg</t>
  </si>
  <si>
    <t>Q3021252406</t>
  </si>
  <si>
    <t>" Natri Clorid 0,9% Thephaco Thanh Hóa (cọc 10 lọ x 10ml) "</t>
  </si>
  <si>
    <t>https://product.hstatic.net/200000428801/product/upload_24307adc60d0451d86985990e987c9f0.jpg</t>
  </si>
  <si>
    <t>Q3021252408</t>
  </si>
  <si>
    <t>" Natri Clorid 0.9% nhỏ mắt mũi ĐH Dược (cọc 10 lọ x 10ml) "</t>
  </si>
  <si>
    <t>https://product.hstatic.net/200000428801/product/upload_cf1b105b54074afca8c94e6e2f512118.jpg</t>
  </si>
  <si>
    <t>Q3021252409</t>
  </si>
  <si>
    <t>" Natri Clorid 0.9% nhỏ mắt mũi Hà Nội (cọc 10 lọ x 10ml) "</t>
  </si>
  <si>
    <t>https://product.hstatic.net/200000428801/product/47_aa923fdd1f74424082ecc971fa0642c9.png</t>
  </si>
  <si>
    <t>Q3021252411</t>
  </si>
  <si>
    <t>" Natri Clorid 0.9% nhỏ mắt mũi Hải Phòng (cọc 10 lọ x 10ml) "</t>
  </si>
  <si>
    <t>https://product.hstatic.net/200000428801/product/upload_38e48a9df9da41a09abedc427b8549a3.jpg</t>
  </si>
  <si>
    <t>Q3021252412</t>
  </si>
  <si>
    <t>" Natri Clorid 0.9% nhỏ mắt mũi Vidipha (cọc 10 lọ x 10ml) "</t>
  </si>
  <si>
    <t>https://product.hstatic.net/200000428801/product/61_0ae81787cc84429ba5d4f5daf8686643.png</t>
  </si>
  <si>
    <t>Q3021252414</t>
  </si>
  <si>
    <t>" Natrilix SR Indapamide 1.5mg Pháp (hộp 3 vỉ x 10 viên nén) "</t>
  </si>
  <si>
    <t>https://product.hstatic.net/200000428801/product/upload_2d0d48db2a1b4e20a9a1b40982396adb.jpg</t>
  </si>
  <si>
    <t>Q3021252415</t>
  </si>
  <si>
    <t>" Natrofen Cefprozil 500mg Hy Lạp (hộp 3 vỉ x 4 viên) "</t>
  </si>
  <si>
    <t>https://product.hstatic.net/200000428801/product/7bb03abd35a8415f830430b83a91681d_1a60845d87a14a94a372c9796ace182b.png</t>
  </si>
  <si>
    <t>Q3021252416</t>
  </si>
  <si>
    <t>" Natto Enzym Hậu giang (lọ 60 viên nang) "</t>
  </si>
  <si>
    <t>https://product.hstatic.net/200000428801/product/39f7c9cec06449239ee75980ca916a31_ed42f426362c4b4ebf1179a90015e25e.png</t>
  </si>
  <si>
    <t>Q3021252417</t>
  </si>
  <si>
    <t>" Natto Enzym Hậu Giang (lọ 90 viên nang) "</t>
  </si>
  <si>
    <t>https://product.hstatic.net/200000428801/product/ce0ec58e27454e02924b2117b73e2b0d_65b0258db6424e81a4afb0bebb6494f5.png</t>
  </si>
  <si>
    <t>Q3021252418</t>
  </si>
  <si>
    <t>" Nattospes Á Âu (hộp 3 vỉ x 10 viên nang) "</t>
  </si>
  <si>
    <t>https://product.hstatic.net/200000428801/product/upload_4524e2c8a8774429a30a40f55e8c5f7a.jpg</t>
  </si>
  <si>
    <t>Q3021252419</t>
  </si>
  <si>
    <t>" Natufib chất xơ Herbitech (hộp 20 gói x 3g) "</t>
  </si>
  <si>
    <t>https://product.hstatic.net/200000428801/product/upload_031346aab1d04956b680151e0d0ea599.jpg</t>
  </si>
  <si>
    <t>Q3021252420</t>
  </si>
  <si>
    <t>" Naturen Hậu Giang (hộp 10 vỉ x 10 viên nang) "</t>
  </si>
  <si>
    <t>https://product.hstatic.net/200000428801/product/upload_3a41837117cf4dfc8110b7696296949b.jpg</t>
  </si>
  <si>
    <t>Q3021252421</t>
  </si>
  <si>
    <t>" Naupastad Domperidon 10mg Stella (hộp 10 vỉ x 10 viên nén) "</t>
  </si>
  <si>
    <t>https://product.hstatic.net/200000428801/product/2aacb30ac8f914a74de8_ffc67df314ea433a8f0413df01bcb5bb.jpg</t>
  </si>
  <si>
    <t>Q3021252422</t>
  </si>
  <si>
    <t>" Nazorel dầu gội trị gầu Aero Chemie (hộp 50 gói x 6ml) "</t>
  </si>
  <si>
    <t>https://product.hstatic.net/200000428801/product/149e4d5c3cafe0f1b9be_f599723fe94149cd87db61c6b19bb387.jpg</t>
  </si>
  <si>
    <t>Q3021252423</t>
  </si>
  <si>
    <t>" Nazoster Mometason furoat 0.05% 140 liều xịt Thổ Nhĩ Kỳ "</t>
  </si>
  <si>
    <t>https://product.hstatic.net/200000428801/product/upload_de8f5483a6f84ac5b3ec839f17380f90.jpg</t>
  </si>
  <si>
    <t>Q3021252424</t>
  </si>
  <si>
    <t>" Neazi Azithromycin 500mg Mediplantex (hộp 3 viên nén) "</t>
  </si>
  <si>
    <t>https://product.hstatic.net/200000428801/product/upload_c664ab10873646a88c52462ae8bf1b90.jpg</t>
  </si>
  <si>
    <t>Q3021252425</t>
  </si>
  <si>
    <t>" Nebial 3% Flaconcini Italia (hộp 20 ống X 5ml) "</t>
  </si>
  <si>
    <t>https://product.hstatic.net/200000428801/product/upload_0cc532e07f0f4dc1a0ccade0d29a5ee7.jpg</t>
  </si>
  <si>
    <t>Q3021252426</t>
  </si>
  <si>
    <t>" Nebianax 3% Flaconcini Ý (hộp 20 ống x 5ml muối nhỏ mũi) "</t>
  </si>
  <si>
    <t>https://product.hstatic.net/200000428801/product/upload_12447bb08a6f409098803a87a711cadc.jpg</t>
  </si>
  <si>
    <t>Q3021252427</t>
  </si>
  <si>
    <t>" Nebilet Nebivolol 5mg Đức (hộp 14 viên nén) "</t>
  </si>
  <si>
    <t>https://product.hstatic.net/200000428801/product/upload_3e669d7cea0b4a248e3803caba2dcb7b.jpg</t>
  </si>
  <si>
    <t>Q3021252428</t>
  </si>
  <si>
    <t>" Nebivolol STELLA 5mg STELLA (hộp 3 vỉ x 10 viên nén) "</t>
  </si>
  <si>
    <t>https://product.hstatic.net/200000428801/product/upload_26ca8a87604140ad970d06c1bbce76a8.jpg</t>
  </si>
  <si>
    <t>Q3021252429</t>
  </si>
  <si>
    <t>" Neciomex Medipharco (cọc 10 tuýp x 10g) "</t>
  </si>
  <si>
    <t>https://product.hstatic.net/200000428801/product/upload_c94883dc178c43bd9d0e11be0c8473c3.jpg</t>
  </si>
  <si>
    <t>Q3021252431</t>
  </si>
  <si>
    <t>" Negacef Cefuroxime 125mg Pymepharco (hộp 10 gói) "</t>
  </si>
  <si>
    <t>https://product.hstatic.net/200000428801/product/upload_5f3d88026b994e118159fa0d7ae3a906.jpg</t>
  </si>
  <si>
    <t>Q3021252432</t>
  </si>
  <si>
    <t>" Negacef Cefuroxime 500mg Pymepharco (hộp 2 vỉ x 5 viên nén) "</t>
  </si>
  <si>
    <t>https://product.hstatic.net/200000428801/product/upload_0f89d246aeed4ffebbae5ca180e1d718.jpg</t>
  </si>
  <si>
    <t>Q3021252434</t>
  </si>
  <si>
    <t>" Neo Beta neomycin 28000 IU Dược Khoa (cọc 10 hộp x 8ml) "</t>
  </si>
  <si>
    <t>https://product.hstatic.net/200000428801/product/upload_876a054557a6400385331c8476461c5f.jpg</t>
  </si>
  <si>
    <t>Q3021252435</t>
  </si>
  <si>
    <t>" Neo Godian Bình Thuận (hộp 2 vỉ x 10 viên nén) "</t>
  </si>
  <si>
    <t>https://product.hstatic.net/200000428801/product/10177539cf05135b4a14_5241df58ebf549e38a97b62896e018a2.jpg</t>
  </si>
  <si>
    <t>Q3021252436</t>
  </si>
  <si>
    <t>" Neo Penotran Thổ Nhĩ Kỳ (hộp 2 vỉ x 7 viên đặt) "</t>
  </si>
  <si>
    <t>https://product.hstatic.net/200000428801/product/upload_6be102d7716c408da0f79290fac07b2e.jpg</t>
  </si>
  <si>
    <t>Q302647366</t>
  </si>
  <si>
    <t>" Neo-Tergynan Vaginal Tablet Sophartex (Hộp 1 vỉ x 10 viên) "</t>
  </si>
  <si>
    <t>https://product.hstatic.net/200000428801/product/upload_68897be9612e4e219bb1e9bc052b478a.jpg</t>
  </si>
  <si>
    <t>Q3021352305</t>
  </si>
  <si>
    <t>" Neofem PH Care vệ sinh phụ nữ Reliv Pharma (lọ 150ml) "</t>
  </si>
  <si>
    <t>https://product.hstatic.net/200000428801/product/upload_24f40723a64c499286a8ced800e8b3c2.jpg</t>
  </si>
  <si>
    <t>Q3021352307</t>
  </si>
  <si>
    <t>" Neomiderm bôi da Agimexpharm (tuýp 10g) "</t>
  </si>
  <si>
    <t>https://product.hstatic.net/200000428801/product/upload_4bdfdf86d5fe4aca94f02d3641302a3d.jpg</t>
  </si>
  <si>
    <t>Q3021352309</t>
  </si>
  <si>
    <t>" Neopeptin men tiêu hóa Raptakos Brett Ấn Độ (lọ 15ml nhỏ giọt) "</t>
  </si>
  <si>
    <t>https://product.hstatic.net/200000428801/product/upload_37a1a53afe2840519ea8d37a46ddd6db.jpg</t>
  </si>
  <si>
    <t>Q3021352310</t>
  </si>
  <si>
    <t>" Neopolin Hàn Quốc (hộp 2 vỉ x 6 viên nang đặt) "</t>
  </si>
  <si>
    <t>https://cdn2-retail-images.kiotviet.vn/2026/03/07/giabaopharma/389de65924544912871a22cacef773eb.jpg</t>
  </si>
  <si>
    <t>Q3021352311</t>
  </si>
  <si>
    <t>" Neostyl SPM (hộp 10 viên nén đặt) "</t>
  </si>
  <si>
    <t>https://product.hstatic.net/200000428801/product/upload_2df8ce43beac42069e0e6e8a538af239.jpg</t>
  </si>
  <si>
    <t>Q3021352312</t>
  </si>
  <si>
    <t>" Neotazin MR Trimetazidin hydroclorid 35mg Ampharco (hộp 10 vỉ x 10 viên nén) "</t>
  </si>
  <si>
    <t>https://product.hstatic.net/200000428801/product/upload_d60c97d2aa134e0a831dbafb268d9a77.jpg</t>
  </si>
  <si>
    <t>Q3021352313</t>
  </si>
  <si>
    <t>" Neotergynan Pháp (hộp 10 viên nén đặt) "</t>
  </si>
  <si>
    <t>https://product.hstatic.net/200000428801/product/upload_446cac56442b43668433de0ab5ef3582.jpg</t>
  </si>
  <si>
    <t>Q3021352314</t>
  </si>
  <si>
    <t>" Neotica Balm bôi gảm đau Thai Nakorn (tuýp 15g) "</t>
  </si>
  <si>
    <t>https://cdn2-retail-images.kiotviet.vn/2024/08/29/giabaopharma/e03ad58ee77341cfab69dfc24a0a20ca.jpg</t>
  </si>
  <si>
    <t>Q3021352315</t>
  </si>
  <si>
    <t>" Neso naproxen BP 500mg esomeprazole USP 20mg Aristopharma (hộp 40 viên nén) "</t>
  </si>
  <si>
    <t>https://product.hstatic.net/200000428801/product/upload_a15adce84974442397019596cdb60fb8.jpg</t>
  </si>
  <si>
    <t>Q3021352316</t>
  </si>
  <si>
    <t>" Nesteloc Esomeprazole 20mg USP (hộp 3vỉ x 10 viên nang) "</t>
  </si>
  <si>
    <t>https://product.hstatic.net/200000428801/product/upload_1cf75d3d582740c89609e6fe96ba5e4d.jpg</t>
  </si>
  <si>
    <t>Q3021352301</t>
  </si>
  <si>
    <t>" Neulobion 3B Apco (hộp 5 vỉ x 10 viên nén) "</t>
  </si>
  <si>
    <t>https://product.hstatic.net/200000428801/product/upload_b4f207080ecd4d70a81ac04ead32db62.jpg</t>
  </si>
  <si>
    <t>Q3021252370</t>
  </si>
  <si>
    <t>" Neuractine 2mg Eszopiclon 2mg Savipharm (hộp 3 vỉ x 10 viên nén) "</t>
  </si>
  <si>
    <t>https://product.hstatic.net/200000428801/product/b15b8c5f1f63c33d9a72_2e2ad7d361624e99b11b23c2f582faf2.jpg</t>
  </si>
  <si>
    <t>Q3021252371</t>
  </si>
  <si>
    <t>" Neurocard Max Australia (hộp 6 vỉ x 10 viên nang) "</t>
  </si>
  <si>
    <t>https://product.hstatic.net/200000428801/product/upload_fde9d7bd2e544cf097d013375ca122f9.jpg</t>
  </si>
  <si>
    <t>Q3021252372</t>
  </si>
  <si>
    <t>" Neuronstad Gabapentin 300mg Stella (hộp 3 vỉ x 10 viên nang) "</t>
  </si>
  <si>
    <t>https://product.hstatic.net/200000428801/product/upload_7746dcf621b14177a00279c512571d66.jpg</t>
  </si>
  <si>
    <t>Q3021252373</t>
  </si>
  <si>
    <t>" Neustam Piracetam 400mg Pymepharco (hộp 10 vỉ x 10 viên nang) "</t>
  </si>
  <si>
    <t>https://product.hstatic.net/200000428801/product/upload_06ecdf2676da4916857b9238a14f97b1.jpg</t>
  </si>
  <si>
    <t>Q302228893</t>
  </si>
  <si>
    <t>" Neutasol Cream Clobetasol 0,05% Medipharco ( CỌC 10 Tuýp 30g) "</t>
  </si>
  <si>
    <t>https://product.hstatic.net/200000428801/product/upload_184a7c631cb84a58afb20d61f4b43843.jpg</t>
  </si>
  <si>
    <t>Q3021252374</t>
  </si>
  <si>
    <t>" New Eascof Bromhexin 2mg Cachet Pharm Ấn Độ (lọ 100ml) "</t>
  </si>
  <si>
    <t>https://product.hstatic.net/200000428801/product/upload_186b919735714d2c872596c7548099bd.jpg</t>
  </si>
  <si>
    <t>Q3021252375</t>
  </si>
  <si>
    <t>" New trà Boga Tra Học Viện Quân Y (hộp 20 gói x 1,2g) "</t>
  </si>
  <si>
    <t>https://product.hstatic.net/200000428801/product/upload_ad5a906a078d496688704e5d85253126.jpg</t>
  </si>
  <si>
    <t>Q3021252376</t>
  </si>
  <si>
    <t>" Newbutin SR Trimebutin 300mg Hàn Quốc (hộp 3 vỉ x 10 viên nén) "</t>
  </si>
  <si>
    <t>https://cdn2-retail-images.kiotviet.vn/2026/02/07/giabaopharma/2d4e09a287e54792aec184c3d810a338.jpg</t>
  </si>
  <si>
    <t>Q3021252377</t>
  </si>
  <si>
    <t>" Newgenasada Tube bôi Hàn Quốc (Lốc 10 tuýp /10g) "</t>
  </si>
  <si>
    <t>https://product.hstatic.net/200000428801/product/upload_7a89f6727d59454daeb6eaf659c39b99.jpg</t>
  </si>
  <si>
    <t>Q3021252378</t>
  </si>
  <si>
    <t>" Newgi C trị chí Phương Nam (lọ 100ml) "</t>
  </si>
  <si>
    <t>https://product.hstatic.net/200000428801/product/upload_971689d7bfc340578e52df7e62e3e2df.jpg</t>
  </si>
  <si>
    <t>Q3021252380</t>
  </si>
  <si>
    <t>" Newomi Citicoline 500mg/ 2ml Theragen Hàn Quốc (hộp 10 ống x 2ml) "</t>
  </si>
  <si>
    <t>https://product.hstatic.net/200000428801/product/upload_8be3baa69aca49d89497a49e975aa1ef.jpg</t>
  </si>
  <si>
    <t>Q3021252381</t>
  </si>
  <si>
    <t>" Newzlady 500mg Đà Lạt (hộp 3 vỉ x 10 viên nang) "</t>
  </si>
  <si>
    <t>Q302546357</t>
  </si>
  <si>
    <t>" Nexium Esomeprazole 10mg AstraZeneca (Hộp 28 gói bột) "</t>
  </si>
  <si>
    <t>https://product.hstatic.net/200000428801/product/upload_255d109023824eed835e0c32bd4c8171.jpg</t>
  </si>
  <si>
    <t>Q302663726</t>
  </si>
  <si>
    <t>" Nexium Mups Esomeprazole 20mg AstraZeneca (Hộp 2 vỉ x 7 viên nén) "</t>
  </si>
  <si>
    <t>https://product.hstatic.net/200000428801/product/upload_2ad39ad21f67411d80a66e9e520d5151.jpg</t>
  </si>
  <si>
    <t>Q302009776</t>
  </si>
  <si>
    <t>" Nexium Mups Esomeprazole 40mg AstraZeneca (Hộp 2 vỉ x 7 viên nén) "</t>
  </si>
  <si>
    <t>https://product.hstatic.net/200000428801/product/upload_d6f46ec195524aac9a9dc72494cc4a78.jpg</t>
  </si>
  <si>
    <t>Q3021252382</t>
  </si>
  <si>
    <t>" Nexomium 20 Esomeprazol 20mg Phúc Vinh (hộp 2 vỉ x 7 viên nén) "</t>
  </si>
  <si>
    <t>https://product.hstatic.net/200000428801/product/upload_2ab2dfa70e4240b4b57345532623e2b2.jpg</t>
  </si>
  <si>
    <t>Q3021252383</t>
  </si>
  <si>
    <t>" Nextgcal Úc (Hộp 5 vỉ x 12 viên nang) "</t>
  </si>
  <si>
    <t>https://product.hstatic.net/200000428801/product/upload_fc966b1c7b56456db4029bef23640859.jpg</t>
  </si>
  <si>
    <t>Q3021252384</t>
  </si>
  <si>
    <t>" Nga Phụ Khang Á Âu (lọ 60 viên nang) "</t>
  </si>
  <si>
    <t>https://product.hstatic.net/200000428801/product/upload_d09dfd9fd5f24021893c613943ce10ed.jpg</t>
  </si>
  <si>
    <t>Q3021352302</t>
  </si>
  <si>
    <t>" Ngải Vương tinh dầu ngải cứu Huế (lọ 30ml) "</t>
  </si>
  <si>
    <t>https://product.hstatic.net/200000428801/product/upload_bea33c75052b48b7ab20708431f282a8.jpg</t>
  </si>
  <si>
    <t>Q3021252385</t>
  </si>
  <si>
    <t>" Nghệ mật ong Hà Tĩnh (lọ 100g viên nén) "</t>
  </si>
  <si>
    <t>https://product.hstatic.net/200000428801/product/9641d7ab7797abc9f286_b149eb1c3b334629a0fbdfd2b1280c64.jpg</t>
  </si>
  <si>
    <t>Q3021252386</t>
  </si>
  <si>
    <t>" Ngọc hầu ngậm Hoa Linh (hộp 4 vỉ x 5 viên) "</t>
  </si>
  <si>
    <t>https://product.hstatic.net/200000428801/product/62_463bbe4e08384c479274cb6ed5f11124.png</t>
  </si>
  <si>
    <t>Q3021252387</t>
  </si>
  <si>
    <t>" Nha diệu ngọc nước súc miệng Rosabela (lọ 200ml) "</t>
  </si>
  <si>
    <t>https://product.hstatic.net/200000428801/product/upload_f15dd2467658444ebec92e8fd9372232.jpg</t>
  </si>
  <si>
    <t>Q3021252388</t>
  </si>
  <si>
    <t>" Nhi đơn Siro Tâm Việt (lọ 100ml ) "</t>
  </si>
  <si>
    <t>https://product.hstatic.net/200000428801/product/063fd5c561f9bda7e4e8_86e2ae311ff64dbbb61dbee4f741cdcf.jpg</t>
  </si>
  <si>
    <t>Q3021252389</t>
  </si>
  <si>
    <t>" Nhiệt độ điện tử Sakura "</t>
  </si>
  <si>
    <t>https://product.hstatic.net/200000428801/product/bbe0406f8d53510d0842_9292d0b3bf2c488e8e9ab71f456f059c.jpg</t>
  </si>
  <si>
    <t>Q3021252390</t>
  </si>
  <si>
    <t>" Nhiệt độ điện tử Sika "</t>
  </si>
  <si>
    <t>https://product.hstatic.net/200000428801/product/upload_5c2752ae9c2a49258dc7bd3501533a00.jpg</t>
  </si>
  <si>
    <t>Q3021252391</t>
  </si>
  <si>
    <t>" Nhiệt độ thủy ngân Lilika Liworldco (hộp 12 chiếc) "</t>
  </si>
  <si>
    <t>https://product.hstatic.net/200000428801/product/upload_fb9ed04804634493a625f07d7ad4bbc9.jpg</t>
  </si>
  <si>
    <t>Q3021252392</t>
  </si>
  <si>
    <t>" Nhiệt độ thủy ngân Tokyo Trung Quốc (hộp 12 chiếc) "</t>
  </si>
  <si>
    <t>https://product.hstatic.net/200000428801/product/upload_b1d4ed8bb92343e58490692cc845b409.jpg</t>
  </si>
  <si>
    <t>Q3021252393</t>
  </si>
  <si>
    <t>" Nhiệt miệng Phúc Vinh (hộp 5 vỉ x 10 viên bao đường) "</t>
  </si>
  <si>
    <t>https://product.hstatic.net/200000428801/product/upload_1cca2ddb341b4ba69cb9972dd58cab5f.jpg</t>
  </si>
  <si>
    <t>Q3021252395</t>
  </si>
  <si>
    <t>" Nhiệt miệng Tametop SiroTâm Việt (lọ 100ml) "</t>
  </si>
  <si>
    <t>https://product.hstatic.net/200000428801/product/upload_7d7c50ccef7d4e73ac82fc7b52db67a8.jpg</t>
  </si>
  <si>
    <t>Q3021252394</t>
  </si>
  <si>
    <t>" Nhiệt miệng Tametop Tâm Việt (hộp 3 vỉ x 10 viên nén) "</t>
  </si>
  <si>
    <t>https://product.hstatic.net/200000428801/product/upload_729b17ded2654c6a81e2270b8e3e3ea7.jpg</t>
  </si>
  <si>
    <t>Q302187334</t>
  </si>
  <si>
    <t>" Nhỏ Mắt Mũi Natri Clorid 0,9% Haipharco (Lốc 10 lọ x Lọ 8ml) "</t>
  </si>
  <si>
    <t>https://product.hstatic.net/200000428801/product/upload_40c3e5d0e5484c9cbf35857d34d6083f.jpg</t>
  </si>
  <si>
    <t>Q302838749</t>
  </si>
  <si>
    <t>" Nhỏ Mắt New V.Rohto Xanh Rohto (Cọc 5 lọ x 13ml) "</t>
  </si>
  <si>
    <t>https://product.hstatic.net/200000428801/product/upload_21facded947b458cbc1b2be7655250fd.jpg</t>
  </si>
  <si>
    <t>Q302223849</t>
  </si>
  <si>
    <t>" Nhỏ Mắt V.Rohto Lycee Hồng Rohto (Lọ 13ml) "</t>
  </si>
  <si>
    <t>https://product.hstatic.net/200000428801/product/upload_defacb3f6907467f90d0529c8fb65a3b.jpg</t>
  </si>
  <si>
    <t>Q302746387</t>
  </si>
  <si>
    <t>" Nhỏ Mắt V.Rohto Vitamin Vàng Rohto (Cọc 5 lọ x13ml "</t>
  </si>
  <si>
    <t>https://product.hstatic.net/200000428801/product/upload_26d7b85f40344a0fa8fb9f5fb94f29bf.jpg</t>
  </si>
  <si>
    <t>Q3021252396</t>
  </si>
  <si>
    <t>" Nhũ Đan Lohha (hộp 2 vỉ x 10 viên nén) "</t>
  </si>
  <si>
    <t>https://product.hstatic.net/200000428801/product/upload_948e20286a6a4a1eb522ade24b218fb1.jpg</t>
  </si>
  <si>
    <t>Q3021252397</t>
  </si>
  <si>
    <t>" Nhũ ngọc Thiên Bình (hộp 3 vỉ x 10 viên nang) "</t>
  </si>
  <si>
    <t>https://product.hstatic.net/200000428801/product/upload_1c8f9d7666d84c5087a6355eee88ec6b.jpg</t>
  </si>
  <si>
    <t>Q3021252398</t>
  </si>
  <si>
    <t>" Nhuận tràng PQA (Hộp 25 gói x 5g) "</t>
  </si>
  <si>
    <t>https://product.hstatic.net/200000428801/product/upload_e7028e1f27ce4688a29b9cb9759dd0b8.jpg</t>
  </si>
  <si>
    <t>Q3021252401</t>
  </si>
  <si>
    <t>" Nhuộm tóc dược liệu Thái Dương Hộp 5 gói "</t>
  </si>
  <si>
    <t>https://product.hstatic.net/200000428801/product/upload_84b3aa2acb7246db9b85b3a92948e581.jpg</t>
  </si>
  <si>
    <t>Q3021252399</t>
  </si>
  <si>
    <t>" Nhức khớp tê bại hoàn Đại An (lọ 40 viên nén) "</t>
  </si>
  <si>
    <t>https://product.hstatic.net/200000428801/product/05f05c7ffa43261d7f52_2707e4b5da244f9b9d0d7270f5455f75.jpg</t>
  </si>
  <si>
    <t>Q3021252402</t>
  </si>
  <si>
    <t>" NIC Fullaca Mebendazole 500mg NIC (Cọc 10 hộp x1 viên) "</t>
  </si>
  <si>
    <t>https://product.hstatic.net/200000428801/product/upload_bfc92ede030644b6ac13ed8ce0ae8357.jpg</t>
  </si>
  <si>
    <t>Q3021252403</t>
  </si>
  <si>
    <t>" Nic Spa Alverin 40mg NIC (hộp 5 vỉ x 10 viên nén) "</t>
  </si>
  <si>
    <t>https://product.hstatic.net/200000428801/product/upload_aa3589dc404a4a6384a659b8f660cc48.jpg</t>
  </si>
  <si>
    <t>Q3021252350</t>
  </si>
  <si>
    <t>" Nicardipine Aguettant 10mg/10ml Pháp (hộp 10 ống tiêm) "</t>
  </si>
  <si>
    <t>https://product.hstatic.net/200000428801/product/upload_4c89ca642442485588e487f4b17297ff.jpg</t>
  </si>
  <si>
    <t>Q3021252351</t>
  </si>
  <si>
    <t>" Nicarlol plus Agimexpharm (hộp 3 vỉ x 10 viên nén) "</t>
  </si>
  <si>
    <t>https://product.hstatic.net/200000428801/product/upload_8f8b1a4290764f709f3213d2c5dec780.jpg</t>
  </si>
  <si>
    <t>Q3021252352</t>
  </si>
  <si>
    <t>" Nicomen Nicorandil 5mg Taiwan (hộp 10 vỉ x 10 viên nén) "</t>
  </si>
  <si>
    <t>https://product.hstatic.net/200000428801/product/22eb10807741ab1ff250_6cc1f002109c4597b8077c4bfb4b5fea.jpg</t>
  </si>
  <si>
    <t>Q3021142353</t>
  </si>
  <si>
    <t>" Nifedipin 10mg Z120 (hộp 10 vỉ x 10 viên nén bao phim) "</t>
  </si>
  <si>
    <t>https://product.hstatic.net/200000428801/product/upload_10fe287179974265b8b39304d14209d9.jpg</t>
  </si>
  <si>
    <t>Q3021142354</t>
  </si>
  <si>
    <t>" Nifedipin 20mg Stella (hộp 10 vỉ x 10 viên nén bao phim) "</t>
  </si>
  <si>
    <t>https://product.hstatic.net/200000428801/product/upload_e69276db4ad840e9988311e68f168ddb.jpg</t>
  </si>
  <si>
    <t>Q3021142355</t>
  </si>
  <si>
    <t>" Nifedipin Hasan 20 Retard Hasan (hộp 10 vỉ x 10 viên nén bao phim) "</t>
  </si>
  <si>
    <t>https://product.hstatic.net/200000428801/product/upload_1cc9811a6fa549a98948d52a9f267c68.jpg</t>
  </si>
  <si>
    <t>Q3021142356</t>
  </si>
  <si>
    <t>" Nifehexal 30 LA Nifedipin Sandoz (hộp 3 vỉ x 10 viên nén) "</t>
  </si>
  <si>
    <t>https://product.hstatic.net/200000428801/product/upload_8532590571ab4d70974677279be80a3f.jpg</t>
  </si>
  <si>
    <t>Q3021142357</t>
  </si>
  <si>
    <t>" Niflad ES 600mg/ 42,9mg Imexpharm (hộp 1 túi x 4 vỉ x 7 viên nén) "</t>
  </si>
  <si>
    <t>https://product.hstatic.net/200000428801/product/upload_0f14bcb40f5345eb8030190ece295203.jpg</t>
  </si>
  <si>
    <t>Q3021142358</t>
  </si>
  <si>
    <t>" Night queen Hậu Giang (hộp 3 vỉ x 10 viên nén bao phim) "</t>
  </si>
  <si>
    <t>https://product.hstatic.net/200000428801/product/281d44b5f3462f187657_ff4724027e17438b843cc70500030dfc.jpg</t>
  </si>
  <si>
    <t>Q3021142359</t>
  </si>
  <si>
    <t>" Nikoramyl Nicorandil 5mg Hà Tây (hộp 3 vỉ x 10 viên nang cứng) "</t>
  </si>
  <si>
    <t>https://product.hstatic.net/200000428801/product/upload_91a944ab3ca342149787ec220180e026.jpg</t>
  </si>
  <si>
    <t>Q3021142360</t>
  </si>
  <si>
    <t>" Nimotop Nimodipine 30mg Đức (hộp 3 vỉ x 10 viên nén bao phim) "</t>
  </si>
  <si>
    <t>https://product.hstatic.net/200000428801/product/upload_efac7d4c9a5041388c27f8e530f3bab9.jpg</t>
  </si>
  <si>
    <t>Q3021142361</t>
  </si>
  <si>
    <t>" Ninh Tâm Vương Hồng Bàng (hộp 3 vỉ x 10 viên nén) "</t>
  </si>
  <si>
    <t>https://product.hstatic.net/200000428801/product/upload_89535b0bf3bf41209a15ddaaea922264.jpg</t>
  </si>
  <si>
    <t>Q3021142362</t>
  </si>
  <si>
    <t>" Nino Plus bổ xung nước và điện giải Nhất Anh (hộp 10 gói x 20g) "</t>
  </si>
  <si>
    <t>https://product.hstatic.net/200000428801/product/upload_0fbfa29a3c8d4970ab5282f904eabd48.jpg</t>
  </si>
  <si>
    <t>Q3021142363</t>
  </si>
  <si>
    <t>" Ninonasal khay thử xét nghiệm virus SARS CoV 2 Pháp (hộp 5 bộ) "</t>
  </si>
  <si>
    <t>https://product.hstatic.net/200000428801/product/upload_d1a28576fdf44d1e81af573996c68f2d.jpg</t>
  </si>
  <si>
    <t>Q3021142364</t>
  </si>
  <si>
    <t>" Nirdicin Levofloxacin 500mg Pharmathen Hy Lạp (hộp 10 viên nén bao phim) "</t>
  </si>
  <si>
    <t>https://product.hstatic.net/200000428801/product/upload_86cf45b8d0964e16bc7632c473452b09.jpg</t>
  </si>
  <si>
    <t>Q3021142366</t>
  </si>
  <si>
    <t>" Nitromint Glyceryl trinitrate 8mg/g xịt EGIS (Lọ 10g) "</t>
  </si>
  <si>
    <t>https://product.hstatic.net/200000428801/product/upload_029d6a26a7764304b0314a4aa22d9d99.jpg</t>
  </si>
  <si>
    <t>Q3021142367</t>
  </si>
  <si>
    <t>" Nivalin Galantamine 5mg Bulgaria (hộp 1 vỉ x 20 viên nén) "</t>
  </si>
  <si>
    <t>https://product.hstatic.net/200000428801/product/upload_7f78bea6113948409e4a8728651f9d87.jpg</t>
  </si>
  <si>
    <t>Q3021142368</t>
  </si>
  <si>
    <t>" Nizoral Ketoconazole 2% dầu gội Janssen (hộp 1 lọ 50ml) "1/2025</t>
  </si>
  <si>
    <t>https://product.hstatic.net/200000428801/product/upload_39f3077d1fe34196a6b589840afee0e8.jpg</t>
  </si>
  <si>
    <t>Q3021142369</t>
  </si>
  <si>
    <t>" Nizoral Ketoconazole Janssen (Tube bôi 10g) "</t>
  </si>
  <si>
    <t>https://product.hstatic.net/200000428801/product/upload_adfeb1c4986445b98d7a34ea7f9b01da.jpg</t>
  </si>
  <si>
    <t>Q3021142370</t>
  </si>
  <si>
    <t>" NNO viên dưỡng ẩm Mega (hộp 3 vỉ x 10 viên nang) "</t>
  </si>
  <si>
    <t>https://product.hstatic.net/200000428801/product/upload_b413e23b28ac43a7bbbc74a5e3561696.jpg</t>
  </si>
  <si>
    <t>Q3021142371</t>
  </si>
  <si>
    <t>" NNO Vite viên dưỡng trắng Mega (hộp 3 vỉ x 10 viên nang) "</t>
  </si>
  <si>
    <t>https://product.hstatic.net/200000428801/product/upload_caf84beccc7640cea9d3b1c39999fc7e.jpg</t>
  </si>
  <si>
    <t>Q3021142372</t>
  </si>
  <si>
    <t>" Noben kid Platinum bổ não Hải Linh (hộp 30 gói x 3g) "</t>
  </si>
  <si>
    <t>Q3021142373</t>
  </si>
  <si>
    <t>" Nociceptol gel giảm đau xương khớp Laboratoire (tuýp 120ml) "</t>
  </si>
  <si>
    <t>https://product.hstatic.net/200000428801/product/upload_652ec1d0382a41de82c84bc12306ec29.jpg</t>
  </si>
  <si>
    <t>Q3021142374</t>
  </si>
  <si>
    <t>" Nociceptol xoa bóp Pháp (tuýp 60ml) "</t>
  </si>
  <si>
    <t>https://product.hstatic.net/200000428801/product/xizqxsghv9y0vrag3mvo2xbofihe1q8i7pfia4er_26ce8428a8d5413e99e06242cf4e6bae.jpeg</t>
  </si>
  <si>
    <t>Q3021142375</t>
  </si>
  <si>
    <t>" Nolpaza 20mg Gastro-resistant Pantoprazole KRKA Slovenia (hộp 2 vỉ x 14 viên nén) "</t>
  </si>
  <si>
    <t>https://product.hstatic.net/200000428801/product/099a3d36b9f765a93ce6_c1b749c085a54b7f95f343d97f6a61b3.jpg</t>
  </si>
  <si>
    <t>Q3021142376</t>
  </si>
  <si>
    <t>" Nolvadex D Tamoxifen 20mg AstraZeneca (hộp 3 vỉ x 10 viên nén) "</t>
  </si>
  <si>
    <t>https://product.hstatic.net/200000428801/product/upload_50feae489a874c388e80f3dbed795587.jpg</t>
  </si>
  <si>
    <t>Q3021142388</t>
  </si>
  <si>
    <t>" Non-woven wound dressing băng gạc vô trùng 9cmx25cm Hàn Quốc (hộp 50 miếng) "</t>
  </si>
  <si>
    <t>https://product.hstatic.net/200000428801/product/upload_11123ace004e48e39fb1b8455cdde32a.jpg</t>
  </si>
  <si>
    <t>Q3021142389</t>
  </si>
  <si>
    <t>" Nootropyl Piracetam 800mg GSK (hộp 3 vỉ x 15 viên) "</t>
  </si>
  <si>
    <t>https://product.hstatic.net/200000428801/product/upload_24a3627af16a4e04a62d1c46c94938ec.jpg</t>
  </si>
  <si>
    <t>Q3021142390</t>
  </si>
  <si>
    <t>" Nootryl 800 Piracetam 800mg Abbott (hộp 10 vỉ x 10 viên nén) "</t>
  </si>
  <si>
    <t>https://product.hstatic.net/200000428801/product/upload_e2ebe6e8b8b84386a9841c9b6830bc50.jpg</t>
  </si>
  <si>
    <t>Q3021142391</t>
  </si>
  <si>
    <t>" Noradrenalin 1mg/ml Vĩnh Phúc (hộp 5 vỉ x 10 ống x 1ml tiêm) "</t>
  </si>
  <si>
    <t>https://product.hstatic.net/200000428801/product/upload_a5019d4cb0b54c4587e5682745ea6f8e.jpg</t>
  </si>
  <si>
    <t>Q3021142392</t>
  </si>
  <si>
    <t>" Normagut 250mg men vi sinh Mega (hộp 3 vỉ x 10 viên nang) "</t>
  </si>
  <si>
    <t>https://product.hstatic.net/200000428801/product/upload_149ced5539ed4d55a3deee00b4b725ad.jpg</t>
  </si>
  <si>
    <t>Q3021142393</t>
  </si>
  <si>
    <t>" Nose Pore Strips miếng dán lột mụn Mayan (hộp 4 miếng) "</t>
  </si>
  <si>
    <t>https://product.hstatic.net/200000428801/product/upload_c8c0b6debd894852826cf0b856660999.jpg</t>
  </si>
  <si>
    <t>Q302456384</t>
  </si>
  <si>
    <t>" Nospa Drotaverine Hydrocloride 40mg Sanofi (Hộp 5 vỉ x 10 viên) "</t>
  </si>
  <si>
    <t>https://product.hstatic.net/200000428801/product/d561a02c52df8e81d7ce_78a8360bcef24416ac7c3e3f2a0a178d.jpg</t>
  </si>
  <si>
    <t>Q302748357</t>
  </si>
  <si>
    <t>" Nospa Fort Drotaverine Hydrocloride 80mg Sanofi (Hộp 2 vỉ x 10 viên) "</t>
  </si>
  <si>
    <t>https://product.hstatic.net/200000428801/product/upload_77df13e008a94624b7f3ed230ae58446.jpg</t>
  </si>
  <si>
    <t>Q3021142394</t>
  </si>
  <si>
    <t>" Nostravin Xylometazoline hydrochloride 0,05% Traphaco (cọc 10 lọ x 8ml) "</t>
  </si>
  <si>
    <t>https://product.hstatic.net/200000428801/product/upload_78485060289d45e2b0b8b296af18e7cf.jpg</t>
  </si>
  <si>
    <t>Q3021142395</t>
  </si>
  <si>
    <t>" Novocough Levodropropizin 6mg/ml CPC1HN (hộp 20 ống x 5ml) "</t>
  </si>
  <si>
    <t>https://product.hstatic.net/200000428801/product/upload_caeea999ca044294b506cb487bef5854.jpg</t>
  </si>
  <si>
    <t>Q3021142396</t>
  </si>
  <si>
    <t>" Novofungin Metronidazol 250mg Stella (hộp 2 vỉ x 10 viên nén bao phim) "</t>
  </si>
  <si>
    <t>https://product.hstatic.net/200000428801/product/upload_8da9f5964c03447db274f0b7c6e7b880.jpg</t>
  </si>
  <si>
    <t>Q3021142397</t>
  </si>
  <si>
    <t>" Novogyl Mekophar (hộp 2 vỉ x 10 viên nén bao phim) "</t>
  </si>
  <si>
    <t>https://product.hstatic.net/200000428801/product/upload_8cdd01eee8164f34bb7a8a2775cad73a.jpg</t>
  </si>
  <si>
    <t>Q3021142398</t>
  </si>
  <si>
    <t>" Novomycine Spiramycin 0.75 MIU Mekophar )hộp 20 gói x 3g) "</t>
  </si>
  <si>
    <t>https://product.hstatic.net/200000428801/product/upload_6e6fcce1d3a14ffc9b7e0e32ded7254c.jpg</t>
  </si>
  <si>
    <t>Q3021142399</t>
  </si>
  <si>
    <t>" Novomycine Spiramycin 1.5 MIU Mekophar (hộp 2 vỉ x 8 viên nén) "</t>
  </si>
  <si>
    <t>https://product.hstatic.net/200000428801/product/upload_4036f005888c44d7a5519552e3ffa094.jpg</t>
  </si>
  <si>
    <t>Q3021252353</t>
  </si>
  <si>
    <t>" Novotane Ultra CPC1 Hà Nội (lọ 5ml) "</t>
  </si>
  <si>
    <t>https://product.hstatic.net/200000428801/product/upload_b691299dc78949fb9e72b6e15b187c05.jpg</t>
  </si>
  <si>
    <t>Q3021252354</t>
  </si>
  <si>
    <t>" Novothym CPC1HN (hộp 2 vỉ x 5 ống x 10ml) "</t>
  </si>
  <si>
    <t>https://product.hstatic.net/200000428801/product/upload_6df58768533240d4bda9e4bf7f7c7168.jpg</t>
  </si>
  <si>
    <t>Q3021252355</t>
  </si>
  <si>
    <t>" NQV Daily SG Mỹ (hộp 3 vỉ x 10 viên nang) "</t>
  </si>
  <si>
    <t>https://product.hstatic.net/200000428801/product/0bd890c021fcfda2a4ed_49012602c8174b0b81e2e603206ca82e.jpg</t>
  </si>
  <si>
    <t>Q3021252357</t>
  </si>
  <si>
    <t>" Nube Gold chất xơ tự nhiên Trường Thọ (hộp 4 vỉ x 5 ống x 10ml) "</t>
  </si>
  <si>
    <t>https://product.hstatic.net/200000428801/product/upload_bd905b0dc94a430f8e615f4c22def9a8.jpg</t>
  </si>
  <si>
    <t>Q3021252359</t>
  </si>
  <si>
    <t>" Nucleo CMP Fort Tây Ban Nha (hộp 3 ống bột pha tiêm) "</t>
  </si>
  <si>
    <t>https://product.hstatic.net/200000428801/product/f03ffc1d51218d7fd430_e539b809771e488c866f1a45bcee68c6.jpg</t>
  </si>
  <si>
    <t>Q3021252360</t>
  </si>
  <si>
    <t>" Nucleo CMP Forte Ferrer Tây Ban Nha (hộp 6 vỉ x 5 viên nang) "</t>
  </si>
  <si>
    <t>https://product.hstatic.net/200000428801/product/upload_91103f6407e44883821256f5d9d4fd76.jpg</t>
  </si>
  <si>
    <t>Q3021252361</t>
  </si>
  <si>
    <t>" Nufido Mỹ (lọ 30 viên nang) "</t>
  </si>
  <si>
    <t>https://product.hstatic.net/200000428801/product/upload_1010fdf249b54d6da8357c0677e75e1b.jpg</t>
  </si>
  <si>
    <t>Q3021252362</t>
  </si>
  <si>
    <t>" Nufotin Fluoxetin 20mg Đà Nẵng (hộp 3 vỉ x 10 viên nang cứng) "</t>
  </si>
  <si>
    <t>https://product.hstatic.net/200000428801/product/upload_e7932456535f4af89e99dd3a1f709b50.jpg</t>
  </si>
  <si>
    <t>Q3021142350</t>
  </si>
  <si>
    <t>" Nupigin Piracetam 1200/10ml CPC1 Hà Nội (hộp 4 vỉ x 5 ống x 10ml) "</t>
  </si>
  <si>
    <t>https://product.hstatic.net/200000428801/product/upload_2dbc6ee11eb6434493c0852e57191ed9.jpg</t>
  </si>
  <si>
    <t>Q3021142351</t>
  </si>
  <si>
    <t>" Nurofen Ibuprofen siro Thái Lan (lọ 60ml) "</t>
  </si>
  <si>
    <t>https://product.hstatic.net/200000428801/product/upload_cb089d0b6bc6474cb7e5453e29fbfa6f.jpg</t>
  </si>
  <si>
    <t>Q3021142352</t>
  </si>
  <si>
    <t>" Nutri Balm kem dưỡng ẩm Pháp (tuýp 200ml) "</t>
  </si>
  <si>
    <t>https://product.hstatic.net/200000428801/product/upload_ba2493d6f08f488ba23b12ffb6965290.jpg</t>
  </si>
  <si>
    <t>Q3021042151</t>
  </si>
  <si>
    <t>" Nutrohadi F Hà Tĩnh (hộp 4 vỉ x 5 ống x 10ml) "</t>
  </si>
  <si>
    <t>https://product.hstatic.net/200000428801/product/upload_47c3aed84dba476eb84554a904d19801.jpg</t>
  </si>
  <si>
    <t>Q3021252356</t>
  </si>
  <si>
    <t>" Nữ Vương New Vinh Gia (hộp 3 vỉ x 10 viên nén) "</t>
  </si>
  <si>
    <t>https://product.hstatic.net/200000428801/product/upload_2135913152eb419eb493a91c8150d8a8.jpg</t>
  </si>
  <si>
    <t>Q3021252363</t>
  </si>
  <si>
    <t>" Nước cất ống nhựa Hà Nội (hộp 10 vỉ x 5 ống x 5ml tiêm) "</t>
  </si>
  <si>
    <t>https://product.hstatic.net/200000428801/product/upload_a56d43771c5b44e1a5d1db3cc0410b15.jpg</t>
  </si>
  <si>
    <t>Q3021252364</t>
  </si>
  <si>
    <t>" Nước cất tiêm Vĩnh Phúc (hộp 10 vỉ x 5 ống x 5ml) "</t>
  </si>
  <si>
    <t>https://product.hstatic.net/200000428801/product/upload_7d3434e7d62944dbac22a8e43fa85f2f.jpg</t>
  </si>
  <si>
    <t>Q3021252365</t>
  </si>
  <si>
    <t>" Nước súc miệng Cool Mint hương trà xanh (500ml) "</t>
  </si>
  <si>
    <t>https://product.hstatic.net/200000428801/product/upload_6532f0b01450498584bd0a53ba6e5829.jpg</t>
  </si>
  <si>
    <t>Q3021252367</t>
  </si>
  <si>
    <t>" Nước súc miệng Cool Mint nhiệt miệng keo ong xanh lọ (500ml) "</t>
  </si>
  <si>
    <t>https://product.hstatic.net/200000428801/product/upload_880726fb20074f2782ef8b75d17ae9d1.jpg</t>
  </si>
  <si>
    <t>Q3021252368</t>
  </si>
  <si>
    <t>" Nước súc miệng keo ong Abipolis Abipha (lọ 250ml) "</t>
  </si>
  <si>
    <t>https://product.hstatic.net/200000428801/product/upload_ab2555a179c14750bf5df72b29226687.jpg</t>
  </si>
  <si>
    <t>Q3021252369</t>
  </si>
  <si>
    <t>" Nước súc miệng Kin Tây Ban Nha (lọ 250ml) "</t>
  </si>
  <si>
    <t>https://product.hstatic.net/200000428801/product/upload_9b50f7abff854cc7a5dcbbb586954f8b.jpg</t>
  </si>
  <si>
    <t>Q3021042152</t>
  </si>
  <si>
    <t>" Nykob Olanzapine 5mg Hy Lạp (hộp 4 vỉ x 7 viên nén) "</t>
  </si>
  <si>
    <t>https://product.hstatic.net/200000428801/product/upload_eed8dd874b3241d3b04ad97c6d75b1d0.jpg</t>
  </si>
  <si>
    <t>Q3021042153</t>
  </si>
  <si>
    <t>" Nystafar Nystatin 100.000IU Pharmedic (hộp 10 gói x 1g) "</t>
  </si>
  <si>
    <t>https://product.hstatic.net/200000428801/product/upload_d4a242c035fd41b79aef103606339dc2.jpg</t>
  </si>
  <si>
    <t>Q3021042154</t>
  </si>
  <si>
    <t>" Nystatin 100.000 IU Phúc Vinh (hộp 1 vỉ x 12 viên nén đặt) "</t>
  </si>
  <si>
    <t>https://product.hstatic.net/200000428801/product/upload_107d1f4bc2014ba685f76a5aedf45305.jpg</t>
  </si>
  <si>
    <t>Q3021042155</t>
  </si>
  <si>
    <t>" Nystatin 500.000 IU Vidipha (hộp 10 vỉ x 8 viên nén bao đường) "</t>
  </si>
  <si>
    <t>https://product.hstatic.net/200000428801/product/upload_d4940b31545940bbb03c65da3a83c9f6.jpg</t>
  </si>
  <si>
    <t>Q3021042156</t>
  </si>
  <si>
    <t>" Nystatin 500.000 IU Vidipha (hộp 2 vỉ x 8 viên nén bao đường) "</t>
  </si>
  <si>
    <t>https://product.hstatic.net/200000428801/product/8931bcff72c4ae9af7d5_bd1a2d76360c4f77ad16374302a82392.jpg</t>
  </si>
  <si>
    <t>Q3021042157</t>
  </si>
  <si>
    <t>" Nystatin 500000IU Mekophar (hộp 2 vỉ x 8 viên nén bao đường) "</t>
  </si>
  <si>
    <t>https://product.hstatic.net/200000428801/product/e93b42b0858b59d5009a_36d36dc7a90b4c5f9eb96eeeef5175f9.jpg</t>
  </si>
  <si>
    <t>Q3021042159</t>
  </si>
  <si>
    <t>" O.P.Can viên dưỡng não OPC (hộp 2 vỉ x 15 viên nén) "</t>
  </si>
  <si>
    <t>https://product.hstatic.net/200000428801/product/upload_4af4654da12f49a3b6c8aabfe132bcf5.jpg</t>
  </si>
  <si>
    <t>Q3021042160</t>
  </si>
  <si>
    <t>" Obeepherol DHA E 400 IU LTD (lọ 30 viên nang) "</t>
  </si>
  <si>
    <t>https://product.hstatic.net/200000428801/product/bf8cb49bc45a1804414b_08215efbdaa44c838cab78da9cccd4a5.jpg</t>
  </si>
  <si>
    <t>Q3021042161</t>
  </si>
  <si>
    <t>" Ocean Picozinc Zinc Acetate Thổ Nhĩ Kỳ (lọ 30ml nhỏ giọt) "</t>
  </si>
  <si>
    <t>https://product.hstatic.net/200000428801/product/upload_f9f858faa5644dffb0514c9587f5dc96.jpg</t>
  </si>
  <si>
    <t>Q3021042162</t>
  </si>
  <si>
    <t>" Ocehepa L-ornithin-L-aspartat Hóa Dược (hộp 14 gói x 5g) "</t>
  </si>
  <si>
    <t>https://product.hstatic.net/200000428801/product/upload_c27e5dde387c40acadf7094359b81368.jpg</t>
  </si>
  <si>
    <t>Q3021042164</t>
  </si>
  <si>
    <t>" Ocumox Moxifloxacin Pakistan (hộp 1 tuýp) "</t>
  </si>
  <si>
    <t>https://product.hstatic.net/200000428801/product/upload_9080a890504e4a2e9b4594b335a76f2d.jpg</t>
  </si>
  <si>
    <t>Q3021042165</t>
  </si>
  <si>
    <t>" Odistad Orlistat 120mg Stella (hộp 2 vỉ x 21 viên nang cứng) "</t>
  </si>
  <si>
    <t>https://product.hstatic.net/200000428801/product/upload_95d0e2973e4a4173ae37abe92a7b8100.jpg</t>
  </si>
  <si>
    <t>Q3021042166</t>
  </si>
  <si>
    <t>" Ofbexim Cefixim 200mg USP (hộp 3 vỉ x 10 viên nén bao phim) "</t>
  </si>
  <si>
    <t>https://product.hstatic.net/200000428801/product/803c7c3b72c9ae97f7d8_25b2d9d875554746bae20c8e05dd2978.jpg</t>
  </si>
  <si>
    <t>Q3021042167</t>
  </si>
  <si>
    <t>" Ofcin Ofloxacin 200mg Hậu Giang (hộp 2 vỉ x 10 viên nén bao phim) "</t>
  </si>
  <si>
    <t>https://product.hstatic.net/200000428801/product/upload_a609f45ff59f4625a13e9f9bda7c1eb0.jpg</t>
  </si>
  <si>
    <t>Q3021042168</t>
  </si>
  <si>
    <t>" Ofleye Ofloxacin 0,3% mỡ tra mắt Medipharco (tuýp 5g) "</t>
  </si>
  <si>
    <t>https://cdn2-retail-images.kiotviet.vn/giabaopharma/d1ea5fc2eda04b20a14b1b5b599499b8.jpg</t>
  </si>
  <si>
    <t>Q3021042169</t>
  </si>
  <si>
    <t>" Oflomax Ofloxacin 0,3% nhỏ mắt Qang Minh (cọc 10 lọ x 5ml) "</t>
  </si>
  <si>
    <t>https://product.hstatic.net/200000428801/product/upload_f3e440f282c74c89888bbda1c1310faf.jpg</t>
  </si>
  <si>
    <t>Q3021042170</t>
  </si>
  <si>
    <t>" Oflovid Ofloxacin 0.3% Santen (lọ 5ml) "</t>
  </si>
  <si>
    <t>https://product.hstatic.net/200000428801/product/upload_ac9da3c6859545eb90cdc4156216d01d.jpg</t>
  </si>
  <si>
    <t>Q3021042171</t>
  </si>
  <si>
    <t>" Oflovid Ofloxacin 0.3% Santen (Tube 3.5g) "</t>
  </si>
  <si>
    <t>https://product.hstatic.net/200000428801/product/upload_4aa2741bd47b43d0a9becdc013a744fc.jpg</t>
  </si>
  <si>
    <t>Q3021042172</t>
  </si>
  <si>
    <t>" Ofloxacin 200mg Mekophar (hộp 10 vỉ x 10 viên nén bao phim) "</t>
  </si>
  <si>
    <t>https://product.hstatic.net/200000428801/product/upload_a1bd1b9403ef43f3a32431db21640f7c.jpg</t>
  </si>
  <si>
    <t>Q3021042173</t>
  </si>
  <si>
    <t>" Ofmantine 1g Domesco (hộp 2 vỉ x 7 viên nén) "</t>
  </si>
  <si>
    <t>https://product.hstatic.net/200000428801/product/upload_ff20badf015a4369aded8d6f0344d01e.jpg</t>
  </si>
  <si>
    <t>Q3021042174</t>
  </si>
  <si>
    <t>" Ofmantine 625mg Domesco (hộp 2 vỉ x 7 viên nén) "</t>
  </si>
  <si>
    <t>https://product.hstatic.net/200000428801/product/40_e984971605644c71b2065c7d38d7d5d7.png</t>
  </si>
  <si>
    <t>Q3021042175</t>
  </si>
  <si>
    <t>" Ohite Ống xông mũi Hà Thành (dây 6 ống ) "</t>
  </si>
  <si>
    <t>https://product.hstatic.net/200000428801/product/upload_37cfea2f1c9746faa46b42c1c659bc3e.jpg</t>
  </si>
  <si>
    <t>Q3021042176</t>
  </si>
  <si>
    <t>" Ojee kem trị mụn xóa thâm liền sẹo Hân Vy (tube 12g) "</t>
  </si>
  <si>
    <t>https://product.hstatic.net/200000428801/product/upload_4f43494d433240bea2c6246e0e83d7b6.jpg</t>
  </si>
  <si>
    <t>Q3021042177</t>
  </si>
  <si>
    <t>" Olanxol Olanzapine 10mg Đà Nẵng (hộp 10 vỉ x 10 viên nén bao phim) "</t>
  </si>
  <si>
    <t>Q3021042178</t>
  </si>
  <si>
    <t>" Olesom siro Gracure Ấn Độ (lọ 100ml) "</t>
  </si>
  <si>
    <t>https://product.hstatic.net/200000428801/product/upload_cb2c088379ab44c9bf77c3f3998c7530.jpg</t>
  </si>
  <si>
    <t>Q3021042179</t>
  </si>
  <si>
    <t>" Olexon S siro Hà Nam (lọ 90ml Hà Nam) "</t>
  </si>
  <si>
    <t>https://product.hstatic.net/200000428801/product/30_adfec3f202f449faba1643aa7fad4443.png</t>
  </si>
  <si>
    <t>Q302564656</t>
  </si>
  <si>
    <t>" Olmac 10 Olanzapine USP 10mg Macleods (Hộp 3vỉ x 10 viên) "</t>
  </si>
  <si>
    <t>https://product.hstatic.net/200000428801/product/upload_b502a1d101eb43efbf3ead6b51d3f50a.jpg</t>
  </si>
  <si>
    <t>Q3021042180</t>
  </si>
  <si>
    <t>" Olymdiges Gold Olympus (hộp 20 gói x 3g) "</t>
  </si>
  <si>
    <t>https://product.hstatic.net/200000428801/product/29_8a37623413ef4b6ea88e447a850204f7.png</t>
  </si>
  <si>
    <t>Q3021042181</t>
  </si>
  <si>
    <t>" Omecaplus Omeprazol 20mg USP (hộp 3 vỉ x 10 viên nang) "</t>
  </si>
  <si>
    <t>https://product.hstatic.net/200000428801/product/upload_d47db3af29b2495b95e35c23a1e68975.jpg</t>
  </si>
  <si>
    <t>Q3021042182</t>
  </si>
  <si>
    <t>" Omega 3 6 9 bổ não tốt mắt TH pharma (lốc 6 hộp x 60 viên) "</t>
  </si>
  <si>
    <t>https://product.hstatic.net/200000428801/product/upload_bd7ea1a219774218a4902ba286074001.jpg</t>
  </si>
  <si>
    <t>Q3021042187</t>
  </si>
  <si>
    <t>" Omega 3 Abipha (lọ 100 viên nang) "</t>
  </si>
  <si>
    <t>https://product.hstatic.net/200000428801/product/32_de5e2dca4e484d299af4a8d8e9d17b44.png</t>
  </si>
  <si>
    <t>Q3021042183</t>
  </si>
  <si>
    <t>" Omega 3 Fish Oil 1000mg Pharmekal (Lọ 100 viên nang) "</t>
  </si>
  <si>
    <t>https://product.hstatic.net/200000428801/product/upload_57bf4493ddbb43caab78d320107a1403.jpg</t>
  </si>
  <si>
    <t>Q3021042184</t>
  </si>
  <si>
    <t>" Omega 3 Fort USP (Lọ 100 viên nang) "</t>
  </si>
  <si>
    <t>https://product.hstatic.net/200000428801/product/upload_46bf2b8cda1f404dabc4e28c1d34499e.jpg</t>
  </si>
  <si>
    <t>Q3021042186</t>
  </si>
  <si>
    <t>" Omega 3 Kids Gia Nguyễn (lọ 60 viên nang) "</t>
  </si>
  <si>
    <t>https://product.hstatic.net/200000428801/product/upload_e71138cf2e6d44aba7246054c0eb9e69.jpg</t>
  </si>
  <si>
    <t>Q3021042188</t>
  </si>
  <si>
    <t>" Omega 369 Pharmekal (Lọ 100 viên nang) "</t>
  </si>
  <si>
    <t>https://product.hstatic.net/200000428801/product/upload_afb8e9786dea4d11a2fcc4739975c990.jpg</t>
  </si>
  <si>
    <t>Q3021042191</t>
  </si>
  <si>
    <t>" Omega 369 Pluss Fish Oil 1000mg Minh Chiến (lọ 60 viên nang) "</t>
  </si>
  <si>
    <t>https://product.hstatic.net/200000428801/product/upload_837c188154a74ca3bf694a391a1300ed.jpg</t>
  </si>
  <si>
    <t>Q3021042189</t>
  </si>
  <si>
    <t>" Omega 369 USP (Lọ 100 viên nang) "</t>
  </si>
  <si>
    <t>https://product.hstatic.net/200000428801/product/upload_4ab2b9d723044b78b9f3abc2b4fd94b5.jpg</t>
  </si>
  <si>
    <t>Q3021042195</t>
  </si>
  <si>
    <t>" Omega DHA Kids fish oil 500mg Tradiphar (hộp 30 viên nang) "</t>
  </si>
  <si>
    <t>https://product.hstatic.net/200000428801/product/upload_9e67e1e26f3b4e34847444f66f13e57d.jpg</t>
  </si>
  <si>
    <t>Q3021042196</t>
  </si>
  <si>
    <t>" Omeprazol 20mg Domesco (hộp 10 vỉ x 10 viên nang) "</t>
  </si>
  <si>
    <t>https://product.hstatic.net/200000428801/product/upload_fdaff592fc9341e081a57d19eee9c2ee.jpg</t>
  </si>
  <si>
    <t>Q3021042197</t>
  </si>
  <si>
    <t>" Omeprazol 20mg Hậu Giang (hộp 3 vỉ x 10 viên nang) "</t>
  </si>
  <si>
    <t>https://product.hstatic.net/200000428801/product/upload_4edc22ec1eb64dec8a15720556ecef91.jpg</t>
  </si>
  <si>
    <t>Q3021042199</t>
  </si>
  <si>
    <t>" Omeprazol 20mg Hậu Giang (lọ 100 viên nang) "</t>
  </si>
  <si>
    <t>https://product.hstatic.net/200000428801/product/upload_c2303151c45c42ce8a91460dbd25604f.jpg</t>
  </si>
  <si>
    <t>Q302667667</t>
  </si>
  <si>
    <t>" Omeprazol 20mg Mediplantex (Lọ 14 viên nang) "</t>
  </si>
  <si>
    <t>https://product.hstatic.net/200000428801/product/upload_9d31c0b91b2747e6a5a7e2d5aef6503a.jpg</t>
  </si>
  <si>
    <t>Q3021042198</t>
  </si>
  <si>
    <t>" Omeprazol 20mg Robinson (hộp 3 vỉ x 10 viên nang) "</t>
  </si>
  <si>
    <t>https://product.hstatic.net/200000428801/product/upload_94a98c7846fa40a49b6747c38cf95e1d.jpg</t>
  </si>
  <si>
    <t>Q3021042200</t>
  </si>
  <si>
    <t>" Omeprazol HV 20mg USP (hộp 10 vỉ x 10 viên nang) "</t>
  </si>
  <si>
    <t>https://product.hstatic.net/200000428801/product/upload_e57dca248e104a8b8c32e22399324ad6.jpg</t>
  </si>
  <si>
    <t>Q3021042201</t>
  </si>
  <si>
    <t>" Omeprazol HV 20mg USP (Lọ 100 viên nang) "</t>
  </si>
  <si>
    <t>https://product.hstatic.net/200000428801/product/upload_5953454e51724561b148afd79f97825c.jpg</t>
  </si>
  <si>
    <t>Q3021042202</t>
  </si>
  <si>
    <t>" Omeprazole 20mg Z120 Armephaco (lốc 10 lọ 14 viên nang) "</t>
  </si>
  <si>
    <t>https://product.hstatic.net/200000428801/product/upload_1972f0e1aa684eb38af938230c451c4e.jpg</t>
  </si>
  <si>
    <t>Q3021042203</t>
  </si>
  <si>
    <t>" Omeprazole STADA 20mg (hộp 3 vỉ x 10 viên nang) "</t>
  </si>
  <si>
    <t>Q3021042204</t>
  </si>
  <si>
    <t>" Omeprazole STADA 40mg (hộp 3 vỉ x 10 viên nang) "</t>
  </si>
  <si>
    <t>https://product.hstatic.net/200000428801/product/38_b78c246a248a41f0bde926fca07e8282.png</t>
  </si>
  <si>
    <t>Q3021042205</t>
  </si>
  <si>
    <t>" Omeraz Omeprazole 20mg Boston (hộp 5 vỉ x 4 viên nang) "</t>
  </si>
  <si>
    <t>https://product.hstatic.net/200000428801/product/36_62d070fd74d3486b9921ad98e8fb3810.png</t>
  </si>
  <si>
    <t>Q3021042207</t>
  </si>
  <si>
    <t>" Omnivastin Quetiapine 100mg SPM (hộp 5 vỉ x 10 viên nén) "</t>
  </si>
  <si>
    <t>https://product.hstatic.net/200000428801/product/upload_54aff290f8d643689d77013ff0048087.jpg</t>
  </si>
  <si>
    <t>Q3021042209</t>
  </si>
  <si>
    <t>" One Today kem tẩy tế bào chết Đăng Dương (tube 60ml) "</t>
  </si>
  <si>
    <t>https://product.hstatic.net/200000428801/product/upload_10e069c43bbc454ca9ee4588d77e2899.jpg</t>
  </si>
  <si>
    <t>Q3021042210</t>
  </si>
  <si>
    <t>" One Today kem trắng da ban đêm lọ 15g "</t>
  </si>
  <si>
    <t>https://product.hstatic.net/200000428801/product/44_00655310066e487c8028104480941549.png</t>
  </si>
  <si>
    <t>Q3021042211</t>
  </si>
  <si>
    <t>" One Today kem trắng da lọ 9g "</t>
  </si>
  <si>
    <t>https://product.hstatic.net/200000428801/product/upload_1cc7f563c55e42f9b075e3b411b59127.jpg</t>
  </si>
  <si>
    <t>Q3021042212</t>
  </si>
  <si>
    <t>" One Today kem trị mụn lọ 8g "</t>
  </si>
  <si>
    <t>https://product.hstatic.net/200000428801/product/upload_1aafe92f610843ff8f08d878aef0f506.jpg</t>
  </si>
  <si>
    <t>Q3021042213</t>
  </si>
  <si>
    <t>" Onetouch gel bôi trơn Dongkuk (hộp 1 tuýp 75g) "</t>
  </si>
  <si>
    <t>https://product.hstatic.net/200000428801/product/upload_0164f1456cff48c9bed2cdaf7d953986.jpg</t>
  </si>
  <si>
    <t>Q3021042215</t>
  </si>
  <si>
    <t>" Opcardio OPC (hộp 5 vỉ x 10 viên nang cứng) "</t>
  </si>
  <si>
    <t>https://product.hstatic.net/200000428801/product/31_ffb88549e6364f8b81eb9e9eee921720.png</t>
  </si>
  <si>
    <t>Q3021042216</t>
  </si>
  <si>
    <t>" Opecalcium OPV (hộp 20 ống x 10ml) "</t>
  </si>
  <si>
    <t>https://product.hstatic.net/200000428801/product/upload_984424c2cc6343149e01a2fa77394075.jpg</t>
  </si>
  <si>
    <t>Q3021042217</t>
  </si>
  <si>
    <t>" Opecipro Ciprofoxacin 500mg OPV (hộp 2 vỉ x 7 viên nén "</t>
  </si>
  <si>
    <t>https://product.hstatic.net/200000428801/product/upload_91d7536f5e3a45a0b6d3b95f04a94761.jpg</t>
  </si>
  <si>
    <t>Q3021004263</t>
  </si>
  <si>
    <t>" Opzen OPC (hộp 5 vỉ x 10 viên nang) "</t>
  </si>
  <si>
    <t>https://product.hstatic.net/200000428801/product/upload_26347b64a0214d3fbb6e78e44c9f9af9.jpg</t>
  </si>
  <si>
    <t>Q3021004264</t>
  </si>
  <si>
    <t>" Orabakan Cefixim 200mg Minh Hải (lọ 100 viên nang) "</t>
  </si>
  <si>
    <t>https://product.hstatic.net/200000428801/product/upload_f8aa1b200c6d431fbb3ccca1e01f97a2.jpg</t>
  </si>
  <si>
    <t>Q302132653</t>
  </si>
  <si>
    <t>" Oracortia Triamcinolon Acetonid 0,1% THAI NAKORN (Tuýp 5g) "</t>
  </si>
  <si>
    <t>https://product.hstatic.net/200000428801/product/upload_6d37eb2219c04a08885eda586d4fe8af.jpg</t>
  </si>
  <si>
    <t>Q302665849</t>
  </si>
  <si>
    <t>" Oracortia Triamcinolone 0,1% Nakorn (Hộp 50 gói x 1g) "</t>
  </si>
  <si>
    <t>https://product.hstatic.net/200000428801/product/upload_200d2a7c9775420db52431f448ba2e07.jpg</t>
  </si>
  <si>
    <t>Q3021004265</t>
  </si>
  <si>
    <t>" Oralegic Fexofenadin hydroclorid 30mg/5ml CPC1 (hộp 2 vỉ x 5 ống x 5ml) "</t>
  </si>
  <si>
    <t>https://product.hstatic.net/200000428801/product/upload_efbb5fa028244f7789435332f9319e5c.jpg</t>
  </si>
  <si>
    <t>Q302993382</t>
  </si>
  <si>
    <t>" Oresol Bột Bù Nước Và Điện Giải Đại uy (Bịch 50 túi x túi 27,9g) "</t>
  </si>
  <si>
    <t>https://product.hstatic.net/200000428801/product/upload_ef1311ca26b147c295eed696ff40713a.jpg</t>
  </si>
  <si>
    <t>Q3021004257</t>
  </si>
  <si>
    <t>" Oresol Pluz Hà Tĩnh (hộp 10 tuýp x 10 viên sủi) "</t>
  </si>
  <si>
    <t>https://product.hstatic.net/200000428801/product/upload_e0bd98da71804cd2875e0995fae751d4.jpg</t>
  </si>
  <si>
    <t>Q3021004266</t>
  </si>
  <si>
    <t>" Orgamentril Lynestrenol 5mg Organon (hộp 1 vỉ x 30 viên nén) "</t>
  </si>
  <si>
    <t>https://product.hstatic.net/200000428801/product/upload_ae621b02a87042d7a3c4ff0563e91f14.jpg</t>
  </si>
  <si>
    <t>Q3021004267</t>
  </si>
  <si>
    <t>" Orgyl Ornidazol 500mg Kusum Healthcare Ấn Độ (hộp 1 vỉ x 10 viên nén) "</t>
  </si>
  <si>
    <t>https://product.hstatic.net/200000428801/product/41_898f454d79654f11b12927f99ce8f675.png</t>
  </si>
  <si>
    <t>Q3021004269</t>
  </si>
  <si>
    <t>" Orgyl Ornidazol 500mg Kusum Healthcare Ấn Độ Mediplantex (hộp 1 vỉ x 10 viên nén) "</t>
  </si>
  <si>
    <t>https://product.hstatic.net/200000428801/product/upload_a326f14b65db435cbf663e4315d08615.jpg</t>
  </si>
  <si>
    <t>Q3021004268</t>
  </si>
  <si>
    <t>" Orlistat 120mg Stada (hộp 2 vỉ x 21 viên nang) "</t>
  </si>
  <si>
    <t>https://product.hstatic.net/200000428801/product/upload_867c376f600945e7b63de9e56972a8bc.jpg</t>
  </si>
  <si>
    <t>Q3021004261</t>
  </si>
  <si>
    <t>" Orthin L-omithin L-aspartat 500mg Mediplantex (hộp 3 vỉ x 10 viên nang) "</t>
  </si>
  <si>
    <t>https://product.hstatic.net/200000428801/product/upload_3a72f9633498490c9c92088fb394db0e.jpg</t>
  </si>
  <si>
    <t>Q3021004262</t>
  </si>
  <si>
    <t>" Osarstad Valsartan 80mg Stella (hộp 3 vỉ x 10 viên nén) "</t>
  </si>
  <si>
    <t>https://product.hstatic.net/200000428801/product/upload_c0b05dfb4c3a4903a4cf2e10b774b2b1.jpg</t>
  </si>
  <si>
    <t>Q3021004271</t>
  </si>
  <si>
    <t>" Osbifin 20mg Leflunomide CH Síp (hộp 1 lọ x 30 viên nén) "</t>
  </si>
  <si>
    <t>https://cdn2-retail-images.kiotviet.vn/2025/10/30/giabaopharma/92df54ed92fd43b08c7be15a0a0f574f.png</t>
  </si>
  <si>
    <t>Q3021004272</t>
  </si>
  <si>
    <t>" Ospay Oxymetazoline Hải Phòng (lốc 6 xịt mũi 15ml) "</t>
  </si>
  <si>
    <t>https://product.hstatic.net/200000428801/product/88a156eb57564cbda30b8107d57f1ba6_81008854887542d6b1a670acd7120142.jpg</t>
  </si>
  <si>
    <t>Q3021004273</t>
  </si>
  <si>
    <t>" Ospenxin Cefalexin 500mg Sandoz (cọc 10 vỉ x 10 viên nang) "</t>
  </si>
  <si>
    <t>https://product.hstatic.net/200000428801/product/upload_f0f6a7838eb048068476ebf0c81e68e0.jpg</t>
  </si>
  <si>
    <t>Q3021004274</t>
  </si>
  <si>
    <t>" Ossizan Vitamin C vị cam Trường Thọ (cọc 12 tuýp x 20 viên) "</t>
  </si>
  <si>
    <t>https://product.hstatic.net/200000428801/product/upload_ed8ed48b6bbd4a2b850010929397d0b3.jpg</t>
  </si>
  <si>
    <t>Q3021004275</t>
  </si>
  <si>
    <t>" Ossizan Vitamin C vị chanh Trường Thọ (cọc 12 tuýp x 20 viên) "</t>
  </si>
  <si>
    <t>https://product.hstatic.net/200000428801/product/20_ebc9395a058344ac9ab7a360f9611ada.png</t>
  </si>
  <si>
    <t>Q3021004283</t>
  </si>
  <si>
    <t>" Ostigold Glucosamin 750mg Hậu Giang (lọ 100 viên nén) "</t>
  </si>
  <si>
    <t>https://product.hstatic.net/200000428801/product/upload_3380036391f149da97d2af9d248249e7.jpg</t>
  </si>
  <si>
    <t>Q3021004284</t>
  </si>
  <si>
    <t>" Ostigold Glucosamin Sulfat 750mg Hậu Giang (hộp 6 vỉ x 10 viên nén bao phim) "</t>
  </si>
  <si>
    <t>https://product.hstatic.net/200000428801/product/upload_ae34eb65696849a49299d49ecdeb34a7.jpg</t>
  </si>
  <si>
    <t>Q3021004285</t>
  </si>
  <si>
    <t>" Otipax nhỏ tai Pháp (lọ 15ml) "</t>
  </si>
  <si>
    <t>https://product.hstatic.net/200000428801/product/upload_34418ba158c14e3f882f504e1c49d552.jpg</t>
  </si>
  <si>
    <t>Q30200298</t>
  </si>
  <si>
    <t>" Otrivin Xylometazoline Hydrochloride 0.05% xịt lọ Thụy Sĩ (H/ 1 chai 10ml)"</t>
  </si>
  <si>
    <t>https://product.hstatic.net/200000428801/product/upload_29aad60b989543389babd9655e5179ac.jpg</t>
  </si>
  <si>
    <t>Q30200299</t>
  </si>
  <si>
    <t>" Otrivin Xylometazoline Hydrochloride 0.1 % xịt lọ Thụy Sĩ (H/ 1 chai 10ml)"</t>
  </si>
  <si>
    <t>https://product.hstatic.net/200000428801/product/upload_f531047f8b8e416c8d8df9b24ba4317b.jpg</t>
  </si>
  <si>
    <t>Q3021004286</t>
  </si>
  <si>
    <t>" Ovaceptil Dược Khoa (hộp 30 gói x 3g) "</t>
  </si>
  <si>
    <t>https://product.hstatic.net/200000428801/product/12_fb331feeb73448f6a26a480248590010.png</t>
  </si>
  <si>
    <t>Q3021004287</t>
  </si>
  <si>
    <t>" Ovagrow Plus Forte Ý (hộp 2 vỉ x 15 viên nang) "</t>
  </si>
  <si>
    <t>https://product.hstatic.net/200000428801/product/upload_8285bfd83aa14e969bf0f803d1b6729e.jpg</t>
  </si>
  <si>
    <t>Q30221032330</t>
  </si>
  <si>
    <t>" Ovalax Bisacodyl 5mg Traphaco (hộp 1 vỉ x 10 viên nén) "</t>
  </si>
  <si>
    <t>https://product.hstatic.net/200000428801/product/upload_4526a7ec622143d78189597d9fd2c1a4.jpg</t>
  </si>
  <si>
    <t>Q3021004288</t>
  </si>
  <si>
    <t>" OVAQ Plus bổ trợ trước mang thai Mediplantex (hộp 60 viên nang) "</t>
  </si>
  <si>
    <t>https://product.hstatic.net/200000428801/product/16_f2551acacb244d3ca5d9379c4c946d1f.png</t>
  </si>
  <si>
    <t>Q3021004289</t>
  </si>
  <si>
    <t>" OvaQ1 Mediplantex (hộp 3 vỉ x 10 viên nang mềm) "</t>
  </si>
  <si>
    <t>https://product.hstatic.net/200000428801/product/upload_10d33cfca13d4240bf41d67c3127bcef.jpg</t>
  </si>
  <si>
    <t>Q3021004290</t>
  </si>
  <si>
    <t>" OvaQ1 Mediplantex (hộp 6 vỉ x 10 viên nang mềm) "</t>
  </si>
  <si>
    <t>https://product.hstatic.net/200000428801/product/upload_003823fe43014aae897b772b7a5e2a01.jpg</t>
  </si>
  <si>
    <t>Q3021004291</t>
  </si>
  <si>
    <t>" Ovumcare Nutramed (hộp 3 vỉ x 10 viên nén) "</t>
  </si>
  <si>
    <t>https://product.hstatic.net/200000428801/product/upload_64714f733f0b47ffab3d28dd8138fff6.jpg</t>
  </si>
  <si>
    <t>Q3021004292</t>
  </si>
  <si>
    <t>" Ovumix Argentina (hộp 1 vỉ x 6 viên đặt) "</t>
  </si>
  <si>
    <t>https://product.hstatic.net/200000428801/product/upload_54280551e22b4145902ded5d773b7254.jpg</t>
  </si>
  <si>
    <t>Q3021004293</t>
  </si>
  <si>
    <t>" Ovutana thử rụng trứng Tân Á Tanaphar (hộp 12 que) "</t>
  </si>
  <si>
    <t>https://product.hstatic.net/200000428801/product/upload_91743b74572c404ea4117fd2271033ea.jpg</t>
  </si>
  <si>
    <t>Q3021004294</t>
  </si>
  <si>
    <t>" Oxy già 3% Hóa Dược (cọc 10 lọ x 20ml) "</t>
  </si>
  <si>
    <t>https://product.hstatic.net/200000428801/product/upload_abc59bf94b9e4fdb8e4ee6ef72b5df7c.jpg</t>
  </si>
  <si>
    <t>Q3021004295</t>
  </si>
  <si>
    <t>" Oxy già 3% Hóa Dược (cọc 10 lọ x 50ml) "</t>
  </si>
  <si>
    <t>https://product.hstatic.net/200000428801/product/upload_e34994dbe1c4406b9cf516789a1ddb5e.jpg</t>
  </si>
  <si>
    <t>Q3021004296</t>
  </si>
  <si>
    <t>" Oxytocin 5 IU/ml tiêm Gedeon Richter (hộp 20 vỉ x 5 ống x 1ml) "</t>
  </si>
  <si>
    <t>https://product.hstatic.net/200000428801/product/upload_37da9b0cb5ac4171ad8363e65ff5a3d9.jpg</t>
  </si>
  <si>
    <t>Q3021004297</t>
  </si>
  <si>
    <t>" Ozol Đại Uy Oresol cam hộp 40 gói x 5,58g "</t>
  </si>
  <si>
    <t>https://product.hstatic.net/200000428801/product/upload_dd42fdebbac94198b1909b19fa63b7ac.jpg</t>
  </si>
  <si>
    <t>Q3021042158</t>
  </si>
  <si>
    <t>" Ô mai mật ong Vega (hộp 3 vỉ x 8 viên ngậm) "</t>
  </si>
  <si>
    <t>https://product.hstatic.net/200000428801/product/upload_71cb5db5d47f49e381f77b1f79b3cf7e.jpg</t>
  </si>
  <si>
    <t>Q3021004299</t>
  </si>
  <si>
    <t>" Pacegan Paracetamol 500mg Hasan (hộp 25 vỉ x 4 viên sủi) "</t>
  </si>
  <si>
    <t>https://product.hstatic.net/200000428801/product/21_234fb49062834054b15213b75561d1cb.png</t>
  </si>
  <si>
    <t>Q3021042100</t>
  </si>
  <si>
    <t>" Pacemin B1 Hà Tây (hộp 100 gói x 2.5g) "</t>
  </si>
  <si>
    <t>https://product.hstatic.net/200000428801/product/upload_73315e66e239401084cf814fc528b221.jpg</t>
  </si>
  <si>
    <t>Q3021042150</t>
  </si>
  <si>
    <t>" Pacemin Hà Tây (hộp 10 vỉ x 10 viên nang) "</t>
  </si>
  <si>
    <t>https://product.hstatic.net/200000428801/product/upload_9b86fc7870be43709d786616d95ce6f7.jpg</t>
  </si>
  <si>
    <t>Q3021004276</t>
  </si>
  <si>
    <t>" Pagalin Pregabalin 75mg Trường Thọ (hộp 3 vỉ x 10 viên nang) "</t>
  </si>
  <si>
    <t>https://product.hstatic.net/200000428801/product/11_7d0f9764304f465196828e320b6bda08.png</t>
  </si>
  <si>
    <t>Q3021004277</t>
  </si>
  <si>
    <t>" Paincerin 50mg diacerein Hy Lạp (hộp 3 vỉ x 10 viên nang) "</t>
  </si>
  <si>
    <t>https://product.hstatic.net/200000428801/product/upload_f9ce663ee07643c3959a23eeff2d8c87.jpg</t>
  </si>
  <si>
    <t>Q3021004278</t>
  </si>
  <si>
    <t>" Palibone Alendronic acid 70mg Bồ Đào Nha (hộp 4 viên nén) "</t>
  </si>
  <si>
    <t>https://product.hstatic.net/200000428801/product/upload_e36c016aa75640c6a00fed6ef07ed563.jpg</t>
  </si>
  <si>
    <t>Q3021004279</t>
  </si>
  <si>
    <t>" Panactol Acetaminophen 650mg Khánh Hòa (hộp 10 vỉ x 10 viên nén) "</t>
  </si>
  <si>
    <t>https://product.hstatic.net/200000428801/product/15_3e9070435b4b48d388d249ffe7a5ffe7.png</t>
  </si>
  <si>
    <t>Q3021004280</t>
  </si>
  <si>
    <t>" Panactol Paracetamol 150mg Khapharco (hộp 48 gói x 1,5g) "</t>
  </si>
  <si>
    <t>https://product.hstatic.net/200000428801/product/upload_03845abc0e4f4c8bbaec9cc65632cd6b.jpg</t>
  </si>
  <si>
    <t>Q3021004250</t>
  </si>
  <si>
    <t>" Panactol Paracetamol 250mg Khapharco (hộp 48 gói x 1,5g) "</t>
  </si>
  <si>
    <t>https://product.hstatic.net/200000428801/product/upload_232c464f78ed4c71824c454d3b68a7d5.jpg</t>
  </si>
  <si>
    <t>Q3021004251</t>
  </si>
  <si>
    <t>" Panadol Cảm Cúm GSK (hộp 15 vỉ x 12 viên nén) "</t>
  </si>
  <si>
    <t>https://product.hstatic.net/200000428801/product/upload_732c7d4a0ee94f7aa33791b69367f3d8.jpg</t>
  </si>
  <si>
    <t>Q3021004252</t>
  </si>
  <si>
    <t>" Panadol Extra GSK (hộp 15 vỉ x 12 viên nén) "</t>
  </si>
  <si>
    <t>https://product.hstatic.net/200000428801/product/upload_360cc80af9a846faa55896172cf57be8.jpg</t>
  </si>
  <si>
    <t>Q3021004253</t>
  </si>
  <si>
    <t>" Panadol Thường Paracetamol 500mg GSK (hộp 10 vỉ x 12 viên nén) "</t>
  </si>
  <si>
    <t>https://product.hstatic.net/200000428801/product/2_0e09a743bf1d418eac2ba66175fe9dc6.png</t>
  </si>
  <si>
    <t>Q3021004254</t>
  </si>
  <si>
    <t>" Panangin Hungary (lọ 50 viên nén) "</t>
  </si>
  <si>
    <t>https://product.hstatic.net/200000428801/product/4_b8d66fa0fc61481c9a41fbd79f021e2f.png</t>
  </si>
  <si>
    <t>Q30221032368</t>
  </si>
  <si>
    <t>" Pandex Dược Khoa (cọc 10 lọ x 5ml nhỏ mắt) "</t>
  </si>
  <si>
    <t>https://product.hstatic.net/200000428801/product/upload_afe095abf6634f67819a455d5258e2ef.jpg</t>
  </si>
  <si>
    <t>Q3021004255</t>
  </si>
  <si>
    <t>" Panfor SR Metformin 500mg Mega (hộp 5 vỉ x 20 viên nén) "</t>
  </si>
  <si>
    <t>https://product.hstatic.net/200000428801/product/upload_49b54015933c4b559ac5e47d490cea05.jpg</t>
  </si>
  <si>
    <t>Q3024032379</t>
  </si>
  <si>
    <t>" Panthenol D-panthenol bôi Pharmedic (cọc 10 tuýp x 10g) "</t>
  </si>
  <si>
    <t>https://product.hstatic.net/200000428801/product/upload_233c36e2b19f4a8688e523f0de80bd74.jpg</t>
  </si>
  <si>
    <t>Q3024032380</t>
  </si>
  <si>
    <t>" Panthenol Dexpanthenol 5% Medipharco (bôi tuýp 20g) "</t>
  </si>
  <si>
    <t>https://product.hstatic.net/200000428801/product/7_c2cfac41bae94cb48b01dab889979d4e.png</t>
  </si>
  <si>
    <t>Q3024032381</t>
  </si>
  <si>
    <t>" Panthenol Nano Bạc xịt Bimex (lọ 130g) "</t>
  </si>
  <si>
    <t>https://product.hstatic.net/200000428801/product/upload_6d830c8a7e154a9fa91e52f246f06f45.jpg</t>
  </si>
  <si>
    <t>Q3024032382</t>
  </si>
  <si>
    <t>" Panto Denk Pantoprazol 40mg Đức (hộp 2 vỉ x 14 viên nén) "</t>
  </si>
  <si>
    <t>https://product.hstatic.net/200000428801/product/upload_0ea7cee5a79a409199a1a8d3014275a0.jpg</t>
  </si>
  <si>
    <t>Q3024032383</t>
  </si>
  <si>
    <t>" Pantoloc Pantoprazole 40mg Đức (hộp 7 viên nén) "</t>
  </si>
  <si>
    <t>https://product.hstatic.net/200000428801/product/upload_f7e7ed3442f54b8dbfc4f0be963f88fa.jpg</t>
  </si>
  <si>
    <t>Q302224355</t>
  </si>
  <si>
    <t>" Pantostad 40 Cap Pantoprazole 40mg Stella (Hộp 4 vỉ x 7 viên nang cứng) "</t>
  </si>
  <si>
    <t>https://product.hstatic.net/200000428801/product/upload_5c1f1fffc6134cb7a4c4e5e9e5e5fd1d.jpg</t>
  </si>
  <si>
    <t>Q3024032384</t>
  </si>
  <si>
    <t>" Paparin Papaverin 40mg/2ml Vĩnh Phúc (hộp 2 vỉ x 5 ống x 2ml tiêm) "</t>
  </si>
  <si>
    <t>https://product.hstatic.net/200000428801/product/upload_57ef000e380b47f2b9df7d4b4c164c1a.jpg</t>
  </si>
  <si>
    <t>Q302310323260</t>
  </si>
  <si>
    <t>" Papaverin hydroclorid 40mg Vidipha (hộp 10 vỉ x 10 viên nén) "</t>
  </si>
  <si>
    <t>https://product.hstatic.net/200000428801/product/13_18eb9cdb581641be8d61595e8d9229f1.png</t>
  </si>
  <si>
    <t>Q302310323261</t>
  </si>
  <si>
    <t>" Papilocare Gel vaginal Tây Ban Nha (gel đặt âm đạo 7 ống x 5ml) "</t>
  </si>
  <si>
    <t>https://product.hstatic.net/200000428801/product/upload_f4869a83dc65409291339e9b2f92bd30.jpg</t>
  </si>
  <si>
    <t>Q302310323262</t>
  </si>
  <si>
    <t>" Papulex kem dưỡng giúp giảm nhờn Pháp (tuýp 40ml) "</t>
  </si>
  <si>
    <t>https://product.hstatic.net/200000428801/product/upload_8895be1fbc014ad2917c7c38bbc15193.jpg</t>
  </si>
  <si>
    <t>Q302310323263</t>
  </si>
  <si>
    <t>" Para – OPC Paracetamol 150mg OPC (hộp 12 gói) "</t>
  </si>
  <si>
    <t>https://product.hstatic.net/200000428801/product/upload_8dd58a779d254bbd9e65b06cc4211d0d.jpg</t>
  </si>
  <si>
    <t>Q302310323264</t>
  </si>
  <si>
    <t>" Para – OPC Paracetamol 250mg OPC (hộp 12 gói) "</t>
  </si>
  <si>
    <t>https://product.hstatic.net/200000428801/product/upload_31f4d1d2699f43deaf92f453201acfce.jpg</t>
  </si>
  <si>
    <t>Q302310323265</t>
  </si>
  <si>
    <t>" Para – OPC Paracetamol 80mg OPC (hộp 12 gói) "</t>
  </si>
  <si>
    <t>https://product.hstatic.net/200000428801/product/upload_90d3bde7d2504d158fc9037091a864dc.jpg</t>
  </si>
  <si>
    <t>Q302310323266</t>
  </si>
  <si>
    <t>" Paracetamol 100mg Hà Tây (lọ 500 viên nén) "</t>
  </si>
  <si>
    <t>https://product.hstatic.net/200000428801/product/upload_e171e2b79e6e43ebb67f5af1b0a63434.jpg</t>
  </si>
  <si>
    <t>Q302310323268</t>
  </si>
  <si>
    <t>" Paracetamol 500mg – US USP (hộp 10 vỉ x 10 viên nén) "</t>
  </si>
  <si>
    <t>https://product.hstatic.net/200000428801/product/upload_2674b824ef394dfe879efa8d560bbf0d.jpg</t>
  </si>
  <si>
    <t>Q302310323269</t>
  </si>
  <si>
    <t>" Paracetamol 500mg giảm đau hạ sốt Mediplantex (hộp 10 vỉ x 10 viên nén) "</t>
  </si>
  <si>
    <t>https://product.hstatic.net/200000428801/product/upload_0dce4c2d87b249f5b1885103746bde89.jpg</t>
  </si>
  <si>
    <t>Q302310323274</t>
  </si>
  <si>
    <t>" Paracetamol 500mg Phúc Vinh (lọ 500 viên nén) "</t>
  </si>
  <si>
    <t>https://product.hstatic.net/200000428801/product/upload_210a666171974177a6d3d9204b2b49ad.jpg</t>
  </si>
  <si>
    <t>Q302310323270</t>
  </si>
  <si>
    <t>" Paracetamol 500mg Quảng Bình (hộp 10 vỉ x 10 viên nén) "</t>
  </si>
  <si>
    <t>https://product.hstatic.net/200000428801/product/upload_2d2101bb14bd4cc1ae343cd04fed8d23.jpg</t>
  </si>
  <si>
    <t>Q302310323272</t>
  </si>
  <si>
    <t>" Paracetamol 500mg Thanh Hóa (hộp 20 vỉ x 10 viên nén) "</t>
  </si>
  <si>
    <t>https://product.hstatic.net/200000428801/product/upload_40b036fa7a7d415f900eb82f6b530ad0.jpg</t>
  </si>
  <si>
    <t>Q302310323275</t>
  </si>
  <si>
    <t>" Paracetamol 500mg vỉ nhôm Mediplantex (hộp 5 vỉ x 10 viên nén) "</t>
  </si>
  <si>
    <t>https://product.hstatic.net/200000428801/product/upload_5cb79f74c70a4716992bdb736110d744.jpg</t>
  </si>
  <si>
    <t>Q302310323271</t>
  </si>
  <si>
    <t>" Paracetamol 500mg Z120 (hộp 10 vỉ x 10 viên nén) "</t>
  </si>
  <si>
    <t>https://product.hstatic.net/200000428801/product/upload_ec4ae12dde8e415a8ab3f6075e979f97.jpg</t>
  </si>
  <si>
    <t>Q302310323276</t>
  </si>
  <si>
    <t>" Paracetamol Choay 500mg Sanofi (hộp 10 vỉ x 10 viên nén) "</t>
  </si>
  <si>
    <t>https://product.hstatic.net/200000428801/product/28._9fcd81a94901410abd71211549fc2bca.png</t>
  </si>
  <si>
    <t>Q302310323277</t>
  </si>
  <si>
    <t>" Paracetamol Kabi 1000mg Truyền Bình Định (lọ 100ml) "</t>
  </si>
  <si>
    <t>https://product.hstatic.net/200000428801/product/9ea52515f7df474d91eced0487c8df8e_3e223674b23e4dc09214ac3d60c0ec40.png</t>
  </si>
  <si>
    <t>Q302310323278</t>
  </si>
  <si>
    <t>" Paracetamol STADA 250mg hộp 30 gói x 1g "</t>
  </si>
  <si>
    <t>https://product.hstatic.net/200000428801/product/upload_0f2a01879f1d446b8820981841ba1343.jpg</t>
  </si>
  <si>
    <t>Q302310323279</t>
  </si>
  <si>
    <t>" Paracetamol STADA 500mg hộp 10 vỉ x 10 viên nén "</t>
  </si>
  <si>
    <t>https://product.hstatic.net/200000428801/product/upload_34e5cb7ae2f24206b6ff3c1abbae512a.jpg</t>
  </si>
  <si>
    <t>Q302310323280</t>
  </si>
  <si>
    <t>" Paralmax Pain Boston (hộp 10 vỉ x 12 viên nén) "</t>
  </si>
  <si>
    <t>https://product.hstatic.net/200000428801/product/upload_0bd37de3813a4927b37e1db41fa7e05d.jpg</t>
  </si>
  <si>
    <t>Q302310323281</t>
  </si>
  <si>
    <t>" Paralmax pain Boston (hộp 15 vỉ x 12 viên nén) "</t>
  </si>
  <si>
    <t>https://product.hstatic.net/200000428801/product/27_4102e5fd123442dfb5b6855417bd0906.png</t>
  </si>
  <si>
    <t>Q302310323282</t>
  </si>
  <si>
    <t>" Parazacol Paracetamol 1000/100ml truyền TW1 Pharbaco (Thùng 20 chai x chại 100ml) "</t>
  </si>
  <si>
    <t>https://product.hstatic.net/200000428801/product/upload_6b3d587862c3475f8e602309a7561cd8.jpg</t>
  </si>
  <si>
    <t>Q302310323283</t>
  </si>
  <si>
    <t>" Parazacol Paracetamol 500mg Pharbaco TW1 (hộp 4 vỉ x 4 viên sủi) "</t>
  </si>
  <si>
    <t>https://product.hstatic.net/200000428801/product/upload_c3b197a30a324cabaff3a17f9f3d5826.jpg</t>
  </si>
  <si>
    <t>Q302310323284</t>
  </si>
  <si>
    <t>" Pariet Rabeprazole sodium 20mg Nhật Bản (hộp 1 vỉ x 14 viên nén) "</t>
  </si>
  <si>
    <t>https://product.hstatic.net/200000428801/product/upload_771d548c3a4c4d51baacb81c7d6d9a08.jpg</t>
  </si>
  <si>
    <t>Q302310323285</t>
  </si>
  <si>
    <t>" Parocontin Tiền Giang (hộp 3 vỉ x 10 viên nén) "</t>
  </si>
  <si>
    <t>https://product.hstatic.net/200000428801/product/upload_716f4cb5e8984e8982e1b00e075d25a8.jpg</t>
  </si>
  <si>
    <t>Q302310323286</t>
  </si>
  <si>
    <t>" Parokey Parocetine 20mg Davipharm (hộp 3 vỉ x 10 viên nén) "</t>
  </si>
  <si>
    <t>https://product.hstatic.net/200000428801/product/upload_5e411d5f6e3d4fc4910cc18b2e416bb4.jpg</t>
  </si>
  <si>
    <t>Q302310323287</t>
  </si>
  <si>
    <t>" Partamol 250 Paracetamol 250mg Stella (hộp 20 gói x 1g) "</t>
  </si>
  <si>
    <t>https://product.hstatic.net/200000428801/product/upload_a669c07f2ac643fea62e4898ed121bd0.jpg</t>
  </si>
  <si>
    <t>Q302310323288</t>
  </si>
  <si>
    <t>" Partamol Paracetamol 325mg Stella (lọ 200 viên nén) "</t>
  </si>
  <si>
    <t>https://product.hstatic.net/200000428801/product/25_445e2adf40684db8b5ed659672d0badb.png</t>
  </si>
  <si>
    <t>Q302310323289</t>
  </si>
  <si>
    <t>" Partamol Paracetamol 500mg Stella (hộp 10 vỉ x 10 viên nén) "</t>
  </si>
  <si>
    <t>https://product.hstatic.net/200000428801/product/upload_8250c11bf69e452eb9d0b6bb95a2d89e.jpg</t>
  </si>
  <si>
    <t>Q302310323290</t>
  </si>
  <si>
    <t>" Partamol Paracetamol 500mg Stella (hộp 4 vỉ x 4 viên sủi) "</t>
  </si>
  <si>
    <t>https://product.hstatic.net/200000428801/product/upload_58e19f23d8054cb3b7c0f2c1da9ab947.jpg</t>
  </si>
  <si>
    <t>Q302310323291</t>
  </si>
  <si>
    <t>" Partamol Paracetamol 500mg Stella (lọ 200 viên nén) "</t>
  </si>
  <si>
    <t>https://product.hstatic.net/200000428801/product/upload_9ea980b1cf26476cb565a2f9c3b07233.jpg</t>
  </si>
  <si>
    <t>Q3024032385</t>
  </si>
  <si>
    <t>" Parutan Cefditoren 200mg Hà Tây (hộp 3 vỉ x 10 viên nén bao phim) "</t>
  </si>
  <si>
    <t>https://product.hstatic.net/200000428801/product/22_213fd57b073b40f4bb9f0d2a68bc7314.png</t>
  </si>
  <si>
    <t>Q3024032386</t>
  </si>
  <si>
    <t>" Pasepan Paracetamol 300mg Hataphar (hộp 1 lọ 50 viên nén) "</t>
  </si>
  <si>
    <t>https://product.hstatic.net/200000428801/product/upload_2735b6b234274f9d97911193827837cd.jpg</t>
  </si>
  <si>
    <t>Q3024032387</t>
  </si>
  <si>
    <t>" Pataday Olopatadine hydrochloride 0.2% Mỹ (lọ 2.5ml nhỏ mắt) "</t>
  </si>
  <si>
    <t>https://product.hstatic.net/200000428801/product/upload_c603acb6887442f1b4249bb2f399f17f.jpg</t>
  </si>
  <si>
    <t>Q3024032388</t>
  </si>
  <si>
    <t>" Patchell Paroxetin 20mg Davipharm (hộp 10 vỉ x 10 viên nén) "</t>
  </si>
  <si>
    <t>https://product.hstatic.net/200000428801/product/upload_8b484b516a8a459982eafd2ba57a6c6f.jpg</t>
  </si>
  <si>
    <t>Q3024032389</t>
  </si>
  <si>
    <t>" Patylcream Clotrimazol 1% Hasan (tuýp x 10g) "</t>
  </si>
  <si>
    <t>https://product.hstatic.net/200000428801/product/upload_7391202afb8e4ba2b9b3e04503ed4d27.jpg</t>
  </si>
  <si>
    <t>Q3024032390</t>
  </si>
  <si>
    <t>" Paxirasol Bromhexine hydrochloride Egis (hộp 2 vỉ x 10 viên nén) "</t>
  </si>
  <si>
    <t>https://product.hstatic.net/200000428801/product/upload_e1f31ba3819444369a1bc166df26ecff.jpg</t>
  </si>
  <si>
    <t>Q3024032391</t>
  </si>
  <si>
    <t>" Pectol – E siro trị ho Sài Gòn (lọ 90ml) "</t>
  </si>
  <si>
    <t>https://product.hstatic.net/200000428801/product/10_a41542aa260f41bdacc3fbdaaefac0f4.png</t>
  </si>
  <si>
    <t>Q3024032399</t>
  </si>
  <si>
    <t>" Pediakid 22 Vitamin siro Pháp (lọ 125ml) "</t>
  </si>
  <si>
    <t>https://product.hstatic.net/200000428801/product/upload_ca80fa89d1b14320a7e7808eefdd806c.jpg</t>
  </si>
  <si>
    <t>Q30240323100</t>
  </si>
  <si>
    <t>" Pediakid Appetit Tonus Ăn ngon siro Pháp (lọ 125ml) "</t>
  </si>
  <si>
    <t>https://product.hstatic.net/200000428801/product/upload_16f26fd5ee9549968640569b1cfd7671.jpg</t>
  </si>
  <si>
    <t>Q30240323150</t>
  </si>
  <si>
    <t>" Pediakid Immuno Fort tăng cường miễn dịch siro Pháp (lọ 125ml) "</t>
  </si>
  <si>
    <t>https://product.hstatic.net/200000428801/product/upload_f1ebf573f56141e7a20c6eb70168d19d.jpg</t>
  </si>
  <si>
    <t>Q30240323151</t>
  </si>
  <si>
    <t>" Pediakids Vitamin D3 nhỏ giọt Pháp (lọ 20ml) "</t>
  </si>
  <si>
    <t>https://product.hstatic.net/200000428801/product/upload_5b15eb5972bb4dc98cd1d25c80ea5803.jpg</t>
  </si>
  <si>
    <t>Q30240323153</t>
  </si>
  <si>
    <t>" Peditral Oresol Pakistan (hộp 20 gói x 27,9g) "</t>
  </si>
  <si>
    <t>https://product.hstatic.net/200000428801/product/upload_4ad1540754754b7186a48bdd264be5ef.jpg</t>
  </si>
  <si>
    <t>Q30240323154</t>
  </si>
  <si>
    <t>" PEGinpol Ý (hộp 20 gói x 5g) "</t>
  </si>
  <si>
    <t>https://product.hstatic.net/200000428801/product/upload_a84076e82f0b4553bf76243d0f694336.jpg</t>
  </si>
  <si>
    <t>Q30240323155</t>
  </si>
  <si>
    <t>" PEGinpol Ý (lọ 100g ) "</t>
  </si>
  <si>
    <t>https://product.hstatic.net/200000428801/product/upload_80a02d9c2c06471eb80f6248dec9600f.jpg</t>
  </si>
  <si>
    <t>Q30240323156</t>
  </si>
  <si>
    <t>" Penicilin V Kali 1.000.000 IU Thanh Hóa (hộp 10 vỉ x 10 viên nén) "</t>
  </si>
  <si>
    <t>https://product.hstatic.net/200000428801/product/upload_2ce10566c1604d8c8a0a87b3816a98f0.jpg</t>
  </si>
  <si>
    <t>Q30240323157</t>
  </si>
  <si>
    <t>" Penicilin V Kali 1.000.000 IU TW1 Pharbaco (hộp 10 vỉ x 10 viên nén) "</t>
  </si>
  <si>
    <t>https://product.hstatic.net/200000428801/product/upload_eaf131020a9f406f853bbc20cdbe3911.jpg</t>
  </si>
  <si>
    <t>Q302434749</t>
  </si>
  <si>
    <t>" Penicillin V Kali 400.000IU Dopharma (Lọ 400 viên) "</t>
  </si>
  <si>
    <t>https://product.hstatic.net/200000428801/product/upload_f62b9a1484ff4ef5bc9fdecebf1ae391.jpg</t>
  </si>
  <si>
    <t>Q30240323158</t>
  </si>
  <si>
    <t>" Pentasa Mesalazin 500mg Thụy Sĩ (hộp 10 vỉ x 10 viên nén) "</t>
  </si>
  <si>
    <t>https://product.hstatic.net/200000428801/product/upload_7477cc8a4fa34e1d82cbdf01dc74f2b6.jpg</t>
  </si>
  <si>
    <t>Q30240323159</t>
  </si>
  <si>
    <t>" Pentinox Albendazol 400mg SPM (cọc 10 hộp x 1 viên nhai) "</t>
  </si>
  <si>
    <t>https://product.hstatic.net/200000428801/product/upload_873a596967c74d259f12c47b492e8747.jpg</t>
  </si>
  <si>
    <t>Q30240323160</t>
  </si>
  <si>
    <t>" Pentovas Tenofovir alafenamid 25mg S.P.M (hộp 3 vỉ x 10 viên nén) "</t>
  </si>
  <si>
    <t>https://product.hstatic.net/200000428801/product/23_a1bca3e1ba6a4a76b2799b1b44562f6b.png</t>
  </si>
  <si>
    <t>Q30240323161</t>
  </si>
  <si>
    <t>" Penzima Fexofenadine HCL 30mg/5ml SPM (lọ 60ml) "</t>
  </si>
  <si>
    <t>https://product.hstatic.net/200000428801/product/upload_60b5847f2d2247fda00b49fb8250cea7.jpg</t>
  </si>
  <si>
    <t>Q30240323164</t>
  </si>
  <si>
    <t>" Pepsin B1 Hà Tây (lọ 80 viên nang) "</t>
  </si>
  <si>
    <t>https://product.hstatic.net/200000428801/product/upload_2baa036e2614442183e564196191a0f4.jpg</t>
  </si>
  <si>
    <t>Q30240323163</t>
  </si>
  <si>
    <t>" Pepsin B1 Viện Dinh Dưỡng (hộp 2 vỉ x 10 viên nang) "</t>
  </si>
  <si>
    <t>https://product.hstatic.net/200000428801/product/upload_3d451898380b47fcb4ff5b0bea440e0e.jpg</t>
  </si>
  <si>
    <t>Q30240323165</t>
  </si>
  <si>
    <t>" Perfecta Pharmacy Femina Sos dung dịch vệ sinh phụ nữ Rohto (lọ 150ml) "</t>
  </si>
  <si>
    <t>https://product.hstatic.net/200000428801/product/upload_c0826f9929484abfa7b8876a28c51600.jpg</t>
  </si>
  <si>
    <t>Q3022000020</t>
  </si>
  <si>
    <t>" Pergnancy Test Nantong (Tui/ 100 que) "</t>
  </si>
  <si>
    <t>https://product.hstatic.net/200000428801/product/upload_9a68cebb590344cf8b4b2a67fa0821d3.jpg</t>
  </si>
  <si>
    <t>Q30240323166</t>
  </si>
  <si>
    <t>" Perimirane Metoclopramide 10mg Thành Nam (hộp 2 vỉ x 20 viên nén) "</t>
  </si>
  <si>
    <t>https://product.hstatic.net/200000428801/product/upload_ce7a8f41df88491ab6bad1ab99a9b163.jpg</t>
  </si>
  <si>
    <t>Q30240323169</t>
  </si>
  <si>
    <t>" Pesancort Medipharco (Tube bôi 5g) "</t>
  </si>
  <si>
    <t>https://product.hstatic.net/200000428801/product/upload_43e18d6aa8d64b4088d132195b02db4f.jpg</t>
  </si>
  <si>
    <t>Q30240323170</t>
  </si>
  <si>
    <t>" Phaanedol Cảm Cúm NIC (hộp 15 vỉ x 12 viên nén) "</t>
  </si>
  <si>
    <t>https://cdn2-retail-images.kiotviet.vn/giabaopharma/c66d612205f24c44a8823b8e572601bc.jpg</t>
  </si>
  <si>
    <t>Q3024032368</t>
  </si>
  <si>
    <t>" Phaanedol Paracetamol 500mg thường NIC (hộp 15 vỉ x 12 viên nén) "</t>
  </si>
  <si>
    <t>https://product.hstatic.net/200000428801/product/upload_83f1ac93ed304270aa15c2b5b60dcb85.jpg</t>
  </si>
  <si>
    <t>Q3024032367</t>
  </si>
  <si>
    <t>" Phaanedol Plus Extra NIC (hộp 15 vỉ x 12 viên nén) "</t>
  </si>
  <si>
    <t>https://product.hstatic.net/200000428801/product/upload_43763141ec1d4dd6b6c2cd978be77ed5.jpg</t>
  </si>
  <si>
    <t>Q3024032370</t>
  </si>
  <si>
    <t>" Phabadarin 140 Silymarin 140mg Pharbaco (hộp 3 vỉ x 10 viên nang) "</t>
  </si>
  <si>
    <t>https://product.hstatic.net/200000428801/product/upload_efb7d83840f741b5857e39528f4bb618.jpg</t>
  </si>
  <si>
    <t>Q3024032371</t>
  </si>
  <si>
    <t>" Phamzopic Zopiclon 7.5mg Canada (lọ 100 viên nén) "</t>
  </si>
  <si>
    <t>https://product.hstatic.net/200000428801/product/upload_b7ddb3f37d43468aa97af6895b9c9359.jpg</t>
  </si>
  <si>
    <t>Q3024032373</t>
  </si>
  <si>
    <t>" Pharbaren Cefprozil 500mg TW1 Pharbaco (hộp 10 viên nén) "</t>
  </si>
  <si>
    <t>https://product.hstatic.net/200000428801/product/upload_9e5970f339fe4dd4bc38d79fd3e3aeea.jpg</t>
  </si>
  <si>
    <t>Q3024032374</t>
  </si>
  <si>
    <t>" Pharcavir Tenofovir 25mg TW1 Pharbaco (hộp 3 vỉ x10 viên nén bao phim) "</t>
  </si>
  <si>
    <t>https://product.hstatic.net/200000428801/product/upload_f091141dde354f1f8c712fd8d3d8798e.jpg</t>
  </si>
  <si>
    <t>Q3024032375</t>
  </si>
  <si>
    <t>" Pharciton Abipha (hộp 6 vỉ x 10 viên nang) "</t>
  </si>
  <si>
    <t>https://product.hstatic.net/200000428801/product/upload_f7edb70522c64e20971f792d2b2f90f8.jpg</t>
  </si>
  <si>
    <t>Q3024032376</t>
  </si>
  <si>
    <t>" Pharmaceraton Phúc Vinh (hộp 6 vỉ x 10 viên nang) "</t>
  </si>
  <si>
    <t>https://product.hstatic.net/200000428801/product/upload_88e42e373c374e23961f20f193f0ed7f.jpg</t>
  </si>
  <si>
    <t>Q302310323160</t>
  </si>
  <si>
    <t>" Pharmaton Essential Biofarma Ý (lọ 30 viên nén) "</t>
  </si>
  <si>
    <t>https://product.hstatic.net/200000428801/product/upload_09b9673fe34345c088f09382310ac8fe.jpg</t>
  </si>
  <si>
    <t>Q302310323161</t>
  </si>
  <si>
    <t>" Pharmox Amoxicillin 500mg Imexpharm (hộp 10 vỉ x 10 viên nang) "</t>
  </si>
  <si>
    <t>https://product.hstatic.net/200000428801/product/6_c9767a43dfcb415183a6761151875a8f.png</t>
  </si>
  <si>
    <t>Q302310323162</t>
  </si>
  <si>
    <t>" Pharnanca Herbal Medicine bổ gan Hà Tây (hộp 5 vỉ x 10 viên nang) "</t>
  </si>
  <si>
    <t>https://product.hstatic.net/200000428801/product/upload_b84033c3a169471facf33acbe13dfaa7.jpg</t>
  </si>
  <si>
    <t>Q302310323164</t>
  </si>
  <si>
    <t>" Pharoitone Đông Âu (hộp 6 vỉ x 15 viên nang) "</t>
  </si>
  <si>
    <t>https://product.hstatic.net/200000428801/product/upload_acd1e2f343ba4f1e9f9c73091c63c104.jpg</t>
  </si>
  <si>
    <t>Q302310323163</t>
  </si>
  <si>
    <t>" Pharoitone Thành Công (hộp 10 vỉ x 10 viên nang) "</t>
  </si>
  <si>
    <t>https://product.hstatic.net/200000428801/product/upload_617f614554d3412fb4f83d1d2999facc.jpg</t>
  </si>
  <si>
    <t>Q302748593</t>
  </si>
  <si>
    <t>" Pharterpin Hà Nội (Hộp 10 vỉ x 10 viên bao phim) "</t>
  </si>
  <si>
    <t>https://product.hstatic.net/200000428801/product/9_d4d15c0e15c441909559c659fed9f61c.png</t>
  </si>
  <si>
    <t>Q302310323165</t>
  </si>
  <si>
    <t>" Phazandol cảm cúm Phúc Vinh (hộp 15 vỉ x 12 viên nén) "</t>
  </si>
  <si>
    <t>https://product.hstatic.net/200000428801/product/upload_7a1e60fb058f4d278fe50fd13a07a0aa.jpg</t>
  </si>
  <si>
    <t>Q302310323166</t>
  </si>
  <si>
    <t>" Phazandol Extra Phúc Vinh (hộp 15 vỉ x 12 viên nén) "</t>
  </si>
  <si>
    <t>https://product.hstatic.net/200000428801/product/upload_d3ba8cf8815847a4a667ae7a8d80ae8f.jpg</t>
  </si>
  <si>
    <t>Q302310323167</t>
  </si>
  <si>
    <t>" Phazandol Paracetamol 500mg Phúc Vinh (hộp 10 vỉ x 12 viên) "</t>
  </si>
  <si>
    <t>https://product.hstatic.net/200000428801/product/upload_bde1095033344d89ba884261b0db7e9d.jpg</t>
  </si>
  <si>
    <t>Q3024032372</t>
  </si>
  <si>
    <t>" Phấn Rôm Johnsons baby bột Thái Lan (lọ 100g) "</t>
  </si>
  <si>
    <t>https://product.hstatic.net/200000428801/product/upload_9939776dec7f497ba67b132189accfb9.jpg</t>
  </si>
  <si>
    <t>Q302310323168</t>
  </si>
  <si>
    <t>" Phenytoin 100mg Đà Nẵng (lọ 100 viên nén) "</t>
  </si>
  <si>
    <t>https://product.hstatic.net/200000428801/product/14_fbb8b398d57e4a699b0a223fdfab78f2.png</t>
  </si>
  <si>
    <t>Q302310323169</t>
  </si>
  <si>
    <t>" Phezinak Cinarizin 25mg Piracetam 400mg Vidipha (hộp 10 vỉ x 10 viên nang) "</t>
  </si>
  <si>
    <t>https://product.hstatic.net/200000428801/product/upload_c4346ca7ae964f77ad3ef5e35e9d30c6.jpg</t>
  </si>
  <si>
    <t>Q302310323171</t>
  </si>
  <si>
    <t>" Philatop Hải Phòng (hộp 20 ống x 10 ml) "</t>
  </si>
  <si>
    <t>https://product.hstatic.net/200000428801/product/1_c11a7e14fac64cb2a2341d28a75141a2.png</t>
  </si>
  <si>
    <t>Q302000111</t>
  </si>
  <si>
    <t>" PHILATOP New ống nhựa Đại Uy 10ml (H/ 4vỉ x 5 ống)"</t>
  </si>
  <si>
    <t>https://product.hstatic.net/200000428801/product/upload_c5a87d6c11054ca5b49eba817b590059.jpg</t>
  </si>
  <si>
    <t>Q302310323172</t>
  </si>
  <si>
    <t>" Philatop New thủy tinh Đại Uy (hộp 20 ống x 10ml) "</t>
  </si>
  <si>
    <t>https://product.hstatic.net/200000428801/product/upload_c4803c4c07e94da4bc3a1330345233bf.jpg</t>
  </si>
  <si>
    <t>Q302310323174</t>
  </si>
  <si>
    <t>" Philclonestyl Clorphenesin 125mg Boston (hộp 5 vỉ x 10 viên nén) "</t>
  </si>
  <si>
    <t>https://product.hstatic.net/200000428801/product/upload_cd355a34778a4af3921bea6562d31b8d.jpg</t>
  </si>
  <si>
    <t>Q302310323175</t>
  </si>
  <si>
    <t>" PhilComozel Ketoconazol Phil (Cọc 10 tuýp x 10g) "</t>
  </si>
  <si>
    <t>https://product.hstatic.net/200000428801/product/26_67c5ff87a9a541e486a7817eb8df8e4e.png</t>
  </si>
  <si>
    <t>Q302310323176</t>
  </si>
  <si>
    <t>" Philiver Phil (hộp 12 vỉ x 5 viên nang) "</t>
  </si>
  <si>
    <t>https://product.hstatic.net/200000428801/product/upload_84f1e0aa8d1e4ad1b74611acef763b44.jpg</t>
  </si>
  <si>
    <t>Q302310323177</t>
  </si>
  <si>
    <t>" Philorpa Hàn Quốc (hộp 10 ống x 5ml tiêm) "</t>
  </si>
  <si>
    <t>Q302310323178</t>
  </si>
  <si>
    <t>" Philoxim Cefotaxime 1g Hộp 10 lọ "</t>
  </si>
  <si>
    <t>https://product.hstatic.net/200000428801/product/5_795d352806474532890ada01de0d4104.png</t>
  </si>
  <si>
    <t>Q302310323180</t>
  </si>
  <si>
    <t>" Philurso Phil (hộp 12 vỉ x 5 viên nang) "</t>
  </si>
  <si>
    <t>https://product.hstatic.net/200000428801/product/upload_6275bc04988248f5bd35a40f1c4b63fe.jpg</t>
  </si>
  <si>
    <t>Q302310323182</t>
  </si>
  <si>
    <t>" Phong tê thấp Bà Giằng Thanh Hóa (lọ 250 viên nén) "</t>
  </si>
  <si>
    <t>https://product.hstatic.net/200000428801/product/upload_46f28539e9ce43ed8eb8c83d43fcb89b.jpg</t>
  </si>
  <si>
    <t>Q302310323183</t>
  </si>
  <si>
    <t>" Phong tê thấp Bà Giằng Thanh Hóa (lọ 400 viên nén) "</t>
  </si>
  <si>
    <t>https://product.hstatic.net/200000428801/product/8_1305e21335c1466ea93c77fbe7bd4e69.png</t>
  </si>
  <si>
    <t>Q302310323184</t>
  </si>
  <si>
    <t>" Phong tê thấp Phúc Vinh lọ 100 viên nén "</t>
  </si>
  <si>
    <t>https://product.hstatic.net/200000428801/product/upload_46dcdab53b6a45e8bfaa75816ea310ec.jpg</t>
  </si>
  <si>
    <t>Q302644689</t>
  </si>
  <si>
    <t>" Phosphalugel Aluminium Phosphate 20% Gel Sanofi (Hộp 26 gói) "</t>
  </si>
  <si>
    <t>https://product.hstatic.net/200000428801/product/24_8ee3e5f59a1644978d046b6177476216.png</t>
  </si>
  <si>
    <t>Q302310323185</t>
  </si>
  <si>
    <t>" Phụ Bì Khang IMC Quang Minh (hộp 3 vỉ x 10 viên nén) "</t>
  </si>
  <si>
    <t>https://product.hstatic.net/200000428801/product/upload_60524382740a4296a21f0a9306041aa0.jpg</t>
  </si>
  <si>
    <t>Q302310323186</t>
  </si>
  <si>
    <t>" Phụ Huyết Khang Việt Đức (hộp 5 vỉ x 10 viên nang) "</t>
  </si>
  <si>
    <t>https://product.hstatic.net/200000428801/product/upload_b81a7c8a30c1450fafeb0f9773875440.jpg</t>
  </si>
  <si>
    <t>Q302310323188</t>
  </si>
  <si>
    <t>" Phytobebe tắm gội Opodis Pharma (lọ 100ml) "</t>
  </si>
  <si>
    <t>https://product.hstatic.net/200000428801/product/upload_3501059b01294a39954388895184ba02.jpg</t>
  </si>
  <si>
    <t>Q302310323189</t>
  </si>
  <si>
    <t>" Phytogyno vệ sinh phụ nữ Opodis Pharma (lọ 100ml) "</t>
  </si>
  <si>
    <t>https://product.hstatic.net/200000428801/product/upload_3db1465b473d4d3d9fa0023b8366013e.jpg</t>
  </si>
  <si>
    <t>Q302310323190</t>
  </si>
  <si>
    <t>" Piascledine 300mg Pháp (hộp 15 viên nang) "</t>
  </si>
  <si>
    <t>https://product.hstatic.net/200000428801/product/upload_b74e68f214f94492950fbe07bc4a44a2.jpg</t>
  </si>
  <si>
    <t>Q302310323191</t>
  </si>
  <si>
    <t>" Pidocar Clopidogrel 75mg Pymepharco (hộp 2 vỉ x 14 viên) "</t>
  </si>
  <si>
    <t>https://product.hstatic.net/200000428801/product/upload_09477cb87966483c837b4cf58f23a188.jpg</t>
  </si>
  <si>
    <t>Q302310323192</t>
  </si>
  <si>
    <t>" Pidoncam Piracetam 1200mg/5ml Hà Nam (hộp 20 ống x 10ml dung dịch uống) "</t>
  </si>
  <si>
    <t>https://product.hstatic.net/200000428801/product/upload_e93cb0be4bae4a45aca4e4de906463a3.jpg</t>
  </si>
  <si>
    <t>Q302310323193</t>
  </si>
  <si>
    <t>" Pidoncam Piracetam 1200mg/5ml Hà Nam (hộp 20 ống x 5ml uống) "</t>
  </si>
  <si>
    <t>https://product.hstatic.net/200000428801/product/upload_b7bcd13a826b49dab4a04fa6ae2eb123.jpg</t>
  </si>
  <si>
    <t>Q302310323194</t>
  </si>
  <si>
    <t>" Pimagie Mediplantex (hộp 5 vỉ x 10 viên nang) "</t>
  </si>
  <si>
    <t>https://product.hstatic.net/200000428801/product/upload_4c9d79971b5c4741a579128be1ab714f.jpg</t>
  </si>
  <si>
    <t>Q302310323195</t>
  </si>
  <si>
    <t>" Pimaxol siro Hà Tây (lọ 60ml) "</t>
  </si>
  <si>
    <t>https://product.hstatic.net/200000428801/product/upload_219553ab03f540e7878f36be6781a64c.jpg</t>
  </si>
  <si>
    <t>Q302310323196</t>
  </si>
  <si>
    <t>" Piracetam 1200mg Hungari (lọ 20 viên nén) "</t>
  </si>
  <si>
    <t>https://product.hstatic.net/200000428801/product/upload_3899cc72aadf47fa9fc4421be89b97b9.jpg</t>
  </si>
  <si>
    <t>Q302260541</t>
  </si>
  <si>
    <t>" Piracetam 400mg GMP (lọ 100 viên nang ) "</t>
  </si>
  <si>
    <t>https://product.hstatic.net/200000428801/product/upload_dcd3224672d24d2ab9283240ec934edc.jpg</t>
  </si>
  <si>
    <t>Q302310323197</t>
  </si>
  <si>
    <t>" Piracetam 400mg Thanh Hóa (hộp 10 vỉ x 10 viên nang) "</t>
  </si>
  <si>
    <t>https://product.hstatic.net/200000428801/product/upload_9b1d1752bd0946d286c44a0b611756ba.jpg</t>
  </si>
  <si>
    <t>Q302310323198</t>
  </si>
  <si>
    <t>" Piracetam 400mg Traphaco (hộp 6 vỉ x 10 viên nang) "</t>
  </si>
  <si>
    <t>https://product.hstatic.net/200000428801/product/upload_13fe8c4ab4aa456894657e2d2e8d844f.jpg</t>
  </si>
  <si>
    <t>Q302310323200</t>
  </si>
  <si>
    <t>" Piracetam 800mg Hungari (lọ 30 viên nén) " date 3/27</t>
  </si>
  <si>
    <t>https://product.hstatic.net/200000428801/product/upload_80ec2076b9f344aaa0b7a869bf0993f3.jpg</t>
  </si>
  <si>
    <t>Q302310323199</t>
  </si>
  <si>
    <t>" Piracetam 800mg Vidipha (hộp 10 vỉ x 10 viên nén) "</t>
  </si>
  <si>
    <t>https://product.hstatic.net/200000428801/product/upload_c79cefc96b14456985a31d53d47c1b65.jpg</t>
  </si>
  <si>
    <t>Q302310323250</t>
  </si>
  <si>
    <t>" Piracetam Kabi 12g/60ml truyền Bình Định (lọ 60ml) "</t>
  </si>
  <si>
    <t>https://product.hstatic.net/200000428801/product/upload_1a34c9f38ee64f1f972ce7ff7a01cb0e.jpg</t>
  </si>
  <si>
    <t>Q302310323251</t>
  </si>
  <si>
    <t>" Piracetam STADA 800mg hộp 3 vỉ x 15 viên nén) "</t>
  </si>
  <si>
    <t>https://product.hstatic.net/200000428801/product/upload_5b6177bda7c34f9f9a9a0bc10a6b1ba9.jpg</t>
  </si>
  <si>
    <t>Q302310323252</t>
  </si>
  <si>
    <t>" Piramed Piracetam 3g/ 15ml tiêm Medlac Italy (hộp 4 ống x 15ml) "</t>
  </si>
  <si>
    <t>https://product.hstatic.net/200000428801/product/upload_78b7b6f8f80d41b08a4b9a2c530e961b.jpg</t>
  </si>
  <si>
    <t>Q302310323292</t>
  </si>
  <si>
    <t>" Piraxnic NIC (lọ 100 viên nang) "</t>
  </si>
  <si>
    <t>https://product.hstatic.net/200000428801/product/eed30b6572b041cc953d80f3467006c2_076834d094484027ba735abe6dd4d1e4.jpg</t>
  </si>
  <si>
    <t>Q302310323293</t>
  </si>
  <si>
    <t>" Pirolam Ciclopirox bôi Ba Lan (Tube 20g) "</t>
  </si>
  <si>
    <t>https://product.hstatic.net/200000428801/product/559_ac58bbfdf6cf4c2aa142ea6779dbeab4.png</t>
  </si>
  <si>
    <t>Q302310323255</t>
  </si>
  <si>
    <t>" Pizar Ivermectin 6mg Davipharm (hộp 4 viên nén) "</t>
  </si>
  <si>
    <t>https://product.hstatic.net/200000428801/product/upload_3fd125071cbb4bb89bce43c45e86a792.jpg</t>
  </si>
  <si>
    <t>Q302310323256</t>
  </si>
  <si>
    <t>" Plavix Clopidogrel 75mg Sanofi (hộp 1 vỉ x 14 viên nén) "</t>
  </si>
  <si>
    <t>https://product.hstatic.net/200000428801/product/558_57b7aff6c0a74347adfe505c3a759384.png</t>
  </si>
  <si>
    <t>Q302310323257</t>
  </si>
  <si>
    <t>" Plendil Plus Thụy Điển (lọ 30 viên nén) "</t>
  </si>
  <si>
    <t>https://product.hstatic.net/200000428801/product/upload_55d9f64697184b67a83b2cf35e852b3d.jpg</t>
  </si>
  <si>
    <t>Q302310323258</t>
  </si>
  <si>
    <t>" Pletaal Cilostazol 100mg Hàn Quốc (hộp 10 vỉ x 10 viên nén) "</t>
  </si>
  <si>
    <t>https://product.hstatic.net/200000428801/product/upload_86cbdaeb21cb4f899c6c9d098e477524.jpg</t>
  </si>
  <si>
    <t>Q3024032359</t>
  </si>
  <si>
    <t>" Plusssz Gold Max vị cam Pharmavit Ba Lan (Tube 20 viên sủi) "</t>
  </si>
  <si>
    <t>https://product.hstatic.net/200000428801/product/upload_4eacae51fc5841f2befdcc1a231cf388.jpg</t>
  </si>
  <si>
    <t>Q3024032360</t>
  </si>
  <si>
    <t>" PM Remem Ginkgo 120mg Probiotec Úc (hộp 4 vỉ x 15 viên nén) "</t>
  </si>
  <si>
    <t>https://product.hstatic.net/200000428801/product/upload_672b0321b2ab444cbcf4ef78ac24a0cd.jpg</t>
  </si>
  <si>
    <t>Q3024032361</t>
  </si>
  <si>
    <t>" PMH Regulator Úc (lọ 30 viên nang) "</t>
  </si>
  <si>
    <t>https://product.hstatic.net/200000428801/product/upload_2eb110168a234915aa574057fab39208.jpg</t>
  </si>
  <si>
    <t>Q30231032355</t>
  </si>
  <si>
    <t>" Polydeson nhỏ mắt Vidipha (cọc 10 lọ x 5ml) "</t>
  </si>
  <si>
    <t>https://product.hstatic.net/200000428801/product/upload_1aace259a81644b78f55056dd152f7d9.jpg</t>
  </si>
  <si>
    <t>Q30231032356</t>
  </si>
  <si>
    <t>" Polydoxancol nhỏ mắt Hà Tây (cọc 10 lọ x 5ml) "</t>
  </si>
  <si>
    <t>https://product.hstatic.net/200000428801/product/upload_7ebd18cf00744541b720181388a83b8e.jpg</t>
  </si>
  <si>
    <t>Q30231032357</t>
  </si>
  <si>
    <t>" Polygynax Pháp (hộp 2 vỉ x 6 viên nang đặt) "</t>
  </si>
  <si>
    <t>https://product.hstatic.net/200000428801/product/upload_98cbb43141b74fb0a93b690a20c01f44.jpg</t>
  </si>
  <si>
    <t>Q3024032362</t>
  </si>
  <si>
    <t>" Polyhema 50mg/10ml Hà Nam (hộp 40 ống x 10ml) "</t>
  </si>
  <si>
    <t>https://product.hstatic.net/200000428801/product/upload_0f01332cd83e4db9b3f9cf694856b2ee.jpg</t>
  </si>
  <si>
    <t>Q30231032358</t>
  </si>
  <si>
    <t>" Polyvitamin Đại Y (lôc 10 lọ 50 viên nén) "</t>
  </si>
  <si>
    <t>https://product.hstatic.net/200000428801/product/upload_79a45ae9f2c4482ea27d68dcae719f88.jpg</t>
  </si>
  <si>
    <t>Q30231032360</t>
  </si>
  <si>
    <t>" Pomitagen bổ máu Phúc Vinh (lọ 60 viên bao đường) "</t>
  </si>
  <si>
    <t>https://product.hstatic.net/200000428801/product/upload_71cb102abff84b4d8624219e9e1de6f2.jpg</t>
  </si>
  <si>
    <t>Q3024032363</t>
  </si>
  <si>
    <t>" Poncif Acid Mefenamic 500mg Hậu Giang (hộp 3 vỉ x 10 viên nén) "</t>
  </si>
  <si>
    <t>https://product.hstatic.net/200000428801/product/557_72e40d9c98054eafb8d34443d28cf801.png</t>
  </si>
  <si>
    <t>Q30231032361</t>
  </si>
  <si>
    <t>" Posod Hàn Quốc (lọ 10ml nhỏ mắt) "</t>
  </si>
  <si>
    <t>https://product.hstatic.net/200000428801/product/upload_bc79fd717fc04cd1942c83fc4b9f92f6.jpg</t>
  </si>
  <si>
    <t>Q30231032362</t>
  </si>
  <si>
    <t>" Postinor Levonorgestrel 1.5mg Hungary (hộp 1 viên nén) "</t>
  </si>
  <si>
    <t>https://product.hstatic.net/200000428801/product/upload_53f5d19e90bc4b299e2c7485121e5b41.jpg</t>
  </si>
  <si>
    <t>Q30231032363</t>
  </si>
  <si>
    <t>" Potriolac gel Calcipotriol 0,75mg Betamethason 7,5mg TW2 (tuýp 15g) "</t>
  </si>
  <si>
    <t>https://product.hstatic.net/200000428801/product/upload_5934874f73d345fc8bc197e16742dd4b.jpg</t>
  </si>
  <si>
    <t>Q3024032364</t>
  </si>
  <si>
    <t>" Povidine Povidon iod 10% Pharmedic (hộp 10 miếng x 10cm x 3g) "</t>
  </si>
  <si>
    <t>https://product.hstatic.net/200000428801/product/upload_d4d8128bfed34166b2a7bc5c85d717a7.jpg</t>
  </si>
  <si>
    <t>Q30231032364</t>
  </si>
  <si>
    <t>" Povidine Povidon iod 10% phụ khoa Pharmedic (lọ 90ml) "</t>
  </si>
  <si>
    <t>https://product.hstatic.net/200000428801/product/upload_b8b24991fd2744639915171925fbb3d3.jpg</t>
  </si>
  <si>
    <t>Q302230323249</t>
  </si>
  <si>
    <t>" Povidon iod 10% Hóa Dược (cọc 10 lọ x 20ml) "</t>
  </si>
  <si>
    <t>https://product.hstatic.net/200000428801/product/upload_add3a64b88954a2780fd2fbf37ae9c38.jpg</t>
  </si>
  <si>
    <t>Q30231032365</t>
  </si>
  <si>
    <t>" Povidone Iodine 10% phụ khoa Mekophar (cọc 10 lọ 90ml) "</t>
  </si>
  <si>
    <t>https://product.hstatic.net/200000428801/product/upload_cba1ff1a5ad14242ad2d88dde96f2f8c.jpg</t>
  </si>
  <si>
    <t>Q30231032366</t>
  </si>
  <si>
    <t>" Power Drink bổ sung điện giải Akopha (hộp 5 gói x 25g) "</t>
  </si>
  <si>
    <t>https://product.hstatic.net/200000428801/product/560_63db3d2ce24548c6b3491cd039c70a25.png</t>
  </si>
  <si>
    <t>Q30231032367</t>
  </si>
  <si>
    <t>" Powerbrain Phill (hộp 6 vỉ x 10 viên nén) "</t>
  </si>
  <si>
    <t>https://product.hstatic.net/200000428801/product/arylin-bo-gan-hop-60v-thanh-cong-200x200_cb498a1f6282415eaf6f256434d05d98.jpg</t>
  </si>
  <si>
    <t>Q30231032368</t>
  </si>
  <si>
    <t>" Pracetam Piracetam 800mg Stella (hộp 6 vỉ x 15 viên nén) "</t>
  </si>
  <si>
    <t>https://product.hstatic.net/200000428801/product/arximuoc-c100v-donai-1_231321edbfe0434cb19d52611b794b3b.png</t>
  </si>
  <si>
    <t>Q30231032369</t>
  </si>
  <si>
    <t>" Prado Sports Drink Powder Oresol Mephar (hộp 5 gói x 25g) "</t>
  </si>
  <si>
    <t>https://product.hstatic.net/200000428801/product/upload_a8b6678fd82d498e8bb05acca2ec21db.jpg</t>
  </si>
  <si>
    <t>Q30231032370</t>
  </si>
  <si>
    <t>" Prara pro Sport Drinkk Pader Amepro (hộp 5 gói x 25g) "</t>
  </si>
  <si>
    <t>https://product.hstatic.net/200000428801/product/upload_bc2f020896894571811258d64e64ba4a.jpg</t>
  </si>
  <si>
    <t>Q30231032371</t>
  </si>
  <si>
    <t>" Pravastatin Savi 10mg hộp 3 vỉ x 10 viên nén "</t>
  </si>
  <si>
    <t>https://product.hstatic.net/200000428801/product/upload_c9149ff868014754a928fabdb3c8eaf9.jpg</t>
  </si>
  <si>
    <t>Q30231032372</t>
  </si>
  <si>
    <t>" Pre Vipteen 2 Vinh Gia (hộp 20 gói x 2g) "</t>
  </si>
  <si>
    <t>https://product.hstatic.net/200000428801/product/upload_40bf9bf23dd948e9a897b627bbe712f9.jpg</t>
  </si>
  <si>
    <t>Q30231032373</t>
  </si>
  <si>
    <t>" Pre Vipteen 3 Vinh Gia (hộp 20 gói x 2g) "</t>
  </si>
  <si>
    <t>https://product.hstatic.net/200000428801/product/upload_b1c243cdd090472b8153e6feecf52f5d.jpg</t>
  </si>
  <si>
    <t>Q30231032374</t>
  </si>
  <si>
    <t>" Predmex Dexamethason NIC (lọ 500 viên nang) "</t>
  </si>
  <si>
    <t>https://product.hstatic.net/200000428801/product/upload_abee3deb49c64b74857683a429e56a96.jpg</t>
  </si>
  <si>
    <t>Q30231032375</t>
  </si>
  <si>
    <t>" Predmex Dexamethason NIC (lọ 500 viên nén) "</t>
  </si>
  <si>
    <t>https://product.hstatic.net/200000428801/product/upload_34d8a754a97e4f03bd978a3689a8151b.jpg</t>
  </si>
  <si>
    <t>Q30231032379</t>
  </si>
  <si>
    <t>" Prednisolon 5mg Đồng Nai (lọ 500 viên nén) "</t>
  </si>
  <si>
    <t>https://product.hstatic.net/200000428801/product/upload_91dc4d1fbbb64037b6776ba75f8d4718.jpg</t>
  </si>
  <si>
    <t>Q30231032376</t>
  </si>
  <si>
    <t>" Prednisolon 5mg Hà Nội (hộp 50 vỉ x 20 viên nén) "</t>
  </si>
  <si>
    <t>https://product.hstatic.net/200000428801/product/upload_637c9d21921642f28a899aefcec2a30a.jpg</t>
  </si>
  <si>
    <t>Q30231032377</t>
  </si>
  <si>
    <t>" Prednisolon 5mg Hà Tây (đắt) (hộp 50 vỉ x 20 viên nén) "</t>
  </si>
  <si>
    <t>https://product.hstatic.net/200000428801/product/upload_3ae4ccde8d0943c7a5bee8e91effa0cd.jpg</t>
  </si>
  <si>
    <t>Q30231032380</t>
  </si>
  <si>
    <t>" Prednisolon 5mg Thanh Hóa (lọ 500 viên nén) "</t>
  </si>
  <si>
    <t>https://product.hstatic.net/200000428801/product/upload_368784eb9ad0437a8773de8836f27f6c.jpg</t>
  </si>
  <si>
    <t>Q30231032378</t>
  </si>
  <si>
    <t>" Prednisolon 5mg Z150 Amephaco (lọ 200 viên nang) "</t>
  </si>
  <si>
    <t>https://product.hstatic.net/200000428801/product/upload_2eebb02332f943fa901984330d025a8f.jpg</t>
  </si>
  <si>
    <t>Q30231032381</t>
  </si>
  <si>
    <t>" Prednisolon Boston (lọ 500 viên nén) "</t>
  </si>
  <si>
    <t>https://product.hstatic.net/200000428801/product/upload_f18640e090994c45ab8db6936e3e945d.jpg</t>
  </si>
  <si>
    <t>Q30231032382</t>
  </si>
  <si>
    <t>" Prednisolone 5mg Stella (lọ 200 viên) "</t>
  </si>
  <si>
    <t>https://product.hstatic.net/200000428801/product/upload_92acb5a5c8f54beea92a98e639860c45.jpg</t>
  </si>
  <si>
    <t>Q30231032383</t>
  </si>
  <si>
    <t>" Prednisolone Blue 5mg Khapharco (chai 500 viên nén) "</t>
  </si>
  <si>
    <t>https://product.hstatic.net/200000428801/product/upload_b01d5cfc14104cab8d96d00674db3423.jpg</t>
  </si>
  <si>
    <t>Q30231032384</t>
  </si>
  <si>
    <t>" Prednison 5mg NIC (lọ 1000 viên nén) "</t>
  </si>
  <si>
    <t>https://product.hstatic.net/200000428801/product/upload_f7edc5fee0144d4b808956b60ab45cfd.jpg</t>
  </si>
  <si>
    <t>Q30231032387</t>
  </si>
  <si>
    <t>" Prednison 5mg NIC (lọ 500 viên nang) "</t>
  </si>
  <si>
    <t>https://product.hstatic.net/200000428801/product/upload_aefb8986dde84347b98227528f4e2c4d.jpg</t>
  </si>
  <si>
    <t>Q30231032386</t>
  </si>
  <si>
    <t>" Prednison 5mg Thành Nam (lọ 200 viên nang) "</t>
  </si>
  <si>
    <t>https://product.hstatic.net/200000428801/product/upload_e2d0ddeef41e4054986eb2225f3373e3.jpg</t>
  </si>
  <si>
    <t>Q30231032388</t>
  </si>
  <si>
    <t>" Prednison 5mg Vidipha (lọ màu cam 500 viên nén) "</t>
  </si>
  <si>
    <t>https://product.hstatic.net/200000428801/product/upload_ca4b862088d54a0ebddc7be5c90bc2c8.jpg</t>
  </si>
  <si>
    <t>Q30231032389</t>
  </si>
  <si>
    <t>" Prednison 5mg Vidipha (lọ màu đỏ 500 viên nén) "</t>
  </si>
  <si>
    <t>https://product.hstatic.net/200000428801/product/upload_b1d75f0d1c3f43eda4436808c11b400f.jpg</t>
  </si>
  <si>
    <t>Q30231032390</t>
  </si>
  <si>
    <t>" Prednison Caps 5mg kháng viêm giảm đau USA Nic (lọ cam 500 viên nang) "</t>
  </si>
  <si>
    <t>https://product.hstatic.net/200000428801/product/upload_d3d83b630a014b64ae0b656c16ea125b.jpg</t>
  </si>
  <si>
    <t>Q30231032391</t>
  </si>
  <si>
    <t>" Prednison Prednisolon 5mg Domesco (hộp 10 vỉ x 10 viên nén) "</t>
  </si>
  <si>
    <t>https://product.hstatic.net/200000428801/product/upload_e937f0ae2b3d41dcbea8cd3fae2dff49.jpg</t>
  </si>
  <si>
    <t>Q30231032392</t>
  </si>
  <si>
    <t>" Prednison Prednisolon 5mg NIC (lọ 500 viên nén) "</t>
  </si>
  <si>
    <t>https://product.hstatic.net/200000428801/product/upload_6f29adb321174238a6e4a7618208066d.jpg</t>
  </si>
  <si>
    <t>Q30231032393</t>
  </si>
  <si>
    <t>" Predsantyl Methylprednisolon 16mg Hasan (hộp 10 vỉ x 10 viên nén) "</t>
  </si>
  <si>
    <t>https://product.hstatic.net/200000428801/product/upload_e634481c1b51457cbea3853a1c9c2a7c.jpg</t>
  </si>
  <si>
    <t>Q30231032394</t>
  </si>
  <si>
    <t>" Predsantyl Methylprednisolon 4mg Hassan (hộp 10 vỉ x 10 viên nén) "</t>
  </si>
  <si>
    <t>https://product.hstatic.net/200000428801/product/upload_d1739107e1e647668567c982475e53b2.jpg</t>
  </si>
  <si>
    <t>Q30231032395</t>
  </si>
  <si>
    <t>" Preg Mom bào tử lợi khuẩn Livespo Pharma (hộp 20 ống x 5ml) "</t>
  </si>
  <si>
    <t>https://product.hstatic.net/200000428801/product/upload_2ec21c72386f4c05b4f5b26d088453e2.jpg</t>
  </si>
  <si>
    <t>Q30231032396</t>
  </si>
  <si>
    <t>" Preghope Fortex (hộp 30 gói) "</t>
  </si>
  <si>
    <t>https://product.hstatic.net/200000428801/product/upload_3f741ba5e4bf4029a5a038a3f7d1b7b4.jpg</t>
  </si>
  <si>
    <t>Q30231032397</t>
  </si>
  <si>
    <t>" Pregobin Pregabalin 75mg Chi Lê (hộp 3 vỉ x 10 viên nang) "</t>
  </si>
  <si>
    <t>https://product.hstatic.net/200000428801/product/21144cdb94064a50af77bb34ef999079_10e7d5650aaa4eb1a18b03ad0705e86c.png</t>
  </si>
  <si>
    <t>Q30231032398</t>
  </si>
  <si>
    <t>" Premilin Pregabalin 75mg Hasan (hộp 3 vỉ x 10 viên nang) "</t>
  </si>
  <si>
    <t>https://product.hstatic.net/200000428801/product/upload_d70c1bf99d404c60ac5d04a172900582.jpg</t>
  </si>
  <si>
    <t>Q30231032399</t>
  </si>
  <si>
    <t>" Prenatal DHA Folic Acid Mỹ (lọ 60 viên nan) "</t>
  </si>
  <si>
    <t>https://product.hstatic.net/200000428801/product/upload_1fb89a1d38c849289eb3f65f88aa42bc.jpg</t>
  </si>
  <si>
    <t>Q302310323150</t>
  </si>
  <si>
    <t>" Prencoid Prednisolon 5mg Pymepharco (hộp 10 vỉ x 10 viên nén) "</t>
  </si>
  <si>
    <t>https://product.hstatic.net/200000428801/product/upload_5629f8525bd345e39bbb1cc5a9044ffc.jpg</t>
  </si>
  <si>
    <t>Q3024032365</t>
  </si>
  <si>
    <t>" Prencoid Prednisolon 5mg Pymepharco (lọ 200 viên nén) "</t>
  </si>
  <si>
    <t>https://product.hstatic.net/200000428801/product/upload_7a023cdef8884facaf601babfd943bf9.jpg</t>
  </si>
  <si>
    <t>Q3024032366</t>
  </si>
  <si>
    <t>" Presdilon Dexamethason 0.5mg Hà Tây (hộp 50 vỉ x 20 viên nén) rẻ "</t>
  </si>
  <si>
    <t>https://product.hstatic.net/200000428801/product/upload_af194782ffc44d0daab7b653f526e4eb.jpg</t>
  </si>
  <si>
    <t>Q302310323151</t>
  </si>
  <si>
    <t>" Pricefil Cefprozil 250mg/5ml siro Hy Lạp (lọ 30ml) "</t>
  </si>
  <si>
    <t>https://product.hstatic.net/200000428801/product/545_f572fa625b864ca19da6150319c18e8e.png</t>
  </si>
  <si>
    <t>Q302310323152</t>
  </si>
  <si>
    <t>" Pricefil Cefprozil 250mg/5ml siro Hy Lạp (lọ 60ml) "</t>
  </si>
  <si>
    <t>https://product.hstatic.net/200000428801/product/upload_b426d98aea3a452393c26e98a46f76b2.jpg</t>
  </si>
  <si>
    <t>Q302310323153</t>
  </si>
  <si>
    <t>" Pricefil Cefprozil 500mg Hy Lạp (hộp 1 vỉ x 12 viên nén) "</t>
  </si>
  <si>
    <t>https://product.hstatic.net/200000428801/product/upload_346f06b492434798ae5d7732ad324e10.jpg</t>
  </si>
  <si>
    <t>Q302310323154</t>
  </si>
  <si>
    <t>" Primolut N Norethisterone 5mg Bayer Đức (hộp 2 vỉ x 15 viên nén) "</t>
  </si>
  <si>
    <t>https://product.hstatic.net/200000428801/product/upload_c6879d321e4443eeb810bc77ea84f86c.jpg</t>
  </si>
  <si>
    <t>Q302310323155</t>
  </si>
  <si>
    <t>" Pro Acidol Plus Nha Trang (hộp 1 lọ x 100g) "</t>
  </si>
  <si>
    <t>https://product.hstatic.net/200000428801/product/upload_7f60287250d5497fb33d6c2df900085e.jpg</t>
  </si>
  <si>
    <t>Q302310323156</t>
  </si>
  <si>
    <t>" Pro Forpatec Hàn Quốc (hộp 12 vỉ 5 viên) "</t>
  </si>
  <si>
    <t>https://product.hstatic.net/200000428801/product/upload_bd36f783c1904e4b84df668ecf21133b.jpg</t>
  </si>
  <si>
    <t>Q302310323157</t>
  </si>
  <si>
    <t>" Probio men vi sinh Imexpharm (hộp 14 gói x 1g) "</t>
  </si>
  <si>
    <t>https://product.hstatic.net/200000428801/product/upload_dee0f1a9854b40b5b8c91589f98aa8a1.jpg</t>
  </si>
  <si>
    <t>Q302310323158</t>
  </si>
  <si>
    <t>" Probiotic Lactobaminggold Akopha (hộp 30 gói x 3g) "</t>
  </si>
  <si>
    <t>https://product.hstatic.net/200000428801/product/upload_81c19f7623ad4d3f8aa075592c09d310.jpg</t>
  </si>
  <si>
    <t>Q302310323159</t>
  </si>
  <si>
    <t>" Procare Úc (lọ 30 viên nang) "</t>
  </si>
  <si>
    <t>https://product.hstatic.net/200000428801/product/upload_934512a921af4bccabc917d59561e0e7.jpg</t>
  </si>
  <si>
    <t>Q3024032352</t>
  </si>
  <si>
    <t>" Procoralan Ivabradin 5mg Servier Pháp (hộp 4 vỉ x 14 viên) "</t>
  </si>
  <si>
    <t>https://product.hstatic.net/200000428801/product/upload_3dd4ed9ee9854605904f383c6824b3df.jpg</t>
  </si>
  <si>
    <t>Q3024032353</t>
  </si>
  <si>
    <t>" Procoralan Ivabradin 7.5mg Servie (hộp 4 vỉ x 14 viên nén) "</t>
  </si>
  <si>
    <t>https://product.hstatic.net/200000428801/product/543_c1520d17bc7f433893ca6778a5842c2b.png</t>
  </si>
  <si>
    <t>Q3024032354</t>
  </si>
  <si>
    <t>" Proctocare điều trị Trĩ Bimex (hộp 2 vỉ x 5 viên đặt ) "</t>
  </si>
  <si>
    <t>https://product.hstatic.net/200000428801/product/upload_745ff9b871f24e2a8b159e209dd76b6d.jpg</t>
  </si>
  <si>
    <t>Q3024032355</t>
  </si>
  <si>
    <t>" Proctogel bôi trĩ Bimex (Tube 20g) "</t>
  </si>
  <si>
    <t>https://product.hstatic.net/200000428801/product/upload_ae95c1726fd64dfbbcc6607df8e34fbc.jpg</t>
  </si>
  <si>
    <t>Q30231032350</t>
  </si>
  <si>
    <t>" Profertil Clomiphene 50mg Kalbe Indonesia (hộp 1 vỉ x 10 viên) "</t>
  </si>
  <si>
    <t>https://product.hstatic.net/200000428801/product/upload_4b7f0b935fc047968f9f0dcbc9527596.jpg</t>
  </si>
  <si>
    <t>Q30231032351</t>
  </si>
  <si>
    <t>" Progendo 200mg Micronized Progesterol Abbott (hộp 3 vỉ x 10 viên nang) "</t>
  </si>
  <si>
    <t>https://product.hstatic.net/200000428801/product/upload_433a6d5e555945c7a919eee70e2f022c.jpg</t>
  </si>
  <si>
    <t>Q30231032352</t>
  </si>
  <si>
    <t>" Progermila men tiêu hóa CPC1 Hà Nội (hộp 4 vỉ x 5 ống 5ml) "</t>
  </si>
  <si>
    <t>https://product.hstatic.net/200000428801/product/upload_39b85fab0564471bbcb97048a35359f7.jpg</t>
  </si>
  <si>
    <t>Q30231032353</t>
  </si>
  <si>
    <t>" Progesterone 25mg Rotexmedica Đức (hộp 10 ống tiêm x 1ml) "</t>
  </si>
  <si>
    <t>https://product.hstatic.net/200000428801/product/549_0ee7e1184211430c913fd4d7fe2ada3c.png</t>
  </si>
  <si>
    <t>Q30231032354</t>
  </si>
  <si>
    <t>" Progestogel 1% Besins Bỉ (Tube 80g) "</t>
  </si>
  <si>
    <t>https://product.hstatic.net/200000428801/product/554_2d374da44a764a26bac08ccea44700a1.png</t>
  </si>
  <si>
    <t>Q302290323151</t>
  </si>
  <si>
    <t>" Prohepatis Ursodeoxycholic 200mg Phil Inter (hộp 20 vỉ x 5 viên nang) "</t>
  </si>
  <si>
    <t>https://product.hstatic.net/200000428801/product/upload_a2be893eef6a446890ed49a8d3fc8a04.jpg</t>
  </si>
  <si>
    <t>Q302290323155</t>
  </si>
  <si>
    <t>" Promethazin 5mg Agimexpharm (hộp 30 gói cốm) "</t>
  </si>
  <si>
    <t>https://product.hstatic.net/200000428801/product/upload_f1034601e46f416d8dbc317652b6981e.jpg</t>
  </si>
  <si>
    <t>Q302290323158</t>
  </si>
  <si>
    <t>" Prospan Engelhard Arznelmittel (lọ 100ml) "</t>
  </si>
  <si>
    <t>https://product.hstatic.net/200000428801/product/550_52bae827ba584f33846f8035cee3f007.png</t>
  </si>
  <si>
    <t>Q302290323159</t>
  </si>
  <si>
    <t>" Prospan Engelhard Arznelmittel (lọ 75ml) "</t>
  </si>
  <si>
    <t>https://product.hstatic.net/200000428801/product/upload_85da718df7354b35bbd0f2399f1a4b77.jpg</t>
  </si>
  <si>
    <t>Q302290323157</t>
  </si>
  <si>
    <t>" Prospan Forte Engelhard Arznelmittel (lọ 100ml) "</t>
  </si>
  <si>
    <t>https://product.hstatic.net/200000428801/product/upload_a891111eef1d4a01b6a70bf50dcd24e6.jpg</t>
  </si>
  <si>
    <t>Q302290323160</t>
  </si>
  <si>
    <t>" Prospan siro ho ngelhard Đức (lọ 85ml) "</t>
  </si>
  <si>
    <t>https://product.hstatic.net/200000428801/product/upload_d86d8018fea14330bf0646eec0c03aa2.jpg</t>
  </si>
  <si>
    <t>Q302290323162</t>
  </si>
  <si>
    <t>" Protamol Mekophar (hộp 5 vỉ x 20 viên nén) "</t>
  </si>
  <si>
    <t>https://product.hstatic.net/200000428801/product/upload_1c181dffdce14498b11a3bc5d8d09ee4.jpg</t>
  </si>
  <si>
    <t>Q302290323163</t>
  </si>
  <si>
    <t>" Protevir Tenofovir 300mg Incepta Bangladesh (hộp 3 vỉ x 10 viên) "</t>
  </si>
  <si>
    <t>https://product.hstatic.net/200000428801/product/upload_87db3c04e2a74dc8b239832ecc938197.jpg</t>
  </si>
  <si>
    <t>Q302290323164</t>
  </si>
  <si>
    <t>" Protoc Nano bôi trĩ Butter C (hộp 1 tuýp 20g) "</t>
  </si>
  <si>
    <t>https://product.hstatic.net/200000428801/product/upload_4e1a9431829548a99b0adf5f4dda01ad.jpg</t>
  </si>
  <si>
    <t>Q302290323165</t>
  </si>
  <si>
    <t>" Proxeed Plus Sigma tau Ý (hộp 30 gói x 5g) "</t>
  </si>
  <si>
    <t>https://product.hstatic.net/200000428801/product/upload_6d4199bef6394376aa6f18f056289526.jpg</t>
  </si>
  <si>
    <t>Q302290323166</t>
  </si>
  <si>
    <t>" Prozalic Việt Đức Gia Nguyễn (Tube 15g) "</t>
  </si>
  <si>
    <t>https://product.hstatic.net/200000428801/product/upload_cc311689a3e54e3da68fa3885fbc896d.jpg</t>
  </si>
  <si>
    <t>Q302773537</t>
  </si>
  <si>
    <t>" Pruzitin Natri Picosulfat 5mg KHAPHACO (Hộp 3 vỉ x 10 viên nhai) "</t>
  </si>
  <si>
    <t>https://product.hstatic.net/200000428801/product/upload_b7ddaf466500465786b0923fd663be87.jpg</t>
  </si>
  <si>
    <t>Q302290323167</t>
  </si>
  <si>
    <t>" Psorilys dưỡng ẩm cho da vảy nến Lysaskin Pháp (lọ 200ml) "</t>
  </si>
  <si>
    <t>https://product.hstatic.net/200000428801/product/upload_3bb49162f670465bb672addb48754364.jpg</t>
  </si>
  <si>
    <t>Q302290323168</t>
  </si>
  <si>
    <t>" PTU Propylthiouracil 50mg Ba Đình (hộp 4 vỉ x 25 viên nén) "</t>
  </si>
  <si>
    <t>https://product.hstatic.net/200000428801/product/upload_35a3a535545f4227b181fa721f414ca5.jpg</t>
  </si>
  <si>
    <t>Q302290323169</t>
  </si>
  <si>
    <t>" Pulmicort Budesomid 500mcg AstraZeneca (hộp 20 ống x 2ml khí dung) "</t>
  </si>
  <si>
    <t>https://product.hstatic.net/200000428801/product/upload_bc288007408a49709ee65ad422a53d02.jpg</t>
  </si>
  <si>
    <t>Q302290323170</t>
  </si>
  <si>
    <t>" Pulmoll ngậm hương cam Đức (hộp 45g) "</t>
  </si>
  <si>
    <t>https://cdn2-retail-images.kiotviet.vn/giabaopharma/9a01c308a3e3423c970170142cb4cb2e.jpg</t>
  </si>
  <si>
    <t>Q302290323171</t>
  </si>
  <si>
    <t>" Pusadine Acid Fusidic 2% TW Huế Medipharco (Tube 5g) "</t>
  </si>
  <si>
    <t>https://product.hstatic.net/200000428801/product/upload_26b4f4222fbb4851bbc406f3b7611a94.jpg</t>
  </si>
  <si>
    <t>Q302230323231</t>
  </si>
  <si>
    <t>" PVP Iodine Povidon 10% Đà Nẵng (lọ x 20ml) "</t>
  </si>
  <si>
    <t>https://product.hstatic.net/200000428801/product/upload_e2dbd2dab3834016ad2175d2651138e7.jpg</t>
  </si>
  <si>
    <t>Q3024032357</t>
  </si>
  <si>
    <t>" PVP Iodine Povidon iod 10% Đà Nẵng (lọ 100ml) "</t>
  </si>
  <si>
    <t>https://product.hstatic.net/200000428801/product/541_58b2f8aee4c34500a59210aab295455d.png</t>
  </si>
  <si>
    <t>Q302290323172</t>
  </si>
  <si>
    <t>" Pycalis 20 Tadalafil 20mg Pymepharco (hộp 1 vỉ x 1 viên nén) "</t>
  </si>
  <si>
    <t>https://product.hstatic.net/200000428801/product/upload_1ec58e4a0d804172856f0e10fdc4ab0c.jpg</t>
  </si>
  <si>
    <t>Q302290323174</t>
  </si>
  <si>
    <t>" Pyfaclor 250mg Pymepharco (hộp 1 vỉ x 12 viên nang) "</t>
  </si>
  <si>
    <t>https://product.hstatic.net/200000428801/product/upload_8c222d4df8b54ba3838ce4d6e4121c39.jpg</t>
  </si>
  <si>
    <t>Q302290323175</t>
  </si>
  <si>
    <t>" Pyfaclor Cefaclor 500mg Pymepharco (hộp 1 vỉ x 12 viên nang) "</t>
  </si>
  <si>
    <t>https://product.hstatic.net/200000428801/product/upload_9975c9ddac0c4e3c8aae983707d80702.jpg</t>
  </si>
  <si>
    <t>Q302290323176</t>
  </si>
  <si>
    <t>" Pyfaclor Cephaclor 250mg Pymepharco (hộp 2 vỉ x 10 viên nang) "</t>
  </si>
  <si>
    <t>https://product.hstatic.net/200000428801/product/upload_81c43118554f449ab4a241e04b482ba2.jpg</t>
  </si>
  <si>
    <t>Q302290323177</t>
  </si>
  <si>
    <t>" Pyfaclor kid Cefaclor 125mg Pymepharco (hộp 24 gói x 2g) "</t>
  </si>
  <si>
    <t>https://product.hstatic.net/200000428801/product/upload_9cc00119099341c8a54646e80a4d718c.jpg</t>
  </si>
  <si>
    <t>Q302290323178</t>
  </si>
  <si>
    <t>" Pyme ABZ-400 Albendazol 400mg Pymepharco (hộp lớn x 20 hộp nhỏ x 1 viên nén) "</t>
  </si>
  <si>
    <t>https://product.hstatic.net/200000428801/product/552_00be56f2226f438db5261a1a05951c6d.png</t>
  </si>
  <si>
    <t>Q302290323179</t>
  </si>
  <si>
    <t>" Pyme Am5 Amlodipin 5mg Pymepharco (hộp 10 vỉ x 14 viên nén) "</t>
  </si>
  <si>
    <t>https://product.hstatic.net/200000428801/product/upload_18ffd6870fa94982b4427b72e7538214.jpg</t>
  </si>
  <si>
    <t>Q302290323180</t>
  </si>
  <si>
    <t>" Pyme Azi Azitromycin 500mg Pymepharco (hộp 1 vỉ x 3 viên nén bao phim) "</t>
  </si>
  <si>
    <t>https://product.hstatic.net/200000428801/product/upload_d0dc606d3fb2462e8b603463091222d8.jpg</t>
  </si>
  <si>
    <t>Q302290323181</t>
  </si>
  <si>
    <t>" Pyme Cz10 Cetirizin 10mg Pymepharco (hộp 10 vỉ x 10 viên nang mềm) "</t>
  </si>
  <si>
    <t>https://product.hstatic.net/200000428801/product/upload_74c46fc57fea459ba2c751858aa83a67.jpg</t>
  </si>
  <si>
    <t>Q302290323182</t>
  </si>
  <si>
    <t>" Pyme Feron B9 Pymepharco (hộp 10 vỉ x 10 viên nang) "</t>
  </si>
  <si>
    <t>https://product.hstatic.net/200000428801/product/upload_4f705b6610b24b18b14a40d7d71e325c.jpg</t>
  </si>
  <si>
    <t>Q302290323183</t>
  </si>
  <si>
    <t>" Pyme Fucan Fluconazol 150mg Pymepharco (hộp 20 vỉ x 1 viên nang) "</t>
  </si>
  <si>
    <t>https://product.hstatic.net/200000428801/product/upload_5cc624e262f64ab0b7fa380475112037.jpg</t>
  </si>
  <si>
    <t>Q302290323184</t>
  </si>
  <si>
    <t>" Pyme Pelium Domperidon 10mg Pymepharco (hộp 10 vỉ x 10 viên nén) "</t>
  </si>
  <si>
    <t>https://product.hstatic.net/200000428801/product/546_25ec2d5ec5df44aa8d17c8a6a39d6c3a.png</t>
  </si>
  <si>
    <t>Q302290323185</t>
  </si>
  <si>
    <t>" Pyme Roxitil Roxythromycin 150mg Pymepharco (hộp 10 vỉ x 10 viên nén) "</t>
  </si>
  <si>
    <t>https://product.hstatic.net/200000428801/product/556_9552e0c7408544d8bb56504500202187.png</t>
  </si>
  <si>
    <t>Q302774773</t>
  </si>
  <si>
    <t>" PymeAzi Azithromycin 250 mg Pymepharco (Hộp 1 vỉ x 6 viên nang) "</t>
  </si>
  <si>
    <t>https://product.hstatic.net/200000428801/product/upload_76fbf7dcddf74f98b8373e92178d1eaa.jpg</t>
  </si>
  <si>
    <t>Q302290323186</t>
  </si>
  <si>
    <t>" PymeCezitec Levocetirizin 5mg Pymepharco (hộp 1 vỉ x 10 viên nén) "</t>
  </si>
  <si>
    <t>https://product.hstatic.net/200000428801/product/upload_a14529fa59314cd2bfe63348e346b9ec.jpg</t>
  </si>
  <si>
    <t>Q302290323187</t>
  </si>
  <si>
    <t>" Pymeprim Forte 960 Pymepharco (hộp 6 vỉ x 10 viên nén) "</t>
  </si>
  <si>
    <t>https://product.hstatic.net/200000428801/product/547_487ee1e9429e416b805e941df17521ae.png</t>
  </si>
  <si>
    <t>Q302290323188</t>
  </si>
  <si>
    <t>" Pyramet Piracetam 800mg USP (hộp 3vỉ x 10 viên nén) "</t>
  </si>
  <si>
    <t>https://product.hstatic.net/200000428801/product/upload_1d0701b9d5a749c180a6a40da9e28be3.jpg</t>
  </si>
  <si>
    <t>Q302290323189</t>
  </si>
  <si>
    <t>" Pyrazinamide BP 500mg Đức vỉ 10 viên "</t>
  </si>
  <si>
    <t>https://product.hstatic.net/200000428801/product/upload_97c09230705a4e729f16ba2744d80a92.jpg</t>
  </si>
  <si>
    <t>Q302290323190</t>
  </si>
  <si>
    <t>" Pyzacar Losartan 25mg Pymepharco (hộp 2 vỉ x 15 viên nén) "</t>
  </si>
  <si>
    <t>https://product.hstatic.net/200000428801/product/555_0b598f9e41bf4df6bf9b9b227c657042.png</t>
  </si>
  <si>
    <t>Q302290323191</t>
  </si>
  <si>
    <t>" Pyzacar Losartan 50mg Pymepharco (hộp 2 vỉ x 15 viên nén) "</t>
  </si>
  <si>
    <t>https://product.hstatic.net/200000428801/product/upload_08e21dcc6c6941678c19e4d9af5cfc95.jpg</t>
  </si>
  <si>
    <t>Q302290323195</t>
  </si>
  <si>
    <t>" Quatid vệ sinh làn da Quang Xanh (lọ 120ml) "</t>
  </si>
  <si>
    <t>https://product.hstatic.net/200000428801/product/upload_cd034da5345141ecaee246b3d28c3e55.jpg</t>
  </si>
  <si>
    <t>Q302290323192</t>
  </si>
  <si>
    <t>" Quất gừng mật ong Essen Đức (hộp 24 viên) "</t>
  </si>
  <si>
    <t>https://product.hstatic.net/200000428801/product/upload_3ad7f85ba9c047f4860a46bcbeacc7ca.jpg</t>
  </si>
  <si>
    <t>Q302290323193</t>
  </si>
  <si>
    <t>" Quất mật ong Tâm Việt hộp 12 gói x 2 viên ngậm "</t>
  </si>
  <si>
    <t>https://product.hstatic.net/200000428801/product/553_263a95e6d5db40e685118e944983e87f.png</t>
  </si>
  <si>
    <t>Q302290323194</t>
  </si>
  <si>
    <t>" Quất mật ong Tâm Việt lọ 100ml "</t>
  </si>
  <si>
    <t>https://product.hstatic.net/200000428801/product/548_55d9cef49b764f088784ac384dbbc5e5.png</t>
  </si>
  <si>
    <t>Q302290323196</t>
  </si>
  <si>
    <t>" Que đè lưỡi gỗ Tana Tân Á (hộp 100 túi x 1 chiếc) "</t>
  </si>
  <si>
    <t>https://product.hstatic.net/200000428801/product/551_834ce0fd2e6d4f3bbe479a9f3506a6ae.png</t>
  </si>
  <si>
    <t>Q30240323171</t>
  </si>
  <si>
    <t>" Que thử Cholesterol Easy Touch lọ 5 que "</t>
  </si>
  <si>
    <t>https://cdn2-retail-images.kiotviet.vn/2025/12/27/giabaopharma/e7d15117e01247ccacebc82ff13a7724.jpg</t>
  </si>
  <si>
    <t>Q302290323197</t>
  </si>
  <si>
    <t>" Que thử đường huyết Caresens N Hàn Quốc (hộp 25 que) "</t>
  </si>
  <si>
    <t>https://product.hstatic.net/200000428801/product/67a9807578fc41db9e2a5aead8eadcff_d468fdac5a3c47dd9cfb9202d8938581.png</t>
  </si>
  <si>
    <t>Q3024032351</t>
  </si>
  <si>
    <t>" Que thử đường huyết OGcare (hộp 50 que) "</t>
  </si>
  <si>
    <t>https://product.hstatic.net/200000428801/product/67c80e7e32374f6788e7f492b67a0f9e_28da79052cfd430b8715b75a29aaec07.jpg</t>
  </si>
  <si>
    <t>Q302290323198</t>
  </si>
  <si>
    <t>" Que thử đường huyết OGCare Ý (lọ 25 que) "</t>
  </si>
  <si>
    <t>Q30229032350</t>
  </si>
  <si>
    <t>" Que thử đường huyết On Call Advanced Acon (hộp 25 que) "</t>
  </si>
  <si>
    <t>https://product.hstatic.net/200000428801/product/upload_46c11e1a82fe4b40ac96213c1600ede4.jpg</t>
  </si>
  <si>
    <t>Q30229032351</t>
  </si>
  <si>
    <t>" Que thử đường huyết On Call Plus Alcon (hộp 25 que) "</t>
  </si>
  <si>
    <t>https://product.hstatic.net/200000428801/product/upload_20d5db362bea42b999c9dab94e0d8be4.jpg</t>
  </si>
  <si>
    <t>Q302275032393</t>
  </si>
  <si>
    <t>" Que thử đường huyết Safe Accu SinoCare Đức (lọ 50 que) "</t>
  </si>
  <si>
    <t>https://product.hstatic.net/200000428801/product/upload_e6df878408a04db889719aa1ed54e7dc.jpg</t>
  </si>
  <si>
    <t>Q30227032394</t>
  </si>
  <si>
    <t>" Que thử đường huyết U Right TD 4265 Đài Loan (hộp 25 que) "</t>
  </si>
  <si>
    <t>https://product.hstatic.net/200000428801/product/upload_27fd7bb83c9e42b2b365619626ef8417.jpg</t>
  </si>
  <si>
    <t>Q30227032395</t>
  </si>
  <si>
    <t>" Que thử đường huyết U-Right TD 4267 Đài Loan (hộp 25 que) "</t>
  </si>
  <si>
    <t>https://product.hstatic.net/200000428801/product/522_20fb18a2756a4e5089176ca76afdfc99.png</t>
  </si>
  <si>
    <t>Q30227032396</t>
  </si>
  <si>
    <t>" Que thử đường huyết Uright TD 4279 Đài Loan (lọ 25 que) "</t>
  </si>
  <si>
    <t>https://product.hstatic.net/200000428801/product/upload_f16e09e5b74d422d9df3a49be2d9eb0d.jpg</t>
  </si>
  <si>
    <t>Q302774893</t>
  </si>
  <si>
    <t>" Que Thử Ma Túy Drugs Of Abuse Test 4 Chân Hải Nam (Hộp 4 que) "</t>
  </si>
  <si>
    <t>https://product.hstatic.net/200000428801/product/upload_1827ac9e0c5c45308929b660d5b9b424.jpg</t>
  </si>
  <si>
    <t>Q302665574</t>
  </si>
  <si>
    <t>" Que Thử Rụng Trứng LH True Line (Hộp 7 test) "</t>
  </si>
  <si>
    <t>https://product.hstatic.net/200000428801/product/upload_729123fb5c6d4323a1e4403f32ba6aa8.jpg</t>
  </si>
  <si>
    <t>Q302909037</t>
  </si>
  <si>
    <t>" Que Thử Thai Power Test PSC (Bịch 48 que) "</t>
  </si>
  <si>
    <t>https://product.hstatic.net/200000428801/product/upload_60c3f8eb5c2046f6bfeaf40effc2993b.jpg</t>
  </si>
  <si>
    <t>Q302883980</t>
  </si>
  <si>
    <t>" Que Thử Thai Quickseven Tanaphar (Hộp 24 test) "</t>
  </si>
  <si>
    <t>https://product.hstatic.net/200000428801/product/upload_9fb2f13e23be4b2aade057bf23182996.jpg</t>
  </si>
  <si>
    <t>Q30227032397</t>
  </si>
  <si>
    <t>" Queenlife Vitamin E thiên nhiên USP (hộp 1 chai 100ml) "</t>
  </si>
  <si>
    <t>https://product.hstatic.net/200000428801/product/527_bcdda1b38d6940e5942312ad9fbf9785.png</t>
  </si>
  <si>
    <t>Q30227032398</t>
  </si>
  <si>
    <t>" Queitoz Quetiapin 200mg Davipharm (hộp 4 vỉ x 7 viên nén) "</t>
  </si>
  <si>
    <t>https://product.hstatic.net/200000428801/product/upload_af8bfedc9b1a4d91ad6e08b4c8b7acc3.jpg</t>
  </si>
  <si>
    <t>Q30227032399</t>
  </si>
  <si>
    <t>" Queitoz Quetiapin 50mg Davipharm (hộp 3 vỉ x 10 viên nén) "</t>
  </si>
  <si>
    <t>https://product.hstatic.net/200000428801/product/532_9af609b321fc42b38437f5cc8a43ab64.png</t>
  </si>
  <si>
    <t>Q302270323100</t>
  </si>
  <si>
    <t>" Quetiapine 100mg SaVi (hộp 3 vỉ x 10 viên nén dài bao phim) "</t>
  </si>
  <si>
    <t>https://product.hstatic.net/200000428801/product/533_ecaa8e662ef543f3b0edff1c9ec27247.png</t>
  </si>
  <si>
    <t>Q302270323150</t>
  </si>
  <si>
    <t>" QuickTana thử thai Tân Á Tanaphar (hộp 12 que) "</t>
  </si>
  <si>
    <t>https://product.hstatic.net/200000428801/product/upload_c79343bb28724804ae1d63d9214b68bc.jpg</t>
  </si>
  <si>
    <t>Q302270323151</t>
  </si>
  <si>
    <t>" Quicktest thử thai bịch 12 que "</t>
  </si>
  <si>
    <t>https://product.hstatic.net/200000428801/product/upload_f65688cfd3ef446aa2f4a75505ac8d6d.jpg</t>
  </si>
  <si>
    <t>Q302270323152</t>
  </si>
  <si>
    <t>" Quincef Cefuroxime 125mg Mekophar (hộp 10 gói x 3.8g) "</t>
  </si>
  <si>
    <t>https://product.hstatic.net/200000428801/product/upload_ef38fa329e544fd8a9e73c5a4aee1509.jpg</t>
  </si>
  <si>
    <t>Q302270323153</t>
  </si>
  <si>
    <t>" Quinospastyl Alverin 40mg Z150 (lọ 200 viên nang) "</t>
  </si>
  <si>
    <t>https://product.hstatic.net/200000428801/product/upload_76b05d31032142c3a407a50eaff872c5.jpg</t>
  </si>
  <si>
    <t>Q302270323156</t>
  </si>
  <si>
    <t>" Quý phi VIP vệ sinh phụ nữ Thái Dương (lọ 120ml) "</t>
  </si>
  <si>
    <t>https://product.hstatic.net/200000428801/product/upload_449e593d28ba45db9e1d041317fdce9e.jpg</t>
  </si>
  <si>
    <t>Q302270323157</t>
  </si>
  <si>
    <t>" Rabepagi Rabeprazol 20mg Agimexpharm (hộp 6 vỉ x 10 viên nén) "</t>
  </si>
  <si>
    <t>https://product.hstatic.net/200000428801/product/upload_d81a782cf4a94bdda45b73f9255ebc0a.jpg</t>
  </si>
  <si>
    <t>Q302270323158</t>
  </si>
  <si>
    <t>" Rabestad Rabeprazole 20mg Stella (hộp 3 vỉ x 10 viên nén) "</t>
  </si>
  <si>
    <t>https://product.hstatic.net/200000428801/product/534_746b1f64a21b4952aa3f64c3e921e2e1.png</t>
  </si>
  <si>
    <t>Q302270323159</t>
  </si>
  <si>
    <t>" Rabeto Rapeprazole 40mg Flamingo Ấn Độ (hộp 10 vỉ x 10 viên nén) "</t>
  </si>
  <si>
    <t>https://product.hstatic.net/200000428801/product/upload_8434fdd9b3154bf88d7734ff489e3009.jpg</t>
  </si>
  <si>
    <t>Q302270323160</t>
  </si>
  <si>
    <t>" Raceca Racecadotril 30mg Roussel (hộp 20 gói) "</t>
  </si>
  <si>
    <t>https://product.hstatic.net/200000428801/product/upload_9779bcfc6faf4f7daccdc2cdc0dd5ac8.jpg</t>
  </si>
  <si>
    <t>Q30229032352</t>
  </si>
  <si>
    <t>" Racedagim Racecadotril 10mg Agimexpharm (hộp 10 gói x 1g) "</t>
  </si>
  <si>
    <t>https://product.hstatic.net/200000428801/product/upload_02929ea029fe49068bf0dda4c875cd9c.jpg</t>
  </si>
  <si>
    <t>Q30229032353</t>
  </si>
  <si>
    <t>" Racedagim Racecadotril 30mg Agimexpharm (hộp 25 gói x 3g) "</t>
  </si>
  <si>
    <t>https://product.hstatic.net/200000428801/product/upload_6fde7223df3f46bc82717d7de5fae533.jpg</t>
  </si>
  <si>
    <t>Q30229032354</t>
  </si>
  <si>
    <t>" Radical dầu gội ngừa gàu Balan (lọ 300ml) "</t>
  </si>
  <si>
    <t>https://product.hstatic.net/200000428801/product/529_90c9703a2cdf40daa757da05dec4a37f.png</t>
  </si>
  <si>
    <t>Q30229032355</t>
  </si>
  <si>
    <t>" Radical med ngăn rụng tóc nữ Ba Lan (hộp 3 ống x 5ml) "</t>
  </si>
  <si>
    <t>https://product.hstatic.net/200000428801/product/531_29bfe88073ef4a4fb8c8a1fa6f3d4681.png</t>
  </si>
  <si>
    <t>Q30229032356</t>
  </si>
  <si>
    <t>" Raileza gội tắm trị chấy và kí sinh trùng Quang Xanh (lọ 120ml) "</t>
  </si>
  <si>
    <t>https://product.hstatic.net/200000428801/product/upload_807c6a8dd7174c409024d0744f638c1d.jpg</t>
  </si>
  <si>
    <t>Q30229032357</t>
  </si>
  <si>
    <t>" Raileza Permethrin 1% 2 in 1 body and hair Ocean pharm chai 100ml "</t>
  </si>
  <si>
    <t>https://product.hstatic.net/200000428801/product/upload_59059a40fe1c4bb3821df3b8e3e208a3.jpg</t>
  </si>
  <si>
    <t>Q30229032358</t>
  </si>
  <si>
    <t>" Ramizes Ramipril 10mg Ukraine (hộp 3 vỉ x 10 viên nén) "</t>
  </si>
  <si>
    <t>https://product.hstatic.net/200000428801/product/upload_759784dee1fc41dc959b08961769e3f1.jpg</t>
  </si>
  <si>
    <t>Q30229032359</t>
  </si>
  <si>
    <t>" Rataf Nic (lọ 500 viên nang) "</t>
  </si>
  <si>
    <t>https://product.hstatic.net/200000428801/product/upload_7b9e5973cb1c4e009f3d1a9e001c4685.jpg</t>
  </si>
  <si>
    <t>Q30229032360</t>
  </si>
  <si>
    <t>" Raxium Rabeprazole 20mg Hậu Giang (hộp 3 vỉ x 10 viên nén) "</t>
  </si>
  <si>
    <t>https://product.hstatic.net/200000428801/product/upload_0ae83db570924e248ecbe8733daac81d.jpg</t>
  </si>
  <si>
    <t>Q30229032361</t>
  </si>
  <si>
    <t>" Ray C vệ sinh tai Sao Phương Nam (lọ 10ml xịt) "</t>
  </si>
  <si>
    <t>https://product.hstatic.net/200000428801/product/upload_f189ebacd4c9423c8da081b47de962a8.jpg</t>
  </si>
  <si>
    <t>Q30229032362</t>
  </si>
  <si>
    <t>" Reamberin 1.5% truyền Polysan Nga (lọ 400ml) "</t>
  </si>
  <si>
    <t>https://product.hstatic.net/200000428801/product/524_ad5f402d8e2c4d8b8647face52c8573e.png</t>
  </si>
  <si>
    <t>Q30229032365</t>
  </si>
  <si>
    <t>" Redtadin Loratadin 5mg/5ml hương đào Sao Đỏ (lọ 75ml) "</t>
  </si>
  <si>
    <t>https://product.hstatic.net/200000428801/product/upload_29bb9b0d51a447e586c6cf289fa3c0ae.jpg</t>
  </si>
  <si>
    <t>Q30229032366</t>
  </si>
  <si>
    <t>" Reduze Probiotec Úc (hộp 5 vỉ x 12 viên nang) "</t>
  </si>
  <si>
    <t>https://product.hstatic.net/200000428801/product/upload_b9fcf511f7e4405880b353386f56c5eb.jpg</t>
  </si>
  <si>
    <t>Q30229032367</t>
  </si>
  <si>
    <t>" Reenax trị mụn Deltapharm (Tube 5g) "</t>
  </si>
  <si>
    <t>Q30229032368</t>
  </si>
  <si>
    <t>" Refalax gel bôi da Traphaco (tuýp 20g) "</t>
  </si>
  <si>
    <t>https://product.hstatic.net/200000428801/product/upload_0f1f8f1103c74592b1b2d4e81c845777.jpg</t>
  </si>
  <si>
    <t>Q30229032369</t>
  </si>
  <si>
    <t>" Refix – 550 Rifaximin 550mg Atra Ấn Độ (hộp 3 vỉ x 10 viên nén) "</t>
  </si>
  <si>
    <t>https://product.hstatic.net/200000428801/product/upload_bdc63fb057a1494f826d903b8a993231.jpg</t>
  </si>
  <si>
    <t>Q30220032346</t>
  </si>
  <si>
    <t>" Refresh Tears Allergan Mỹ (lọ 15ml) "</t>
  </si>
  <si>
    <t>https://product.hstatic.net/200000428801/product/upload_bd02e3f1865a497a905b349a963546e8.jpg</t>
  </si>
  <si>
    <t>Q30229032370</t>
  </si>
  <si>
    <t>" Regatonic Phil Inter (hộp 6 vỉ x 10 viên nang mềm) "</t>
  </si>
  <si>
    <t>https://product.hstatic.net/200000428801/product/upload_e5de8c04a25b441cb380d37e3562c4c5.jpg</t>
  </si>
  <si>
    <t>Q30229032371</t>
  </si>
  <si>
    <t>" Regulon tránh thai Hungary (hộp 1 vỉ x 21 viên nén) "</t>
  </si>
  <si>
    <t>https://product.hstatic.net/200000428801/product/upload_190502cdf03c405ebc7039d631e307bb.jpg</t>
  </si>
  <si>
    <t>Q30229032372</t>
  </si>
  <si>
    <t>" Relactagel Kora Healthcare Ailen (hộp 7 Tube x 5ml gel đặt) "</t>
  </si>
  <si>
    <t>https://product.hstatic.net/200000428801/product/upload_e9de1cf0774a43cabc615e91eadfa3d2.jpg</t>
  </si>
  <si>
    <t>Q30229032373</t>
  </si>
  <si>
    <t>" Remeclar Claritromycin 500mg Remedica (hộp 2 vỉ nhôm x 7 viên nén) "</t>
  </si>
  <si>
    <t>https://product.hstatic.net/200000428801/product/526_41427cb94ca34a358547677c645e052c.png</t>
  </si>
  <si>
    <t>Q30229032374</t>
  </si>
  <si>
    <t>" Remeron 30mg Mirtazapine MSD Anh (hộp 3 vỉ x 10 viên nén) "</t>
  </si>
  <si>
    <t>https://product.hstatic.net/200000428801/product/525_bfdc96070a36458ba3a6f451c1826617.png</t>
  </si>
  <si>
    <t>Q30229032375</t>
  </si>
  <si>
    <t>" Remos Anti Itch Rohto (Tube 10g) "</t>
  </si>
  <si>
    <t>https://product.hstatic.net/200000428801/product/528_3bc27e1b20dc4c5e9e43843f47972e19.png</t>
  </si>
  <si>
    <t>Q30229032376</t>
  </si>
  <si>
    <t>" Remos hương Lavender Rohto (lọ 150ml xịt) "</t>
  </si>
  <si>
    <t>https://product.hstatic.net/200000428801/product/upload_037b971e6f9248fd932feed75cc1e71a.jpg</t>
  </si>
  <si>
    <t>Q30229032377</t>
  </si>
  <si>
    <t>" Remos hương Xả Chanh Rohto (lọ 150ml xịt) "</t>
  </si>
  <si>
    <t>https://product.hstatic.net/200000428801/product/upload_c361d179e83e42988e0444b82d5280b0.jpg</t>
  </si>
  <si>
    <t>Q30229032378</t>
  </si>
  <si>
    <t>" Remos IB Rohto (Tube 10g) "</t>
  </si>
  <si>
    <t>https://product.hstatic.net/200000428801/product/upload_ba0547838459405d82908e9d7e7fd568.jpg</t>
  </si>
  <si>
    <t>Q30229032379</t>
  </si>
  <si>
    <t>" Remos xịt chống muỗi hương lavender Rhoto (lọ 60ml) "</t>
  </si>
  <si>
    <t>https://product.hstatic.net/200000428801/product/upload_ec40ce2ae3b7494787818dfcc72df5c7.jpg</t>
  </si>
  <si>
    <t>Q30229032380</t>
  </si>
  <si>
    <t>" Remos xịt chống muỗi hương Xả Chanh Rhoto (lọ 60ml) "</t>
  </si>
  <si>
    <t>https://product.hstatic.net/200000428801/product/upload_a12253329f574118a406f92fcb81433b.jpg</t>
  </si>
  <si>
    <t>Q30229032381</t>
  </si>
  <si>
    <t>" Reprat Pantoprazole 40mg Advance Đức (hộp 2 vỉ x 10 viên nang) "</t>
  </si>
  <si>
    <t>https://product.hstatic.net/200000428801/product/upload_75d1e1d5aad84e42876ef5a729b20af1.jpg</t>
  </si>
  <si>
    <t>Q30229032382</t>
  </si>
  <si>
    <t>" Residron Risedronate Sodium Hy Lạp (hộp 1 vỉ x 4 viên nén) "</t>
  </si>
  <si>
    <t>https://product.hstatic.net/200000428801/product/upload_f6c146c3098d40c0950cdb072162e1bb.jpg</t>
  </si>
  <si>
    <t>Q30229032383</t>
  </si>
  <si>
    <t>" Rhetanol Day Paracetamol 500mg Đồng Nai (hộp 10 vỉ x 10 viên nén) "</t>
  </si>
  <si>
    <t>https://product.hstatic.net/200000428801/product/upload_7479bbb1231849b5a73fe584dab230fa.jpg</t>
  </si>
  <si>
    <t>Q30229032384</t>
  </si>
  <si>
    <t>" Rhinassin OPC nang cứng (hộp 5 vỉ x 10 viên) "</t>
  </si>
  <si>
    <t>https://product.hstatic.net/200000428801/product/43e8d7174b8f4d29b491b092a7082051_c707c430a5934fddbe72369cbb962e29.png</t>
  </si>
  <si>
    <t>Q30229032385</t>
  </si>
  <si>
    <t>" Rhinex 0.05% Naphazolin 5.8mg nhỏ mũi TW25 Uphace (cọc 10 lọ x 15ml) "</t>
  </si>
  <si>
    <t>https://product.hstatic.net/200000428801/product/44df4b9af0b2437f8bac6fc6916c3ecb_9aa0eb3c08894d01a9c48858a5c55ae1.png</t>
  </si>
  <si>
    <t>Q30229032386</t>
  </si>
  <si>
    <t>" Rhomatic gel Hà Tĩnh Hadiphar (Tube 20g) "bán từ 5 tube</t>
  </si>
  <si>
    <t>https://product.hstatic.net/200000428801/product/a5923c277e164d4ab8921f43bc2c198c_4773d058afb347d5a7d9bc7ee04ca555.png</t>
  </si>
  <si>
    <t>Q30229032387</t>
  </si>
  <si>
    <t>" Ribomin Multivitamin Hasan (hộp 30 gói x 2g) "</t>
  </si>
  <si>
    <t>https://product.hstatic.net/200000428801/product/4d0de5c834e045cebd8b68a0286f89ba_ff469a376b424daab98aa4d050a081d8.png</t>
  </si>
  <si>
    <t>Q30229032388</t>
  </si>
  <si>
    <t>" Richergen thanh nhiệt mát gan Richer (hộp 20 ống) "</t>
  </si>
  <si>
    <t>https://product.hstatic.net/200000428801/product/ba99c716b00840ba9a9093c189d642a7_684edaf0e9e74cc7b72b60e01cb9e1c1.png</t>
  </si>
  <si>
    <t>Q30229032389</t>
  </si>
  <si>
    <t>" Ricovir Em 200mg/300mg Mylan Ấn Độ (lọ 30 viên nén) "</t>
  </si>
  <si>
    <t>https://product.hstatic.net/200000428801/product/d5bf3d78295e402b816a32ef301d5b3d_b57b19d96ebc44218e29e242e92c38cd.png</t>
  </si>
  <si>
    <t>Q30229032390</t>
  </si>
  <si>
    <t>" Ricovir Tenofovir 300mg Mylan Ấn Độ (lọ 30 viên nén) "</t>
  </si>
  <si>
    <t>Q30229032391</t>
  </si>
  <si>
    <t>" Ridlor Clopidogrel 75mg Mega Wecare (hộp 3 vỉ x 10 viên nén) "</t>
  </si>
  <si>
    <t>https://product.hstatic.net/200000428801/product/upload_8e0ae8f197b443039a0779a19e1200cb.jpg</t>
  </si>
  <si>
    <t>Q30229032392</t>
  </si>
  <si>
    <t>" Rifampicin 150mg &amp; Isoniazide 100mg Artesan Đức (vỉ 10 viên nén) "</t>
  </si>
  <si>
    <t>https://product.hstatic.net/200000428801/product/upload_27a838b9269b45e0a93af9b532c484f1.jpg</t>
  </si>
  <si>
    <t>Q302883904</t>
  </si>
  <si>
    <t>" Rifampicin 300mg Mekophar (Hộp 10 vỉ x 10 viên nang) "</t>
  </si>
  <si>
    <t>https://product.hstatic.net/200000428801/product/507_7300c7d3396a4d59999962c30e6a4701.png</t>
  </si>
  <si>
    <t>Q30229032393</t>
  </si>
  <si>
    <t>" Rigevidon 21+7 Hungary (hộp 3 vỉ x 28 viên) "</t>
  </si>
  <si>
    <t>https://product.hstatic.net/200000428801/product/upload_658f6983da234a9eb72b3bad6aa11fe4.jpg</t>
  </si>
  <si>
    <t>Q30229032394</t>
  </si>
  <si>
    <t>" Rileptid Risperidone 2mg Egis Hungari (hộp 6 vỉ x 10 viên nén) "</t>
  </si>
  <si>
    <t>https://product.hstatic.net/200000428801/product/upload_596c9cdc837344f097f4e54d2b81a7e1.jpg</t>
  </si>
  <si>
    <t>Q30229032395</t>
  </si>
  <si>
    <t>" Ringer Lactate dịch truyền Fresenius Kabi (kiện 20 chai x lọ 500ml) "</t>
  </si>
  <si>
    <t>https://product.hstatic.net/200000428801/product/upload_7b10ace2767241ca920695c649cc7333.jpg</t>
  </si>
  <si>
    <t>Q30229032396</t>
  </si>
  <si>
    <t>" Rinorin bộ kit rửa mũi Hocomed (hộp 1 bình rửa + 30 gói muối) "</t>
  </si>
  <si>
    <t>https://product.hstatic.net/200000428801/product/upload_7720933e168b4daea72c974544cc9b05.jpg</t>
  </si>
  <si>
    <t>Q30229032397</t>
  </si>
  <si>
    <t>" Rinorin dung dịch rửa mũi xoang Spray Hocomed (lọ 70ml) "</t>
  </si>
  <si>
    <t>https://product.hstatic.net/200000428801/product/upload_3ae00c973757437a9dc7577f16a704e7.jpg</t>
  </si>
  <si>
    <t>Q30229032398</t>
  </si>
  <si>
    <t>" Rinorin muối pha rửa mũi xoang, xúc họng Hocomed (hộp 30 Gói) "</t>
  </si>
  <si>
    <t>https://product.hstatic.net/200000428801/product/upload_913f06bb2b1748e796248c917e241ba1.jpg</t>
  </si>
  <si>
    <t>Q30229032399</t>
  </si>
  <si>
    <t>" Risdontab Risperidon 2mg Danapha Đà Nẵng (hộp 5 vỉ x 10 viên nén) "</t>
  </si>
  <si>
    <t>https://product.hstatic.net/200000428801/product/upload_0fdec6608a814b90af2bab0a18273c84.jpg</t>
  </si>
  <si>
    <t>Q302290323100</t>
  </si>
  <si>
    <t>" Risperdal Risperidon 1mg Janssen (hộp 6 vỉ x 10 viên nén) "</t>
  </si>
  <si>
    <t>https://product.hstatic.net/200000428801/product/upload_a255f8eab08548dba474797e2e0e0454.jpg</t>
  </si>
  <si>
    <t>Q30227032357</t>
  </si>
  <si>
    <t>" Risperdal Risperidon 2mg Janssen (hộp 6 vỉ x 10 viên nén) "</t>
  </si>
  <si>
    <t>https://product.hstatic.net/200000428801/product/upload_368dd0e6f85e4121861ca4bd62a896a9.jpg</t>
  </si>
  <si>
    <t>Q30227032358</t>
  </si>
  <si>
    <t>" Robmelox Meloxicam 7,5mg Robinson (hộp 3 vỉ x 10 viên nén) "</t>
  </si>
  <si>
    <t>https://product.hstatic.net/200000428801/product/upload_2e5cb875d21147b789e01b170ea39497.jpg</t>
  </si>
  <si>
    <t>Q30227032359</t>
  </si>
  <si>
    <t>" Rocaltrol Calcitriol 0.25mg Roche (lọ 30 viên nang) "</t>
  </si>
  <si>
    <t>https://product.hstatic.net/200000428801/product/upload_45537e812a584af599e4feb719a5ebf4.jpg</t>
  </si>
  <si>
    <t>Q30227032360</t>
  </si>
  <si>
    <t>" Rocket Thái Dương (hộp 10 gói) "</t>
  </si>
  <si>
    <t>https://product.hstatic.net/200000428801/product/upload_ec57565d0041410ca04842a46d059543.jpg</t>
  </si>
  <si>
    <t>Q30227032361</t>
  </si>
  <si>
    <t>" Rocket Thái Dương (hộp 30 gói) "</t>
  </si>
  <si>
    <t>https://product.hstatic.net/200000428801/product/upload_9bc76109d5e24336b78f95908aabc3c3.jpg</t>
  </si>
  <si>
    <t>Q30225032393</t>
  </si>
  <si>
    <t>" Rosepire tránh thai hàng ngày tím Leun Farrma (hộp 1 vỉ x 28 viên) "</t>
  </si>
  <si>
    <t>https://product.hstatic.net/200000428801/product/upload_19ca3b40ec024cae96e337d70bbc7077.jpg</t>
  </si>
  <si>
    <t>Q30225032394</t>
  </si>
  <si>
    <t>" Rostat 10 Rosuvastatin 10mg Ấn Độ (hộp 1 vỉ x 10 viên nén) "</t>
  </si>
  <si>
    <t>https://product.hstatic.net/200000428801/product/upload_1a92b9c993674d05a8955ee817596a14.jpg</t>
  </si>
  <si>
    <t>Q30225032395</t>
  </si>
  <si>
    <t>" Rostor Rosuvastatin 10mg Pymepharco (hộp 2 vỉ x 14 viên nén) "</t>
  </si>
  <si>
    <t>https://product.hstatic.net/200000428801/product/upload_d07294bee49446f0ac125d3bc8e5a505.jpg</t>
  </si>
  <si>
    <t>Q30225032396</t>
  </si>
  <si>
    <t>" Rostor Rosuvastatin 20mg Pymepharco (hộp 2 vỉ x 14 viên nén) "</t>
  </si>
  <si>
    <t>https://product.hstatic.net/200000428801/product/upload_102c7ad0af94473bb23e878ac771e663.jpg</t>
  </si>
  <si>
    <t>Q30225032397</t>
  </si>
  <si>
    <t>" Rosuvastatin 10mg Stella (hộp 3 vỉ x 10 viên nén) "</t>
  </si>
  <si>
    <t>https://product.hstatic.net/200000428801/product/upload_b3d00ccffbee4fe6a24f3f83548cc563.jpg</t>
  </si>
  <si>
    <t>Q30200055050</t>
  </si>
  <si>
    <t>" Rosuvastatin 20mg Stella (hộp 3 vỉ x 10 viên nén) "</t>
  </si>
  <si>
    <t>https://product.hstatic.net/200000428801/product/upload_ed399039d2c745819c56ace0561e0317.jpg</t>
  </si>
  <si>
    <t>Q30225032399</t>
  </si>
  <si>
    <t>" Rotalzon Losartan Potassium 50mg Atlantic (hộp 6 vỉ x 10 viên) "</t>
  </si>
  <si>
    <t>https://product.hstatic.net/200000428801/product/upload_2fb80b376bbb4670a8fc7c7aaa377478.jpg</t>
  </si>
  <si>
    <t>Q302250323100</t>
  </si>
  <si>
    <t>" Rotunda Rotundin 30mg TW2 Dopharma (hộp 10 vỉ x 10 viên nén) "</t>
  </si>
  <si>
    <t>Q302250323150</t>
  </si>
  <si>
    <t>" Rovagi Spiramycin 1.5 MIU Agimexpharm (hộp 2 vỉ x 10 viên nén) "</t>
  </si>
  <si>
    <t>Q302250323151</t>
  </si>
  <si>
    <t>" Rovagi Spiramycin 3 MIU Agimexpharm (hộp 2 vỉ x 5 viên nén) "</t>
  </si>
  <si>
    <t>https://product.hstatic.net/200000428801/product/510_ed9468d82ea74fbb8fb2026882197477.png</t>
  </si>
  <si>
    <t>Q302250323152</t>
  </si>
  <si>
    <t>" Rovas 0.75M Spiramycin 750.000 IU DHG Hậu Giang (hộp 24 gói x 3g) "</t>
  </si>
  <si>
    <t>https://product.hstatic.net/200000428801/product/upload_3c6df4dc30594fccbe3254efe24757da.jpg</t>
  </si>
  <si>
    <t>Q302250323153</t>
  </si>
  <si>
    <t>" Rovas Spiramycin 1.5MIU DHG Hậu Giang (hộp 2 vỉ x 8 viên) "</t>
  </si>
  <si>
    <t>https://product.hstatic.net/200000428801/product/upload_314fb2b8948a4d0bb20aaa313dbe9770.jpg</t>
  </si>
  <si>
    <t>Q302250323154</t>
  </si>
  <si>
    <t>" Rovas spiramycin 3000000 iu DHG (hộp 2 vỉ x 5 viên nén) "</t>
  </si>
  <si>
    <t>https://product.hstatic.net/200000428801/product/upload_30ba9ef6fad846bf811a6a18c4df3b3c.jpg</t>
  </si>
  <si>
    <t>Q302250323155</t>
  </si>
  <si>
    <t>" Rowachol Rowa (hộp 10 vỉ x 10 viên nang) "</t>
  </si>
  <si>
    <t>https://product.hstatic.net/200000428801/product/upload_3ce158d0e61e48a3a512c2599003b8ac.jpg</t>
  </si>
  <si>
    <t>Q302447587</t>
  </si>
  <si>
    <t>" Rowatinex Borneol Rowa (Hộp 10 vỉ x 10 viên) "</t>
  </si>
  <si>
    <t>https://product.hstatic.net/200000428801/product/upload_ffa0ebf53fa746fda6e7a4cb37e741df.jpg</t>
  </si>
  <si>
    <t>Q302093900</t>
  </si>
  <si>
    <t>" Roxithromycin 150mg DHG (Hộp 3vỉ x 10 viên nén bao phim) "</t>
  </si>
  <si>
    <t>https://product.hstatic.net/200000428801/product/upload_b77094c37faa48c09230775a2d6fe3ba.jpg</t>
  </si>
  <si>
    <t>Q302665887</t>
  </si>
  <si>
    <t>" Roxithromycin 150mg Mekophar (Hộp 10 vỉ x 10 viên nén) "</t>
  </si>
  <si>
    <t>https://product.hstatic.net/200000428801/product/upload_e2f06c1681014b5a946908244ffb893d.jpg</t>
  </si>
  <si>
    <t>Q302250323156</t>
  </si>
  <si>
    <t>" Rudondo dầu gội ngừa nấm GSV (lọ 120ml) "</t>
  </si>
  <si>
    <t>https://product.hstatic.net/200000428801/product/upload_5091b55aa6da490a8bda0a3655ee199b.jpg</t>
  </si>
  <si>
    <t>Q302250323157</t>
  </si>
  <si>
    <t>" Rupafin Rudatadin 10mg Hyphens (hộp 1 vỉ x 10 viên) "</t>
  </si>
  <si>
    <t>https://product.hstatic.net/200000428801/product/upload_db1d4fe5477d4bdbb7591f33c80fd10a.jpg</t>
  </si>
  <si>
    <t>Q302250323159</t>
  </si>
  <si>
    <t>" Rutin C Hà Thành (hộp 10 vỉ x 10 viên nén) "</t>
  </si>
  <si>
    <t>https://product.hstatic.net/200000428801/product/upload_dddd2c751f2b42479281221ed90e64ea.jpg</t>
  </si>
  <si>
    <t>Q30227032368</t>
  </si>
  <si>
    <t>" Sacendol Vacopharm (cọc 10 hộp x 10 gói x 1g cốm) "</t>
  </si>
  <si>
    <t>https://product.hstatic.net/200000428801/product/upload_e6b58aeb04f744138d3ef56b9696e728.jpg</t>
  </si>
  <si>
    <t>Q30227032369</t>
  </si>
  <si>
    <t>" Sacendol Vacopharm (hộp 200 gói x 1g) "</t>
  </si>
  <si>
    <t>https://product.hstatic.net/200000428801/product/upload_845e0d4e4c924d1bb8a4b634edf46735.jpg</t>
  </si>
  <si>
    <t>Q30227032370</t>
  </si>
  <si>
    <t>" SacheNyst Nystatin 25.000IU Mediplantex (hộp 10 gói x 1g) "</t>
  </si>
  <si>
    <t>https://product.hstatic.net/200000428801/product/upload_188dee7b7da844a0aa32f32c10f250c8.jpg</t>
  </si>
  <si>
    <t>Q302270323254</t>
  </si>
  <si>
    <t>" Safaria Farmaprin Moldova (hộp 10 viên đặt) "</t>
  </si>
  <si>
    <t>https://product.hstatic.net/200000428801/product/upload_391caa1b43044a5dbeeeda17ddc5ba59.jpg</t>
  </si>
  <si>
    <t>Q30227032373</t>
  </si>
  <si>
    <t>" Saforelle Bebe gel tắm Pháp (chai 250ml) "</t>
  </si>
  <si>
    <t>https://product.hstatic.net/200000428801/product/upload_c3c270c59d2943faa0c776cf37137146.jpg</t>
  </si>
  <si>
    <t>Q30227032374</t>
  </si>
  <si>
    <t>" Safvex hương cam Pasteur Đà Lạt (hộp 30 gói x 3g) "</t>
  </si>
  <si>
    <t>https://product.hstatic.net/200000428801/product/upload_865c2f98d614461892d3e20fab2ddf59.jpg</t>
  </si>
  <si>
    <t>Q30227032375</t>
  </si>
  <si>
    <t>" Saihasin Piracetam 1200mg bổ não Hà Tây (hộp 20 ống x 10ml) "</t>
  </si>
  <si>
    <t>https://product.hstatic.net/200000428801/product/upload_00dc3cd092634cc38b18877c688f825a.jpg</t>
  </si>
  <si>
    <t>Q30227032376</t>
  </si>
  <si>
    <t>" Sali-10 Perfect kem trị khô da Gamma (Tube 30g) "</t>
  </si>
  <si>
    <t>https://product.hstatic.net/200000428801/product/upload_a5d93e606a234a67bd4bac44c34752fe.jpg</t>
  </si>
  <si>
    <t>Q30227032377</t>
  </si>
  <si>
    <t>" Salicylic 5% Hà Tây (Tube 15g) "</t>
  </si>
  <si>
    <t>Q30227032378</t>
  </si>
  <si>
    <t>" Salis Soap Bar Thổ Nhĩ Kì (hộp 1 bánh 80g) "</t>
  </si>
  <si>
    <t>https://product.hstatic.net/200000428801/product/upload_a21b21e3c7a94a77ac5a7b32558ac1cd.jpg</t>
  </si>
  <si>
    <t>Q302180323105</t>
  </si>
  <si>
    <t>" Salonpas cao dán Hisamitsu ( miếng 6,5cm x 4,2cm hộp 40 miếng x 5 hộp) "</t>
  </si>
  <si>
    <t>https://product.hstatic.net/200000428801/product/upload_792cebd19cdc4f3d99f0f7324d811364.jpg</t>
  </si>
  <si>
    <t>Q30227032386</t>
  </si>
  <si>
    <t>" Sáng mắt Traphaco (hộp 10 gói x 5g viên hoàn) "</t>
  </si>
  <si>
    <t>https://product.hstatic.net/200000428801/product/upload_c80799b5b9bc4379a70434611be143c1.jpg</t>
  </si>
  <si>
    <t>Q30227032387</t>
  </si>
  <si>
    <t>" Sáng mắt Traphaco (hộp 10 vỉ x 10 viên nang) "</t>
  </si>
  <si>
    <t>https://product.hstatic.net/200000428801/product/511_54845da2f67943bea40c467b2e7fd004.png</t>
  </si>
  <si>
    <t>Q30227032389</t>
  </si>
  <si>
    <t>" Sangobion bổ máu Merck (hộp 7 vỉ x 4 viên) "</t>
  </si>
  <si>
    <t>https://product.hstatic.net/200000428801/product/upload_eb4d551ca7c24a04936d57d49143630c.jpg</t>
  </si>
  <si>
    <t>Q30227032390</t>
  </si>
  <si>
    <t>" Sanlein 0.1% Natri hyaluronate 5mg Santen Nhật Bản (lọ 5ml) "</t>
  </si>
  <si>
    <t>https://product.hstatic.net/200000428801/product/upload_68f56a71a57b4cc4b3d00c939727692b.jpg</t>
  </si>
  <si>
    <t>Q30227032391</t>
  </si>
  <si>
    <t>" Sanlein 0.3% Natri hyaluronate 15mg Santen Nhật Bản (lọ 5ml) "</t>
  </si>
  <si>
    <t>https://product.hstatic.net/200000428801/product/512_93fd3c5881db4937a4d94709b9bfd085.png</t>
  </si>
  <si>
    <t>Q30227032392</t>
  </si>
  <si>
    <t>" Sansvigyl Pháp Âu (hộp 2 vỉ x 10 viên nén bao phim) "</t>
  </si>
  <si>
    <t>https://product.hstatic.net/200000428801/product/upload_98957ea5d0c54fc7989b92eee2c80df1.jpg</t>
  </si>
  <si>
    <t>Q30227032350</t>
  </si>
  <si>
    <t>" Sanyrene xịt loét hăm da Urgo Pháp (lọ 20ml) "</t>
  </si>
  <si>
    <t>https://product.hstatic.net/200000428801/product/535_08bee5c6726b4f34a1720de132af0d2f.png</t>
  </si>
  <si>
    <t>Q30227032351</t>
  </si>
  <si>
    <t>" Sara Paracetamol 120mg/5ml hương dâu Thai Nakorn Patana (lọ 60ml) "</t>
  </si>
  <si>
    <t>https://product.hstatic.net/200000428801/product/upload_b064f5c57bc449e684b1857a37b91a82.jpg</t>
  </si>
  <si>
    <t>Q30227032353</t>
  </si>
  <si>
    <t>" Sara Paracetamol 500mg Thai Nakorn Patana (hộp 20 vỉ x 10 viên) "</t>
  </si>
  <si>
    <t>https://product.hstatic.net/200000428801/product/upload_c516cff843294474909bb26eceafeb78.jpg</t>
  </si>
  <si>
    <t>Q30227032354</t>
  </si>
  <si>
    <t>" Sastan H Sai Mirra Ấn Độ (hộp 3 vỉ x 10 viên) "</t>
  </si>
  <si>
    <t>https://product.hstatic.net/200000428801/product/5b153db9a0ef4ac1946e473c5f013ea8_09930c49d24442359d710acb1ca0c493.png</t>
  </si>
  <si>
    <t>Q30225032362</t>
  </si>
  <si>
    <t>" Satbb Natri Clorid 0.9% súc miệng Đại Lợi (kiện 21 chai x 550ml) "</t>
  </si>
  <si>
    <t>https://product.hstatic.net/200000428801/product/upload_2c6c15db554f4c86853dcc198851bcce.jpg</t>
  </si>
  <si>
    <t>Q30227032355</t>
  </si>
  <si>
    <t>" Saugella Attiva Ph3.5 VSPN Mylan (lọ 100ml) "</t>
  </si>
  <si>
    <t>https://product.hstatic.net/200000428801/product/upload_c76fb8a236c14670986340fc0c4abe0a.jpg</t>
  </si>
  <si>
    <t>Q30225032364</t>
  </si>
  <si>
    <t>" SaVi Dopril Perindopril 4mg Savipham (hộp 3 vỉ x 10 viên nén) "</t>
  </si>
  <si>
    <t>https://product.hstatic.net/200000428801/product/upload_58e4ae1a35c242099884ab380ce4b27b.jpg</t>
  </si>
  <si>
    <t>Q30225032365</t>
  </si>
  <si>
    <t>" SaVi Dopril Plus Perindopril 4mg hộp 3 vỉ x 10 viên nén "</t>
  </si>
  <si>
    <t>https://product.hstatic.net/200000428801/product/upload_8d09b762838343cc9e36cc991e6c165a.jpg</t>
  </si>
  <si>
    <t>Q30225032366</t>
  </si>
  <si>
    <t>" SaVi Esomeprazole 40mg hộp 2 vỉ x 7 viên nén "</t>
  </si>
  <si>
    <t>https://product.hstatic.net/200000428801/product/upload_bc8f034dd491406da7791c7eee41e038.jpg</t>
  </si>
  <si>
    <t>Q30225032367</t>
  </si>
  <si>
    <t>" Savi Losartan 100mg hộp 3 vỉ x 10 viên nén "</t>
  </si>
  <si>
    <t>https://product.hstatic.net/200000428801/product/upload_28e8e2b3a72148548bdde766d5342ce8.jpg</t>
  </si>
  <si>
    <t>Q30225032368</t>
  </si>
  <si>
    <t>" Savi Losartan 50mg hộp 3 vỉ x 10 viên nén "</t>
  </si>
  <si>
    <t>https://product.hstatic.net/200000428801/product/upload_023fc5482e8b4182bd7b8841179d70eb.jpg</t>
  </si>
  <si>
    <t>Q30225032369</t>
  </si>
  <si>
    <t>" Savi Prolol 2,5mg hộp 3 vỉ x 10 viên bao phim "</t>
  </si>
  <si>
    <t>https://product.hstatic.net/200000428801/product/upload_3d3fde6a9db247dd815ff5017520dcf4.jpg</t>
  </si>
  <si>
    <t>Q30225032370</t>
  </si>
  <si>
    <t>" SaviValsartan 80mg Savi (hộp 3 vỉ x 10 viên nén) "</t>
  </si>
  <si>
    <t>https://product.hstatic.net/200000428801/product/f913db376c99b1c7e888_7026dbd2c85444d6bcb3c50dbe3787b5.jpg</t>
  </si>
  <si>
    <t>Q302220323182</t>
  </si>
  <si>
    <t>https://product.hstatic.net/200000428801/product/upload_d105385ebc7445688924cfeeb6e8dc4a.jpg</t>
  </si>
  <si>
    <t>Q30227032362</t>
  </si>
  <si>
    <t>" Sắc ngọc khang ++ nám, tàn nhang Hoa Thiên Phú (lọ 60 viên) "</t>
  </si>
  <si>
    <t>https://product.hstatic.net/200000428801/product/upload_5aabec414f604c278e9b8a8533a66922.jpg</t>
  </si>
  <si>
    <t>Q30227032363</t>
  </si>
  <si>
    <t>" Sắc ngọc khang dưỡng da ban đêm Hoa Thiên Phú (lọ 10g) "</t>
  </si>
  <si>
    <t>https://product.hstatic.net/200000428801/product/upload_56d194c41b7644b1b6e473be94231998.jpg</t>
  </si>
  <si>
    <t>Q30227032364</t>
  </si>
  <si>
    <t>" Sắc ngọc khang dưỡng da ban đêm Hoa Thiên Phú (lọ 30g) "</t>
  </si>
  <si>
    <t>https://product.hstatic.net/200000428801/product/upload_b2a9c416e5114c85ac0624e537201503.jpg</t>
  </si>
  <si>
    <t>Q30227032365</t>
  </si>
  <si>
    <t>" Sắc ngọc khang Hoa Thiên Phú (lọ 60 viên nang) "</t>
  </si>
  <si>
    <t>https://product.hstatic.net/200000428801/product/upload_1e42981357764dfca527b60706b58e05.jpg</t>
  </si>
  <si>
    <t>Q30227032366</t>
  </si>
  <si>
    <t>" Sắc phụ hương Hà Tĩnh Hadiphar (lọ 200ml) "</t>
  </si>
  <si>
    <t>https://product.hstatic.net/200000428801/product/upload_9e4b44f138dc44238f24fafcf5708a8a.jpg</t>
  </si>
  <si>
    <t>Q30227032367</t>
  </si>
  <si>
    <t>" Sắc thể ngọc hoàn khang Việt Nam (lọ 12g) "</t>
  </si>
  <si>
    <t>https://product.hstatic.net/200000428801/product/upload_26fa9d506ec44ceeb6fc9b336dae437f.jpg</t>
  </si>
  <si>
    <t>Q30227032380</t>
  </si>
  <si>
    <t>" Sâm nhung bổ thận Hà Tĩnh Hadiphar (lọ 60 viên nang) "</t>
  </si>
  <si>
    <t>https://product.hstatic.net/200000428801/product/1ad6444098ee45b01cff_eaf3fc7f49fb46dc87660840dc671b1d.jpg</t>
  </si>
  <si>
    <t>Q302838626</t>
  </si>
  <si>
    <t>" Sâm Nhung Bổ Thận TW3 Cho Cả Nam Và Nữ (Hộp 30 viên) "</t>
  </si>
  <si>
    <t>https://product.hstatic.net/200000428801/product/upload_112f687d1623402bab15570d48ba9f62.jpg</t>
  </si>
  <si>
    <t>Q302220323183</t>
  </si>
  <si>
    <t>" Scanax 500mg Ciprofloxacin Stella (hộp 5 vỉ nhôm x 10 viên nén) "</t>
  </si>
  <si>
    <t>https://product.hstatic.net/200000428801/product/upload_d14899f2b42a44fb8a1653b354f28e71.jpg</t>
  </si>
  <si>
    <t>Q302220323184</t>
  </si>
  <si>
    <t>" Scanax 500mg Ciprofloxacin Stella (hộp 5 vỉ thường x 10 viên nén) "</t>
  </si>
  <si>
    <t>https://product.hstatic.net/200000428801/product/upload_6e9fb589ca5d4b73bde557fba707f826.jpg</t>
  </si>
  <si>
    <t>Q30227032356</t>
  </si>
  <si>
    <t>" Scanneuron Forte Stella (hộp 10 vỉ x 10 viên nén) "</t>
  </si>
  <si>
    <t>https://product.hstatic.net/200000428801/product/upload_64a0b8000c0145ad989f7afb7d6ff764.jpg</t>
  </si>
  <si>
    <t>Q302220323185</t>
  </si>
  <si>
    <t>" Scanneuron Stella (hộp 10 vỉ x 10 viên nén) "</t>
  </si>
  <si>
    <t>https://product.hstatic.net/200000428801/product/upload_3c9c9a8bbfd6404eae73c7e875106c4b.jpg</t>
  </si>
  <si>
    <t>Q302220323186</t>
  </si>
  <si>
    <t>" Scar Esthetique trị sẹo Mỹ (tuýp 10ml) "</t>
  </si>
  <si>
    <t>https://product.hstatic.net/200000428801/product/upload_01fb5e0b97374215ae9d92cd4382ce86.jpg</t>
  </si>
  <si>
    <t>Q302220323187</t>
  </si>
  <si>
    <t>" ScarZ Intensive gel mờ sẹo chuyên sâu Rohto (tuýp 9g) "</t>
  </si>
  <si>
    <t>https://product.hstatic.net/200000428801/product/upload_8657a067b47b4917a2af41ebe0f56b4e.jpg</t>
  </si>
  <si>
    <t>Q302220323188</t>
  </si>
  <si>
    <t>" SciLin M30 40IU/ml Bioton Ba Lan (lọ 10ml tiêm) "</t>
  </si>
  <si>
    <t>https://product.hstatic.net/200000428801/product/upload_a84da70706954048bebeb50341a3f88b.jpg</t>
  </si>
  <si>
    <t>Q302220323189</t>
  </si>
  <si>
    <t>" SciLin N 40IU/ml Bioton Ba Lan (lọ 10ml tiêm) "</t>
  </si>
  <si>
    <t>https://product.hstatic.net/200000428801/product/upload_249ea7144bb64d6692a0809cf687f4b2.jpg</t>
  </si>
  <si>
    <t>Q302220323190</t>
  </si>
  <si>
    <t>" Scurma Fizzy New Nam Hà (hộp 2 Tube x 10 viên sủi) "</t>
  </si>
  <si>
    <t>https://product.hstatic.net/200000428801/product/upload_6b1c0758401c4577ae214ba78ca968a1.jpg</t>
  </si>
  <si>
    <t>Q302220323191</t>
  </si>
  <si>
    <t>" SeaCan Traphaco (lọ 60 viên nén bao phim) "</t>
  </si>
  <si>
    <t>https://product.hstatic.net/200000428801/product/upload_6e733016ced2475f8ee9970cba30a9ff.jpg</t>
  </si>
  <si>
    <t>Q302220323192</t>
  </si>
  <si>
    <t>" Sebamed Cleansing Bar xà phòng kháng khuẩn PH5,5 thanh 100g Đức "</t>
  </si>
  <si>
    <t>https://product.hstatic.net/200000428801/product/upload_83878a08f3c8465e9f1fbdf7a200bd96.jpg</t>
  </si>
  <si>
    <t>Q302220323193</t>
  </si>
  <si>
    <t>" Sedanxio Lạc tiên 200mg Tilman Bỉ (hộp 5 vỉ x 10 viên) "</t>
  </si>
  <si>
    <t>https://product.hstatic.net/200000428801/product/upload_04f24ebc69b34af9addb0ef6cd9b1c92.jpg</t>
  </si>
  <si>
    <t>Q302220323194</t>
  </si>
  <si>
    <t>" Selsun Selenium Sulfide 1,8% gội ngừa gàu Rohto (lọ 100ml) "</t>
  </si>
  <si>
    <t>https://product.hstatic.net/200000428801/product/536_616d67fd3bf84324bf98eef29182fe93.png</t>
  </si>
  <si>
    <t>Q302220323195</t>
  </si>
  <si>
    <t>" Selsun Selenium Sulfide 1% gội ngừa gàu Rohto (lọ 50ml) "</t>
  </si>
  <si>
    <t>https://product.hstatic.net/200000428801/product/upload_3951262d263e4543ab5365c867ae7590.jpg</t>
  </si>
  <si>
    <t>Q302220323196</t>
  </si>
  <si>
    <t>" Semirad Nicergoline 10mg Ba Lan (hộp 30 viên nén) "</t>
  </si>
  <si>
    <t>https://product.hstatic.net/200000428801/product/upload_19a0e640fc754dc0bb204e0c2b3aae54.jpg</t>
  </si>
  <si>
    <t>Q302220323197</t>
  </si>
  <si>
    <t>" Semyn100 Ý (hộp 30 viên nén) "</t>
  </si>
  <si>
    <t>https://product.hstatic.net/200000428801/product/upload_a658c8843f314115b42b8f40fa76bc13.jpg</t>
  </si>
  <si>
    <t>Q302220323199</t>
  </si>
  <si>
    <t>" Sensodyne Cool Gel kem đánh răng Gsk (Tube 100g) "</t>
  </si>
  <si>
    <t>https://product.hstatic.net/200000428801/product/upload_d74ac98609054fd099174d553b7bbfa5.jpg</t>
  </si>
  <si>
    <t>Q302220323200</t>
  </si>
  <si>
    <t>" Sensodyne Fresh Mint kem đánh răng Gsk (Tube 100g) "</t>
  </si>
  <si>
    <t>https://product.hstatic.net/200000428801/product/upload_ce3edc79a5284d3cb02bab0430aeb995.jpg</t>
  </si>
  <si>
    <t>Q302220323250</t>
  </si>
  <si>
    <t>" Sensodyne Gentle Whitening kem đánh răng Gsk (Tube 100g) "</t>
  </si>
  <si>
    <t>https://product.hstatic.net/200000428801/product/upload_5ede7c77725143118cf3d04031b30760.jpg</t>
  </si>
  <si>
    <t>Q302220323251</t>
  </si>
  <si>
    <t>" Sensodyne Rapid Action kem đánh răng Gsk (Tube 100g) "</t>
  </si>
  <si>
    <t>https://product.hstatic.net/200000428801/product/504_19c86d07300741eeb08eb3d80ad884d0.png</t>
  </si>
  <si>
    <t>Q30220032347</t>
  </si>
  <si>
    <t>" Seretide Evohaler 25/125 trị hen Gsk (lọ 120 liều xịt) "</t>
  </si>
  <si>
    <t>https://product.hstatic.net/200000428801/product/upload_5c88d1c4d87e4a5a9bf9b4a9cd372148.jpg</t>
  </si>
  <si>
    <t>Q30220032348</t>
  </si>
  <si>
    <t>" Seretide Evohaler 25/250 trị hen Gsk (lọ 120 liều xịt) "</t>
  </si>
  <si>
    <t>https://product.hstatic.net/200000428801/product/537_1154653f1a0e41e692dac7dfa6796183.png</t>
  </si>
  <si>
    <t>Q302220323252</t>
  </si>
  <si>
    <t>" Seropin 200mg Quetiapine Genepharm (Hộp 6 vỉ x 10 viên nén bao phim) "</t>
  </si>
  <si>
    <t>https://product.hstatic.net/200000428801/product/538_78b328817ec64d019f2e5682a20cb825.png</t>
  </si>
  <si>
    <t>Q302220323253</t>
  </si>
  <si>
    <t>" Seroquel XR Quetiapin 200mg AstraZeneca (hộp 3 vỉ x 10 viên) "</t>
  </si>
  <si>
    <t>https://product.hstatic.net/200000428801/product/upload_5419e6a78b82489ca80ae6084246be49.jpg</t>
  </si>
  <si>
    <t>Q302220323254</t>
  </si>
  <si>
    <t>" Seroquel XR Quetiapin 50mg AstraZeneca (hộp 3 vỉ x 10 viên) "</t>
  </si>
  <si>
    <t>https://product.hstatic.net/200000428801/product/upload_9616e8307fe54184942d3b6067dc5945.jpg</t>
  </si>
  <si>
    <t>Q302220323255</t>
  </si>
  <si>
    <t>" Sertil Sertraline 100mg Kwality Ấn Độ (hộp 3 vỉ x 10 viên) "</t>
  </si>
  <si>
    <t>https://product.hstatic.net/200000428801/product/upload_50b8f3b924ad4e4e981e11dcbe288e28.jpg</t>
  </si>
  <si>
    <t>Q302220323256</t>
  </si>
  <si>
    <t>" Sertil Sertraline 50mg Kwality Ấn Độ (hộp 3 vỉ x 10 viên) "</t>
  </si>
  <si>
    <t>https://product.hstatic.net/200000428801/product/upload_a918228ddfcb4ec79d606a9f7b5c097b.jpg</t>
  </si>
  <si>
    <t>Q302220323257</t>
  </si>
  <si>
    <t>" Seven Days giảm cân Hong Kong (hộp 3 vỉ x 12 viên) "</t>
  </si>
  <si>
    <t>https://product.hstatic.net/200000428801/product/upload_aae0bee9bfb74cb4a1736c77b4ee228e.jpg</t>
  </si>
  <si>
    <t>Q30225032371</t>
  </si>
  <si>
    <t>" Shakes Mirtazapine 30mg Davipharm (hộp 4 vỉ x 7 viên nén) "</t>
  </si>
  <si>
    <t>https://product.hstatic.net/200000428801/product/upload_b839352f72e747a580378ff59b92f2a1.jpg</t>
  </si>
  <si>
    <t>Q302220323261</t>
  </si>
  <si>
    <t>https://product.hstatic.net/200000428801/product/upload_3bf562b1b07341e7b7b2e9918b659718.jpg</t>
  </si>
  <si>
    <t>Q302220323262</t>
  </si>
  <si>
    <t>" Shark cartilage 750mg Mỹ (lọ 60 viên nang) "</t>
  </si>
  <si>
    <t>https://product.hstatic.net/200000428801/product/upload_73f576dc65fc42c78e6189d930c155e3.jpg</t>
  </si>
  <si>
    <t>Q302220323263</t>
  </si>
  <si>
    <t>" Shema lá đôi hồng vệ sinh phụ nữ Merap (lọ 100ml) "</t>
  </si>
  <si>
    <t>https://product.hstatic.net/200000428801/product/7afa2570f6de2b8072cf_2b6f47d5e0f64f5a913cbf095f8ba740.jpg</t>
  </si>
  <si>
    <t>Q302220323264</t>
  </si>
  <si>
    <t>" Shema lá đôi VSPN hồng Merap (lọ 200ml) "</t>
  </si>
  <si>
    <t>https://product.hstatic.net/200000428801/product/upload_65e843badc244e42a2dc1d08a71d5824.jpg</t>
  </si>
  <si>
    <t>Q30225032372</t>
  </si>
  <si>
    <t>" Shema lá đôi xanh vệ sinh phụ nữ Merap (lọ 100ml) "</t>
  </si>
  <si>
    <t>https://product.hstatic.net/200000428801/product/upload_1ba8485b0a8348eaa134e7cd0a0c5651.jpg</t>
  </si>
  <si>
    <t>Q30225032373</t>
  </si>
  <si>
    <t>" Shinphagel Aluminum phosphate 2,476g Shinpoong (hộp 20 gói x 20g) "</t>
  </si>
  <si>
    <t>https://product.hstatic.net/200000428801/product/upload_94dce5507bd344df9ddf1bf6d2d3ec87.jpg</t>
  </si>
  <si>
    <t>Q30225032374</t>
  </si>
  <si>
    <t>" Shisaf xịt muối biển người lớn Quang Minh (lọ 75ml) "</t>
  </si>
  <si>
    <t>https://product.hstatic.net/200000428801/product/upload_1494fb5017204ca8b2002aee5b6e3ce3.jpg</t>
  </si>
  <si>
    <t>Q30225032375</t>
  </si>
  <si>
    <t>" Shisaf xịt muối biển trẻ em Quang Minh (lọ 75ml) "</t>
  </si>
  <si>
    <t>https://product.hstatic.net/200000428801/product/upload_a5b22eb4afa74a86ad80f73db46fb143.jpg</t>
  </si>
  <si>
    <t>Q30225032376</t>
  </si>
  <si>
    <t>" Shitinsof gội nâu tóc Amepro (hộp 3 gói x 15ml) "</t>
  </si>
  <si>
    <t>https://product.hstatic.net/200000428801/product/upload_2c90b9ef6df245f99a53873b817b8745.jpg</t>
  </si>
  <si>
    <t>Q30225032377</t>
  </si>
  <si>
    <t>" Siberizin Flunarizin 5mg Sao Kim (hộp 10 vỉ x 10 viên nang cứng) "</t>
  </si>
  <si>
    <t>https://product.hstatic.net/200000428801/product/upload_41a7ea59e6ba4aa39fc18ddb5ff467fd.jpg</t>
  </si>
  <si>
    <t>Q30225032378</t>
  </si>
  <si>
    <t>" Sibetinic Flunarizin 5mg Nic (hộp 10 vỉ x 10 viên nén) "</t>
  </si>
  <si>
    <t>https://product.hstatic.net/200000428801/product/upload_200bb0d5eb9d419bb3c22601f3927241.jpg</t>
  </si>
  <si>
    <t>Q30225032379</t>
  </si>
  <si>
    <t>" Sifrol Pramipexol 0.25mg Boehringer Ingelheim (hộp 3 vỉ x 10 viên nén) "</t>
  </si>
  <si>
    <t>https://product.hstatic.net/200000428801/product/upload_db77741ed38548a8a99cc3bfe067dd2c.jpg</t>
  </si>
  <si>
    <t>Q30225032380</t>
  </si>
  <si>
    <t>" Sifrol Pramipexole 0.75mg Boehringer (hộp 3 vỉ x 10 viên nén) "</t>
  </si>
  <si>
    <t>https://product.hstatic.net/200000428801/product/upload_f67f256e12cc4280bad70a13c2f60860.jpg</t>
  </si>
  <si>
    <t>Q30225032381</t>
  </si>
  <si>
    <t>" Sifstad Pramipexole 0.18mg Stella (hộp 3 vỉ x 10 viên nén) "</t>
  </si>
  <si>
    <t>https://product.hstatic.net/200000428801/product/upload_45dd9845bf274b4d8e5ca621ebc3e551.jpg</t>
  </si>
  <si>
    <t>Q30225032382</t>
  </si>
  <si>
    <t>" Sihiron kem bảy màu tuýp Bình Thuận (cọc 10 tuýp x 10g) "</t>
  </si>
  <si>
    <t>https://product.hstatic.net/200000428801/product/upload_9f24cbc77d834a66853185049f336154.jpg</t>
  </si>
  <si>
    <t>Q30225032383</t>
  </si>
  <si>
    <t>" Sikemeron Vidipha (cọc 10 tuýp x 10g) "</t>
  </si>
  <si>
    <t>https://product.hstatic.net/200000428801/product/upload_a249d65446204dacaeae6bfb566160a0.jpg</t>
  </si>
  <si>
    <t>Q30225032384</t>
  </si>
  <si>
    <t>" Silk Tape băng dính lụa 1.25cm x 4m hộp 12 cuộn "</t>
  </si>
  <si>
    <t>https://product.hstatic.net/200000428801/product/upload_f36809259e7140f88407a1dd739e357d.jpg</t>
  </si>
  <si>
    <t>Q30225032385</t>
  </si>
  <si>
    <t>" Silk Tape băng dính lụa 2.5cm x 4m hộp 12 cuộn "</t>
  </si>
  <si>
    <t>https://product.hstatic.net/200000428801/product/upload_fec2bb3d2d384001b35c69d2ad185ab1.jpg</t>
  </si>
  <si>
    <t>Q30225032386</t>
  </si>
  <si>
    <t>" Silk Tape băng dính lụa 5cm x 4m hộp 6 cuộn "</t>
  </si>
  <si>
    <t>https://product.hstatic.net/200000428801/product/upload_5eccf3e368cf4ab78ee5441d01064ac0.jpg</t>
  </si>
  <si>
    <t>Q30225032387</t>
  </si>
  <si>
    <t>" Silkeron trị nấm viêm da Phil Inter (Tube 10g) "</t>
  </si>
  <si>
    <t>https://product.hstatic.net/200000428801/product/upload_e54581c8c74f4eca836fa95ffb7696f5.jpg</t>
  </si>
  <si>
    <t>Q30225032388</t>
  </si>
  <si>
    <t>" Silnozigyn NMTech Ý (hộp 1 vỉ x 10 viên đặt) "</t>
  </si>
  <si>
    <t>https://product.hstatic.net/200000428801/product/upload_ed66f430f2af4560a05223ae0b40e4a2.jpg</t>
  </si>
  <si>
    <t>Q30225032389</t>
  </si>
  <si>
    <t>" Silygamma Silymarin 150mg Worwag Đức (hộp 4 vỉ x 25 viên) "</t>
  </si>
  <si>
    <t>https://product.hstatic.net/200000428801/product/upload_90076a16cd3542e2843de28ba8b38d5a.jpg</t>
  </si>
  <si>
    <t>Q30225032390</t>
  </si>
  <si>
    <t>" Silyhepatis Choa Pharm Hàn Quốc (hộp 20 ống x 5ml) "</t>
  </si>
  <si>
    <t>https://product.hstatic.net/200000428801/product/upload_420f058787014d6ba29347babf8c045e.jpg</t>
  </si>
  <si>
    <t>Q30225032350</t>
  </si>
  <si>
    <t>" Silymax Mediplantex (hộp 4 vỉ x 15 viên) "</t>
  </si>
  <si>
    <t>https://product.hstatic.net/200000428801/product/upload_ce570a5e7b814ce39f37f5a32b441f9d.jpg</t>
  </si>
  <si>
    <t>Q30225032351</t>
  </si>
  <si>
    <t>" Silymax-F Silymarin 140mg Mediplantex (hộp 6 vỉ x 10 viên nang) "</t>
  </si>
  <si>
    <t>https://product.hstatic.net/200000428801/product/upload_53d5084d2412496fa34899f3d9442ce2.jpg</t>
  </si>
  <si>
    <t>Q30225032352</t>
  </si>
  <si>
    <t>" Simbiosistem Bustine bổ sung lợi khuẩn Italy (hộp 20 gói x 2g) "</t>
  </si>
  <si>
    <t>https://product.hstatic.net/200000428801/product/upload_234853d21971421fa4ef67deaaea4a26.jpg</t>
  </si>
  <si>
    <t>Q30225032353</t>
  </si>
  <si>
    <t>" Simbiosistem Gocce men vi sinh Probiotacal Ý (lọ 10ml) "</t>
  </si>
  <si>
    <t>https://product.hstatic.net/200000428801/product/upload_ca45523e358345dda00305c3ae2b40c8.jpg</t>
  </si>
  <si>
    <t>Q30225032354</t>
  </si>
  <si>
    <t>" Simenic Tech World Hàn Quốc (hộp 3 vỉ x 10 viên nang mềm) "</t>
  </si>
  <si>
    <t>Q30225032355</t>
  </si>
  <si>
    <t>" Simethicone Stella (lọ 15ml) "</t>
  </si>
  <si>
    <t>https://product.hstatic.net/200000428801/product/upload_87ecf652189f4c7d934b0b0c267a9e2c.jpg</t>
  </si>
  <si>
    <t>Q30225032356</t>
  </si>
  <si>
    <t>" Simguline Montelukast 10mg Nic (hộp 3 vỉ x 10 viên) "</t>
  </si>
  <si>
    <t>https://product.hstatic.net/200000428801/product/upload_d2ce98b0725c49b6b541f9f7617406e2.jpg</t>
  </si>
  <si>
    <t>Q30225032357</t>
  </si>
  <si>
    <t>" Simguline Montelukast 5mg Nic (hộp 3 vỉ x 10 viên) "</t>
  </si>
  <si>
    <t>https://product.hstatic.net/200000428801/product/55434aa8a0067d582417_f690ba3112d94d28ae92df4ab8e0db92.jpg</t>
  </si>
  <si>
    <t>Q30225032358</t>
  </si>
  <si>
    <t>" Simicarbo Simethicone + Active Carbon Italy (hộp 2 vỉ x 10 viên nén) "</t>
  </si>
  <si>
    <t>https://product.hstatic.net/200000428801/product/upload_123f2308e302485fb96dd364d709755b.jpg</t>
  </si>
  <si>
    <t>Q30225032359</t>
  </si>
  <si>
    <t>" Simvastatin 10mg Stella (hộp 3 vỉ x 10 viên nén) "</t>
  </si>
  <si>
    <t>https://product.hstatic.net/200000428801/product/upload_8a038f0630d24325b695a271b6d84cbc.jpg</t>
  </si>
  <si>
    <t>Q30225032360</t>
  </si>
  <si>
    <t>" Simvastatin 20mg Stella (hộp 3 vỉ x 10 viên nén) "</t>
  </si>
  <si>
    <t>https://cdn2-retail-images.kiotviet.vn/2026/02/07/giabaopharma/995f25bd83a740499dfaec0ff7f04f0e.png</t>
  </si>
  <si>
    <t>Q302123478</t>
  </si>
  <si>
    <t>" Singulair 10mg Montelukast Sodium MSD (Hộp 2 vỉ x 14 viên) "</t>
  </si>
  <si>
    <t>https://product.hstatic.net/200000428801/product/upload_13826a1102394510a091d0dbce288d74.jpg</t>
  </si>
  <si>
    <t>Q302987468</t>
  </si>
  <si>
    <t>" Singulair 5mg Montelukast Sodium MSD (Hộp 2 vỉ x 14 viên nhai) "</t>
  </si>
  <si>
    <t>https://product.hstatic.net/200000428801/product/upload_469c55f81c504c3380445fe074347343.jpg</t>
  </si>
  <si>
    <t>Q30222032379</t>
  </si>
  <si>
    <t>" Singulair Montelukast 4mg MSD (hộp 28 gói x 0.5g cốm) "</t>
  </si>
  <si>
    <t>https://product.hstatic.net/200000428801/product/upload_b6a33dda426c486aa8f2e6af46f1be60.jpg</t>
  </si>
  <si>
    <t>Q30222032380</t>
  </si>
  <si>
    <t>" Sirnakarang F thuốc cốm Hà Tĩnh (hộp 10 gói x 6g) "</t>
  </si>
  <si>
    <t>https://product.hstatic.net/200000428801/product/upload_8da2f3878c534b56b7dbf8aa25df1c0b.jpg</t>
  </si>
  <si>
    <t>Q3020000675</t>
  </si>
  <si>
    <t>" Siro Atussin 60ml ( C/60ml)"</t>
  </si>
  <si>
    <t>https://product.hstatic.net/200000428801/product/upload_eff04e2f3875446aa48921b4a2a2cf22.jpg</t>
  </si>
  <si>
    <t>Q302375487</t>
  </si>
  <si>
    <t>" Siro Bảo Thanh 125ml Hoa Linh (Hộp 1lọ x 125ml) "</t>
  </si>
  <si>
    <t>https://product.hstatic.net/200000428801/product/upload_75c5b109985c4f1fb77d0470e2ad9675.jpg</t>
  </si>
  <si>
    <t>Q302547385</t>
  </si>
  <si>
    <t>" Siro Bé Ho 50ml Đại Y "</t>
  </si>
  <si>
    <t>https://product.hstatic.net/200000428801/product/upload_3196e19eb3d1464c8ed487caf0702f92.jpg</t>
  </si>
  <si>
    <t>Q302552478</t>
  </si>
  <si>
    <t>" Siro Bổ Phế NAM HÀ XC (H/ 1lọ x 125ml)"</t>
  </si>
  <si>
    <t>https://product.hstatic.net/200000428801/product/upload_6a6e913617c04e3584459550e0ef88af.jpg</t>
  </si>
  <si>
    <t>Q30222032381</t>
  </si>
  <si>
    <t>" Siro chỉ khái lộ Thanh Liêm Medipharma (lọ 125ml) "</t>
  </si>
  <si>
    <t>https://product.hstatic.net/200000428801/product/upload_4c9648fe591b43d0b35466aaa799ab9f.jpg</t>
  </si>
  <si>
    <t>Q302270323251</t>
  </si>
  <si>
    <t>" Siro Coje TW3 Foripharm (siro ho lọ 75ml) "</t>
  </si>
  <si>
    <t>https://product.hstatic.net/200000428801/product/upload_4e2e2f2388664dba864f02fbb3f61348.jpg</t>
  </si>
  <si>
    <t>Q302443467</t>
  </si>
  <si>
    <t>" Siro Daleston-D TW3 (Chai 30ml) "</t>
  </si>
  <si>
    <t>https://product.hstatic.net/200000428801/product/upload_bf917282ca3549559d367d6b3805c0af.jpg</t>
  </si>
  <si>
    <t>Q302777387</t>
  </si>
  <si>
    <t>" Siro Decolgen Cảm và Cúm United (Hộp 1 chai 60ml) "</t>
  </si>
  <si>
    <t>https://product.hstatic.net/200000428801/product/3ea1b0a5720baf55f61a_a2376adf93b147b984870e109b240b3d.jpg</t>
  </si>
  <si>
    <t>Q30222032382</t>
  </si>
  <si>
    <t>" Siro Dr Sutsit ho cảm Gia An (hộp 30 gói x 5ml) "</t>
  </si>
  <si>
    <t>https://product.hstatic.net/200000428801/product/upload_aae215c65a5941528291c7e84c5d2ffb.jpg</t>
  </si>
  <si>
    <t>Q30222032383</t>
  </si>
  <si>
    <t>" Siro Dr.Sutsit Gia An (lọ 100ml) "</t>
  </si>
  <si>
    <t>https://product.hstatic.net/200000428801/product/upload_fb78747839944b5d8030f83734ca808b.jpg</t>
  </si>
  <si>
    <t>Q30222032384</t>
  </si>
  <si>
    <t>" Siro ho Ong vàng Herbal 5 (hộp 30 gói x 5ml) "</t>
  </si>
  <si>
    <t>https://product.hstatic.net/200000428801/product/upload_b048fdaa943847d4aa2340cbb83e7c29.jpg</t>
  </si>
  <si>
    <t>Q30222032385</t>
  </si>
  <si>
    <t>" Siro ho tỏi hẹ mật ong Vega (100ml) "</t>
  </si>
  <si>
    <t>https://product.hstatic.net/200000428801/product/2e607893a7247a7a2335_28fbf93a3473470ab744b667ea14ca06.jpg</t>
  </si>
  <si>
    <t>Q30222032386</t>
  </si>
  <si>
    <t>" Siro ho TW3 Foripharm (lọ 60ml) "</t>
  </si>
  <si>
    <t>https://product.hstatic.net/200000428801/product/alphachymotrypsin-4200-usp-2-1_ccfcfb0f6e9449609a640c2b69cf0929.jpg</t>
  </si>
  <si>
    <t>Q30222032387</t>
  </si>
  <si>
    <t>" Siro keo ong Ho Abipolis Abipha (lọ 90ml) "</t>
  </si>
  <si>
    <t>https://product.hstatic.net/200000428801/product/upload_c82cc38723d94eb497a8304ce1195862.jpg</t>
  </si>
  <si>
    <t>Q30222032388</t>
  </si>
  <si>
    <t>" Siro mát gan tiêu độc Đại Y (hộp 20 ống x 10ml) "</t>
  </si>
  <si>
    <t>https://product.hstatic.net/200000428801/product/upload_c23e823425784d309b5aa00a2f15d322.jpg</t>
  </si>
  <si>
    <t>Q30222032389</t>
  </si>
  <si>
    <t>" Siro mát gan tiêu độc Đại Y (lọ 250ml) "</t>
  </si>
  <si>
    <t>https://product.hstatic.net/200000428801/product/upload_fac4b7155b3946e78c62c534adb9d5d8.jpg</t>
  </si>
  <si>
    <t>Q30222032390</t>
  </si>
  <si>
    <t>" Siro P/H bổ phế, giảm ho Phúc Hưng (lọ 120ml) "</t>
  </si>
  <si>
    <t>https://product.hstatic.net/200000428801/product/upload_0733a4f16d064b9994fa7ea508094b63.jpg</t>
  </si>
  <si>
    <t>Q302885344</t>
  </si>
  <si>
    <t>" Siro Thuốc HoAstex OPC (Chai 90ml) "</t>
  </si>
  <si>
    <t>https://product.hstatic.net/200000428801/product/upload_a90b05968000409a9970bc2894e6b94a.jpg</t>
  </si>
  <si>
    <t>Q302957498</t>
  </si>
  <si>
    <t>" Siro Tiffy Syrup Thái Nakorn Patana (Chai 30ml) "</t>
  </si>
  <si>
    <t>https://product.hstatic.net/200000428801/product/upload_8d6db23fc88c4566b7c612af757e60f1.jpg</t>
  </si>
  <si>
    <t>Q30222032391</t>
  </si>
  <si>
    <t>" Siro Viatux giảm ho, giảm đờm Vietnat (hộp 25 gói x 5ml) "</t>
  </si>
  <si>
    <t>https://product.hstatic.net/200000428801/product/upload_53a2da3f5f7a4d5eb9664e580a9344c3.jpg</t>
  </si>
  <si>
    <t>Q30222032392</t>
  </si>
  <si>
    <t>" Siro Vihodan Foripharm (lọ 125ml) "</t>
  </si>
  <si>
    <t>https://cdn2-retail-images.kiotviet.vn/giabaopharma/88ff49db9c8b4a75ba24a46bed1a225b.jpg</t>
  </si>
  <si>
    <t>Q30200369</t>
  </si>
  <si>
    <t>" Sito Rostech Cần tây diệp lục hỗ trợ giảm béo giảm cân (mẫu màu tím) HD Pharma(H/30 GÓI)"</t>
  </si>
  <si>
    <t>https://product.hstatic.net/200000428801/product/00020272-katrypsin-khapharco-10x10-4389-60f5_large_883726d61a1043e3a9902772fe3a645b.jpg</t>
  </si>
  <si>
    <t>Q30222032394</t>
  </si>
  <si>
    <t>" Skin Bibi kem bôi da trẻ em Nam Hà (Tube 10g) "</t>
  </si>
  <si>
    <t>https://product.hstatic.net/200000428801/product/upload_bb1d03417e8847efa44ce49addc7e7d6.jpg</t>
  </si>
  <si>
    <t>Q30222032395</t>
  </si>
  <si>
    <t>" Skin Cool Nano Silver giảm sẹo, thâm VME (Tube 10g) "</t>
  </si>
  <si>
    <t>https://product.hstatic.net/200000428801/product/upload_f42ae37a8f254fed86f39c0baf527729.jpg</t>
  </si>
  <si>
    <t>Q30222032396</t>
  </si>
  <si>
    <t>" Skin Curcumin tránh tạo sẹo Santex (Tube 10g) "</t>
  </si>
  <si>
    <t>https://product.hstatic.net/200000428801/product/upload_eeef6fbf9a80419a8ac9a9c4d50e5e1f.jpg</t>
  </si>
  <si>
    <t>Q30222032397</t>
  </si>
  <si>
    <t>" Skin GSV sữa tắm Hóa Dược (lọ 200ml) "</t>
  </si>
  <si>
    <t>https://product.hstatic.net/200000428801/product/upload_021120b8db6b484481df913411aa7ae8.jpg</t>
  </si>
  <si>
    <t>Q30222032398</t>
  </si>
  <si>
    <t>" SkinK-U điều trị khô da, chống nứt nẻ tay chân Hoàng Tuấn (tube 30g) "</t>
  </si>
  <si>
    <t>https://product.hstatic.net/200000428801/product/upload_27a306de1b964b9a88fe0de98a62a9ce.jpg</t>
  </si>
  <si>
    <t>Q30222032399</t>
  </si>
  <si>
    <t>" Skinsiogel sữa rửa mặt và toàn thân Gamma (lọ 150ml) "</t>
  </si>
  <si>
    <t>https://cdn1-retail-images.kiotviet.vn/2026/03/10/giabaopharma/3eca5f5b03044c6e94152722c219f0a7.jpg</t>
  </si>
  <si>
    <t>Q302220323100</t>
  </si>
  <si>
    <t>" Slaska New trị ho Traphaco (lọ 100ml) "</t>
  </si>
  <si>
    <t>https://cdn1-retail-images.kiotviet.vn/2026/03/10/giabaopharma/eb5e648206a547fb8bd1f7a3804da68e.jpg</t>
  </si>
  <si>
    <t>Q302220323150</t>
  </si>
  <si>
    <t>" Slim body giảm cân Học viện Quân Y (lọ 100v) "</t>
  </si>
  <si>
    <t>https://product.hstatic.net/200000428801/product/9c057afab0034805b72cde0b06b6dc14_b89175ca07f34c6e91cf796f97650f23.png</t>
  </si>
  <si>
    <t>Q302220323151</t>
  </si>
  <si>
    <t>" Slimtosen Extra giảm béo và mỡ máu Học viện Quân Y (lọ 100 viên) "</t>
  </si>
  <si>
    <t>Q302220323152</t>
  </si>
  <si>
    <t>" Slimtosen giảm béo và mỡ máu Học viện Quân Y (lọ 100 viên) "</t>
  </si>
  <si>
    <t>https://product.hstatic.net/200000428801/product/f84aea9c8bfd4692b54e8c4e20dc30d2_eb90938c2eac4be6ad0965d7b45f0bc1.png</t>
  </si>
  <si>
    <t>Q302220323153</t>
  </si>
  <si>
    <t>" Slimutea trà giảm béo Học viện Quân Y (hộp 20 gói x 1.8g) "</t>
  </si>
  <si>
    <t>https://product.hstatic.net/200000428801/product/b6eeaed3c4034c9e98e9192569540cf8_bd32c566b03c4595bfe119dd1856c056.png</t>
  </si>
  <si>
    <t>Q302220323154</t>
  </si>
  <si>
    <t>" Smaso citicolin 500mg/5ml Mediplantex (lọ 60ml) "</t>
  </si>
  <si>
    <t>https://product.hstatic.net/200000428801/product/2330a2bf519c4faca995b1dc44a20dd2_e74271ed56594162b02c994dd4aae3cf.png</t>
  </si>
  <si>
    <t>Q302220323155</t>
  </si>
  <si>
    <t>" Smile nhiệt miệng Olympia (lọ 100ml) "</t>
  </si>
  <si>
    <t>https://product.hstatic.net/200000428801/product/6bf29f4804a94621a538255ae1a091e4_0d8f9349e9c64ee6ac96b4fd8ab84d9b.png</t>
  </si>
  <si>
    <t>Q302220323156</t>
  </si>
  <si>
    <t>" Snowclear dầu gội trị gàu hộp 50 gói x 5ml "</t>
  </si>
  <si>
    <t>https://product.hstatic.net/200000428801/product/b637dd4a3ba945bfbe8fe3bc32d39116_824c6fafe781499d8a3223de853ff78a.png</t>
  </si>
  <si>
    <t>Q302220323157</t>
  </si>
  <si>
    <t>" Snowclear dầu gội trị gàu Merap (tuýp 50ml) "</t>
  </si>
  <si>
    <t>https://product.hstatic.net/200000428801/product/4a9089aa46644c4ca2167f1053e61fdc_7dc4569d8b484c89a38aa4424de0e4ae.png</t>
  </si>
  <si>
    <t>Q302220323158</t>
  </si>
  <si>
    <t>" Sobelin (Capsules) Thái Lan (hộp 10 vỉ x 10 viên nang) "</t>
  </si>
  <si>
    <t>https://product.hstatic.net/200000428801/product/c7b7ccfb8b3b46c09de7df0ad15a21b6_cf4be90ddf764e3f8786bf54ac178b4f.png</t>
  </si>
  <si>
    <t>Q302220323159</t>
  </si>
  <si>
    <t>" Sodermix Cream Pháp (tube 15g) "</t>
  </si>
  <si>
    <t>https://product.hstatic.net/200000428801/product/81cb4b3ffd6f49dc9c1e247bf98e742d_fdb9eab119014ba4a378c0d857d1f3e3.png</t>
  </si>
  <si>
    <t>Q302220323160</t>
  </si>
  <si>
    <t>" Soffell kem xua muỗi hương cam lọ 60ml "</t>
  </si>
  <si>
    <t>https://product.hstatic.net/200000428801/product/upload_66f0415262bd4009b5d09432a7bb1185.jpg</t>
  </si>
  <si>
    <t>Q302220323161</t>
  </si>
  <si>
    <t>" Soffell kem xua muỗi hương hoa lọ 60ml "</t>
  </si>
  <si>
    <t>https://product.hstatic.net/200000428801/product/491_d92ebd2541374ab0a4c896cdc7efbb9f.png</t>
  </si>
  <si>
    <t>Q302220323162</t>
  </si>
  <si>
    <t>" Soffell xịt xua muỗi hương cam lọ 80ml "</t>
  </si>
  <si>
    <t>https://product.hstatic.net/200000428801/product/upload_1c8136015c04471983b57e9f182d8021.jpg</t>
  </si>
  <si>
    <t>Q302220323163</t>
  </si>
  <si>
    <t>" Soffell xịt xua muỗi hương hoa lọ 30ml "</t>
  </si>
  <si>
    <t>https://product.hstatic.net/200000428801/product/upload_954784b711424a868f7b8499590e0711.jpg</t>
  </si>
  <si>
    <t>Q302220323164</t>
  </si>
  <si>
    <t>" Soffell xịt xua muỗi hương hoa lọ 80ml "</t>
  </si>
  <si>
    <t>https://product.hstatic.net/200000428801/product/upload_8bf4b52620f54e99aae6229178562c7d.jpg</t>
  </si>
  <si>
    <t>Q302220323165</t>
  </si>
  <si>
    <t>" Sofosbuvir 400mg &amp; Velpatasvir 100mg Velasof Ấn Độ (lọ 28 viên nén) "</t>
  </si>
  <si>
    <t>https://product.hstatic.net/200000428801/product/upload_7575bdec9e0045b6b98161651c839b6c.jpg</t>
  </si>
  <si>
    <t>Q30225032361</t>
  </si>
  <si>
    <t>" Sofpai bôi ngứa Quang Minh (cọc 10 tuýp 5g) "</t>
  </si>
  <si>
    <t>https://product.hstatic.net/200000428801/product/upload_05dd854800514d1c91e08a2376f30323.jpg</t>
  </si>
  <si>
    <t>Q302220323167</t>
  </si>
  <si>
    <t>" Soki Tium ngủ ngon Pharvina (hộp 12 gói x 3g) "</t>
  </si>
  <si>
    <t>https://product.hstatic.net/200000428801/product/500_c3fc139b8ead4c7789ac351d8c12ab4f.png</t>
  </si>
  <si>
    <t>Q302220323168</t>
  </si>
  <si>
    <t>" Solufemo Sắt III Hà Tây (hộp 20 ống x 10ml) "</t>
  </si>
  <si>
    <t>https://product.hstatic.net/200000428801/product/upload_372cfa6d93ca480bb05648f249d01700.jpg</t>
  </si>
  <si>
    <t>Q302220323169</t>
  </si>
  <si>
    <t>" Solutab Daily vệ sinh phụ nữ Traphaco (lọ 100ml) "</t>
  </si>
  <si>
    <t>https://product.hstatic.net/200000428801/product/upload_b6af1f07ea5c4d1fb31d066b538c204b.jpg</t>
  </si>
  <si>
    <t>Q302220323170</t>
  </si>
  <si>
    <t>" Soluthepharm Methylprednisolon 4mg Thanh Hóa (hộp 10 vỉ x 10 viên nén) "</t>
  </si>
  <si>
    <t>https://product.hstatic.net/200000428801/product/upload_5716c620fcaa48d7b1cf76c6856f6766.jpg</t>
  </si>
  <si>
    <t>Q302220323172</t>
  </si>
  <si>
    <t>" Sorbitol DHG Hậu Giang (hộp 20 gói x 5g) "</t>
  </si>
  <si>
    <t>https://product.hstatic.net/200000428801/product/upload_4b34ac36fab0402494a1014b4a7ae087.jpg</t>
  </si>
  <si>
    <t>Q302220323173</t>
  </si>
  <si>
    <t>" Sorbitol Đà Nẵng Danapha (hộp 20 gói x 5g) "</t>
  </si>
  <si>
    <t>https://product.hstatic.net/200000428801/product/upload_e118deb9a75d457291425f3c71407e15.jpg</t>
  </si>
  <si>
    <t>Q302220323171</t>
  </si>
  <si>
    <t>" Sorbitol Đại Y (hộp 20 gói x 5.5g bột) "</t>
  </si>
  <si>
    <t>https://product.hstatic.net/200000428801/product/upload_0a76cee8bc924f64bb6fcd38f37c23f6.jpg</t>
  </si>
  <si>
    <t>Q302220323175</t>
  </si>
  <si>
    <t>" Sorbitol STADA 5g hộp 20 gói "</t>
  </si>
  <si>
    <t>https://product.hstatic.net/200000428801/product/upload_c32f7606ca194393b42023d2a8b10ffe.jpg</t>
  </si>
  <si>
    <t>Q302220323176</t>
  </si>
  <si>
    <t>" Sorbitol Stella hộp 20 gói x 5g "</t>
  </si>
  <si>
    <t>https://product.hstatic.net/200000428801/product/539_d2411fc1f92347319382af897977d9bc.png</t>
  </si>
  <si>
    <t>Q302220323174</t>
  </si>
  <si>
    <t>" Sorbitol Vidipha (hộp 25 gói x 5g) "</t>
  </si>
  <si>
    <t>https://product.hstatic.net/200000428801/product/upload_fe0b4d21dde746eda71619d119b9738d.jpg</t>
  </si>
  <si>
    <t>Q302220323177</t>
  </si>
  <si>
    <t>" Sos Cica kem dương ẩm Pháp (tube 75ml) "</t>
  </si>
  <si>
    <t>https://product.hstatic.net/200000428801/product/upload_ec549d91e88f41a493a990292512cbcb.jpg</t>
  </si>
  <si>
    <t>Q302220323178</t>
  </si>
  <si>
    <t>" SOSCough Ampharco (hộp 3 vỉ x 10 viên) "</t>
  </si>
  <si>
    <t>https://product.hstatic.net/200000428801/product/upload_0fa0399a5d3444b28bc0f833af498070.jpg</t>
  </si>
  <si>
    <t>Q302220323179</t>
  </si>
  <si>
    <t>" Sotstop hạ sốt Daewoong Hàn Quốc (lọ 100ml) "</t>
  </si>
  <si>
    <t>https://product.hstatic.net/200000428801/product/upload_0f00979a135d46fdb4e173a15fa443e3.jpg</t>
  </si>
  <si>
    <t>Q302220323180</t>
  </si>
  <si>
    <t>" Sovalimus Tacrolimus 0.03% Hà Tĩnh Hadiphar (Tube 10g) "</t>
  </si>
  <si>
    <t>https://product.hstatic.net/200000428801/product/upload_8b52b283181241eeb25d05fec7a97062.jpg</t>
  </si>
  <si>
    <t>Q302220323181</t>
  </si>
  <si>
    <t>" Sovalimus Tacrolimus 0.1% Hà Tĩnh Hadiphar (Tube 10g) "</t>
  </si>
  <si>
    <t>https://product.hstatic.net/200000428801/product/upload_9fdc4782c18f4b7dae1b7075d8695ed9.jpg</t>
  </si>
  <si>
    <t>Q30222032365</t>
  </si>
  <si>
    <t>" Spasmomen Otilonium bromide 40mg Menarini (hộp 3 vỉ x 10 viên) "</t>
  </si>
  <si>
    <t>https://product.hstatic.net/200000428801/product/upload_fb995c2a0c604002af39e17dd8e59cc0.jpg</t>
  </si>
  <si>
    <t>Q30222032366</t>
  </si>
  <si>
    <t>" Special Kid Appetit + ăn ngon Eric Favre Pháp (lọ 125ml) "</t>
  </si>
  <si>
    <t>https://product.hstatic.net/200000428801/product/upload_e1bdae37e6514333b34a21cc2f99f622.jpg</t>
  </si>
  <si>
    <t>Q30222032367</t>
  </si>
  <si>
    <t>" Special Kid Calcium Vitamin D Eric Favre Pháp (lọ 125ml) "</t>
  </si>
  <si>
    <t>https://product.hstatic.net/200000428801/product/upload_6594f2b623c042279776874f31f021aa.jpg</t>
  </si>
  <si>
    <t>Q30222032368</t>
  </si>
  <si>
    <t>" Special Kid Fer &amp; Vitamin Eric Favre Pháp (lọ 125ml) "</t>
  </si>
  <si>
    <t>https://product.hstatic.net/200000428801/product/upload_4fa19d24a90146458688552d5161a819.jpg</t>
  </si>
  <si>
    <t>Q30222032369</t>
  </si>
  <si>
    <t>" Special Kid Immunite tăng sức đề kháng Eric Favre Pháp (lọ 125ml) "</t>
  </si>
  <si>
    <t>https://product.hstatic.net/200000428801/product/upload_266fa519137b408c9f7b6754a94da390.jpg</t>
  </si>
  <si>
    <t>Q30222032370</t>
  </si>
  <si>
    <t>" Special Kid Multivitamins Eric Favre Pháp (lọ 125ml) "</t>
  </si>
  <si>
    <t>https://product.hstatic.net/200000428801/product/upload_1ff39fb8c58b45848f992593888fe804.jpg</t>
  </si>
  <si>
    <t>Q30222032371</t>
  </si>
  <si>
    <t>" Special Kid Sommeil giúp bé ngủ ngon Eric Favre Pháp (lọ 125ml) "</t>
  </si>
  <si>
    <t>https://product.hstatic.net/200000428801/product/506_07df0acbc1ee4233ba17e115f506e02e.png</t>
  </si>
  <si>
    <t>Q30222032372</t>
  </si>
  <si>
    <t>" Special Kid ZinC bổ sung kẽm Eric Favre Pháp (lọ 125ml) "</t>
  </si>
  <si>
    <t>https://product.hstatic.net/200000428801/product/505_4d027b10ff5a477ea440be2ce320c859.png</t>
  </si>
  <si>
    <t>Q30222032373</t>
  </si>
  <si>
    <t>" Speckid Multivitamin Royal ăn ngon Biopro (hộp 20 ống x 10ml) "</t>
  </si>
  <si>
    <t>https://product.hstatic.net/200000428801/product/upload_bd1ee9edded04e9a85d9909d13645459.jpg</t>
  </si>
  <si>
    <t>Q30222032374</t>
  </si>
  <si>
    <t>" Speckid ZinC bổ sung kẽm Biopro (hộp 20 ống x 10ml) "</t>
  </si>
  <si>
    <t>https://product.hstatic.net/200000428801/product/upload_f58c4b56ca014e4c9e87285f23f71258.jpg</t>
  </si>
  <si>
    <t>Q30222032375</t>
  </si>
  <si>
    <t>" Spectimed Spectinomycin 2g Medlac Ý (hộp 1 lọ bột tiêm) "</t>
  </si>
  <si>
    <t>https://product.hstatic.net/200000428801/product/upload_34e88ff2afb34543afcc5409a5330a96.jpg</t>
  </si>
  <si>
    <t>Q30222032376</t>
  </si>
  <si>
    <t>" SpermQ Mediplantex (hộp 3 vỉ x 10 viên nang cứng) "</t>
  </si>
  <si>
    <t>https://product.hstatic.net/200000428801/product/upload_1f14456d1c0846f2947cb247f53c88b0.jpg</t>
  </si>
  <si>
    <t>Q30222032377</t>
  </si>
  <si>
    <t>" Spirastad Plus Spiramicin 750IU Stella (hộp 2 vỉ x 10 viên nén) "</t>
  </si>
  <si>
    <t>https://product.hstatic.net/200000428801/product/upload_b53cabbb73924f34bde91d69166e8e3a.jpg</t>
  </si>
  <si>
    <t>Q30222032378</t>
  </si>
  <si>
    <t>" Spirastad Spiramicin 3 MIU Stella (hộp 2 vỉ x 5 viên nén) "</t>
  </si>
  <si>
    <t>https://product.hstatic.net/200000428801/product/upload_4ebdc6249f2549e29485b31b48241642.jpg</t>
  </si>
  <si>
    <t>Q30218032350</t>
  </si>
  <si>
    <t>" Spulit Itraconazole 100mg Slavia Romani (hộp 6 vỉ x 5 viên nang) "</t>
  </si>
  <si>
    <t>https://product.hstatic.net/200000428801/product/490_25b06f0f8b214433b3b8abb196b8e93f.png</t>
  </si>
  <si>
    <t>Q30218032351</t>
  </si>
  <si>
    <t>" Stablon Tianeptine 12,5mg Servier Pháp (hộp 2 vỉ x 10 viên nén) "</t>
  </si>
  <si>
    <t>https://product.hstatic.net/200000428801/product/upload_8e17d0cf44c043fa9622866da458f79d.jpg</t>
  </si>
  <si>
    <t>Q30218032352</t>
  </si>
  <si>
    <t>" Staclazide 30 MR Stella (hộp 3 vỉ x 10 viên nén) "</t>
  </si>
  <si>
    <t>https://product.hstatic.net/200000428801/product/492_d136fa705cf240d8aef57fb8ebea1039.png</t>
  </si>
  <si>
    <t>Q30222032341</t>
  </si>
  <si>
    <t>" Staclazide Gliclazide MR 60mg Stella (hộp 6 vỉ x 10 viên) "</t>
  </si>
  <si>
    <t>https://product.hstatic.net/200000428801/product/upload_4fc47b89f6504efe946330480b49069c.jpg</t>
  </si>
  <si>
    <t>Q30218032354</t>
  </si>
  <si>
    <t>" Stacytine Acetylcystein 200mg Stella (hộp 10 vỉ x 10 viên nang) "</t>
  </si>
  <si>
    <t>https://product.hstatic.net/200000428801/product/upload_30d8368ea4b447d09a901882dd391ce5.jpg</t>
  </si>
  <si>
    <t>Q30218032355</t>
  </si>
  <si>
    <t>" Stacytine Acetylcystein 200mg Stella (hộp 20 gói x 3g) "</t>
  </si>
  <si>
    <t>https://product.hstatic.net/200000428801/product/upload_f9422285c6ef4c258aa6ba1200b00754.jpg</t>
  </si>
  <si>
    <t>Q30218032356</t>
  </si>
  <si>
    <t>" Stadexmin Stella (lọ 500 viên nén) "</t>
  </si>
  <si>
    <t>https://product.hstatic.net/200000428801/product/upload_afd19d18ea514ee59af9cee0af524d52.jpg</t>
  </si>
  <si>
    <t>Q30218032357</t>
  </si>
  <si>
    <t>" Stadgentri bôi da Stella (Tube 10g) "</t>
  </si>
  <si>
    <t>https://product.hstatic.net/200000428801/product/497_113967ebc86f41c6a46f88fe8e30cb89.png</t>
  </si>
  <si>
    <t>Q30218032358</t>
  </si>
  <si>
    <t>" Stadlofen Diclofenac 50mg Stella (hộp 5 vỉ x 10 viên nén) "</t>
  </si>
  <si>
    <t>https://product.hstatic.net/200000428801/product/upload_3665de8db6574fbb92bcadff21b83798.jpg</t>
  </si>
  <si>
    <t>Q30218032359</t>
  </si>
  <si>
    <t>" Stadnex Esomeprazole 20mg Stella (hộp 4 vỉ x 7 viên nang) "</t>
  </si>
  <si>
    <t>https://product.hstatic.net/200000428801/product/upload_19fe6200978a49cfaae1b6c0780b47d8.jpg</t>
  </si>
  <si>
    <t>Q30218032360</t>
  </si>
  <si>
    <t>" Stadnex Esomeprazole 40mg Stella (hộp 4 vỉ x 7 viên nang) "</t>
  </si>
  <si>
    <t>https://product.hstatic.net/200000428801/product/upload_776d3a850a284201a1409b5a6590e6b8.jpg</t>
  </si>
  <si>
    <t>Q30218032361</t>
  </si>
  <si>
    <t>" Stadnolol Atenolol 50mg Stella (hộp 10 vỉ x 10 viên nén) "</t>
  </si>
  <si>
    <t>https://product.hstatic.net/200000428801/product/501_471fde59c571437dbdeab75322c90101.png</t>
  </si>
  <si>
    <t>Q30218032362</t>
  </si>
  <si>
    <t>" Stadovas 5 Amlodipin 5mg Stella (hộp 3 vỉ x 10 viên nang) "</t>
  </si>
  <si>
    <t>https://product.hstatic.net/200000428801/product/upload_0721b54fcccb470c8ce46d1d455b795d.jpg</t>
  </si>
  <si>
    <t>Q30218032363</t>
  </si>
  <si>
    <t>" Stadxicam Meloxicam 7.5mg Stella (hộp 5 vỉ x 10 viên nén) "</t>
  </si>
  <si>
    <t>https://product.hstatic.net/200000428801/product/upload_d1b933ee818c4a03abc97c3a636c7597.jpg</t>
  </si>
  <si>
    <t>Q30218032364</t>
  </si>
  <si>
    <t>" Stafloxin Ofloxacin 200mg Stella (hộp 2 vỉ x 10 viên nén bao phim) "</t>
  </si>
  <si>
    <t>https://product.hstatic.net/200000428801/product/upload_af5e25cf6a0343d1ac943f5800449382.jpg</t>
  </si>
  <si>
    <t>Q30218032365</t>
  </si>
  <si>
    <t>" Star Benko không đường OPV (hộp 2 vỉ x 12 viên ngậm) "</t>
  </si>
  <si>
    <t>https://product.hstatic.net/200000428801/product/upload_e9a3c929a1724f88b0544e320fdb08f1.jpg</t>
  </si>
  <si>
    <t>Q30218032366</t>
  </si>
  <si>
    <t>" Star cough relief OPV (hộp 2 vỉ x 12 viên ngậm) "</t>
  </si>
  <si>
    <t>https://product.hstatic.net/200000428801/product/upload_2ee5f1998b9c4ddc90837462d977b838.jpg</t>
  </si>
  <si>
    <t>Q30218032367</t>
  </si>
  <si>
    <t>" Star Sore Throat không đường OPV (hộp 2 vỉ x 12 viên ngậm) "</t>
  </si>
  <si>
    <t>https://product.hstatic.net/200000428801/product/upload_a4e46caa7df245459e658c6a6b8edf28.jpg</t>
  </si>
  <si>
    <t>Q30218032368</t>
  </si>
  <si>
    <t>" Starazolin HydroBlance nhỏ mắt Ba Lan (hộp 2 lọ x 5ml) "</t>
  </si>
  <si>
    <t>https://product.hstatic.net/200000428801/product/upload_ebf85d447060460ea8114db56a8d06b0.jpg</t>
  </si>
  <si>
    <t>Q30218032369</t>
  </si>
  <si>
    <t>" Stasamin Piracetam 1200mg Hà Tây (hộp 6 vỉ x 5 ống x 6ml) "</t>
  </si>
  <si>
    <t>https://product.hstatic.net/200000428801/product/upload_cca43a8388184b65968f3f718b7a34fc.jpg</t>
  </si>
  <si>
    <t>Q30218032370</t>
  </si>
  <si>
    <t>" Statripsine Alphachymotrypsine 4.2mg Stella (hộp 2 vỉ x 10 viên nén) "</t>
  </si>
  <si>
    <t>https://product.hstatic.net/200000428801/product/upload_d82e942dc7ee467dbd4166a6faa37ad5.jpg</t>
  </si>
  <si>
    <t>Q30218032371</t>
  </si>
  <si>
    <t>" Statripsine Alphachymotrypsine 4.2mg Stella (hộp 5 vỉ x 10 viên nén) "</t>
  </si>
  <si>
    <t>https://product.hstatic.net/200000428801/product/upload_d9e08d30033e4381ac5021347809f600.jpg</t>
  </si>
  <si>
    <t>Q30218032372</t>
  </si>
  <si>
    <t>" Stemvir Tenofovir 300mg Incepta Bangladesh (hộp 3 vỉ x 4 viên nén) "</t>
  </si>
  <si>
    <t>https://product.hstatic.net/200000428801/product/upload_387f507f3b6b42228fcdbf34fb795d9f.jpg</t>
  </si>
  <si>
    <t>Q30218032373</t>
  </si>
  <si>
    <t>" Sterimar xịt muối biển người lớn Fumouze Pháp (lọ 50ml) "</t>
  </si>
  <si>
    <t>https://product.hstatic.net/200000428801/product/upload_b9392751c8f244a4bab3d3852e72f1e5.jpg</t>
  </si>
  <si>
    <t>Q30218032374</t>
  </si>
  <si>
    <t>" Sterogyl Vitamin D2 2000000UI/100ml Desma (lọ 20ml) "</t>
  </si>
  <si>
    <t>https://product.hstatic.net/200000428801/product/upload_a05103ff12554dfbbb9227600ba1021c.jpg</t>
  </si>
  <si>
    <t>Q30218032375</t>
  </si>
  <si>
    <t>" Stilux Rotundin 60mg Traphaco (hộp 10 vỉ x 10 viên nén) "</t>
  </si>
  <si>
    <t>https://product.hstatic.net/200000428801/product/upload_37155453f87f4fcba31ed90b8fbec186.jpg</t>
  </si>
  <si>
    <t>Q30218032376</t>
  </si>
  <si>
    <t>" Stoccel P Aluminum phosphate gel 20% DHG Hậu Giang (hộp 24 gói x 20g hỗn dịch) "</t>
  </si>
  <si>
    <t>https://product.hstatic.net/200000428801/product/upload_3f96731f814a418eb5a094d47bd404d0.jpg</t>
  </si>
  <si>
    <t>Q30218032377</t>
  </si>
  <si>
    <t>" Strataderm Scar Therapy Gel trị sẹo Thụy Sĩ (tuýp 5g) "</t>
  </si>
  <si>
    <t>https://product.hstatic.net/200000428801/product/upload_c8ba126fcea741408f9390682b8e93b7.jpg</t>
  </si>
  <si>
    <t>Q30218032378</t>
  </si>
  <si>
    <t>" Strataderm trị sẹo Scrarpharma (Tube 10g) "</t>
  </si>
  <si>
    <t>https://product.hstatic.net/200000428801/product/upload_45640818471c44fe88d48f763afc10ff.jpg</t>
  </si>
  <si>
    <t>Q30218032379</t>
  </si>
  <si>
    <t>" Stratamed trị sẹo Thụy Sĩ (tuýp 5g) "</t>
  </si>
  <si>
    <t>https://product.hstatic.net/200000428801/product/upload_1adda3d0a1fd404a969308ae6b43adc5.jpg</t>
  </si>
  <si>
    <t>Q30218032380</t>
  </si>
  <si>
    <t>" Strep cool DMA ô mai mơ mật ong gừng Essen Đức (hộp 3 vỉ x 8 viên) "</t>
  </si>
  <si>
    <t>https://product.hstatic.net/200000428801/product/upload_e5435eebd46649dd9d63ec33d3a96bef.jpg</t>
  </si>
  <si>
    <t>Q30218032381</t>
  </si>
  <si>
    <t>" Strepsils Cam Reckitt Benckiser (hộp 2 vỉ x 12 viên ngậm) "</t>
  </si>
  <si>
    <t>https://product.hstatic.net/200000428801/product/upload_f2d00d60c34b4779b636f619a1841eca.jpg</t>
  </si>
  <si>
    <t>Q30218032382</t>
  </si>
  <si>
    <t>" Strepsils Cam Reckitt Benckiser (hộp 50 vỉ x 2 viên ngậm) "</t>
  </si>
  <si>
    <t>https://product.hstatic.net/200000428801/product/upload_bddd1575de4b4413abdca0418223631b.jpg</t>
  </si>
  <si>
    <t>Q30218032383</t>
  </si>
  <si>
    <t>" Strepsils Chanh mật ong Reckitt Benckiser (hộp 2 vỉ x 12 viên ngậm) "</t>
  </si>
  <si>
    <t>https://product.hstatic.net/200000428801/product/upload_445589b33a6e4c4f931454f848d2b607.jpg</t>
  </si>
  <si>
    <t>Q30218032384</t>
  </si>
  <si>
    <t>" Strepsils Chanh mật ong Reckitt Benckiser (hộp 50 vỉ x 2 viên ngậm) "</t>
  </si>
  <si>
    <t>https://product.hstatic.net/200000428801/product/540_b98ae7220c8c4d46911b306338caeba2.png</t>
  </si>
  <si>
    <t>Q30218032385</t>
  </si>
  <si>
    <t>" Strepsils Cool Reckitt Benckiser (hộp 2 vỉ x 12 viên ngậm) "</t>
  </si>
  <si>
    <t>https://product.hstatic.net/200000428801/product/503_5147825a84e54131aff8a6d53f9ec424.png</t>
  </si>
  <si>
    <t>Q30218032386</t>
  </si>
  <si>
    <t>" Strepsils Maxpro Flurbiprofen 8,75mg Reckitt Benckiser (hộp 16 viên ngậm) "</t>
  </si>
  <si>
    <t>https://product.hstatic.net/200000428801/product/494_592fcf461f114c83a1e18d4969e9abfe.png</t>
  </si>
  <si>
    <t>Q30218032387</t>
  </si>
  <si>
    <t>" Streptalisin Đại Y (hộp 200 viên ngậm) "</t>
  </si>
  <si>
    <t>https://product.hstatic.net/200000428801/product/495_b1b7ebe45ca243e0a78bb651a8320e97.png</t>
  </si>
  <si>
    <t>Q30218032388</t>
  </si>
  <si>
    <t>" StrepTana Tân Á (hộp 100 viên ngậm) "</t>
  </si>
  <si>
    <t>https://product.hstatic.net/200000428801/product/496_8e9bcd1fd0a24a658e7ca72ea0404bc0.png</t>
  </si>
  <si>
    <t>Q30218032389</t>
  </si>
  <si>
    <t>" StrepTana Tân Á (hộp 3 vỉ x 8 viên ngậm) "</t>
  </si>
  <si>
    <t>https://product.hstatic.net/200000428801/product/upload_61a1aab882a74a539545245f88d997b2.jpg</t>
  </si>
  <si>
    <t>Q30218032390</t>
  </si>
  <si>
    <t>" StrepTana Tân Á (lọ 300 viên ngậm) "</t>
  </si>
  <si>
    <t>https://product.hstatic.net/200000428801/product/upload_ae8e7f1c57424d41a259e308fb8a0cbe.jpg</t>
  </si>
  <si>
    <t>Q30218032391</t>
  </si>
  <si>
    <t>" Stresam Etifoxine hydrochloride 50mg Biocodex Pháp (hộp 3 vỉ x 20 viên) "</t>
  </si>
  <si>
    <t>https://product.hstatic.net/200000428801/product/upload_c1b70cbe45e7400187aab57c219396b2.jpg</t>
  </si>
  <si>
    <t>Q30218032392</t>
  </si>
  <si>
    <t>" Stugeron Cinnarizin 25mg Janssen (hộp 25 vỉ x 10 viên nén) "</t>
  </si>
  <si>
    <t>https://product.hstatic.net/200000428801/product/upload_b53d5314fe6640f69d454da2a43a77a6.jpg</t>
  </si>
  <si>
    <t>Q30222032359</t>
  </si>
  <si>
    <t>" Súc miệng BBM Z120 Armephaco (hộp 12 gói x 2g) "</t>
  </si>
  <si>
    <t>https://product.hstatic.net/200000428801/product/upload_3663b5695ef24a529f3aed4c6f6e6f5d.jpg</t>
  </si>
  <si>
    <t>Q30222032360</t>
  </si>
  <si>
    <t>" Súc miệng Chicki hương Cam Brpharma (lọ 250ml) "</t>
  </si>
  <si>
    <t>https://product.hstatic.net/200000428801/product/upload_16443ecb21864b38887b55b09b32ae78.jpg</t>
  </si>
  <si>
    <t>Q30222032361</t>
  </si>
  <si>
    <t>" Súc miệng Chicki hương Dâu Brpharma (lọ 250ml) "</t>
  </si>
  <si>
    <t>https://product.hstatic.net/200000428801/product/upload_626ecc8b5f024600ad94cd7c0a806f8e.jpg</t>
  </si>
  <si>
    <t>Q30222032362</t>
  </si>
  <si>
    <t>" Súc miệng Chicki hương Táo Brpharma (lọ 250ml) "</t>
  </si>
  <si>
    <t>https://product.hstatic.net/200000428801/product/499_9aa11669a0b14ab4a2b965e7cefcff40.png</t>
  </si>
  <si>
    <t>Q30222032363</t>
  </si>
  <si>
    <t>" Súc miệng Pedentex Botania (lọ 250ml) "</t>
  </si>
  <si>
    <t>https://product.hstatic.net/200000428801/product/upload_a958db2a7afb4b8c9be074a626d08da8.jpg</t>
  </si>
  <si>
    <t>Q302170323157</t>
  </si>
  <si>
    <t>" Súc miệng SMC Ag+ phòng ngừa viêm họng Hóa Dược (lọ 250ml) "</t>
  </si>
  <si>
    <t>https://product.hstatic.net/200000428801/product/upload_1888a9e200bb4b588bcf9f99d6b962d5.jpg</t>
  </si>
  <si>
    <t>Q302170323158</t>
  </si>
  <si>
    <t>" Súc miệng TB Aroma Traphaco (lọ 500ml) "</t>
  </si>
  <si>
    <t>https://product.hstatic.net/200000428801/product/upload_0b3c297871904dc99863c1b52cfa0896.jpg</t>
  </si>
  <si>
    <t>Q302170323159</t>
  </si>
  <si>
    <t>" Súc miệng TB Fresh Traphaco (lọ 500ml) "</t>
  </si>
  <si>
    <t>https://product.hstatic.net/200000428801/product/513_e1f2dbe0321742068f3d92b26f48cdb9.png</t>
  </si>
  <si>
    <t>Q302170323160</t>
  </si>
  <si>
    <t>" Súc miệng TB Kid Traphaco (lọ 250ml) "</t>
  </si>
  <si>
    <t>https://product.hstatic.net/200000428801/product/upload_b7f152bf1cfd4be5862308ad37f46c68.jpg</t>
  </si>
  <si>
    <t>Q302170323161</t>
  </si>
  <si>
    <t>" Súc miệng TB Traphaco (lọ 500ml) "</t>
  </si>
  <si>
    <t>https://product.hstatic.net/200000428801/product/upload_36de6636e8724fc6a78801aa566084a5.jpg</t>
  </si>
  <si>
    <t>Q302170323162</t>
  </si>
  <si>
    <t>" Súc miệng Thái Dương lọ 500ml "</t>
  </si>
  <si>
    <t>https://product.hstatic.net/200000428801/product/upload_7d31019e2ac34003957e8c6f1a4c5123.jpg</t>
  </si>
  <si>
    <t>Q302170323163</t>
  </si>
  <si>
    <t>" Súc miệng Valentine Kiddy Thái Dương (lọ 250ml) "</t>
  </si>
  <si>
    <t>https://product.hstatic.net/200000428801/product/upload_2e017f82e37d4832832b15d937a731a0.jpg</t>
  </si>
  <si>
    <t>Q302170323164</t>
  </si>
  <si>
    <t>" Súc miệng Valentine Thái Dương (lọ 500ml) "</t>
  </si>
  <si>
    <t>https://product.hstatic.net/200000428801/product/upload_7463ba9e1e8247a190ade9912fe46a02.jpg</t>
  </si>
  <si>
    <t>Q302170323165</t>
  </si>
  <si>
    <t>" Sucrahasan Sucralfat 1g Hasan (hộp 30 gói x 2g) "</t>
  </si>
  <si>
    <t>https://product.hstatic.net/200000428801/product/upload_b024201ae4844f6498ecb80c8259c888.jpg</t>
  </si>
  <si>
    <t>Q302170323166</t>
  </si>
  <si>
    <t>" Sucramed Sucrafat 1000mg BVPharma (hộp 30 gói x 2.6g) "</t>
  </si>
  <si>
    <t>https://product.hstatic.net/200000428801/product/upload_f628f41cb33641968c2d1360ffddc9b1.jpg</t>
  </si>
  <si>
    <t>Q302170323167</t>
  </si>
  <si>
    <t>" Sudocrem kem chống hămIreland (lọ 60g) "</t>
  </si>
  <si>
    <t>https://product.hstatic.net/200000428801/product/upload_e8e0f8f89bc44be697b7e4e4f7ab1995.jpg</t>
  </si>
  <si>
    <t>Q302170323168</t>
  </si>
  <si>
    <t>" Sủi Actiso râu ngô rau má Đại Y (cọc 10 tuýp x 20 viên sủi) "</t>
  </si>
  <si>
    <t>https://product.hstatic.net/200000428801/product/upload_2cb89812c1794a9996499ea0dbacb8bb.jpg</t>
  </si>
  <si>
    <t>Q302170323169</t>
  </si>
  <si>
    <t>" Sủi Multi OPC cọc 10 tuýp x 20 viên sủi "</t>
  </si>
  <si>
    <t>https://product.hstatic.net/200000428801/product/493_f18684abb5264b04905078985eb55542.png</t>
  </si>
  <si>
    <t>Q302170323170</t>
  </si>
  <si>
    <t>" Sủi Multivitamin Đại Uy (cọc x 10 tuýp x 20 viên) "</t>
  </si>
  <si>
    <t>https://product.hstatic.net/200000428801/product/upload_a1c1b8dfc0154f53b0abbeb395f5dedf.jpg</t>
  </si>
  <si>
    <t>Q302170323171</t>
  </si>
  <si>
    <t>" Sủi Orange Plus Đại Uy (cọc 10 tuýp x 20 viên) "</t>
  </si>
  <si>
    <t>https://product.hstatic.net/200000428801/product/498_c552d271900144cea33d9b19240588f8.png</t>
  </si>
  <si>
    <t>Q302170323172</t>
  </si>
  <si>
    <t>" Sủi Orizoll Pluss Glucose khan 1,35g Santex (cọc 10 tuýp) "</t>
  </si>
  <si>
    <t>https://product.hstatic.net/200000428801/product/upload_1c856664096b4f97ad2de22f8ad47174.jpg</t>
  </si>
  <si>
    <t>Q30200279</t>
  </si>
  <si>
    <t>" Sủi Paralmax 500 Paracetamol (H/20v) "</t>
  </si>
  <si>
    <t>https://product.hstatic.net/200000428801/product/upload_26be83b4bb6e41c8a4723a830825b8f9.jpg</t>
  </si>
  <si>
    <t>Q302170323173</t>
  </si>
  <si>
    <t>" Sủi Pluszs cam Đại Y (cọc 10 tube x 20 viên sủi) "</t>
  </si>
  <si>
    <t>https://product.hstatic.net/200000428801/product/upload_028559c032124b25b13e073048faa3d1.jpg</t>
  </si>
  <si>
    <t>Q302170323174</t>
  </si>
  <si>
    <t>" Sulfaprim Sulfamethoxazol Mekophar (lọ 100 viên nang) "</t>
  </si>
  <si>
    <t>https://product.hstatic.net/200000428801/product/upload_f4fd3f47c584475fb38a6ece90571847.jpg</t>
  </si>
  <si>
    <t>Q302170323175</t>
  </si>
  <si>
    <t>" Sulfareptol 480 Đồng Nai (lọ 100 viên) "</t>
  </si>
  <si>
    <t>https://product.hstatic.net/200000428801/product/upload_2dc890f1dee742e5b6a5013b6ade0a89.jpg</t>
  </si>
  <si>
    <t>Q302170323176</t>
  </si>
  <si>
    <t>" Sulpirid 50mg Vidipha (hộp trắng xanh 10 vỉ x 10 viên nang cứng) "</t>
  </si>
  <si>
    <t>https://product.hstatic.net/200000428801/product/upload_eb5f9d4b342f4b3fb68040cd339ff147.jpg</t>
  </si>
  <si>
    <t>Q302170323177</t>
  </si>
  <si>
    <t>" Sulpiride 50mg Stella (hộp 5 vỉ x 10 viên nang cứng) "</t>
  </si>
  <si>
    <t>https://product.hstatic.net/200000428801/product/upload_a723eb95af65429d8812fe6653c4a3c6.jpg</t>
  </si>
  <si>
    <t>Q302170323178</t>
  </si>
  <si>
    <t>" Suncurmin Thái Dương (hộp 2 vỉ x 6 viên nang) "</t>
  </si>
  <si>
    <t>https://product.hstatic.net/200000428801/product/upload_1069467255c44e89b33af7388de9fd14.jpg</t>
  </si>
  <si>
    <t>Q302170323179</t>
  </si>
  <si>
    <t>" Suncurmin Thái Dương (lọ 100ml) "</t>
  </si>
  <si>
    <t>https://cdn2-retail-images.kiotviet.vn/2024/10/02/giabaopharma/a220752267b44990ac5f9e7253bb2175.png</t>
  </si>
  <si>
    <t>Q302170323180</t>
  </si>
  <si>
    <t>" Sungaz Trường Sơn (Tube 30g) "</t>
  </si>
  <si>
    <t>https://product.hstatic.net/200000428801/product/502_1c9e372b31524fac9108be3c70b1ab8d.png</t>
  </si>
  <si>
    <t>Q302170323181</t>
  </si>
  <si>
    <t>" Sunirovel Irbesartan 150mg Sun Ấn Độ (hộp 5 vỉ x 10 viên nén) "</t>
  </si>
  <si>
    <t>Q302170323182</t>
  </si>
  <si>
    <t>" Sunplay Baby Mild SPF 35 Rhoto (Tube 30g) "</t>
  </si>
  <si>
    <t>https://product.hstatic.net/200000428801/product/upload_65da0ae607134dc2b3bc8fb6e54655b8.jpg</t>
  </si>
  <si>
    <t>Q302170323183</t>
  </si>
  <si>
    <t>" Sunplay Silky White Gel dưỡng da trắng mịn Rohto (tuýp 30g) "</t>
  </si>
  <si>
    <t>https://product.hstatic.net/200000428801/product/7eb7b8accd23484796f60d6eed7424a6_19c043ac514a485e8f267774f8880712.png</t>
  </si>
  <si>
    <t>Q302170323184</t>
  </si>
  <si>
    <t>" Sunplay Skin Aqua Clear White nắp đồng Rohto (Tube 25g) "</t>
  </si>
  <si>
    <t>https://product.hstatic.net/200000428801/product/32b864e082604f6f8f6a8933227dba8f_c7b89b93318b4469a996b3a212436537.png</t>
  </si>
  <si>
    <t>Q302170323185</t>
  </si>
  <si>
    <t>" Sunplay Skin Aqua Clear White OUTDOOR Rohto (tuýp 30g) "</t>
  </si>
  <si>
    <t>https://product.hstatic.net/200000428801/product/69908bc4aa1d4e82b94e943dfe2bae75_ecd10f9c27134e6b8f91d38022322daa.png</t>
  </si>
  <si>
    <t>Q302170323186</t>
  </si>
  <si>
    <t>" Sunplay Skin Aqua Mild Care gel nắp hồng Rohto (tuýp 25g) "</t>
  </si>
  <si>
    <t>Q302170323187</t>
  </si>
  <si>
    <t>" Sunplay Skin Aqua Tone up UV hiệu chỉnh sắc da Rhoto (tuýp 50g) "</t>
  </si>
  <si>
    <t>https://product.hstatic.net/200000428801/product/463_ceddd4436f834c469a811cb500e1fb57.png</t>
  </si>
  <si>
    <t>Q302170323188</t>
  </si>
  <si>
    <t>" Sunplay Super block chống nắng mạnh SPF 81 Rhoto (Tube 30g) "</t>
  </si>
  <si>
    <t>https://product.hstatic.net/200000428801/product/464_bb5d807718df46949cb267a508a5817d.png</t>
  </si>
  <si>
    <t>Q302170323189</t>
  </si>
  <si>
    <t>" Sunplay Super Cool kem chống nắng SPF 50+ Rhoto (Tube 30g) "</t>
  </si>
  <si>
    <t>https://product.hstatic.net/200000428801/product/465_a65c768616904010afd2245cef0e78ea.png</t>
  </si>
  <si>
    <t>Q302170323190</t>
  </si>
  <si>
    <t>" Sunplay UV Moisture Milk SPF 50+ Rohto (tuýp 30g) "</t>
  </si>
  <si>
    <t>https://product.hstatic.net/200000428801/product/upload_427bbaee071a4485ac79e346ac40dcdd.jpg</t>
  </si>
  <si>
    <t>Q302170323191</t>
  </si>
  <si>
    <t>" Sunsizopin 100 Clozapin 100mg Sunpharma (hộp 5 vỉ x 10 viên nén) "</t>
  </si>
  <si>
    <t>https://product.hstatic.net/200000428801/product/466_bd7a599ac18742498905dff640bb012d.png</t>
  </si>
  <si>
    <t>Q302170323192</t>
  </si>
  <si>
    <t>" Sunsizopin 25 Clozapin 25mg Ấn Độ (hộp 5 vỉ x 10 viên nén) "</t>
  </si>
  <si>
    <t>https://product.hstatic.net/200000428801/product/upload_da7f335632334a7c92517917e90ff870.jpg</t>
  </si>
  <si>
    <t>Q302170323193</t>
  </si>
  <si>
    <t>" Super Albumin Nu Health USA (lọ 100 viên) "</t>
  </si>
  <si>
    <t>https://product.hstatic.net/200000428801/product/upload_19c26815f3b34344954c5c45f01f2098.jpg</t>
  </si>
  <si>
    <t>Q302170323194</t>
  </si>
  <si>
    <t>" Supermen kẹo dẻo cọc 14 Bibica (lọ x 14 viên) "</t>
  </si>
  <si>
    <t>https://product.hstatic.net/200000428801/product/467_96ebf18ea58d45a98a6bd08ecf065316.png</t>
  </si>
  <si>
    <t>Q302170323195</t>
  </si>
  <si>
    <t>" Supertrim Agimexpharm (hộp 30 gói x 1.6g bột) "</t>
  </si>
  <si>
    <t>https://product.hstatic.net/200000428801/product/upload_a9a838e0ddef4b3b8d7d0035e13fdc86.jpg</t>
  </si>
  <si>
    <t>Q302170323196</t>
  </si>
  <si>
    <t>" Susung Porginal viên đặt âm đạo Hàn Quốc (hộp 2 vỉ x 6 viên) "</t>
  </si>
  <si>
    <t>https://product.hstatic.net/200000428801/product/upload_55e819050f5741a38c0f07ceba56b28a.jpg</t>
  </si>
  <si>
    <t>Q30218032394</t>
  </si>
  <si>
    <t>" Sữa Ong Chúa Mekopha (lọ 20 viên ngậm) "</t>
  </si>
  <si>
    <t>https://product.hstatic.net/200000428801/product/upload_3f680614853a479bbd1982728624232c.jpg</t>
  </si>
  <si>
    <t>Q302773562</t>
  </si>
  <si>
    <t>" Sữa Rửa Mặt Acnes Creamy Wash AHA | BHA | ZinC Rohto (Tuýp 100g) "</t>
  </si>
  <si>
    <t>https://product.hstatic.net/200000428801/product/upload_66a26fa37cf5485d92f1a469f2018208.jpg</t>
  </si>
  <si>
    <t>Q302774688</t>
  </si>
  <si>
    <t>" Sữa Rửa Mặt Acnes Vitamin Cleanser Rohto (Tuýp 100g) "</t>
  </si>
  <si>
    <t>https://product.hstatic.net/200000428801/product/upload_2a0663d8ad7e431cb209c5462d8d70a3.jpg</t>
  </si>
  <si>
    <t>Q30218032395</t>
  </si>
  <si>
    <t>" Sữa rửa mặt Bảo Xinh Tube 60g "</t>
  </si>
  <si>
    <t>https://product.hstatic.net/200000428801/product/upload_e15996ca93ba418395a617ed6c13fdaa.jpg</t>
  </si>
  <si>
    <t>Q30218032396</t>
  </si>
  <si>
    <t>" Sữa rửa mặt E100 chiết xuất sữa bò Tube 50ml "</t>
  </si>
  <si>
    <t>https://product.hstatic.net/200000428801/product/upload_5b2211e701664d16a1f2c2f14046d90c.jpg</t>
  </si>
  <si>
    <t>Q30218032397</t>
  </si>
  <si>
    <t>" Sữa rửa mặt E100 chiết xuất sữa bò Tube 80ml "</t>
  </si>
  <si>
    <t>https://product.hstatic.net/200000428801/product/1d8aebb8542c45439a84a47a36bab161_308730c6895e4c83a9faf688b83ad5db.png</t>
  </si>
  <si>
    <t>Q30218032398</t>
  </si>
  <si>
    <t>" Sữa rửa mặt E100 tinh chất nghệ Tube 100g "</t>
  </si>
  <si>
    <t>https://product.hstatic.net/200000428801/product/a692f961576e486e8f3d47c57b2a6cb3_1b240ac5c39144f6a6e5c7fc1240035f.png</t>
  </si>
  <si>
    <t>Q30218032399</t>
  </si>
  <si>
    <t>" Sữa rửa mặt E100 tinh chất nha đam Tube 100g "</t>
  </si>
  <si>
    <t>https://product.hstatic.net/200000428801/product/7d14b88b34bd455287ed4a1127eeaf47_6daa42a03e9348a6b603052c580beec3.png</t>
  </si>
  <si>
    <t>Q302556774</t>
  </si>
  <si>
    <t>" Sữa Rửa Mặt Gammaphil Gentle Cleanser Gamma (Chai 125ml) "</t>
  </si>
  <si>
    <t>https://product.hstatic.net/200000428801/product/732b024fa6f145309bda34ace5cb15d5_4dad2bda58874fea87d02a9e885bdb84.png</t>
  </si>
  <si>
    <t>Q302884399</t>
  </si>
  <si>
    <t>" Sữa Rửa Mặt Gammaphil Gentle Skin Cleanser Gamma (Chai 500ml) "</t>
  </si>
  <si>
    <t>https://product.hstatic.net/200000428801/product/28433840741d48babc2c4f0f5501a164_69e7cdb7cc4f40e58c872ad3b6be188a.png</t>
  </si>
  <si>
    <t>Q302180323100</t>
  </si>
  <si>
    <t>" Sữa rửa mặt Honey Bạch Liên ngừa mụn Tube 50g "</t>
  </si>
  <si>
    <t>https://product.hstatic.net/200000428801/product/be9b7332219d4f2aa258c5e048c9b90f_ea633e18b260498abcd115df6d006187.png</t>
  </si>
  <si>
    <t>Q302180323150</t>
  </si>
  <si>
    <t>" Sữa rửa mặt Lenka dành cho mọi loại da Nhất Nhất (Tube 150ml) "</t>
  </si>
  <si>
    <t>https://product.hstatic.net/200000428801/product/080758f503a44d45be57cb236e6bdd4b_04f858a817504ff7884f4765af75b790.png</t>
  </si>
  <si>
    <t>Q302180323151</t>
  </si>
  <si>
    <t>" Sữa rửa mặt nghệ Thái Dương Tube 90g "</t>
  </si>
  <si>
    <t>https://product.hstatic.net/200000428801/product/a4202bc20a194d4aa7d8bb6c98baa665_f5bb9e804f6d451ba6ad454bcc26a2d0.png</t>
  </si>
  <si>
    <t>Q302180323152</t>
  </si>
  <si>
    <t>" Sữa rửa mặt Nivea Anti Acne Microbubbles 5in1 bùn khoáng Tube 100g "</t>
  </si>
  <si>
    <t>https://product.hstatic.net/200000428801/product/490dfc7cc7e143d7bb6c20a4967b410b_044c08efc8934a3d995137918008d598.png</t>
  </si>
  <si>
    <t>Q30222032352</t>
  </si>
  <si>
    <t>" Sữa rửa mặt Sắc ngọc khang Tube 100g "</t>
  </si>
  <si>
    <t>https://product.hstatic.net/200000428801/product/cc793cec0d3f40cb82c80c8460bbbef0_964b03af536d42d7b492c8e28c2c7ff0.png</t>
  </si>
  <si>
    <t>Q30222032353</t>
  </si>
  <si>
    <t>" Sữa rửa mặt Sắc ngọc khang Tube 50g "</t>
  </si>
  <si>
    <t>https://product.hstatic.net/200000428801/product/52793870b46547fba9a36b4fab1ce12e_f3fbc24f7e364b11a10c9a592a62f1c8.png</t>
  </si>
  <si>
    <t>Q30222032354</t>
  </si>
  <si>
    <t>" Sữa rửa mặt Tây Thi Thái Dương (Tube 90g) "</t>
  </si>
  <si>
    <t>https://product.hstatic.net/200000428801/product/b06c027e479f444ab16a55a888c4132f_a92aa200d4634bae9bda3b941238c8e4.png</t>
  </si>
  <si>
    <t>Q30222032355</t>
  </si>
  <si>
    <t>" Sữa rửa mặt Trà xanh hoa cúc Bạch Liên (Tube 50g) "</t>
  </si>
  <si>
    <t>https://product.hstatic.net/200000428801/product/c81bbdd3cc7a4e35b284eb8099c2c868_068ce96160e94b2b8dd2d285831a4217.png</t>
  </si>
  <si>
    <t>Q302663728</t>
  </si>
  <si>
    <t>" Sữa Tắm Baby Khổ Qua DHG (Hộp 1 chai x 100ml) "</t>
  </si>
  <si>
    <t>https://product.hstatic.net/200000428801/product/6f679e595f864d628ba4f0458c7943e8_e84be469701940438bbafa47b7a3bff0.png</t>
  </si>
  <si>
    <t>Q30222032356</t>
  </si>
  <si>
    <t>" Sữa tắm dưỡng ẩm Ceradan Ceramide Moiturising Wash Hyphens (lọ 150ml) "</t>
  </si>
  <si>
    <t>https://product.hstatic.net/200000428801/product/3255f4c4795f47269af3fb2d290b1e65_97f4fc60fff645c6876afbe4d9fc6113.png</t>
  </si>
  <si>
    <t>Q302240685</t>
  </si>
  <si>
    <t>" Sữa Tắm Gội Lactacyd Baby Milky 500ml "</t>
  </si>
  <si>
    <t>https://product.hstatic.net/200000428801/product/4eb89fa3db044616bf438caa4a9212d6_cc0a7dc2fb4d49e3ba27e74ddfb25315.png</t>
  </si>
  <si>
    <t>Q302773820</t>
  </si>
  <si>
    <t>" Sữa Tắm Gội Thảo Dược Dr.Papie Starmed Từ 0-3 Tuổi (Chai 230ml) "</t>
  </si>
  <si>
    <t>https://product.hstatic.net/200000428801/product/6013a032b82c48f6a804043d07005b8a_f7b42253495349f19ca9c749c3fa8924.png</t>
  </si>
  <si>
    <t>Q30222032357</t>
  </si>
  <si>
    <t>" Sữa tắm Rocket for Men Thái Dương (Tube 200g) "</t>
  </si>
  <si>
    <t>https://product.hstatic.net/200000428801/product/bccf933959664600b8c113036f6d5542_be48bda90994462faaf70127571304c9.png</t>
  </si>
  <si>
    <t>Q30222032358</t>
  </si>
  <si>
    <t>" Sữa tắm Tây Thi Thái Dương (Tube 200g) "</t>
  </si>
  <si>
    <t>https://product.hstatic.net/200000428801/product/1257cad6c36049b0824dccf6a7b67488_dc78874a0ecd42b3afcef97ce6d6969d.png</t>
  </si>
  <si>
    <t>Q302170323197</t>
  </si>
  <si>
    <t>" Sylhepgan 500mg Nam Hà (hộp 12 vỉ x 5 viên nang) "</t>
  </si>
  <si>
    <t>https://product.hstatic.net/200000428801/product/7b2fd9eccf3c4c72a204f9cb458e2930_660a2647ed78458a8a4bd68bc63041c9.png</t>
  </si>
  <si>
    <t>Q302170323198</t>
  </si>
  <si>
    <t>" Symbicort Turbuhaler 160/4.5 AstraZeneca (lọ 120 liều) "</t>
  </si>
  <si>
    <t>https://product.hstatic.net/200000428801/product/9852f689794d49379cf16a42c59b4270_a0b47061c71d42afb6cf735897986b31.png</t>
  </si>
  <si>
    <t>Q302170323199</t>
  </si>
  <si>
    <t>" Symbicort Turbuhaler 160/4.5 AstraZeneca (lọ 60 liều) "</t>
  </si>
  <si>
    <t>Q302170323200</t>
  </si>
  <si>
    <t>" Synapain Pregabalin 75mg TW2 (hộp 3 vỉ x 10 viên nén) "</t>
  </si>
  <si>
    <t>https://product.hstatic.net/200000428801/product/upload_5a48164bcb61411cbe14d14f1506a47b.jpg</t>
  </si>
  <si>
    <t>Q302170323250</t>
  </si>
  <si>
    <t>" Syndopa 275 Sun Ấn Độ (hộp 5 vỉ x 10 viên) "</t>
  </si>
  <si>
    <t>https://product.hstatic.net/200000428801/product/upload_8bda5b344d5f43bba2f82ae34586027e.jpg</t>
  </si>
  <si>
    <t>Q302170323251</t>
  </si>
  <si>
    <t>" Syseye Hypromellose 0.3% Merap (lọ 10ml nhỏ mắt) "</t>
  </si>
  <si>
    <t>https://product.hstatic.net/200000428801/product/upload_1fe92e2e78634e70ad03bc4b5213d5cc.jpg</t>
  </si>
  <si>
    <t>Q302170323252</t>
  </si>
  <si>
    <t>" Systane Ultra Alcon (lọ 10ml) "</t>
  </si>
  <si>
    <t>https://product.hstatic.net/200000428801/product/upload_261a689c4cce46dabf460af653e22986.jpg</t>
  </si>
  <si>
    <t>Q302170323253</t>
  </si>
  <si>
    <t>" Systane Ultra Alcon (lọ 5ml) "</t>
  </si>
  <si>
    <t>https://product.hstatic.net/200000428801/product/upload_54159622d76d4c35b2e746027ebfe655.jpg</t>
  </si>
  <si>
    <t>Q302170323254</t>
  </si>
  <si>
    <t>" T pepsin Hà Tây (hộp 12 gói x 1g cốm) "</t>
  </si>
  <si>
    <t>https://product.hstatic.net/200000428801/product/upload_6013f316e4274236aed58adcfc58eb86.jpg</t>
  </si>
  <si>
    <t>Q302170323255</t>
  </si>
  <si>
    <t>" Tabracef Cefdinir 300mg USP (hộp 1 vỉ x 10 viên nang) "</t>
  </si>
  <si>
    <t>https://product.hstatic.net/200000428801/product/upload_38e0d56710e1445d84425821165350ea.jpg</t>
  </si>
  <si>
    <t>Q302170323256</t>
  </si>
  <si>
    <t>" Tacerax Cefuroxim 125mg USP (hộp 10 gói x 1.5g) "</t>
  </si>
  <si>
    <t>https://product.hstatic.net/200000428801/product/upload_e5d7a30fb0a74b44b455d1c6a3f7e8d2.jpg</t>
  </si>
  <si>
    <t>Q302170323257</t>
  </si>
  <si>
    <t>" Tadalafil 10mg Stella (hộp 1 vỉ x 2 viên) "</t>
  </si>
  <si>
    <t>https://product.hstatic.net/200000428801/product/upload_40e9e7ddd0bb4e49b38c83603861a659.jpg</t>
  </si>
  <si>
    <t>Q302170323258</t>
  </si>
  <si>
    <t>" Tadalafil 5mg Stella (hộp 3 vỉ x 10 viên) "</t>
  </si>
  <si>
    <t>https://product.hstatic.net/200000428801/product/475_912beb8fc7fe4c82bb294dc1c969e97a.png</t>
  </si>
  <si>
    <t>Q302170323259</t>
  </si>
  <si>
    <t>" Tafsafe Tenofovir Alafenamide 25mg Ấn Độ (lọ 30 viên nén) "</t>
  </si>
  <si>
    <t>https://product.hstatic.net/200000428801/product/upload_82add1a4ba044b10a2a336a03196512f.jpg</t>
  </si>
  <si>
    <t>Q302170323260</t>
  </si>
  <si>
    <t>" Talanta Pymepharco (hộp 4 vỉ x 10 viên nhai) "</t>
  </si>
  <si>
    <t>https://product.hstatic.net/200000428801/product/434_0e08b822c03b4f1c95e91edbb4bd24d3.png</t>
  </si>
  <si>
    <t>Q30217032353</t>
  </si>
  <si>
    <t>" TanaDotuxsin F Thành Nam (hộp 10 vỉ x 10 viên nang cứng) "</t>
  </si>
  <si>
    <t>https://product.hstatic.net/200000428801/product/upload_64a7fc7e0a0d4e5aaeba096f923186d2.jpg</t>
  </si>
  <si>
    <t>Q30217032354</t>
  </si>
  <si>
    <t>" TanaDotuxsin F Thành Nam (Lọ 100 viên nang) "</t>
  </si>
  <si>
    <t>https://product.hstatic.net/200000428801/product/upload_e6494e12a56742b3b85423e90972d4bb.jpg</t>
  </si>
  <si>
    <t>Q30217032355</t>
  </si>
  <si>
    <t>" TanaDotuxsin Thành Nam (hộp 10 vỉ x 10 viên nang cứng) "</t>
  </si>
  <si>
    <t>https://product.hstatic.net/200000428801/product/upload_92386288950944e8b9611ae9eed93176.jpg</t>
  </si>
  <si>
    <t>Q30217032356</t>
  </si>
  <si>
    <t>" Tanagel Gelatin 250mg Laboratorios Tây Ba Nha (hộp 20 gói bột) "</t>
  </si>
  <si>
    <t>https://product.hstatic.net/200000428801/product/upload_6ba0db0b07de45cead8c1be134745ca8.jpg</t>
  </si>
  <si>
    <t>Q30217032358</t>
  </si>
  <si>
    <t>" Tanatril Imidapril 5mg Tanabe (hộp 10 vỉ x 10 viên nén) "</t>
  </si>
  <si>
    <t>https://product.hstatic.net/200000428801/product/429_62c48e66ffd44db283b4b13366355467.png</t>
  </si>
  <si>
    <t>Q30217032360</t>
  </si>
  <si>
    <t>" Tanganil Acetyl leucin 500mg Pierre Fabre Pháp (hộp 3 vỉ x 10 viên) "</t>
  </si>
  <si>
    <t>https://product.hstatic.net/200000428801/product/427_e5946d56da3c48e49c0ff6fb33371a1f.png</t>
  </si>
  <si>
    <t>Q30222032351</t>
  </si>
  <si>
    <t>" Tanponai Acetyl leucin 500mg Đồng Nai (lốc 10h hộp 2 vỉ x 10 viên nén) "</t>
  </si>
  <si>
    <t>https://product.hstatic.net/200000428801/product/upload_d0ca699ec84b42e9a47bff4afed8d23f.jpg</t>
  </si>
  <si>
    <t>Q30217032361</t>
  </si>
  <si>
    <t>" Tardyferon B9 Pierre Fabre Pháp (hộp 3 vỉ x 10 viên nén) "</t>
  </si>
  <si>
    <t>https://product.hstatic.net/200000428801/product/upload_e312f12025ea4ccc8488164cfe3ab25a.jpg</t>
  </si>
  <si>
    <t>Q30217032363</t>
  </si>
  <si>
    <t>" Tataca Mebendazol 500mg Pymepharco (hộp 20 viên nén bao phim) "</t>
  </si>
  <si>
    <t>https://product.hstatic.net/200000428801/product/upload_4ee90e0c87cd4781a6970b1353cbdce7.jpg</t>
  </si>
  <si>
    <t>Q30217032364</t>
  </si>
  <si>
    <t>" Tatanol Acetaminophen 150mg Pymepharco (hộp 25 gói x 0.9g) "</t>
  </si>
  <si>
    <t>https://product.hstatic.net/200000428801/product/431_ab22f22f8eda44f4b4acb72dbdba5ee9.png</t>
  </si>
  <si>
    <t>Q30217032365</t>
  </si>
  <si>
    <t>" Tatanol Acetaminophen 500mg Pymepharco (hộp 10 vỉ x 10 viên nén) "</t>
  </si>
  <si>
    <t>https://product.hstatic.net/200000428801/product/upload_04169ee2f28a4476ace301d0aa3ee2fd.jpg</t>
  </si>
  <si>
    <t>Q30217032366</t>
  </si>
  <si>
    <t>" Tatanol cảm cúm Pymepharco (hộp 10 vỉ x 10 viên nén) "</t>
  </si>
  <si>
    <t>https://product.hstatic.net/200000428801/product/upload_bb9086e5388146f2a74856555c1063f1.jpg</t>
  </si>
  <si>
    <t>Q30217032367</t>
  </si>
  <si>
    <t>" Tatanol Children Acetaminophen 325mg Pymepharco (hộp 10 vỉ x 10 viên nén) "</t>
  </si>
  <si>
    <t>https://product.hstatic.net/200000428801/product/upload_f9ce67aa317e4c11ae41ac47c56dc0f8.jpg</t>
  </si>
  <si>
    <t>Q30217032368</t>
  </si>
  <si>
    <t>" Tatanol Forte Acetaminophen 650mg Pymepharco (hộp 30 vỉ x 5 viên nén) "</t>
  </si>
  <si>
    <t>https://product.hstatic.net/200000428801/product/upload_b24896f93edf456aa0979aba33e9bc28.jpg</t>
  </si>
  <si>
    <t>Q30217032369</t>
  </si>
  <si>
    <t>" Tatanol nhức mỏi Pymepharco (hộp 10 vỉ x 10 viên) "</t>
  </si>
  <si>
    <t>https://product.hstatic.net/200000428801/product/upload_8389d4976ee24abfb44688f3bdc8f1f2.jpg</t>
  </si>
  <si>
    <t>Q30217032370</t>
  </si>
  <si>
    <t>" Tatanol Plus Acetaminophen 500mg Pymepharco (hộp 10 vỉ x 10 viên nén) "</t>
  </si>
  <si>
    <t>https://product.hstatic.net/200000428801/product/433_726d7d3d94d043189fca4d5fc2b63363.png</t>
  </si>
  <si>
    <t>Q30217032371</t>
  </si>
  <si>
    <t>" Tatanol trẻ em Acetaminophen 120mg Pymepharco (hộp 10 vỉ x 20 viên nén ngọt) "</t>
  </si>
  <si>
    <t>https://product.hstatic.net/200000428801/product/upload_748df950f6264c6c9f50fd186bbab3b5.jpg</t>
  </si>
  <si>
    <t>Q30217032372</t>
  </si>
  <si>
    <t>" Tauxiz Azithromycin 200mg/5ml Beximco (hộp 1 lọ 15ml) "</t>
  </si>
  <si>
    <t>https://product.hstatic.net/200000428801/product/upload_aa63330ba4374df59e2649a32cc32d03.jpg</t>
  </si>
  <si>
    <t>Q30217032373</t>
  </si>
  <si>
    <t>" Tavanic Levofloxacin 500mg Sanofi (hộp 1 vỉ x 5 viên nén) "</t>
  </si>
  <si>
    <t>https://product.hstatic.net/200000428801/product/upload_a8110cea6559404b9897078316d457d8.jpg</t>
  </si>
  <si>
    <t>Q30217032374</t>
  </si>
  <si>
    <t>" Tazoretin C gel Medisun (tuýp 15g) "</t>
  </si>
  <si>
    <t>https://product.hstatic.net/200000428801/product/upload_dde8d4a8964c4044ac10483e024a48c1.jpg</t>
  </si>
  <si>
    <t>Q3029909</t>
  </si>
  <si>
    <t>" Tăm Bông SOFTTANA - Người lớn( Lốc/ 12 gói) "</t>
  </si>
  <si>
    <t>https://product.hstatic.net/200000428801/product/upload_be4c7459b0624786bc6cc50a5e77a3d2.jpg</t>
  </si>
  <si>
    <t>Q302181743</t>
  </si>
  <si>
    <t>" Tăm chỉ Nha Khoa Oraltana Tanaphar (Hộp 50 chiếc) "</t>
  </si>
  <si>
    <t>https://product.hstatic.net/200000428801/product/upload_75ca31866e0c47e59563250d0d6f3f23.jpg</t>
  </si>
  <si>
    <t>Q302170323261</t>
  </si>
  <si>
    <t>" Tăm chỉ nha khoa Suka (gói 80 chiếc) "</t>
  </si>
  <si>
    <t>https://product.hstatic.net/200000428801/product/upload_abba68277ac94636a1e22d42629fa30a.jpg</t>
  </si>
  <si>
    <t>Q30217032350</t>
  </si>
  <si>
    <t>" Tăm chổi kẽ răng Shining teeth Nhật Bản (túi 6 chiếc) "</t>
  </si>
  <si>
    <t>https://product.hstatic.net/200000428801/product/428_b256f21830574de5bc5b9998ec830d76.png</t>
  </si>
  <si>
    <t>Q302304309</t>
  </si>
  <si>
    <t>" Tắm Gội Cetaphil Baby Đức (Chai 230ml) "</t>
  </si>
  <si>
    <t>https://product.hstatic.net/200000428801/product/upload_6240cdba141e4018b81be1c4bb4d4ea4.jpg</t>
  </si>
  <si>
    <t>Q30217032351</t>
  </si>
  <si>
    <t>" Tắm xông thảo mộc Chanh sả tía tô Olympia (hộp 10 gói x 30g) "</t>
  </si>
  <si>
    <t>https://product.hstatic.net/200000428801/product/430_1a0488ef004b4f51bb458da4b12950ff.png</t>
  </si>
  <si>
    <t>Q30217032352</t>
  </si>
  <si>
    <t>" Tắm xông thảo mộc sả gừng tía tô bạc hà Akopha Pháp (hộp 10 gói x 30g) "</t>
  </si>
  <si>
    <t>https://product.hstatic.net/200000428801/product/upload_5b847ff66a2f475a97fe1659172740fd.jpg</t>
  </si>
  <si>
    <t>Q30217032359</t>
  </si>
  <si>
    <t>" Tăng lực vị cam DP Quốc tế Canada (cọc 10 Tube x 20 viên sủi) "</t>
  </si>
  <si>
    <t>https://product.hstatic.net/200000428801/product/upload_6cfb91e9ebb04620ba63ca81adffb8c2.jpg</t>
  </si>
  <si>
    <t>Q30217032375</t>
  </si>
  <si>
    <t>" TĐCare hạ đường huyết và cholesterol Việt Đức (lọ 60 viên nang) "</t>
  </si>
  <si>
    <t>https://product.hstatic.net/200000428801/product/upload_ee608bd433744fd98dd8f8a05600a656.jpg</t>
  </si>
  <si>
    <t>Q30217032377</t>
  </si>
  <si>
    <t>" Tearbalance Natri hyaluaronat 0.1% Senju Nhật Bản (lọ 5ml) "</t>
  </si>
  <si>
    <t>https://product.hstatic.net/200000428801/product/upload_c94b1545b6b4402cabc64d3600c1e980.jpg</t>
  </si>
  <si>
    <t>Q30217032378</t>
  </si>
  <si>
    <t>" Tears Natural II nhỏ mắt Alcon (lọ 15ml) "</t>
  </si>
  <si>
    <t>https://product.hstatic.net/200000428801/product/473_3a6b348705d74a45a00ab33d3026a9bf.png</t>
  </si>
  <si>
    <t>Q30217032379</t>
  </si>
  <si>
    <t>" Teaves thuốc cốm uống Vian Pharma (hộp 25 gói x 1,5g) "</t>
  </si>
  <si>
    <t>https://product.hstatic.net/200000428801/product/472_d437727a818942e0ae642ed850d41610.png</t>
  </si>
  <si>
    <t>Q30217032380</t>
  </si>
  <si>
    <t>" Techepa Hà Tây (hộp 14 gói x 4g bột pha hỗn dịch) "</t>
  </si>
  <si>
    <t>https://product.hstatic.net/200000428801/product/upload_642224599bd74781832672a890dd85c8.jpg</t>
  </si>
  <si>
    <t>Q30217032381</t>
  </si>
  <si>
    <t>" Tedavi 400mg/57mg Bilim Ilac Thổ Nhĩ Kỳ (lọ 70ml) "</t>
  </si>
  <si>
    <t>https://product.hstatic.net/200000428801/product/474_b88f0d42b50e4ba5a5acb9dfff75c3bd.png</t>
  </si>
  <si>
    <t>Q30217032382</t>
  </si>
  <si>
    <t>" Teen Derm gel rửa mặt trị mụn IsisPharma Pháp (Tube 150ml) "</t>
  </si>
  <si>
    <t>https://product.hstatic.net/200000428801/product/upload_9b617b009d55472a84aaacfca5883657.jpg</t>
  </si>
  <si>
    <t>Q30217032383</t>
  </si>
  <si>
    <t>" Tefostad T300 Tenofovir 300mg Stella (hộp 3 vỉ x 10 viên nén) "</t>
  </si>
  <si>
    <t>https://product.hstatic.net/200000428801/product/upload_e44c52d630a8425982d682ae79094d3f.jpg</t>
  </si>
  <si>
    <t>Q30217032384</t>
  </si>
  <si>
    <t>" Teginol Atenolol 50mg DHG Hậu Giang (hộp 3 vỉ x 10 viên nén) "</t>
  </si>
  <si>
    <t>https://product.hstatic.net/200000428801/product/upload_49474f5c0ca04429bc5f4b38e48c6c41.jpg</t>
  </si>
  <si>
    <t>Q30217032385</t>
  </si>
  <si>
    <t>" Tegretol Carbamazepine 200mg Novartis (hộp 5 vỉ x 10 viên nén) "</t>
  </si>
  <si>
    <t>https://product.hstatic.net/200000428801/product/upload_54aa551c81b44705a97758b73826e107.jpg</t>
  </si>
  <si>
    <t>Q30217032386</t>
  </si>
  <si>
    <t>" Telfast BD Fexofenadine 60mg Sanofi (hộp 3 vỉ x 10 viên nén) "</t>
  </si>
  <si>
    <t>https://product.hstatic.net/200000428801/product/upload_a9b89544274845879de6a70f043de4d8.jpg</t>
  </si>
  <si>
    <t>Q30217032387</t>
  </si>
  <si>
    <t>" Telfast HD Fexofenadine 180mg Sanofi (hộp 3 vỉ x 10 viên nén) "</t>
  </si>
  <si>
    <t>https://product.hstatic.net/200000428801/product/upload_078cf932359b4c41b20250b085361bcb.jpg</t>
  </si>
  <si>
    <t>Q30217032388</t>
  </si>
  <si>
    <t>" Telfor Fexpfenadine 120mg DHG Hậu Giang (hộp 2 vỉ x 10 viên nén) "</t>
  </si>
  <si>
    <t>https://product.hstatic.net/200000428801/product/1c3bd90b09d248c1b7b419e74716ad00_baaa8981d42b4ec4b7365b6c2c7451de.png</t>
  </si>
  <si>
    <t>Q30217032389</t>
  </si>
  <si>
    <t>" Telfor Fexpfenadine 180mg DHG Hậu Giang (hộp 2 vỉ x 10 viên nén) "</t>
  </si>
  <si>
    <t>https://product.hstatic.net/200000428801/product/e9833ed6522a4fe6a66e3739cbc6ddb9_adb0ee41577b4eb7890686a725cd8f86.png</t>
  </si>
  <si>
    <t>Q30217032390</t>
  </si>
  <si>
    <t>" Telfor Fexpfenadine 60mg DHG Hậu Giang (hộp 2 vỉ x 10 viên nén) "</t>
  </si>
  <si>
    <t>https://cdn2-retail-images.kiotviet.vn/giabaopharma/0d6b454860e1496892e15af44dbec6ed.jpg</t>
  </si>
  <si>
    <t>Q30217032391</t>
  </si>
  <si>
    <t>" Telmisartan Stella 40mg Stella (hộp 3 vỉ x 10 viên nén) "</t>
  </si>
  <si>
    <t>https://product.hstatic.net/200000428801/product/57e185500d964a3f9a7437ab6a2600df_32f4e57b2e5947c896a351de85061cde.png</t>
  </si>
  <si>
    <t>Q30217032392</t>
  </si>
  <si>
    <t>" Telzid 80/12.5 Medisun (hộp 6 vỉ x 10 viên nén) "</t>
  </si>
  <si>
    <t>https://product.hstatic.net/200000428801/product/7be52b4eb8bc4d9d9c0f4f2c157602ca_389f267816594ce6952b2987ec9b006c.png</t>
  </si>
  <si>
    <t>Q30217032393</t>
  </si>
  <si>
    <t>" Tendipoxim Cefpodoxim 200mg USP (hộp 2 vỉ x 10 viên nang cứng) "</t>
  </si>
  <si>
    <t>https://product.hstatic.net/200000428801/product/9fc08544bd2b45cc957b6486ce735cd7_7f4cd532c5734fbfae6ae28676f489f7.png</t>
  </si>
  <si>
    <t>Q30217032394</t>
  </si>
  <si>
    <t>" Tendoactive Laboratorios Tây Ban Nha (hộp 2 vỉ x 15 viên nang mềm) "</t>
  </si>
  <si>
    <t>https://product.hstatic.net/200000428801/product/9faab63a013a4ed19c1228d87e0e9a11_bc929d4b63554282a06b4ef9bd1fb208.png</t>
  </si>
  <si>
    <t>Q30217032395</t>
  </si>
  <si>
    <t>" Tengeri xịt muối biển người lớn Q&amp;V (lọ 70ml) "</t>
  </si>
  <si>
    <t>https://product.hstatic.net/200000428801/product/upload_bef8ac8958934122b6eb11242d0c2d5d.jpg</t>
  </si>
  <si>
    <t>Q30217032396</t>
  </si>
  <si>
    <t>" Tengeri xịt muối biển trẻ em Q&amp;V (lọ 70ml) "</t>
  </si>
  <si>
    <t>https://product.hstatic.net/200000428801/product/upload_5e1f23a96bf84013a18900f89aa06d43.jpg</t>
  </si>
  <si>
    <t>Q30217032397</t>
  </si>
  <si>
    <t>" Tenocar 100 Atenolol 100mg Pymepharco (hộp 2 vỉ x 15 viên nén) "</t>
  </si>
  <si>
    <t>https://product.hstatic.net/200000428801/product/upload_f5a5ea8249fe407cb348d1e48ab53ba6.jpg</t>
  </si>
  <si>
    <t>Q30217032398</t>
  </si>
  <si>
    <t>" Tenofovir 300mg SaVi (hộp 3 vỉ x 10 viên nén) "</t>
  </si>
  <si>
    <t>https://product.hstatic.net/200000428801/product/upload_bbfe32f7fd7944efa95c4f2832885361.jpg</t>
  </si>
  <si>
    <t>Q30217032399</t>
  </si>
  <si>
    <t>" Tenofovir Disoproxil Fumarate 300mg Mylan Ấn Độ (lọ 30 viên nén) "</t>
  </si>
  <si>
    <t>https://product.hstatic.net/200000428801/product/upload_ef0b224457fb4f9f98c6e4df86cd5e61.jpg</t>
  </si>
  <si>
    <t>Q302170323100</t>
  </si>
  <si>
    <t>" Tenofovir STADA 300mg (hộp 3 vỉ x 10 viên nén) "</t>
  </si>
  <si>
    <t>https://product.hstatic.net/200000428801/product/420_a83a59b0294b4c3cb01b5a0d64065dbd.png</t>
  </si>
  <si>
    <t>Q302170323150</t>
  </si>
  <si>
    <t>" Tenoxicam 20mg Bidiphar (hộp 1 lọ bột đông khô + ống dung môi 2ml) "</t>
  </si>
  <si>
    <t>https://product.hstatic.net/200000428801/product/upload_70c6deedb24f4566b34f1c25554f38fc.jpg</t>
  </si>
  <si>
    <t>Q302170323151</t>
  </si>
  <si>
    <t>" Tenoxil Tenofovir 300mg Hetero Ấn Độ (hộp 3 vỉ x 10 viên nén) "</t>
  </si>
  <si>
    <t>https://product.hstatic.net/200000428801/product/upload_06e6ee15f8a642bca4f5ef315cd9d972.jpg</t>
  </si>
  <si>
    <t>Q302170323152</t>
  </si>
  <si>
    <t>" Teptalissine Đại Uy (hộp 100 túi x 2 viên ngậm) "</t>
  </si>
  <si>
    <t>https://product.hstatic.net/200000428801/product/422_b3a723fb314a46259d1da08a5fff35af.png</t>
  </si>
  <si>
    <t>Q302170323153</t>
  </si>
  <si>
    <t>" Teptalissine Đại Uy (lọ 400 viên ngậm) "</t>
  </si>
  <si>
    <t>https://product.hstatic.net/200000428801/product/upload_90be1fbae6134fce8a07a0a3ca0686dc.jpg</t>
  </si>
  <si>
    <t>Q302170323154</t>
  </si>
  <si>
    <t>" Terbinafine cream 1% Stella (tuýp 10g) "</t>
  </si>
  <si>
    <t>https://product.hstatic.net/200000428801/product/upload_89434353504b4b17b7deb60cf20ca324.jpg</t>
  </si>
  <si>
    <t>Q302170323155</t>
  </si>
  <si>
    <t>" Terbiskin 1% Terbinafin 1% Hasan (tuýp 15g) "</t>
  </si>
  <si>
    <t>https://product.hstatic.net/200000428801/product/upload_b11f7b3928e34227aab9c63ed83012c4.jpg</t>
  </si>
  <si>
    <t>Q302170323156</t>
  </si>
  <si>
    <t>" Terfuzol kem bôi ngoài da Gia Nguyễn (tuýp 10g) "</t>
  </si>
  <si>
    <t>https://product.hstatic.net/200000428801/product/upload_e90be3a0d48a4fd49a1fd0b57c70a74a.jpg</t>
  </si>
  <si>
    <t>Q30216032366</t>
  </si>
  <si>
    <t>" Terpin Benzoat Minh Hải (hộp 20 vỉ x 10 viên nang cứng) "</t>
  </si>
  <si>
    <t>https://product.hstatic.net/200000428801/product/upload_0308337765404aa4ab50cc846d57198a.jpg</t>
  </si>
  <si>
    <t>Q30216032367</t>
  </si>
  <si>
    <t>" Terpin Cophan Mekophar (hộp 10 vỉ x 10 viên nang) "</t>
  </si>
  <si>
    <t>https://product.hstatic.net/200000428801/product/upload_73d7e94f59c041bb8d608657a3c1e10a.jpg</t>
  </si>
  <si>
    <t>Q30216032368</t>
  </si>
  <si>
    <t>" Terpin Dextromethorpan Hà Tĩnh Hadiphar (hộp 10 vỉ x 10 viên nang) "</t>
  </si>
  <si>
    <t>https://product.hstatic.net/200000428801/product/upload_a35b1bec2926464b92742af2f8fac83a.jpg</t>
  </si>
  <si>
    <t>Q30216032370</t>
  </si>
  <si>
    <t>" Terpin Goledin NIC (lọ 300 viên nén) "</t>
  </si>
  <si>
    <t>https://product.hstatic.net/200000428801/product/upload_7dbccf2b97934b3e9c3e1fd5c6a9c546.jpg</t>
  </si>
  <si>
    <t>Q30216032369</t>
  </si>
  <si>
    <t>" Terpin Goledin Nic (lọ 300 viên nén) "</t>
  </si>
  <si>
    <t>https://product.hstatic.net/200000428801/product/upload_3e4a88ae61be46508c814757a3b15f3a.jpg</t>
  </si>
  <si>
    <t>Q30216032371</t>
  </si>
  <si>
    <t>" Tesafu Rupatadin 10mg Medisun (hộp 3 vỉ x 10 viên nén) "</t>
  </si>
  <si>
    <t>Q30216032373</t>
  </si>
  <si>
    <t>" Tetracyclin 1% Quảng Bình (cọc 10 tuýp x 5g) "</t>
  </si>
  <si>
    <t>https://product.hstatic.net/200000428801/product/upload_d3461793c9a24990ac19d654619fcba4.jpg</t>
  </si>
  <si>
    <t>Q30216032374</t>
  </si>
  <si>
    <t>" Tetracyclin 250mg Thanh Hóa (lọ 400 viên nén) "</t>
  </si>
  <si>
    <t>https://product.hstatic.net/200000428801/product/upload_55e5e96dc8994bacb41187ec58311ad0.jpg</t>
  </si>
  <si>
    <t>Q30216032376</t>
  </si>
  <si>
    <t>" Tetracyclin 500mg TW25 Uphace (lọ 200 viên nang) "</t>
  </si>
  <si>
    <t>https://product.hstatic.net/200000428801/product/upload_1f4950e2b6254cccbf69a2fb769d0c15.jpg</t>
  </si>
  <si>
    <t>Q30216032375</t>
  </si>
  <si>
    <t>" Tetracyclin 500mg Vidipha (hộp 10 vỉ x 10 viên nang) "</t>
  </si>
  <si>
    <t>https://product.hstatic.net/200000428801/product/upload_805972df43e445cda5ba0a756ce8dfd8.jpg</t>
  </si>
  <si>
    <t>Q30216032377</t>
  </si>
  <si>
    <t>" Tetracylin 250mg Z120 Armephaco (lọ 400 viên nén) "</t>
  </si>
  <si>
    <t>https://product.hstatic.net/200000428801/product/upload_5871934a24a84db2be959794afe9cc6b.jpg</t>
  </si>
  <si>
    <t>Q30216032378</t>
  </si>
  <si>
    <t>" Tetracylin 500mg TW25 Uphace (hộp 10 vỉ x 10 viên nang) "</t>
  </si>
  <si>
    <t>https://product.hstatic.net/200000428801/product/upload_f7b01e9c28d047e9a5a7c77f87708b66.jpg</t>
  </si>
  <si>
    <t>Q30216032379</t>
  </si>
  <si>
    <t>" Tetracylin 500mg TW3 Foripharm (hộp 10 vỉ x 10 viên nang) "</t>
  </si>
  <si>
    <t>https://product.hstatic.net/200000428801/product/upload_ce55976ad4b349218062aa30908637f6.jpg</t>
  </si>
  <si>
    <t>Q30200492</t>
  </si>
  <si>
    <t>" Tezkin Cream Gia Nguyễn (H/lốc/10 tuýp 10g)"</t>
  </si>
  <si>
    <t>https://product.hstatic.net/200000428801/product/418_b1e5128dd1f74a23b25c3788eac9e032.png</t>
  </si>
  <si>
    <t>Q30216032380</t>
  </si>
  <si>
    <t>" Tezkin xịt trị nấm ngoài da Gia Nguyễn (cọc 10 lọ x 15ml) "</t>
  </si>
  <si>
    <t>https://product.hstatic.net/200000428801/product/upload_0982b5fa860f4afb8f6cd2c85cf88875.jpg</t>
  </si>
  <si>
    <t>Q30217032376</t>
  </si>
  <si>
    <t>" Tê nhức chân tay Bảo Nguyên Hoa Thiên Phú (hộp 3 vỉ x 10 viên nang) "</t>
  </si>
  <si>
    <t>https://product.hstatic.net/200000428801/product/upload_3958de65eb7848d18a78b589924fee35.jpg</t>
  </si>
  <si>
    <t>Q30216032381</t>
  </si>
  <si>
    <t>" Thạch mắt đen Ích Nhi Nam Dược (hộp 21 gói x 30g) "</t>
  </si>
  <si>
    <t>https://product.hstatic.net/200000428801/product/upload_c66d87b92782437793e00d0b903d4389.jpg</t>
  </si>
  <si>
    <t>Q302738788</t>
  </si>
  <si>
    <t>" Than Hoạt Tính Carbomint Pharmedic (Hộp 30 viên nhai) "</t>
  </si>
  <si>
    <t>https://product.hstatic.net/200000428801/product/423_20ddf4674ca34911bf86b05dff38d7cd.png</t>
  </si>
  <si>
    <t>Q302140323172</t>
  </si>
  <si>
    <t>" Thăng áp Nam Dược hộp 3 vỉ x 10 viên "</t>
  </si>
  <si>
    <t>https://product.hstatic.net/200000428801/product/411_365a4b0ac8b24065b1a0795da128290c.png</t>
  </si>
  <si>
    <t>Q302140323173</t>
  </si>
  <si>
    <t>" Thăng Trĩ Nam Dược hộp 5 vỉ x 10 viên nang "</t>
  </si>
  <si>
    <t>https://product.hstatic.net/200000428801/product/upload_ae67ae7d294343ec8af1ff580636811e.jpg</t>
  </si>
  <si>
    <t>Q30216032382</t>
  </si>
  <si>
    <t>" Thận An Plus NanoFrance (Hộp 2 vỉ x 10 viên) "</t>
  </si>
  <si>
    <t>https://product.hstatic.net/200000428801/product/425_b939f1558af64391af3bfd71b7ed67cf.png</t>
  </si>
  <si>
    <t>Q302140323171</t>
  </si>
  <si>
    <t>https://product.hstatic.net/200000428801/product/upload_67216c2336ca4300bcb065c538e54a2b.jpg</t>
  </si>
  <si>
    <t>Q302140323174</t>
  </si>
  <si>
    <t>" Thấp diệu nang Tâm Bình lọ 60 viên nang "</t>
  </si>
  <si>
    <t>https://product.hstatic.net/200000428801/product/upload_d9973ac4904041b8a34dae079709124a.jpg</t>
  </si>
  <si>
    <t>Q302140323175</t>
  </si>
  <si>
    <t>" Thấp khớp hoàn PH Phúc Hưng (hộp 10 gói x 5g hoàn cứng) "</t>
  </si>
  <si>
    <t>https://product.hstatic.net/200000428801/product/upload_594469a2dbec4c70a5e79293fff3e6cb.jpg</t>
  </si>
  <si>
    <t>Q30214032317700</t>
  </si>
  <si>
    <t>" Thập toàn đại bổ Nhất Nhất hộp 2 vỉ x 10 viên nén "</t>
  </si>
  <si>
    <t>https://product.hstatic.net/200000428801/product/upload_1372787ea64d4f6481ddaf566dae0988.jpg</t>
  </si>
  <si>
    <t>Q302140323176</t>
  </si>
  <si>
    <t>" Thập toàn đại bổ TW3 Foripharm (hộp 10 hoàn mềm x 8g) "</t>
  </si>
  <si>
    <t>https://product.hstatic.net/200000428801/product/upload_7639ca52fc7f48999f5b311e55a5d81c.jpg</t>
  </si>
  <si>
    <t>Q302140323179</t>
  </si>
  <si>
    <t>" The Kati 0.05% nhỏ mắt Dược Khoa (cọc 10 lọ x 10ml) "</t>
  </si>
  <si>
    <t>Q302140323178</t>
  </si>
  <si>
    <t>" TheKatadexan nhỏ mắt Dược Khoa (cọc 10 lọ x 8ml) "</t>
  </si>
  <si>
    <t>Q302140323180</t>
  </si>
  <si>
    <t>" Thelizin 5mg Alimemazin Khapharco (hộp 4 vỉ x 25 viên nén) "</t>
  </si>
  <si>
    <t>Q302140323181</t>
  </si>
  <si>
    <t>" Themogene Z150 Cophavina (lọ 200 viên nang cứng) "</t>
  </si>
  <si>
    <t>Q302140323182</t>
  </si>
  <si>
    <t>" Thenadin Alimemazine 5mg Đồng Nai (hộp 10 vỉ x 25 viên nén) "</t>
  </si>
  <si>
    <t>Q3020000653</t>
  </si>
  <si>
    <t>" Theralene Alimemazine Sanofi 0,045g/90ml (C/90ml)"</t>
  </si>
  <si>
    <t>https://cdn2-retail-images.kiotviet.vn/giabaopharma/7b29e31085a847309c1f906c8920a20d.jpg</t>
  </si>
  <si>
    <t>Q302140323183</t>
  </si>
  <si>
    <t>" Thiên môn bổ phổi Bình Đông (lọ 280ml "</t>
  </si>
  <si>
    <t>https://product.hstatic.net/200000428801/product/upload_2dc989dc16f84afa9c95d202c234ad79.jpg</t>
  </si>
  <si>
    <t>Q302140323184</t>
  </si>
  <si>
    <t>" Thiên sứ Hộ tâm đan Tâm Đan Trung Quốc (hộp 2 lọ x 100 viên) "</t>
  </si>
  <si>
    <t>https://product.hstatic.net/200000428801/product/upload_e2feea5a028940859ca5706b010eec36.jpg</t>
  </si>
  <si>
    <t>Q302140323185</t>
  </si>
  <si>
    <t>" Thiên thọ sơn gel xoa bóp Pháp Lam PC (Tube 35g) "</t>
  </si>
  <si>
    <t>https://product.hstatic.net/200000428801/product/upload_513e983b8a824b88aa1c057ebf197c91.jpg</t>
  </si>
  <si>
    <t>Q302140323188</t>
  </si>
  <si>
    <t>" Thorakao kem nghệ Lan Hảo (lọ 7g) "</t>
  </si>
  <si>
    <t>https://product.hstatic.net/200000428801/product/407_cf8c6ba8f8494f90b5fb5dcab384f56a.png</t>
  </si>
  <si>
    <t>Q302140323187</t>
  </si>
  <si>
    <t>" Thông tâm lạc Shijiazhuang Yiling (hộp 3 vỉ x 10 viên nang) "</t>
  </si>
  <si>
    <t>https://product.hstatic.net/200000428801/product/upload_69f895c2cdbd459998275a1b27198356.jpg</t>
  </si>
  <si>
    <t>Q302227637</t>
  </si>
  <si>
    <t>" Thông Xoang Tán Nam Dược (Hộp 1lọ x 50 viên nang) "</t>
  </si>
  <si>
    <t>https://product.hstatic.net/200000428801/product/410_ba4241c75ce44622a17bdd71b7d99687.png</t>
  </si>
  <si>
    <t>Q302456764</t>
  </si>
  <si>
    <t>" Thuốc Augmentin Amoxicillin - Acid Clavulanic 250mg/31,25mg Pháp (Hộp 12 gói) "</t>
  </si>
  <si>
    <t>https://product.hstatic.net/200000428801/product/upload_5b11f90f65cf4249afc6c01dad9e1b80.jpg</t>
  </si>
  <si>
    <t>Q302887689</t>
  </si>
  <si>
    <t>" Thuốc Augmentin Amoxicillin - Acid Clavulanic 500mg/62,5mg Pháp (Hộp 12 gói) "</t>
  </si>
  <si>
    <t>https://product.hstatic.net/200000428801/product/upload_dcefec47f1f34863b89b9e74a39ddf73.jpg</t>
  </si>
  <si>
    <t>Q302009840</t>
  </si>
  <si>
    <t>" Thuốc Bột Montiget Montelukast Sodium 4mg Getz (Hộp 14 gói X 4g) "</t>
  </si>
  <si>
    <t>https://product.hstatic.net/200000428801/product/upload_93e5a7cdf18c45d0add02339ea15b8e1.jpg</t>
  </si>
  <si>
    <t>Q302783839</t>
  </si>
  <si>
    <t>" Thuốc Dạ Dày Trimafort Daewoong (Hộp 20 gói x 10ml) "</t>
  </si>
  <si>
    <t>https://product.hstatic.net/200000428801/product/upload_9e4a08792464405995b36ddd4aded67f.jpg</t>
  </si>
  <si>
    <t>Q302454576</t>
  </si>
  <si>
    <t>" Thuốc Gastropulgite Ipsen (Hộp 30 gói) "</t>
  </si>
  <si>
    <t>https://product.hstatic.net/200000428801/product/upload_b8562a9ae2934a5192fb3e03b2fb23e4.jpg</t>
  </si>
  <si>
    <t>Q302885947</t>
  </si>
  <si>
    <t>" Thuốc Hidrasec 10mg Racecadotril Abbott (Hộp 16 gói x 10mg) "</t>
  </si>
  <si>
    <t>https://product.hstatic.net/200000428801/product/upload_176468c9a7814916a785e5c8d94ed12f.jpg</t>
  </si>
  <si>
    <t>Q302847783</t>
  </si>
  <si>
    <t>" Thuốc Hidrasec 30mg Racecadotril Abbott (Hộp 30 Gói X 30mg) "</t>
  </si>
  <si>
    <t>https://product.hstatic.net/200000428801/product/upload_f7e6b0df61784ea0844f08331a6bcad4.jpg</t>
  </si>
  <si>
    <t>Q302140323189</t>
  </si>
  <si>
    <t>" Thuốc ho Nam Dược lọ 100ml "</t>
  </si>
  <si>
    <t>https://product.hstatic.net/200000428801/product/upload_37ac954dd1104c92bf87c74f1634b641.jpg</t>
  </si>
  <si>
    <t>Q302765345</t>
  </si>
  <si>
    <t>" Thuốc Mỡ Tra Mắt Chlorocina H Quảng Bình (Hộp 1 tuýp x 4g) "</t>
  </si>
  <si>
    <t>https://product.hstatic.net/200000428801/product/upload_6d56db56e4134e84aabdf271c1dd4dbd.jpg</t>
  </si>
  <si>
    <t>Q302774890</t>
  </si>
  <si>
    <t>" Thuốc Mỡ Tra Mắt Tetracyclin 1% Medipharco (Hộp 100 tuýp x 5g) "</t>
  </si>
  <si>
    <t>https://product.hstatic.net/200000428801/product/upload_549c4ade68664e4493458b7727f637cf.jpg</t>
  </si>
  <si>
    <t>Q302774837</t>
  </si>
  <si>
    <t>" Thuốc Nhỏ Mắt - Mũi - Tai Nemydexan Nam Hà (Lốc 10lọ x lọ 8ml) "</t>
  </si>
  <si>
    <t>https://product.hstatic.net/200000428801/product/upload_97833f2863954834a18768959edc812e.jpg</t>
  </si>
  <si>
    <t>Q302369147</t>
  </si>
  <si>
    <t>" Thuốc Nhỏ Mắt EyeLight Cool DHG (Cọc 10 Hộp x 10ml) (xanh lá) "</t>
  </si>
  <si>
    <t>https://product.hstatic.net/200000428801/product/upload_0b86a3b3b59a4a07929091a40c70ce25.jpg</t>
  </si>
  <si>
    <t>Q302990098</t>
  </si>
  <si>
    <t>" Thuốc Nhỏ Mắt EyeLight Tetrahydrozolin 5mg DHG (Hộp 1chai x 10ml) (xanh dương) "</t>
  </si>
  <si>
    <t>https://product.hstatic.net/200000428801/product/upload_894d0715e6ce466e8c66c74420a033ba.jpg</t>
  </si>
  <si>
    <t>Q302876665</t>
  </si>
  <si>
    <t>" Thuốc Nhỏ Mắt EyeLight Vita DHG (Cọc 5 Hộp 1chai x 10ml) (vàng) "</t>
  </si>
  <si>
    <t>https://product.hstatic.net/200000428801/product/upload_5de1928a723c43b1a6cbccf7accae7cd.jpg</t>
  </si>
  <si>
    <t>Q302883580</t>
  </si>
  <si>
    <t>" Thuốc nhỏ mắt Natri Clorid 0,9% Pharmedic (Lốc 10 lọ x 10ml) "</t>
  </si>
  <si>
    <t>https://product.hstatic.net/200000428801/product/upload_4c14659f22074c79a48d695e849b369b.jpg</t>
  </si>
  <si>
    <t>Q302756499</t>
  </si>
  <si>
    <t>" Thuốc Nhỏ Mắt Neocin 5ml Pharmedic (Lốc 10lọ x 5ml) "</t>
  </si>
  <si>
    <t>https://product.hstatic.net/200000428801/product/upload_32a99a3480ed433eb4e0573599cf39d4.jpg</t>
  </si>
  <si>
    <t>Q302948384</t>
  </si>
  <si>
    <t>" Thuốc Nhỏ Mắt Ofloxacin 0,3% Traphaco (Lốc 10lọ x lọ 5ml) "</t>
  </si>
  <si>
    <t>https://product.hstatic.net/200000428801/product/upload_6e227c9988924a18bf82a52744054fec.jpg</t>
  </si>
  <si>
    <t>Q302234323</t>
  </si>
  <si>
    <t>" Thuốc Nhỏ Mắt Osla 15ml Merap (Lốc 10 lọ/ 15ml) "</t>
  </si>
  <si>
    <t>https://product.hstatic.net/200000428801/product/upload_8d6019d249fd42d783fb52d22625649c.jpg</t>
  </si>
  <si>
    <t>Q302447584</t>
  </si>
  <si>
    <t>" Thuốc Nhỏ Mắt TobraDex (Tobramycin, Dexamethasone) Alcon 5ml(H/1 lọ) "</t>
  </si>
  <si>
    <t>https://product.hstatic.net/200000428801/product/upload_3e9067f8dd594b5fa5c68e360d49640d.jpg</t>
  </si>
  <si>
    <t>Q302463746</t>
  </si>
  <si>
    <t>" Thuốc Nhỏ Mắt Tobramycin 0,3% Traphaco (Lốc 10lọ x lọ 6ml) "</t>
  </si>
  <si>
    <t>https://product.hstatic.net/200000428801/product/409_14bbc2a47e284c4b8fedfe0e1c84d19f.png</t>
  </si>
  <si>
    <t>Q302994438</t>
  </si>
  <si>
    <t>" Thuốc Nhỏ Mắt Tobrex Tobramycin 0,3% Alcon 5ml "</t>
  </si>
  <si>
    <t>https://product.hstatic.net/200000428801/product/upload_19b8fa0c83614f209c5346bb62dac457.jpg</t>
  </si>
  <si>
    <t>Q302110387</t>
  </si>
  <si>
    <t>" Thuốc Nhỏ Mắt, Mũi Natri Clorid 0.9% Traphaco (Lốc 10 lọ x lọ 10ml) "</t>
  </si>
  <si>
    <t>https://product.hstatic.net/200000428801/product/upload_a0c904bb741b42359484d00e6eac98d0.jpg</t>
  </si>
  <si>
    <t>Q302214943</t>
  </si>
  <si>
    <t>" Thuốc Nhỏ Mũi Trẻ Em Otilin 0,05% Pharbaco (Lốc 10 lọ x 1 lọ 8ml) "</t>
  </si>
  <si>
    <t>https://product.hstatic.net/200000428801/product/426_c569b73932694522b854014541e6e266.png</t>
  </si>
  <si>
    <t>Q302770892</t>
  </si>
  <si>
    <t>" Thuốc Nhỏ Tai Candid Clotrimazole Glenmark (Hộp 1lọ x 15ml) "</t>
  </si>
  <si>
    <t>https://product.hstatic.net/200000428801/product/upload_0333572cf1154fc4aa07e4e7dd623ca7.jpg</t>
  </si>
  <si>
    <t>Q302114178</t>
  </si>
  <si>
    <t>" Thuốc Nước Bạch Long Thủy Trị Ho, Hen Xuyễn Bảo Long (Chai 90ml ) "</t>
  </si>
  <si>
    <t>https://product.hstatic.net/200000428801/product/upload_e9930d823d3a4bec8baf370a33820144.jpg</t>
  </si>
  <si>
    <t>Q302884735</t>
  </si>
  <si>
    <t>" Thuốc Nước Cortonyl OPC (Hộp 1 chai 25ml) "</t>
  </si>
  <si>
    <t>https://cdn2-retail-images.kiotviet.vn/2025/02/11/giabaopharma/c5a7d79a9418416fb69f7394f4735980.jpg</t>
  </si>
  <si>
    <t>Q302140323190</t>
  </si>
  <si>
    <t>" Thuốc nước Ho Bổ Phế Fito Pharma (lọ 200ml) "</t>
  </si>
  <si>
    <t>https://product.hstatic.net/200000428801/product/upload_d0e6fcb7c34e41f183fb4c56a3f33fde.jpg</t>
  </si>
  <si>
    <t>Q302747392</t>
  </si>
  <si>
    <t>" Thuốc Ophazidon 250mg Hà Nội (Lốc 10 lọ - Lọ 100 viên nén) "</t>
  </si>
  <si>
    <t>https://product.hstatic.net/200000428801/product/upload_1e5e895ea8c844e5b11a8999ce15fa4e.jpg</t>
  </si>
  <si>
    <t>Q302947378</t>
  </si>
  <si>
    <t>" Thuốc Pacemin Hataphar (Hộp 50 vỉ x 10 viên nén) "</t>
  </si>
  <si>
    <t>https://product.hstatic.net/200000428801/product/upload_a0e6f80aed7344f882144eea5a855940.jpg</t>
  </si>
  <si>
    <t>Q302800904</t>
  </si>
  <si>
    <t>" Thuốc Rơ Miệng Nyst Nystatin 25.000IU OPC (Cọc 6 Hộp x 10 gói x 1g thuốc bột) "</t>
  </si>
  <si>
    <t>https://product.hstatic.net/200000428801/product/408_eec9103a44b84d59b44f98cd7740b56b.png</t>
  </si>
  <si>
    <t>Q302140323191</t>
  </si>
  <si>
    <t>" Thuốc Rửa Phụ Khoa Meseptic Metronidazol 1% Việt Phúc (hộp 10 lọ x 90ml) "</t>
  </si>
  <si>
    <t>https://product.hstatic.net/200000428801/product/upload_0ef1a3da531441e49247d11064a0b3b1.jpg</t>
  </si>
  <si>
    <t>Q302646547</t>
  </si>
  <si>
    <t>" Thuốc Tẩy Giun Albendazol 400mg Hataphar (Lốc 10 hộp - Hộp 1 viên nén nhai) "</t>
  </si>
  <si>
    <t>https://product.hstatic.net/200000428801/product/416_49289eca102b402db0f622f4598d2d35.png</t>
  </si>
  <si>
    <t>Q302554374</t>
  </si>
  <si>
    <t>" Thuốc Tẩy Giun Fugacar Janssen Mebendazole 500mg Hương Dâu ( Hộp 1 x 1 viên) "</t>
  </si>
  <si>
    <t>https://product.hstatic.net/200000428801/product/417_795e5ea85ea44160bd0dfa9ff4ad93e8.png</t>
  </si>
  <si>
    <t>Q302843849</t>
  </si>
  <si>
    <t>" Thuốc Tiêm Cavinton Vinpocetine 5mg/ml Gedeon Richter (Hộp 10 ống x 2 ml) "</t>
  </si>
  <si>
    <t>https://product.hstatic.net/200000428801/product/upload_259418de0fef4d5886cdce326fd99ee4.jpg</t>
  </si>
  <si>
    <t>Q302993847</t>
  </si>
  <si>
    <t>" Thuốc Tiêm Diprospan Injection MSD ( Hộp 1 ống 5mg/ 2ml) "</t>
  </si>
  <si>
    <t>https://product.hstatic.net/200000428801/product/419_0201c0d50ebf40e29ab17fb0dc27a4f5.png</t>
  </si>
  <si>
    <t>Q302446456</t>
  </si>
  <si>
    <t>" Thuốc Tiffy Dey Thái Nakorn Patana (Hộp 25 vỉ x 4 viên nén) "</t>
  </si>
  <si>
    <t>https://product.hstatic.net/200000428801/product/upload_11cb5933b6024668abd63af42432d148.jpg</t>
  </si>
  <si>
    <t>Q302837483</t>
  </si>
  <si>
    <t>" Thuốc tím Kali Permanganat 1g Hóa Dược (Bịch 100 gói x 10 túi x túi 1g) "</t>
  </si>
  <si>
    <t>https://product.hstatic.net/200000428801/product/upload_86baedfaa4d94bdc9e25ed7fc691c71f.jpg</t>
  </si>
  <si>
    <t>Q302378448</t>
  </si>
  <si>
    <t>" Thuốc Vệ Sinh Phụ Nữ Gynapax Vidaphar (Hộp 30 gói x 5g) "</t>
  </si>
  <si>
    <t>https://product.hstatic.net/200000428801/product/421_dc2dbafd9bc649ea961c1bccaee2a74a.png</t>
  </si>
  <si>
    <t>Q302118646</t>
  </si>
  <si>
    <t>" Thuốc Xanh Methylen 1% Hóa Dược (Lốc 10 lọ x 17ml) "</t>
  </si>
  <si>
    <t>https://product.hstatic.net/200000428801/product/upload_51d84c3abe8f4bbab7233e3afad360b0.jpg</t>
  </si>
  <si>
    <t>Q302553764</t>
  </si>
  <si>
    <t>" Thuốc Xịt Mũi Avamys Fluticasone Furoate GSK (Chai 120 liều xịt) "</t>
  </si>
  <si>
    <t>https://product.hstatic.net/200000428801/product/upload_b7e25aed93a54185af2d5b502168bfb8.jpg</t>
  </si>
  <si>
    <t>Q30222332</t>
  </si>
  <si>
    <t>" Thuốc Xịt Mũi Avamys Fluticasone Furoate GSK (Chai 60 liều xịt) "</t>
  </si>
  <si>
    <t>https://product.hstatic.net/200000428801/product/424_9eca81bc97ae4fa9938a706c11d3e582.png</t>
  </si>
  <si>
    <t>Q302376498</t>
  </si>
  <si>
    <t>" Thuốc xịt mũi Coldi B Nam Hà (Cọc 10lọ x 15ml) "</t>
  </si>
  <si>
    <t>https://product.hstatic.net/200000428801/product/upload_8ea11a8d1c2f49218c78c6fc9e1857fa.jpg</t>
  </si>
  <si>
    <t>Q302140323192</t>
  </si>
  <si>
    <t>" Thuốc xịt mũi Thái Dương lọ 20ml "</t>
  </si>
  <si>
    <t>https://product.hstatic.net/200000428801/product/upload_e003bdc29af24d03b47798f2183ffeaa.jpg</t>
  </si>
  <si>
    <t>Q302557334</t>
  </si>
  <si>
    <t>" Thuốc Xịt Mũi Thông Xoang Tán Nam Dược (Hộp 1lọ x 15ml) "</t>
  </si>
  <si>
    <t>https://product.hstatic.net/200000428801/product/upload_7eafe769236b4544b7f46138cfb245e5.jpg</t>
  </si>
  <si>
    <t>Q302643573</t>
  </si>
  <si>
    <t>" Thuốc Xoang Nhất Nhất (Hộp 3 vỉ x 10 viên) "</t>
  </si>
  <si>
    <t>https://product.hstatic.net/200000428801/product/upload_bb2b725db3c2429db7ae59c54a5f9829.jpg</t>
  </si>
  <si>
    <t>Q302838879</t>
  </si>
  <si>
    <t>" Thuốc Xương Khớp Nhất Nhất (Hộp 2vỉ x 10 viên nén bao phim) "</t>
  </si>
  <si>
    <t>https://product.hstatic.net/200000428801/product/412_a046040e0852457c8bc97faaef4c7839.png</t>
  </si>
  <si>
    <t>Q302746367</t>
  </si>
  <si>
    <t>" Thuốc Zidocin DHG Spiramycin - Metronidazo (Hộp 10 vỉ x 10 viên nén bao phim) "</t>
  </si>
  <si>
    <t>https://product.hstatic.net/200000428801/product/upload_eabeba1914004267bf96e92df9937d5f.jpg</t>
  </si>
  <si>
    <t>Q302140323193</t>
  </si>
  <si>
    <t>" Thylmedi Methylprednisolon 16mg Mediplantex (hộp 3 vỉ x 10 viên nén) "</t>
  </si>
  <si>
    <t>https://product.hstatic.net/200000428801/product/upload_630b3007440d456aa2651173498d981f.jpg</t>
  </si>
  <si>
    <t>Q302140323194</t>
  </si>
  <si>
    <t>" Thylus siro hỗ trợ tăng đề kháng Olympia (lọ 125ml) "</t>
  </si>
  <si>
    <t>https://product.hstatic.net/200000428801/product/upload_7bba1b1b7e394c1a9269ee762d7b0c35.jpg</t>
  </si>
  <si>
    <t>Q302140323195</t>
  </si>
  <si>
    <t>" Thymo Kid Trang Ly (lọ 100ml) "</t>
  </si>
  <si>
    <t>https://product.hstatic.net/200000428801/product/upload_952a2ebbc5344555b05bc49cf98a3ae0.jpg</t>
  </si>
  <si>
    <t>Q302140323196</t>
  </si>
  <si>
    <t>" Thymo V100 Thymodulin 80mg Thanh Hằng (hộp 6 vỉ x 10 viên nang) "</t>
  </si>
  <si>
    <t>https://product.hstatic.net/200000428801/product/414_fba2fb81254f4b82a9322fdd709fbb96.png</t>
  </si>
  <si>
    <t>Q302140323197</t>
  </si>
  <si>
    <t>" Thymo Vitc Thymomodulin 350mg BMP (lọ 100ml) "</t>
  </si>
  <si>
    <t>https://product.hstatic.net/200000428801/product/415_17d4f2d026a34fe5b75ae0b1fe381e5c.png</t>
  </si>
  <si>
    <t>Q302140323198</t>
  </si>
  <si>
    <t>" Thymo Zinckids Biopro (lọ 125ml) "</t>
  </si>
  <si>
    <t>Q302140323199</t>
  </si>
  <si>
    <t>" Thymosol Thymodulin 80mg CPC1 Hà Nội (hộp 20 ống x 5ml) "</t>
  </si>
  <si>
    <t>https://product.hstatic.net/200000428801/product/upload_970db014fdb140bcbf03991f756325b7.jpg</t>
  </si>
  <si>
    <t>Q302140323200</t>
  </si>
  <si>
    <t>" Thymozinc Forkids Biopro (hộp 20 ống x 10ml) "</t>
  </si>
  <si>
    <t>https://product.hstatic.net/200000428801/product/upload_65e289dcd7b247bc8706f4e0fa26c883.jpg</t>
  </si>
  <si>
    <t>Q30216032383</t>
  </si>
  <si>
    <t>" Ticarlox làm mờ sẹo Thiên Khánh (cọc 5 tuýp x 10g) "</t>
  </si>
  <si>
    <t>https://product.hstatic.net/200000428801/product/upload_280f9a2d63994e949a74540f583386fb.jpg</t>
  </si>
  <si>
    <t>Q30216032384</t>
  </si>
  <si>
    <t>" Ticoldex nhỏ mắt Đà Nẵng Danapha (cọc 10 lọ x 5ml) "</t>
  </si>
  <si>
    <t>https://product.hstatic.net/200000428801/product/upload_857da09ac48c4a248f413c84e430bc88.jpg</t>
  </si>
  <si>
    <t>Q30216032385</t>
  </si>
  <si>
    <t>" Ticonet Coenzym Q10 30mg Phil (hộp 10 vỉ x 10 viên nang) "</t>
  </si>
  <si>
    <t>https://product.hstatic.net/200000428801/product/upload_1bbc824d1e8d49baafcfd650356029ca.jpg</t>
  </si>
  <si>
    <t>Q30216032386</t>
  </si>
  <si>
    <t>" TidaCotrim 480 Thành Nam (lọ 150 viên nén) "</t>
  </si>
  <si>
    <t>https://product.hstatic.net/200000428801/product/upload_f5e2a4f438054963a1682da8e8654b13.jpg</t>
  </si>
  <si>
    <t>Q30216032388</t>
  </si>
  <si>
    <t>" Tiền đình khang Eloge Việt Nam (hộp 3 vỉ x 10 viên) "</t>
  </si>
  <si>
    <t>https://product.hstatic.net/200000428801/product/upload_e6a41456576e43f9a7bda6dd9ef3695a.jpg</t>
  </si>
  <si>
    <t>Q30216032389</t>
  </si>
  <si>
    <t>" Tiền liệt vương Tuệ Linh (lọ 60 viên nang) "</t>
  </si>
  <si>
    <t>https://product.hstatic.net/200000428801/product/upload_303d8996784041a688958694637ced41.jpg</t>
  </si>
  <si>
    <t>Q30216032390</t>
  </si>
  <si>
    <t>" Tiêu ban thủy Siro Hoa Sen (chai 150ml) "</t>
  </si>
  <si>
    <t>https://product.hstatic.net/200000428801/product/upload_0c3788a9c31b462abb15f2d49e784088.jpg</t>
  </si>
  <si>
    <t>Q30216032391</t>
  </si>
  <si>
    <t>" Tiêu độc PV Phúc Vinh (lọ 60 viên bao đường) "</t>
  </si>
  <si>
    <t>https://cdn-images.kiotviet.vn/giabaopharma/84ec855540d84853b0cd7801ad716706.png</t>
  </si>
  <si>
    <t>Q30216032352</t>
  </si>
  <si>
    <t>" Tiêu khiết thanh Á Âu (hộp 3 vỉ x 10 viên nén) "</t>
  </si>
  <si>
    <t>https://product.hstatic.net/200000428801/product/upload_7f2cc1a9331d4132ac8b42bbc5709870.jpg</t>
  </si>
  <si>
    <t>Q30216032353</t>
  </si>
  <si>
    <t>" Tiêu ngai bình Mediplantex (lọ 60 viên nang) "</t>
  </si>
  <si>
    <t>https://product.hstatic.net/200000428801/product/upload_daf998c3a55e482782fb9ca876130236.jpg</t>
  </si>
  <si>
    <t>Q30216032354</t>
  </si>
  <si>
    <t>" Tiffy siro Thai Nakorn Patana Thái Lan (lọ 60ml) "</t>
  </si>
  <si>
    <t>https://product.hstatic.net/200000428801/product/upload_e091edfe60f643a68308dd8c36e23241.jpg</t>
  </si>
  <si>
    <t>Q30216032355</t>
  </si>
  <si>
    <t>" Timbivo Bilastine 20mg Pharbaco (hộp 3 vỉ x 10 viên nén) "</t>
  </si>
  <si>
    <t>https://product.hstatic.net/200000428801/product/upload_dd90e3f69fe94077bac15fa079e8137a.jpg</t>
  </si>
  <si>
    <t>Q30216032356</t>
  </si>
  <si>
    <t>" Timbov Clotrimazol 500mg Farmaprim Srl (hộp 1 vỉ x 3 viên đặt) "</t>
  </si>
  <si>
    <t>https://product.hstatic.net/200000428801/product/upload_5d86e4b9475e489a8e4898c4bc40b798.jpg</t>
  </si>
  <si>
    <t>Q30216032357</t>
  </si>
  <si>
    <t>" Timi Roitin trị gút xương khớp Phil Inter (hộp 24 vỉ x 5 viên nang) "</t>
  </si>
  <si>
    <t>Q30216032358</t>
  </si>
  <si>
    <t>" Timolol Maleate 0.5% nhỏ mắt Novartis (lọ 5ml) "</t>
  </si>
  <si>
    <t>Q30216032359</t>
  </si>
  <si>
    <t>" Tinh bột nghệ vàng Bà Bé lọ 100g "</t>
  </si>
  <si>
    <t>https://product.hstatic.net/200000428801/product/upload_89936eaaae3f4d9f94df9daf4ee4e5a1.jpg</t>
  </si>
  <si>
    <t>Q30216032360</t>
  </si>
  <si>
    <t>" Tinh bột tam thất Như Ý (lọ 100g) "</t>
  </si>
  <si>
    <t>https://product.hstatic.net/200000428801/product/upload_1c58bf667e194ba38d923fecf35f766c.jpg</t>
  </si>
  <si>
    <t>Q30216032361</t>
  </si>
  <si>
    <t>" Tinh dầu bưởi Botana Huế (lọ 100ml) "</t>
  </si>
  <si>
    <t>Q3029798989</t>
  </si>
  <si>
    <t>" Tinh dầu hoa anh thảo – Blackmores Evening Primrose (190 viên)"</t>
  </si>
  <si>
    <t>https://product.hstatic.net/200000428801/product/upload_538e757089754704a329f429884053c6.jpg</t>
  </si>
  <si>
    <t>Q30216032362</t>
  </si>
  <si>
    <t>" Tinh dầu quế Bà Bé lọ 20ml xịt "</t>
  </si>
  <si>
    <t>https://product.hstatic.net/200000428801/product/upload_874442f117ed425497e53e5ea4a43e7c.jpg</t>
  </si>
  <si>
    <t>Q30216032363</t>
  </si>
  <si>
    <t>" Tinh dầu sả Bé Thơ lọ 50ml "</t>
  </si>
  <si>
    <t>https://product.hstatic.net/200000428801/product/upload_6cb2831adddb4eb397c4d1097ccf07c5.jpg</t>
  </si>
  <si>
    <t>Q30216032364</t>
  </si>
  <si>
    <t>" Tinh dầu tỏi tía Garlic Oil Akopha Pháp (hộp 30 viên nang mềm) "</t>
  </si>
  <si>
    <t>https://product.hstatic.net/200000428801/product/upload_a499652ad4cb4319b7e64737716187d7.jpg</t>
  </si>
  <si>
    <t>Q30214032369</t>
  </si>
  <si>
    <t>" Tinh dầu tràm Babymum lọ 22ml "</t>
  </si>
  <si>
    <t>https://product.hstatic.net/200000428801/product/upload_1d9af1d470b544ee861773c141577904.jpg</t>
  </si>
  <si>
    <t>Q302847839</t>
  </si>
  <si>
    <t>" Tinh dầu tràm Bé Thơ cho Mẹ Và Bé (Chai 50ml) "</t>
  </si>
  <si>
    <t>https://product.hstatic.net/200000428801/product/upload_5f60c74115fa4d6bb9cad8fdb17469eb.jpg</t>
  </si>
  <si>
    <t>Q30214032370</t>
  </si>
  <si>
    <t>" Tinh dầu tràm bé thơ lọ 100ml "</t>
  </si>
  <si>
    <t>Q30214032371</t>
  </si>
  <si>
    <t>" Tinh dầu tràm Huế cung đình lọ 50ml "</t>
  </si>
  <si>
    <t>https://product.hstatic.net/200000428801/product/upload_e6a9dd1344234e228bfe6a267d88a67d.jpg</t>
  </si>
  <si>
    <t>Q30214032372</t>
  </si>
  <si>
    <t>" Tinh dầu tràm mẹ và bé lọ 10ml "</t>
  </si>
  <si>
    <t>https://product.hstatic.net/200000428801/product/upload_974400c8109e4afa8a6c52f33d6f2732.jpg</t>
  </si>
  <si>
    <t>Q30214032374</t>
  </si>
  <si>
    <t>" TiphaNicef 125 Cefdinir 125mg Tiền Giang (hộp 10 gói x 1,5g) "</t>
  </si>
  <si>
    <t>https://product.hstatic.net/200000428801/product/398_27c7c1695f084208a98ed48a2fca9cff.png</t>
  </si>
  <si>
    <t>Q30214032375</t>
  </si>
  <si>
    <t>" Tisercin Levomepromazine 25mg Egis Hungary (lọ 50 viên nén) "</t>
  </si>
  <si>
    <t>https://product.hstatic.net/200000428801/product/upload_072ffebb30f747b8893f437e6570765f.jpg</t>
  </si>
  <si>
    <t>Q30214032377</t>
  </si>
  <si>
    <t>" Tobramycin 0.3% nhỏ mắt Hà Tây (Cọc 10 lọ x 5ml ) "</t>
  </si>
  <si>
    <t>https://product.hstatic.net/200000428801/product/upload_0fb6e352544f4e798aeaa00650600157.jpg</t>
  </si>
  <si>
    <t>Q30214032378</t>
  </si>
  <si>
    <t>" Tofluxine Enlie (lọ 100 viên nang) "</t>
  </si>
  <si>
    <t>https://product.hstatic.net/200000428801/product/upload_4dcf79a42e6b484a85f9571ec7e4cd16.jpg</t>
  </si>
  <si>
    <t>Q30214032379</t>
  </si>
  <si>
    <t>" Tohema siro ho Olympia (lọ 100ml) "</t>
  </si>
  <si>
    <t>https://product.hstatic.net/200000428801/product/upload_01ee1cc0d1334c438fdc364cbbe355eb.jpg</t>
  </si>
  <si>
    <t>Q30214032380</t>
  </si>
  <si>
    <t>" Tỏi Đen Một Nhánh Học Viện Quân Y (hộp 200g) "</t>
  </si>
  <si>
    <t>https://product.hstatic.net/200000428801/product/upload_64f3c4112f0a4b7cbce88879ee68dd6c.jpg</t>
  </si>
  <si>
    <t>Q30216032365</t>
  </si>
  <si>
    <t>" Tỏi Đen Sâm Ngọc Linh Học Viện Quân Y (hộp 60 viên nang mềm) "</t>
  </si>
  <si>
    <t>https://product.hstatic.net/200000428801/product/upload_0dd7a1d0bbdc465a91e514dabf4cbabc.jpg</t>
  </si>
  <si>
    <t>Q30214032381</t>
  </si>
  <si>
    <t>" Tokkao Gold DP Châu Âu (hộp 20 gói x 3g) "</t>
  </si>
  <si>
    <t>https://product.hstatic.net/200000428801/product/upload_1b06c9aca6be4e86afe600e8660d744c.jpg</t>
  </si>
  <si>
    <t>Q30214032382</t>
  </si>
  <si>
    <t>" Tolsus Suspension siro Polipharm Thái Lan (lọ 60ml) "</t>
  </si>
  <si>
    <t>https://product.hstatic.net/200000428801/product/395_cd53c5fd16354695a1680481a0ed9065.png</t>
  </si>
  <si>
    <t>Q30214032383</t>
  </si>
  <si>
    <t>" Tomoko Mediplantex (hộp 3 vỉ x 10 viên nang cứng) "</t>
  </si>
  <si>
    <t>https://product.hstatic.net/200000428801/product/upload_2368956156374c458d0b56a967db46b4.jpg</t>
  </si>
  <si>
    <t>Q30214032384</t>
  </si>
  <si>
    <t>" Tonios-0,5 Entecavir 0,5mg Davipharm (hộp 4 vỉ x 7 viên nén) "</t>
  </si>
  <si>
    <t>https://product.hstatic.net/200000428801/product/upload_2d089dd808c546dc854fbf4cfde0e8b1.jpg</t>
  </si>
  <si>
    <t>Q30214032385</t>
  </si>
  <si>
    <t>" Topamax 50mg Janssen (hộp 6 vỉ x 10 viên nén) "</t>
  </si>
  <si>
    <t>https://product.hstatic.net/200000428801/product/396_0266d4dc17f64019bc488c4c9c72c8ed.png</t>
  </si>
  <si>
    <t>Q30200360</t>
  </si>
  <si>
    <t>" Topolac Clotrimazol US( H/lốc /10 tuýp 10g ) "</t>
  </si>
  <si>
    <t>https://product.hstatic.net/200000428801/product/upload_4844d1764ab54cedaa45326a11da7f6f.jpg</t>
  </si>
  <si>
    <t>Q30214032387</t>
  </si>
  <si>
    <t>" Torexvis D Tobramycin 0.3% &amp; Dexa 0.1% Gia Nguyễn (lọ 5ml) "</t>
  </si>
  <si>
    <t>https://product.hstatic.net/200000428801/product/391_0c416dbf53ba43fda64b06c31af56a4a.png</t>
  </si>
  <si>
    <t>Q30214032388</t>
  </si>
  <si>
    <t>" Torexvis Tobramycin 0.3% Gia Nguyễn (Cọc 10 lọ x 5ml) "</t>
  </si>
  <si>
    <t>https://product.hstatic.net/200000428801/product/upload_18dfaf8da8424ed0ab97771ab5ef98b0.jpg</t>
  </si>
  <si>
    <t>Q30214032389</t>
  </si>
  <si>
    <t>" Tormeg 20 Atorvastatin Calcium 20mg Mega (hộp 3 vỉ x 10 viên nén) "</t>
  </si>
  <si>
    <t>https://product.hstatic.net/200000428801/product/393_7c3acf94ed6c4ff8b371100b90a8bba6.png</t>
  </si>
  <si>
    <t>Q30214032390</t>
  </si>
  <si>
    <t>" Tosren DM siro trị ho kháng histamin Mediplantex (lọ 60ml) "</t>
  </si>
  <si>
    <t>https://product.hstatic.net/200000428801/product/upload_c292a6efe2ff49e19749e7afc1ec24d6.jpg</t>
  </si>
  <si>
    <t>Q30214032391</t>
  </si>
  <si>
    <t>" Totcal Calcium Hàn Quốc (hộp 20 vỉ x 5 viên nang) "</t>
  </si>
  <si>
    <t>https://product.hstatic.net/200000428801/product/392_bb11285492a74dc49ebfabb5eb2ad6c6.png</t>
  </si>
  <si>
    <t>Q30214032392</t>
  </si>
  <si>
    <t>" Tottri Traphaco (hộp 15 gói x 5g hoàn cứng) "</t>
  </si>
  <si>
    <t>https://product.hstatic.net/200000428801/product/upload_d0944c22cc42430baaa25c7b73e250cd.jpg</t>
  </si>
  <si>
    <t>Q30214032376</t>
  </si>
  <si>
    <t>" Tố Nữ Nhất Nhất hộp 1 vỉ x 10 viên nén bao phim "</t>
  </si>
  <si>
    <t>https://product.hstatic.net/200000428801/product/upload_9ec123402b1b4b53a08d3cde1a5e79a5.jpg</t>
  </si>
  <si>
    <t>Q30214032393</t>
  </si>
  <si>
    <t>" TPHGold L Ornithin L Aspartat 3g Phương Đông (hộp 20 gói x 4g thuốc bột) "</t>
  </si>
  <si>
    <t>https://product.hstatic.net/200000428801/product/0ae9a139131f49e0a20878444b362f2d_9aafc1e8aad24eedb4b95adc29021be2.png</t>
  </si>
  <si>
    <t>Q30214032394</t>
  </si>
  <si>
    <t>" Trà Actiso Việt Ý (cọc 10 hộp x 20 gói) "</t>
  </si>
  <si>
    <t>https://product.hstatic.net/200000428801/product/515141ace76a4aa397a4df5fd7f093d0_4fc54b07981948d4a0b458380b8a7b2c.png</t>
  </si>
  <si>
    <t>Q30214032395</t>
  </si>
  <si>
    <t>" Trà Actisô không đường LadoATS (Cọc hộp 20 túi lọc) "</t>
  </si>
  <si>
    <t>https://product.hstatic.net/200000428801/product/16040369eb0046368eae677d6d0ad8af_a1b956b79e284c5e9db3464702bc91d6.png</t>
  </si>
  <si>
    <t>Q30214032396</t>
  </si>
  <si>
    <t>" Trà AmiTaka HVQY Học Viện Quân Y (hộp 20 gói x 1.8g) "</t>
  </si>
  <si>
    <t>https://product.hstatic.net/200000428801/product/upload_da5554317cad4665a3ccf6db3d54dc13.jpg</t>
  </si>
  <si>
    <t>Q30214032397</t>
  </si>
  <si>
    <t>" Trà Cà Gai Leo Lava Laval (hộp 30 gói x 5g) "</t>
  </si>
  <si>
    <t>https://product.hstatic.net/200000428801/product/upload_0af77396cc02461e9d8c342c4da8f8d9.jpg</t>
  </si>
  <si>
    <t>Q30214032398</t>
  </si>
  <si>
    <t>" Trà Casoran hạ huyết áp Traphaco (hộp 10 gói x 3g cốm) "</t>
  </si>
  <si>
    <t>https://cdn2-retail-images.kiotviet.vn/2025/02/11/giabaopharma/1bbc4434501d414794d303e44c7a5053.jpg</t>
  </si>
  <si>
    <t>Q30214032399</t>
  </si>
  <si>
    <t>" Trà dây Lava 150g Laval (hộp 30 túi x 5g) "</t>
  </si>
  <si>
    <t>https://product.hstatic.net/200000428801/product/upload_d20be45347af4684b3abedc1f2745f3a.jpg</t>
  </si>
  <si>
    <t>Q302140323100</t>
  </si>
  <si>
    <t>" Trà dây thìa canh Túi lọc Lava (hộp 30 gói x 5g) "</t>
  </si>
  <si>
    <t>https://product.hstatic.net/200000428801/product/upload_5d67f55ca5bb43da84abfa001de77998.jpg</t>
  </si>
  <si>
    <t>Q302140323150</t>
  </si>
  <si>
    <t>" Trà Diabetna Nam Dược (hộp 25 gói x 1.5g) "</t>
  </si>
  <si>
    <t>https://product.hstatic.net/200000428801/product/upload_e901615b4ad94939ba2676afa67602c8.jpg</t>
  </si>
  <si>
    <t>Q302666387</t>
  </si>
  <si>
    <t>" Trà Giải Cảm Túi Lọc Bảo Long (Hộp 10 gói x 2,5g) "</t>
  </si>
  <si>
    <t>https://product.hstatic.net/200000428801/product/upload_43cb68f8b7b54c88a2936f00b3bccc8c.jpg</t>
  </si>
  <si>
    <t>Q302140323151</t>
  </si>
  <si>
    <t>" Trà Giảo Cổ Lam Tuệ Linh (hộp 25 gói x 2g) "</t>
  </si>
  <si>
    <t>https://product.hstatic.net/200000428801/product/upload_be5f300fc0ff420ea981ed70a743de3d.jpg</t>
  </si>
  <si>
    <t>Q302774383</t>
  </si>
  <si>
    <t>" Trà Gừng Đại Uy (Hộp 10 túi x 3g cốm) "</t>
  </si>
  <si>
    <t>https://product.hstatic.net/200000428801/product/upload_826d1cbeb51e403a81a9127dceeacced.jpg</t>
  </si>
  <si>
    <t>Q302140323152</t>
  </si>
  <si>
    <t>" Trà Gừng Đại Y (hộp 10 gói x 3g) "</t>
  </si>
  <si>
    <t>https://product.hstatic.net/200000428801/product/upload_f6c46859c18a4f289dfa1934cbe9fba6.jpg</t>
  </si>
  <si>
    <t>Q302140323154</t>
  </si>
  <si>
    <t>" Trà Gừng Mật Ong Hậu Giang (hộp 24 gói x 4g) "</t>
  </si>
  <si>
    <t>https://product.hstatic.net/200000428801/product/upload_f15e75a350bd473ea45268b3bbd54011.jpg</t>
  </si>
  <si>
    <t>Q302140323153</t>
  </si>
  <si>
    <t>" Trà Gừng Traphaco (hộp 10 gói x 3g) "</t>
  </si>
  <si>
    <t>https://product.hstatic.net/200000428801/product/upload_087ae57a555a495bb1d77904f1456ade.jpg</t>
  </si>
  <si>
    <t>Q302140323156</t>
  </si>
  <si>
    <t>" Trà Kolenda Hà Thành (hộp 10 gói x 1g) "</t>
  </si>
  <si>
    <t>https://product.hstatic.net/200000428801/product/upload_39e55afdc8bc41a2918a12a9ec3ef8ee.jpg</t>
  </si>
  <si>
    <t>Q302140323157</t>
  </si>
  <si>
    <t>" Trà lá vằng túi lọc Lava (hộp 30 túi x 5g) "</t>
  </si>
  <si>
    <t>https://product.hstatic.net/200000428801/product/390_20a33e0c24f64250a64589c11feb81bb.png</t>
  </si>
  <si>
    <t>Q302140323158</t>
  </si>
  <si>
    <t>" Trà Lạc Tiên Laval (hộp 30 gói x 5g) "</t>
  </si>
  <si>
    <t>https://product.hstatic.net/200000428801/product/upload_5dd02c34adb847b78f9ecbeb39840502.jpg</t>
  </si>
  <si>
    <t>Q302888473</t>
  </si>
  <si>
    <t>" Trà Râu Ngô Rau Má - Mã Đề Đại Uy (Lọ 150g) "</t>
  </si>
  <si>
    <t>https://product.hstatic.net/200000428801/product/upload_eb52a79d7ad248329ffddfbe47942432.jpg</t>
  </si>
  <si>
    <t>Q302140323159</t>
  </si>
  <si>
    <t>" Trà Râu Ngô Rau má Đại Y (lọ 150g) "</t>
  </si>
  <si>
    <t>https://product.hstatic.net/200000428801/product/upload_325942755ab64dc3b306eb7e19bc324d.jpg</t>
  </si>
  <si>
    <t>Q302140323160</t>
  </si>
  <si>
    <t>" Trà Râu Ngô Rau má Hải Phòng (lọ 150g) "</t>
  </si>
  <si>
    <t>https://product.hstatic.net/200000428801/product/upload_69deb8b5fd3643a58f22c3110cd80cbe.jpg</t>
  </si>
  <si>
    <t>Q302140323161</t>
  </si>
  <si>
    <t>" Trà sâm 3g Panax Gingsen "</t>
  </si>
  <si>
    <t>https://product.hstatic.net/200000428801/product/upload_1c13bc454bb142b18778f8dac1f69a38.jpg</t>
  </si>
  <si>
    <t>Q302140323162</t>
  </si>
  <si>
    <t>" Trà sâm Wongin T 10 Hàn Quốc (hộp x 10 gói x 3g) "</t>
  </si>
  <si>
    <t>https://product.hstatic.net/200000428801/product/upload_ed005d66905749d19d2cfe074bc386db.jpg</t>
  </si>
  <si>
    <t>Q302140323163</t>
  </si>
  <si>
    <t>" Trà sâm Wongin T Gingeng Hàn Quốc (hộp 10 hộp nhỏ x 10 gói x 2g) "</t>
  </si>
  <si>
    <t>Q302243234</t>
  </si>
  <si>
    <t>" Trà Sâm Wongin T Ginseng Tea Việt Hải (Hộp to/ 10 hộp bé/ 10 gói) "</t>
  </si>
  <si>
    <t>Q302140323164</t>
  </si>
  <si>
    <t>" Trà Tam Thất Xạ Đen 40g Học Viện Quân Y (hộp 20 gói x 2g) "</t>
  </si>
  <si>
    <t>https://product.hstatic.net/200000428801/product/upload_64ccd5d6e1ff471691fcc0b445cc7ea9.jpg</t>
  </si>
  <si>
    <t>Q302223345</t>
  </si>
  <si>
    <t>" Trà Tan Bảo Bảo Hoa Linh (Hộp 30gói x 5g) "</t>
  </si>
  <si>
    <t>https://product.hstatic.net/200000428801/product/upload_73d0d47bfa704ea0a35a3a8e61b79436.jpg</t>
  </si>
  <si>
    <t>Q302885994</t>
  </si>
  <si>
    <t>" Trà Tăng Huyết Áp Acotea Việt Đức (Hộp 20 gói x 4g) "</t>
  </si>
  <si>
    <t>https://product.hstatic.net/200000428801/product/upload_e712318f68214cf09a2a01c7f7577302.jpg</t>
  </si>
  <si>
    <t>Q302140323165</t>
  </si>
  <si>
    <t>" Trà thảo mộc giải cảm chanh sả gừng Olympia "</t>
  </si>
  <si>
    <t>https://product.hstatic.net/200000428801/product/upload_85da68fee52145c69fee0d16a3bdc301.jpg</t>
  </si>
  <si>
    <t>Q302140323166</t>
  </si>
  <si>
    <t>" Trà tiểu đường TraLy Trang Ly (hộp 20 gói x 2.5g) "</t>
  </si>
  <si>
    <t>https://product.hstatic.net/200000428801/product/upload_1e8f9fa1ab53434cb894fad7bfa72e93.jpg</t>
  </si>
  <si>
    <t>Q302140323167</t>
  </si>
  <si>
    <t>" Trà túi lọc Tâm Lan Tây Ninh (hộp 30 gói x 4g) "</t>
  </si>
  <si>
    <t>https://product.hstatic.net/200000428801/product/upload_8bf9cf18d4cd4d8eb3628d088947cada.jpg</t>
  </si>
  <si>
    <t>Q302140323168</t>
  </si>
  <si>
    <t>" Tradin Extra Traphaco (hộp 2 vỉ x 10 viên nang cứng) "</t>
  </si>
  <si>
    <t>https://product.hstatic.net/200000428801/product/upload_5a5614cd68c044cb8bf3f2fcc07f140d.jpg</t>
  </si>
  <si>
    <t>Q302140323169</t>
  </si>
  <si>
    <t>" Trajenta 5mg Boehringer (hộp 3 vỉ x 10 viên nén) "</t>
  </si>
  <si>
    <t>https://product.hstatic.net/200000428801/product/upload_17b31428f39a4f418fd1f492562f7868.jpg</t>
  </si>
  <si>
    <t>Q302140323170</t>
  </si>
  <si>
    <t>" Trajenta Duo 2.5 mg/1000mg Boehringer (hộp 1 lọ x 60 viên nén) "</t>
  </si>
  <si>
    <t>https://product.hstatic.net/200000428801/product/upload_81aa98de395b4962ab6bad59e558bb68.jpg</t>
  </si>
  <si>
    <t>Q30214032356</t>
  </si>
  <si>
    <t>" Trajenta Duo 2.5 mg/500mg Boehringer (lọ 60 viên nén) "</t>
  </si>
  <si>
    <t>https://product.hstatic.net/200000428801/product/upload_bc903febbfab489ebebb6cf28e1dbf48.jpg</t>
  </si>
  <si>
    <t>Q30214032357</t>
  </si>
  <si>
    <t>" Trajenta Duo 2.5 mg/850 mg Boehringer (hộp 1 lọ x 60 viên nén) "</t>
  </si>
  <si>
    <t>https://product.hstatic.net/200000428801/product/upload_43a25ac8b9b14e66b82b1d72d53e9b58.jpg</t>
  </si>
  <si>
    <t>Q30214032358</t>
  </si>
  <si>
    <t>" Trako dung dịch vệ sinh phụ nữ Biopro (lọ 150ml) "</t>
  </si>
  <si>
    <t>https://product.hstatic.net/200000428801/product/upload_1125e506bd4f4780bfe4f36cd47b4029.jpg</t>
  </si>
  <si>
    <t>Q30214032359</t>
  </si>
  <si>
    <t>" Traluvi cao lỏng Traphaco (hộp 1 lọ 100ml) "</t>
  </si>
  <si>
    <t>https://product.hstatic.net/200000428801/product/upload_ef2fc5531ecd4a59b69dc13987f5f36c.jpg</t>
  </si>
  <si>
    <t>Q302130323100</t>
  </si>
  <si>
    <t>" Traly Melatonin Trang Ly (lọ 100 viên) "</t>
  </si>
  <si>
    <t>https://product.hstatic.net/200000428801/product/upload_3a5be565eb72425da5ddee4c94adce80.jpg</t>
  </si>
  <si>
    <t>Q302130323151</t>
  </si>
  <si>
    <t>" Tràng phục linh Plus IMC (hộp 2 vỉ x 10 viên nén) "</t>
  </si>
  <si>
    <t>https://product.hstatic.net/200000428801/product/upload_0e687edbf6294cd28e999f98e619dfb6.jpg</t>
  </si>
  <si>
    <t>Q302130323152</t>
  </si>
  <si>
    <t>" Tràng phục linh Plus IMC (lọ 80 viên nén) "</t>
  </si>
  <si>
    <t>https://product.hstatic.net/200000428801/product/upload_9db31262e63f4b1586c01472b1606efd.jpg</t>
  </si>
  <si>
    <t>Q302130323150</t>
  </si>
  <si>
    <t>" Tràng phục linh Thái Minh (hộp 2 vỉ x 10 viên nang) "</t>
  </si>
  <si>
    <t>https://product.hstatic.net/200000428801/product/upload_398c612733a24c5db73c158f1d000cce.jpg</t>
  </si>
  <si>
    <t>Q302130323153</t>
  </si>
  <si>
    <t>" Tràng vị khang Đông Á (Lốc 6 hộp x 6 gói x 8g) "</t>
  </si>
  <si>
    <t>https://product.hstatic.net/200000428801/product/upload_4e626d00c4df45b58661805332a08835.jpg</t>
  </si>
  <si>
    <t>Q302130323154</t>
  </si>
  <si>
    <t>" Trangala QM Quang Minh (Lốc 10 tuýp x 8g) "</t>
  </si>
  <si>
    <t>https://product.hstatic.net/200000428801/product/upload_534ba94569c94ea3b71eac159bf499bc.jpg</t>
  </si>
  <si>
    <t>Q302130323155</t>
  </si>
  <si>
    <t>" Tránh thai Yaz Bayer (hộp 28 viên) "</t>
  </si>
  <si>
    <t>https://product.hstatic.net/200000428801/product/upload_df44c3758be84d01835bbf8ca981c2c2.jpg</t>
  </si>
  <si>
    <t>Q302130323157</t>
  </si>
  <si>
    <t>" Transamin Capsules 250mg Daiichi Sankyo Thái Lan (hộp 10 vỉ x 10 viên nang) "</t>
  </si>
  <si>
    <t>https://product.hstatic.net/200000428801/product/upload_97b2175b75914161b8cef8b6368d9d0b.jpg</t>
  </si>
  <si>
    <t>Q302130323156</t>
  </si>
  <si>
    <t>" Transamin Injection tiêm Daiichi Sankyo Thái Lan (hộp 10 ống x 5ml) "</t>
  </si>
  <si>
    <t>https://product.hstatic.net/200000428801/product/upload_0499e0b48d2a4c2db2c83cef1a9e566e.jpg</t>
  </si>
  <si>
    <t>Q302130323158</t>
  </si>
  <si>
    <t>" Transamin Tab 500mg Daiichi Sankyo Thái Lan (hộp 10 vỉ x 10 viên nén) "</t>
  </si>
  <si>
    <t>https://product.hstatic.net/200000428801/product/upload_625bd08d45dc4cdfa8960d1bd970addc.jpg</t>
  </si>
  <si>
    <t>Q302130323159</t>
  </si>
  <si>
    <t>" Trasleepy Traphaco (hộp 2 vỉ x 10 viên nén) "</t>
  </si>
  <si>
    <t>https://product.hstatic.net/200000428801/product/upload_c73dad26380345a88995b623ff23c42e.jpg</t>
  </si>
  <si>
    <t>Q302130323160</t>
  </si>
  <si>
    <t>" Tratrison Traphaco (tuýp 10g) " bán từ 10 tube</t>
  </si>
  <si>
    <t>https://product.hstatic.net/200000428801/product/upload_4de1f0edd22746c49c53eb8ab51feb9d.jpg</t>
  </si>
  <si>
    <t>Q302130323161</t>
  </si>
  <si>
    <t>" Travatan nhỏ mắt Alcon (2.5ml) "</t>
  </si>
  <si>
    <t>https://product.hstatic.net/200000428801/product/upload_cc71bf7a3ea7432cbfde257f816f694e.jpg</t>
  </si>
  <si>
    <t>Q302130323162</t>
  </si>
  <si>
    <t>" Travicol Flu 500mg TVPharm (hộp 10 vỉ x 10 viên nén dài) "</t>
  </si>
  <si>
    <t>https://product.hstatic.net/200000428801/product/upload_4843d5b31e7d4b15b4f41daddff1245e.jpg</t>
  </si>
  <si>
    <t>Q302130323163</t>
  </si>
  <si>
    <t>" Travicol Flu 500mg TVPharm (lọ 100 viên) "</t>
  </si>
  <si>
    <t>https://product.hstatic.net/200000428801/product/upload_b9f54f28f4174e4684335e08661919d1.jpg</t>
  </si>
  <si>
    <t>Q302130323164</t>
  </si>
  <si>
    <t>" Trepmycin Streptomycin 1g TW1 Pharbaco (hộp 50 lọ bột tiêm) "</t>
  </si>
  <si>
    <t>https://product.hstatic.net/200000428801/product/upload_5f21585204e6417f9586c2a569048814.jpg</t>
  </si>
  <si>
    <t>Q302130323166</t>
  </si>
  <si>
    <t>" Trifungi Itraconazole 100mg Pymepharco (hộp 1 vỉ x 4 viên nang) "</t>
  </si>
  <si>
    <t>https://product.hstatic.net/200000428801/product/upload_7b3602b2da7e4f4083226c5a39478b09.jpg</t>
  </si>
  <si>
    <t>Q302130323168</t>
  </si>
  <si>
    <t>" Trilado Green (hộp 2 vỉ x 10 viên nén) "</t>
  </si>
  <si>
    <t>https://product.hstatic.net/200000428801/product/upload_62fdfbc1a97b44a4b4b1af39089205eb.jpg</t>
  </si>
  <si>
    <t>Q302130323169</t>
  </si>
  <si>
    <t>" Trileptal 60mg/ml Oxcarbazepine Novartis Pháp (lọ 100ml hỗn dịch) "</t>
  </si>
  <si>
    <t>https://product.hstatic.net/200000428801/product/upload_9b13cf00f3c34319988828aba53fc086.jpg</t>
  </si>
  <si>
    <t>Q302130323170</t>
  </si>
  <si>
    <t>" Trileptal Oxcarbazepinum 300mg Ý (hộp 50 viên) "</t>
  </si>
  <si>
    <t>https://product.hstatic.net/200000428801/product/upload_db5de09df025408db36b7c9120bdb976.jpg</t>
  </si>
  <si>
    <t>Q302130323171</t>
  </si>
  <si>
    <t>" Trimazon 480mg TW1 (hộp 10 vỉ x 20 viên nén) "</t>
  </si>
  <si>
    <t>https://product.hstatic.net/200000428801/product/upload_752f82b05f1d4675ae2c107afc460d36.jpg</t>
  </si>
  <si>
    <t>Q302130323172</t>
  </si>
  <si>
    <t>" Trimeseptol 480mg Hà Tây (lọ 100 viên nang cứng) "</t>
  </si>
  <si>
    <t>https://product.hstatic.net/200000428801/product/upload_afb903cffbee4d6ea98d8b113bcb5edf.jpg</t>
  </si>
  <si>
    <t>Q302130323173</t>
  </si>
  <si>
    <t>" Trimeseptol 480mg Hà Tây (lọ 200 viên nén) "</t>
  </si>
  <si>
    <t>https://product.hstatic.net/200000428801/product/upload_299bacc64444430392b365235569dbea.jpg</t>
  </si>
  <si>
    <t>Q302130323174</t>
  </si>
  <si>
    <t>" Trimeseptol Hà Tây (hộp 25 vỉ x 20 viên nén) "</t>
  </si>
  <si>
    <t>https://product.hstatic.net/200000428801/product/upload_d2d1d8d6eef9466f859f8f501206d986.jpg</t>
  </si>
  <si>
    <t>Q30216032350</t>
  </si>
  <si>
    <t>" Trimetazidin Dihydroclorid 20mg Stella (hộp 2 vỉ x 30 viên nén) "</t>
  </si>
  <si>
    <t>https://product.hstatic.net/200000428801/product/upload_eda6e319a3d242b59aac8dbac21b4fe8.jpg</t>
  </si>
  <si>
    <t>Q302130323175</t>
  </si>
  <si>
    <t>https://product.hstatic.net/200000428801/product/upload_8132b6f18e17409b8ae2aed6515bc967.jpg</t>
  </si>
  <si>
    <t>Q302130323176</t>
  </si>
  <si>
    <t>" Trimetazidine Dihydroclorid 35mg Stella (hộp 3 vỉ x 10 viên nén) "</t>
  </si>
  <si>
    <t>Q302130323179</t>
  </si>
  <si>
    <t>" Trinh Nữ Hoàng Cung Abipha (lọ 60 viên nang) "</t>
  </si>
  <si>
    <t>https://product.hstatic.net/200000428801/product/upload_995e36c2baa84955b3d1582356796d18.jpg</t>
  </si>
  <si>
    <t>Q302130323180</t>
  </si>
  <si>
    <t>" Trinh Nữ Hoàng Cung Hoa Sen (lọ 60 viên nang) "</t>
  </si>
  <si>
    <t>https://product.hstatic.net/200000428801/product/upload_dd30306538704deb94c3ad34b92ffd47.jpg</t>
  </si>
  <si>
    <t>Q302130323178</t>
  </si>
  <si>
    <t>" Trinh Nữ Hoàng Cung Hương Hoàng (lọ 60 viên) "</t>
  </si>
  <si>
    <t>https://product.hstatic.net/200000428801/product/upload_c7afd733849141ab936cf870b5978d44.jpg</t>
  </si>
  <si>
    <t>Q30216032351</t>
  </si>
  <si>
    <t>" Triplixam 5mg/1.25mg/5mg Servier Pháp (lọ 30 viên nén) "</t>
  </si>
  <si>
    <t>https://product.hstatic.net/200000428801/product/upload_f3a9825e9b26413f8154bfbb62ea456b.jpg</t>
  </si>
  <si>
    <t>Q302130323182</t>
  </si>
  <si>
    <t>" TrivacinTana Extra Thành Nam (hộp 100 viên nén hồng) "</t>
  </si>
  <si>
    <t>https://product.hstatic.net/200000428801/product/upload_94b19f6fcd5e471e887567b9b99c9160.jpg</t>
  </si>
  <si>
    <t>Q302130323183</t>
  </si>
  <si>
    <t>" TrivacinTana Extra Thành Nam (lọ 100 viên nén hồng) "</t>
  </si>
  <si>
    <t>https://product.hstatic.net/200000428801/product/upload_cd8d59c1bf1e4042a6338f36097e8250.jpg</t>
  </si>
  <si>
    <t>Q302130323184</t>
  </si>
  <si>
    <t>" TrivacinTana Thành Nam (hộp 10 vỉ x 10 viên nén dài) "</t>
  </si>
  <si>
    <t>https://product.hstatic.net/200000428801/product/upload_b76a5f77dd414259b62fdb83013d9cc9.jpg</t>
  </si>
  <si>
    <t>Q302130323185</t>
  </si>
  <si>
    <t>" TrivacinTana Thành Nam (lọ 100 viên nén dài bao phim) "</t>
  </si>
  <si>
    <t>https://product.hstatic.net/200000428801/product/upload_736e3da8b3ce4f61a99268ce91c620c0.jpg</t>
  </si>
  <si>
    <t>Q302130323187</t>
  </si>
  <si>
    <t>" Trivitamin 3B B1 B6 B12 Đại Y (hộp 10 vỉ x 10 viên nén) "</t>
  </si>
  <si>
    <t>https://product.hstatic.net/200000428801/product/upload_a2f3d40659974fdd9682815dd2b68800.jpg</t>
  </si>
  <si>
    <t>Q302777533</t>
  </si>
  <si>
    <t>" Trivitamin 3B Vitamin B1 B6 B12 Đại Uy (Hộp 10 vỉ x 10 viên nang mềm) "</t>
  </si>
  <si>
    <t>Q302745364</t>
  </si>
  <si>
    <t>" Trivitamin B1-B6-B12 Đại Uy (Hộp 10 vỉ x 10 viên nén bao phim) "</t>
  </si>
  <si>
    <t>https://product.hstatic.net/200000428801/product/upload_9ea0494b9fc54aed9f99a6cdbcec9c4b.jpg</t>
  </si>
  <si>
    <t>Q302130323191</t>
  </si>
  <si>
    <t>" Tuần Hoàn Não siro Thái Dương (lọ 250ml) "</t>
  </si>
  <si>
    <t>https://product.hstatic.net/200000428801/product/upload_f6678982a4a140309faa593720c02f0e.jpg</t>
  </si>
  <si>
    <t>Q302009848</t>
  </si>
  <si>
    <t>" Tuần Hoàn Não Thái Dương (Hộp 2 vỉ x 6 viên nang) "</t>
  </si>
  <si>
    <t>https://product.hstatic.net/200000428801/product/upload_0cb9ea7d0756474cb6bf021fad72f590.jpg</t>
  </si>
  <si>
    <t>Q302130323192</t>
  </si>
  <si>
    <t>" Túi chườm cao su "</t>
  </si>
  <si>
    <t>https://product.hstatic.net/200000428801/product/upload_b96f35c84b704cc680f621798cd0892d.jpg</t>
  </si>
  <si>
    <t>Q302130323194</t>
  </si>
  <si>
    <t>" Túi chườm đa năng Thiên Thanh nhỏ "</t>
  </si>
  <si>
    <t>https://product.hstatic.net/200000428801/product/upload_294b365ac76c4ed38f29ce8c9912e00f.jpg</t>
  </si>
  <si>
    <t>Q302130323193</t>
  </si>
  <si>
    <t>" Túi chườm đa năng Thiên Thanh nhỡ "</t>
  </si>
  <si>
    <t>https://product.hstatic.net/200000428801/product/upload_6b40ef7b30224414a8faaabd22827054.jpg</t>
  </si>
  <si>
    <t>Q302130323195</t>
  </si>
  <si>
    <t>" Túi đựng nước tiểu bịch 10 túi x 2000ml "</t>
  </si>
  <si>
    <t>https://product.hstatic.net/200000428801/product/upload_b9317e79ed42405391d694e9b2e18f2b.jpg</t>
  </si>
  <si>
    <t>Q302130323196</t>
  </si>
  <si>
    <t>" Tumegas Nghệ vàng 4.5g Hà Tĩnh (hộp 30 gói x 15ml) "</t>
  </si>
  <si>
    <t>https://product.hstatic.net/200000428801/product/388_63cc7cca9ef1481193ceebc2fef4f933.png</t>
  </si>
  <si>
    <t>Q30214032360</t>
  </si>
  <si>
    <t>" Tusalene Alimemazin tartrat 5mg Vacopharm (hộp 10 vỉ x 25 viên nén) "</t>
  </si>
  <si>
    <t>https://product.hstatic.net/200000428801/product/upload_0c81554eddcc4bcd8820d318b385a467.jpg</t>
  </si>
  <si>
    <t>Q302973783</t>
  </si>
  <si>
    <t>" Tuýp Bôi Bepanthen Balm 30g Bayer "</t>
  </si>
  <si>
    <t>https://product.hstatic.net/200000428801/product/upload_ee32362fcfaf4db8a49a1da8bef89e2e.jpg</t>
  </si>
  <si>
    <t>Q302662328</t>
  </si>
  <si>
    <t>" Tuýp bôi Dermovate Cream 15g GSK "</t>
  </si>
  <si>
    <t>https://product.hstatic.net/200000428801/product/upload_cc78adcbdb01419d9c77cd2178a0d1e6.jpg</t>
  </si>
  <si>
    <t>Q302887367</t>
  </si>
  <si>
    <t>" Tuýp Bôi Fucicort 15g Cream LEO "</t>
  </si>
  <si>
    <t>https://product.hstatic.net/200000428801/product/389_df8aaea1b59c4e148e4c3f6ab333686d.png</t>
  </si>
  <si>
    <t>Q30214032361</t>
  </si>
  <si>
    <t>" Tuýp bôi mẩn ngữa BABYPenthen Nhất Anh (tuýp 25g) "</t>
  </si>
  <si>
    <t>https://product.hstatic.net/200000428801/product/upload_ccae8bf7873f4812ad23197a69dfd8ec.jpg</t>
  </si>
  <si>
    <t>Q302048485</t>
  </si>
  <si>
    <t>" Tuýp Bôi Nizoral 5g Cream Ketonazole Janssen (Hộp 1 tuýp) "</t>
  </si>
  <si>
    <t>https://product.hstatic.net/200000428801/product/upload_b60d1f429bd148f4b4dea0d81bd9102f.jpg</t>
  </si>
  <si>
    <t>Q302184937</t>
  </si>
  <si>
    <t>" Tuýp Bôi Salonpas Gel 30g Hisamitsu (Hộp 1 tuýp) "</t>
  </si>
  <si>
    <t>https://product.hstatic.net/200000428801/product/upload_f06aa85c3f3c463784c1c9676f8c9b9d.jpg</t>
  </si>
  <si>
    <t>Q302773876</t>
  </si>
  <si>
    <t>" Tuýp Bôi Silkron 7 màu Dongkwang Pharm (Cọc 10 Tuýp x 10g) "</t>
  </si>
  <si>
    <t>https://product.hstatic.net/200000428801/product/upload_6c78c44bd7a94bd5b4b620a78098d786.jpg</t>
  </si>
  <si>
    <t>Q302448372</t>
  </si>
  <si>
    <t>" Tuýp Kem Bôi Da Tomax Centa Detapham (Lốc 10 tuýp x 6g) "</t>
  </si>
  <si>
    <t>https://product.hstatic.net/200000428801/product/upload_4161d1509fc649a6af83454dd72771b8.jpg</t>
  </si>
  <si>
    <t>Q30214032362</t>
  </si>
  <si>
    <t>" Tuzamin Mediplantex (hộp 3 vỉ x 10 viên nang cứng) "</t>
  </si>
  <si>
    <t>https://product.hstatic.net/200000428801/product/upload_230eadf63e4442d7a2c8e2306aba77b0.jpg</t>
  </si>
  <si>
    <t>Q30214032363</t>
  </si>
  <si>
    <t>" Tydol 500 Acetaminophen 500mg OPV (hộp 10 vỉ x 10 viên nén) "</t>
  </si>
  <si>
    <t>https://product.hstatic.net/200000428801/product/upload_f79344fa9f9d4a64811b0948b72734e9.jpg</t>
  </si>
  <si>
    <t>Q30214032364</t>
  </si>
  <si>
    <t>" Tydol Plus Acetaminophen 500mg Cafein 65mg OPV (hộp 10 vỉ x 10 viên nén) "</t>
  </si>
  <si>
    <t>https://product.hstatic.net/200000428801/product/upload_7026f278db384ea7a5afd085d95b9cb7.jpg</t>
  </si>
  <si>
    <t>Q30214032365</t>
  </si>
  <si>
    <t>" Tylenol Acetaminophen hương vị anh đào Janssen (hộp 1 chai 60ml) "</t>
  </si>
  <si>
    <t>Q30214032366</t>
  </si>
  <si>
    <t>" Tyrosur Tyrothricin 5mg/5g Engelhard Arzneimittel Đức (tuýp 5g) "</t>
  </si>
  <si>
    <t>Q30214032367</t>
  </si>
  <si>
    <t>" Tyrotab Pharmedic (hộp 10 vỉ x 8 viên nén ngậm) "</t>
  </si>
  <si>
    <t>https://product.hstatic.net/200000428801/product/upload_ef0368de819c456a8990115df5b02cd8.jpg</t>
  </si>
  <si>
    <t>Q30214032352</t>
  </si>
  <si>
    <t>" U Stone Protassium citrate Casasco Argentina (hộp 60 gói x 3g) "</t>
  </si>
  <si>
    <t>https://product.hstatic.net/200000428801/product/upload_32b0e9553b3d40439b2d7e0b85a3a7c6.jpg</t>
  </si>
  <si>
    <t>Q30214032351</t>
  </si>
  <si>
    <t>" Ubiheal Alpha Lipoic Acid 200mg Nam Hà (hộp 5 vỉ x 6 viên nang mềm) "</t>
  </si>
  <si>
    <t>https://product.hstatic.net/200000428801/product/upload_69b46976641f4cd6b4f389d916c7b895.jpg</t>
  </si>
  <si>
    <t>Q30214032350</t>
  </si>
  <si>
    <t>" Ubiheal Thioctic Acid 300mg Nam Hà (hộp 3 vỉ x 10 viên nén) "</t>
  </si>
  <si>
    <t>https://product.hstatic.net/200000428801/product/378_605b64b2a52f4fa5bfab3620b6970ed9.png</t>
  </si>
  <si>
    <t>Q30214032353</t>
  </si>
  <si>
    <t>" Ugo tana Tân Á (Cọc 10 hộp x 102 miếng 19 x 72 mm) "</t>
  </si>
  <si>
    <t>https://product.hstatic.net/200000428801/product/upload_0db0b628b2ed491784b8404297e5d2a3.jpg</t>
  </si>
  <si>
    <t>Q30214032354</t>
  </si>
  <si>
    <t>" Ugo tana Tân Á (cọc 10h x hộp 30 miếng 38 x 72 mm) "</t>
  </si>
  <si>
    <t>https://product.hstatic.net/200000428801/product/upload_5ff5f475f0054e7097c5b405b15936fa.jpg</t>
  </si>
  <si>
    <t>Q30214032355</t>
  </si>
  <si>
    <t>" Ulcogen Piracetam 800mg DP CPC1 Hà Nội (hộp 4 vỉ x 5 ống x 8ml) "</t>
  </si>
  <si>
    <t>https://product.hstatic.net/200000428801/product/upload_55f2b6ae8eb14a64a06cca8c296c1a4d.jpg</t>
  </si>
  <si>
    <t>Q30210032381</t>
  </si>
  <si>
    <t>" Ultracet Janssen (hộp 3 vỉ x 10 viên nén) "</t>
  </si>
  <si>
    <t>https://product.hstatic.net/200000428801/product/upload_54391f8cb88448bc83e0cb390376802a.jpg</t>
  </si>
  <si>
    <t>Q30210032382</t>
  </si>
  <si>
    <t>" Uniferon B9 Mediplantex (hộp 3 vỉ x 10 viên nén bao đường) "</t>
  </si>
  <si>
    <t>https://product.hstatic.net/200000428801/product/upload_22d0d6f5198744fb8aa9077e073e50eb.jpg</t>
  </si>
  <si>
    <t>Q30210032383</t>
  </si>
  <si>
    <t>" Unihy Unimed (nhỏ mắt lọ 5ml) "</t>
  </si>
  <si>
    <t>https://product.hstatic.net/200000428801/product/upload_77d4a3b21e1f4f3980589f5c671d61ec.jpg</t>
  </si>
  <si>
    <t>Q30210032384</t>
  </si>
  <si>
    <t>" Unikids ZinC 70 Hậu Giang (Hộp 24 gói x 1.5g) "</t>
  </si>
  <si>
    <t>https://product.hstatic.net/200000428801/product/upload_b2ea271e42bf49b68e8fe11f64776906.jpg</t>
  </si>
  <si>
    <t>Q30210032385</t>
  </si>
  <si>
    <t>" Unorizine Syrup Ấn Độ (hộp 1 lọ 30ml) "</t>
  </si>
  <si>
    <t>https://product.hstatic.net/200000428801/product/upload_a009d49f4f44410a820e5d868211115e.jpg</t>
  </si>
  <si>
    <t>Q30210032386</t>
  </si>
  <si>
    <t>" Uperio 100mg Novartis (hộp 2 vỉ x 14 viên nén bao phim) "</t>
  </si>
  <si>
    <t>https://product.hstatic.net/200000428801/product/upload_520d600001ab43ca814b3177f9958ac9.jpg</t>
  </si>
  <si>
    <t>Q30210032387</t>
  </si>
  <si>
    <t>" Uperio 200mg Novartis (hộp 4 vỉ x 7 viên nén bao phim) "</t>
  </si>
  <si>
    <t>https://product.hstatic.net/200000428801/product/upload_1e920765475a48e1a06e33bcbdee050d.jpg</t>
  </si>
  <si>
    <t>Q30210032388</t>
  </si>
  <si>
    <t>" Uperio 50mg Novartis (hộp 2 vỉ x 14 viên nén bao phim) "</t>
  </si>
  <si>
    <t>https://product.hstatic.net/200000428801/product/upload_b938776793ef452ba8050d44a4c5c445.jpg</t>
  </si>
  <si>
    <t>Q30210032389</t>
  </si>
  <si>
    <t>" Uphatin Natri picosulfat 5mg TW25 (hộp 3 vỉ x 10 viên ngậm) "</t>
  </si>
  <si>
    <t>https://product.hstatic.net/200000428801/product/upload_120de69a4e65404ba52b82bbdb53b6e1.jpg</t>
  </si>
  <si>
    <t>Q30210032390</t>
  </si>
  <si>
    <t>" Upkid Biolife (lọ 14 gói x 3g cốm) "</t>
  </si>
  <si>
    <t>https://product.hstatic.net/200000428801/product/386_0d6fc62acc814785900600ae24bd2c25.png</t>
  </si>
  <si>
    <t>Q30210032391</t>
  </si>
  <si>
    <t>" Uptiv Thái Lan (hộp 2 vỉ x 5 viên đặt) "</t>
  </si>
  <si>
    <t>https://product.hstatic.net/200000428801/product/upload_89f1680968624f44ba0a777e634ebc83.jpg</t>
  </si>
  <si>
    <t>Q30210032392</t>
  </si>
  <si>
    <t>" Urgo Cloth Tape băng keo lụa hộp 1 cuộn 5cm x 5m "</t>
  </si>
  <si>
    <t>https://product.hstatic.net/200000428801/product/upload_0f10dbbb97914caa9853aee4d225e958.jpg</t>
  </si>
  <si>
    <t>Q30210032393</t>
  </si>
  <si>
    <t>" Urgo Durable băng cá nhân hộp 102 miếng 2cm x 6cm "</t>
  </si>
  <si>
    <t>https://product.hstatic.net/200000428801/product/upload_09e44b2abdb14ed1b5d872067042fa6a.jpg</t>
  </si>
  <si>
    <t>Q30210032394</t>
  </si>
  <si>
    <t>" Urgo hộp 1 cuộn 2.5cm x 5m "</t>
  </si>
  <si>
    <t>https://cdn2-retail-images.kiotviet.vn/2026/02/07/giabaopharma/a1be5757177a4c3a9dc2dfb5ff5b7027.png</t>
  </si>
  <si>
    <t>Q30210032395</t>
  </si>
  <si>
    <t>" Urgo Strong Adhesive Tape cọc 18 hộp x 1 cuộn 1.25cm x 5m
 Bán theo cọc 18 cuộn "</t>
  </si>
  <si>
    <t>https://product.hstatic.net/200000428801/product/upload_19d5dbf8a53743188f1df4fdac24db24.jpg</t>
  </si>
  <si>
    <t>Q30210032396</t>
  </si>
  <si>
    <t>" Urgo Transparent hộp 100 miếng trong suốt 2cm x 7.2cm "</t>
  </si>
  <si>
    <t>https://product.hstatic.net/200000428801/product/upload_73b39954f2ad46539b77256c5d962ba1.jpg</t>
  </si>
  <si>
    <t>Q30210032397</t>
  </si>
  <si>
    <t>" Urgo Tul gạc mỡ Pháp (hộp 10 miếng 10cm x 10cm) "</t>
  </si>
  <si>
    <t>https://product.hstatic.net/200000428801/product/upload_2563dd2a32dd4d3fabce8875a4816d3b.jpg</t>
  </si>
  <si>
    <t>Q30210032398</t>
  </si>
  <si>
    <t>" Urgo Urgosyval băng keo lụa Thái Lan hộp 12 cuộn 2.5cm x 5m "</t>
  </si>
  <si>
    <t>https://product.hstatic.net/200000428801/product/upload_883e83365ef549be8b4d90b9380bc1e8.jpg</t>
  </si>
  <si>
    <t>Q30210032399</t>
  </si>
  <si>
    <t>" Urgo Washproof Large dán ngón hộp 30 miếng 3.8cm x 7.2cm "</t>
  </si>
  <si>
    <t>https://product.hstatic.net/200000428801/product/upload_b57017698e704951b96d779514d9b43e.jpg</t>
  </si>
  <si>
    <t>Q302100323100</t>
  </si>
  <si>
    <t>" Urgosterile băng gạc hộp 20 miếng 10cm x 20cm "</t>
  </si>
  <si>
    <t>https://product.hstatic.net/200000428801/product/upload_95e9df55bc4b40e595bf7ea5b46f0242.jpg</t>
  </si>
  <si>
    <t>Q30213032355</t>
  </si>
  <si>
    <t>" Uro Care Cranberry Herb Mỹ (lọ 60 viên nang) "</t>
  </si>
  <si>
    <t>https://product.hstatic.net/200000428801/product/upload_60438562dcb94055b8288970f944b315.jpg</t>
  </si>
  <si>
    <t>Q30213032356</t>
  </si>
  <si>
    <t>" Urostad Furosemide 40mg Stella (hộp 5 vỉ x 10 viên nén) "</t>
  </si>
  <si>
    <t>https://product.hstatic.net/200000428801/product/upload_d90086c90b0a472a9385a24d26eaad14.jpg</t>
  </si>
  <si>
    <t>Q30213032357</t>
  </si>
  <si>
    <t>" Ursodiol C 500mg Canada (lọ 100 viên nén) "</t>
  </si>
  <si>
    <t>Q30213032358</t>
  </si>
  <si>
    <t>" Uruso Ursodeoxycholic 300mg Daewoong (hộp 3 vỉ x 10 viên nén) "</t>
  </si>
  <si>
    <t>https://product.hstatic.net/200000428801/product/upload_e68dd1266085403a8aafa39a05044881.jpg</t>
  </si>
  <si>
    <t>Q30213032361</t>
  </si>
  <si>
    <t>" USCadimin C 1000mg USP (hộp 10 vỉ x 4 viên sủi) "</t>
  </si>
  <si>
    <t>https://product.hstatic.net/200000428801/product/upload_f42af1fb91c34c0eaaf9828db803bde5.jpg</t>
  </si>
  <si>
    <t>Q30213032362</t>
  </si>
  <si>
    <t>" USClacid Clarithromycin 500mg USP (hộp 1 vỉ x 10 viên nén) "</t>
  </si>
  <si>
    <t>https://product.hstatic.net/200000428801/product/upload_b125ef1d42234cb48bb1aec533ad1909.jpg</t>
  </si>
  <si>
    <t>Q30213032363</t>
  </si>
  <si>
    <t>" Usverin Alverin 40mg USP (hộp 3 vỉ x 10 viên nén) "</t>
  </si>
  <si>
    <t>https://product.hstatic.net/200000428801/product/384_52713c5dacd94c72a4d3424179386c17.png</t>
  </si>
  <si>
    <t>Q30213032364</t>
  </si>
  <si>
    <t>" Uthel siro Thái Lan (lọ 60ml) "</t>
  </si>
  <si>
    <t>https://product.hstatic.net/200000428801/product/upload_5f820b620013424c9824b13fc95752d8.jpg</t>
  </si>
  <si>
    <t>Q30213032365</t>
  </si>
  <si>
    <t>" Utrogestan Natural micronised progesteron 100mg Besins Thái Lan (hộp 2 vỉ x 15 viên) "</t>
  </si>
  <si>
    <t>https://product.hstatic.net/200000428801/product/upload_0015701a3c9d47618971512ab53979b7.jpg</t>
  </si>
  <si>
    <t>Q30213032366</t>
  </si>
  <si>
    <t>" Utrogestan Natural micronised progesteron 200mg Besins (hộp 15 viên) "</t>
  </si>
  <si>
    <t>https://product.hstatic.net/200000428801/product/upload_517019e0d02843a7878abadcfc08bfce.jpg</t>
  </si>
  <si>
    <t>Q30213032367</t>
  </si>
  <si>
    <t>" V.phonte độc hoạt tang kí sinh Vạn Xuân (hộp 10 vỉ x 10 viên nén) "</t>
  </si>
  <si>
    <t>https://product.hstatic.net/200000428801/product/376_aaa65e79b5aa4295932711ac849e5455.png</t>
  </si>
  <si>
    <t>Q30213032368</t>
  </si>
  <si>
    <t>" Vaco Loratadine 10mg Vacopharm (hộp 10 vỉ x 10 viên nén) "</t>
  </si>
  <si>
    <t>https://product.hstatic.net/200000428801/product/upload_e644b32a3b9c4b678afa6c48d4a2ff51.jpg</t>
  </si>
  <si>
    <t>Q30213032369</t>
  </si>
  <si>
    <t>" Vaco Omez Omeprazol 20mg Vacopharm (lọ 100 viên nang) "</t>
  </si>
  <si>
    <t>https://product.hstatic.net/200000428801/product/upload_514dd7c7a23743cfa52b51a836d7cf48.jpg</t>
  </si>
  <si>
    <t>Q30213032370</t>
  </si>
  <si>
    <t>" Vacomuc Acetylcystein 200mg Vacopharm (hộp 100 gói x 1g) "</t>
  </si>
  <si>
    <t>Q30213032371</t>
  </si>
  <si>
    <t>" Vacotexphan 15mg Vacopha (lọ 200 viên nén) "</t>
  </si>
  <si>
    <t>Q30213032372</t>
  </si>
  <si>
    <t>" Vadol 325 DX paracetamol 325mg Vacopharm (lọ 200 viên nén) "</t>
  </si>
  <si>
    <t>https://product.hstatic.net/200000428801/product/upload_cebf3456bd704a2f969daf355fc63151.jpg</t>
  </si>
  <si>
    <t>Q30213032373</t>
  </si>
  <si>
    <t>" Vadol 650 Extra Paracetamol 650mg/Cafein 65mg Vacopharm (hộp 10 vỉ x 10 viên nén) "</t>
  </si>
  <si>
    <t>https://product.hstatic.net/200000428801/product/upload_84ec74eff51e405db60b1a76b0b434a6.jpg</t>
  </si>
  <si>
    <t>Q30213032374</t>
  </si>
  <si>
    <t>" Vadol 650 Paracetamol 650mg Vacopharm (hộp 10 vỉ x 10 viên nén) "</t>
  </si>
  <si>
    <t>https://product.hstatic.net/200000428801/product/upload_6901e7ddf7384be9b9bca162878b4308.jpg</t>
  </si>
  <si>
    <t>Q30213032375</t>
  </si>
  <si>
    <t>" Vadol A325 Paracetamol 325mg Vacopharm (lọ 200 viên nén dài) "</t>
  </si>
  <si>
    <t>https://product.hstatic.net/200000428801/product/upload_1d114cb0d1324b0590b4ee294d6086b5.jpg</t>
  </si>
  <si>
    <t>Q30213032376</t>
  </si>
  <si>
    <t>" Vadol Extra Vacopharm (hộp 10 vỉ x 10 viên nén) "</t>
  </si>
  <si>
    <t>https://product.hstatic.net/200000428801/product/upload_7c8d96dd998e4e4a8f08139c41407056.jpg</t>
  </si>
  <si>
    <t>Q30213032377</t>
  </si>
  <si>
    <t>" Vadol Extra Vacopharm (lọ 100 viên nén) "</t>
  </si>
  <si>
    <t>https://product.hstatic.net/200000428801/product/upload_af87c34906934081992e460daa1ccf8c.jpg</t>
  </si>
  <si>
    <t>Q30213032378</t>
  </si>
  <si>
    <t>" Vaginapoly Phil (hộp 2 vỉ x 6 viên nang mềm đặt phụ khoa) "</t>
  </si>
  <si>
    <t>https://product.hstatic.net/200000428801/product/upload_bd0f6b7bc59f48d484ea6f69f066474c.jpg</t>
  </si>
  <si>
    <t>Q30213032379</t>
  </si>
  <si>
    <t>" Vaginax Bình Định (hộp 2 vỉ x 7 viên đặt âm đạo) "</t>
  </si>
  <si>
    <t>https://product.hstatic.net/200000428801/product/upload_7035adf0defd4d37a30d91d3f46a9930.jpg</t>
  </si>
  <si>
    <t>Q30213032380</t>
  </si>
  <si>
    <t>" Vagiwash dung dịch VSPN Saka Ấn Độ (lọ 100ml) "</t>
  </si>
  <si>
    <t>https://product.hstatic.net/200000428801/product/upload_88be3ccbfb9c4ad3866ed39fb18415b2.jpg</t>
  </si>
  <si>
    <t>Q30213032381</t>
  </si>
  <si>
    <t>" Vagsur viên nang mềm đặt âm đạo Medisun (hộp 1 vỉ x 10 viên) "</t>
  </si>
  <si>
    <t>https://product.hstatic.net/200000428801/product/upload_8deab2dcbaa04121a587031984d32dc9.jpg</t>
  </si>
  <si>
    <t>Q30213032382</t>
  </si>
  <si>
    <t>" Vaidilox Febuxostat 40 mg Z150 Cophavina (hộp 3 vỉ x 10 viên nén) "</t>
  </si>
  <si>
    <t>https://product.hstatic.net/200000428801/product/upload_43969f1bf82f42e1b265d72e9d0e2578.jpg</t>
  </si>
  <si>
    <t>Q30213032383</t>
  </si>
  <si>
    <t>" Valentine kem chống nắng Thái Dương (tuýp 30g) "</t>
  </si>
  <si>
    <t>https://product.hstatic.net/200000428801/product/upload_89bffe82a6c04f3884de34004ffd6e39.jpg</t>
  </si>
  <si>
    <t>Q30213032384</t>
  </si>
  <si>
    <t>" Valentine kem nẻ Thái Dương (tube 20g) "</t>
  </si>
  <si>
    <t>https://product.hstatic.net/200000428801/product/upload_87f5f0e283f24acc9d7ebcedada04cc5.jpg</t>
  </si>
  <si>
    <t>Q30213032385</t>
  </si>
  <si>
    <t>" Valentine serum dưỡng trắng đẹp da Thái Dương (lọ 10 ml) "</t>
  </si>
  <si>
    <t>https://product.hstatic.net/200000428801/product/upload_2f887c34f51c46a7994968e517a6a44b.jpg</t>
  </si>
  <si>
    <t>Q30213032386</t>
  </si>
  <si>
    <t>" Valiera Estradiol 2mg Abbott (hộp 30 viên nén) "</t>
  </si>
  <si>
    <t>https://product.hstatic.net/200000428801/product/upload_99b2d9b0e3b74e578ea235765f58c988.jpg</t>
  </si>
  <si>
    <t>Q30213032387</t>
  </si>
  <si>
    <t>" Valsarfast Valsartan 80mg Krka (hộp 4 vỉ x 7 viên) "</t>
  </si>
  <si>
    <t>https://product.hstatic.net/200000428801/product/upload_313c65e10f7e47f287a40737c02fa30e.jpg</t>
  </si>
  <si>
    <t>Q30213032388</t>
  </si>
  <si>
    <t>" Valsartan plus HCT 80/12.5 SaVipharm (hộp 3 vỉ x 10 viên nén) "</t>
  </si>
  <si>
    <t>https://product.hstatic.net/200000428801/product/upload_7bd818b488f24155baa79c908ee3f696.jpg</t>
  </si>
  <si>
    <t>Q30213032389</t>
  </si>
  <si>
    <t>" Valygyno Medisun (hộp 1 vỉ x 10 viên đặt nang mềm) "</t>
  </si>
  <si>
    <t>https://product.hstatic.net/200000428801/product/379_01e57fb361e5498fa78dfcfcefb5ca43.png</t>
  </si>
  <si>
    <t>Q30213032390</t>
  </si>
  <si>
    <t>" Varogel Shinpoong (hộp 20 gói x 10ml) "</t>
  </si>
  <si>
    <t>https://product.hstatic.net/200000428801/product/380_2d50c44203484f3db930a9a7ec1b4eeb.png</t>
  </si>
  <si>
    <t>Q30213032391</t>
  </si>
  <si>
    <t>" Vaselin Fuli Creme hoa cúc Phương Liên (lọ 7g) "</t>
  </si>
  <si>
    <t>https://product.hstatic.net/200000428801/product/381_a6f4552c944e4d82bc6a14087d5005ff.png</t>
  </si>
  <si>
    <t>Q30213032392</t>
  </si>
  <si>
    <t>" Vaselin lọ sắt 10 sao Phương Liên (lọ 7g) "</t>
  </si>
  <si>
    <t>https://product.hstatic.net/200000428801/product/upload_93d52335e86f4757b56b10552b20634a.jpg</t>
  </si>
  <si>
    <t>Q30213032393</t>
  </si>
  <si>
    <t>" Vaselin nghệ Phương Liên (lọ 10g) "</t>
  </si>
  <si>
    <t>https://product.hstatic.net/200000428801/product/upload_9db1cf9c64e94291b9943746ba337751.jpg</t>
  </si>
  <si>
    <t>Q30213032396</t>
  </si>
  <si>
    <t>" Vaseline dưỡng da Phương Liên (lọ 7g) "</t>
  </si>
  <si>
    <t>https://product.hstatic.net/200000428801/product/upload_285beba08ef143048a13ffb955cdb1d8.jpg</t>
  </si>
  <si>
    <t>Q30213032398</t>
  </si>
  <si>
    <t>" Vashasan MR Trimetazidin hydrochlorid 35mg Hasan (hộp 3 vỉ x 30 viên nén) "</t>
  </si>
  <si>
    <t>https://product.hstatic.net/200000428801/product/383_45e32895481049f2a5ba6506e2364f90.png</t>
  </si>
  <si>
    <t>Q30213032399</t>
  </si>
  <si>
    <t>" Vaso Thiên Bình (hộp 3 vỉ x 10 viên nén) "</t>
  </si>
  <si>
    <t>https://cdn2-retail-images.kiotviet.vn/2025/11/10/giabaopharma/e2379b577a0f4f8a9cf82ed4d956a5ae.jpg</t>
  </si>
  <si>
    <t>Q30213032352</t>
  </si>
  <si>
    <t>" Vaspycar Trimetazidine 2HCL 20mg Pymepharco (hộp 2 vỉ x 30 viên nén) "</t>
  </si>
  <si>
    <t>https://product.hstatic.net/200000428801/product/upload_4d967d0fe9c643a793b4df8f94152b1b.jpg</t>
  </si>
  <si>
    <t>Q30213032353</t>
  </si>
  <si>
    <t>" Vasranta 20mg Trimetazidin hydrochloride Mekophar (hộp 2 vỉ x 30 viên bao phim) "</t>
  </si>
  <si>
    <t>https://cdn2-retail-images.kiotviet.vn/2025/10/31/giabaopharma/7dcbbdb0cde24e92857dbd0692e15eb6.jpg</t>
  </si>
  <si>
    <t>Q302666372</t>
  </si>
  <si>
    <t>" Vastarel MR Trimetazidin Dihydrochloride 35mg Servier (Hộp 2 vỉ x 30 viên nén bao phim) "</t>
  </si>
  <si>
    <t>https://product.hstatic.net/200000428801/product/upload_d4de3e4165e4451ebbb0ec1e70cac1b1.jpg</t>
  </si>
  <si>
    <t>Q30210032353</t>
  </si>
  <si>
    <t>" Vastarel Trimetazidine 20mg Servier (lọ 60 viên nén) "</t>
  </si>
  <si>
    <t>https://product.hstatic.net/200000428801/product/upload_e71b2196062b4973b75111b7bd1194d6.jpg</t>
  </si>
  <si>
    <t>Q30210032354</t>
  </si>
  <si>
    <t>" Vastec 35 MR Trimetazidin dihydroclorid 35mg DHG Hậu Giang (hộp 5 vỉ x 10 viên nén) "</t>
  </si>
  <si>
    <t>https://product.hstatic.net/200000428801/product/upload_fb722b7d9bca44fa93865791b1d139c1.jpg</t>
  </si>
  <si>
    <t>Q30210032355</t>
  </si>
  <si>
    <t>" Vastec Trimetazidin dihydroclorid 20mg Hậu Giang (hộp 2 vỉ x 30 viên nén) "</t>
  </si>
  <si>
    <t>https://product.hstatic.net/200000428801/product/upload_12f85f2958f64a82979611b1bba20d28.jpg</t>
  </si>
  <si>
    <t>Q30290323157</t>
  </si>
  <si>
    <t>" VCF màng tránh thai hộp 3 chiếc "</t>
  </si>
  <si>
    <t>https://product.hstatic.net/200000428801/product/upload_6477a0df185c402ea91f00d1c66eb90c.jpg</t>
  </si>
  <si>
    <t>Q30290323158</t>
  </si>
  <si>
    <t>" Vedanal Fort Merap (tuýp10g) "</t>
  </si>
  <si>
    <t>https://product.hstatic.net/200000428801/product/upload_e40e8a50747a4597adc8cdbcdeab1b39.jpg</t>
  </si>
  <si>
    <t>Q30290323160</t>
  </si>
  <si>
    <t>" Veet kem tẩy long da nhạy cảm Pakistan (tuýp 25g) (xanh) "</t>
  </si>
  <si>
    <t>https://product.hstatic.net/200000428801/product/upload_938cb00292ab4d9ab90374f46c557677.jpg</t>
  </si>
  <si>
    <t>Q30290323159</t>
  </si>
  <si>
    <t>" Veet kem tẩy lông cho da thường Pakistan (tube 25g) (hồng) "</t>
  </si>
  <si>
    <t>https://product.hstatic.net/200000428801/product/upload_94a6f750549e4a6bbcc5a057ecd6f812.jpg</t>
  </si>
  <si>
    <t>Q30290323161</t>
  </si>
  <si>
    <t>" Veinofytol Tilman (hộp 4 vỉ x 10 viên) "</t>
  </si>
  <si>
    <t>https://product.hstatic.net/200000428801/product/upload_ae04e550ca064928aae091b6c8bca3d4.jpg</t>
  </si>
  <si>
    <t>Q30290323162</t>
  </si>
  <si>
    <t>" Venlafaxine 37.5 mg Stella (hộp 6 vỉ x 10 viên nang) "</t>
  </si>
  <si>
    <t>https://product.hstatic.net/200000428801/product/upload_37984dccd11c4c31ac9b5dba39040697.jpg</t>
  </si>
  <si>
    <t>Q30290323163</t>
  </si>
  <si>
    <t>" Venpoten New Zealand (lọ 30 viên nang) "</t>
  </si>
  <si>
    <t>https://product.hstatic.net/200000428801/product/upload_3cb3068288f04c799d1bc5868552402c.jpg</t>
  </si>
  <si>
    <t>Q302545563</t>
  </si>
  <si>
    <t>" Ventolin Nebules 2,5mg GSK (Hộp 6 Vỉ X 5 Ống) "</t>
  </si>
  <si>
    <t>https://product.hstatic.net/200000428801/product/upload_fe593266521245f58e4d17fa75af3411.jpg</t>
  </si>
  <si>
    <t>Q302345437</t>
  </si>
  <si>
    <t>" Ventolin Nebules 5mg GSK (Hộp 6 vỉ x 5 ống) "</t>
  </si>
  <si>
    <t>https://product.hstatic.net/200000428801/product/upload_600d8f4198fe4816b02541a77293872c.jpg</t>
  </si>
  <si>
    <t>Q30290323164</t>
  </si>
  <si>
    <t>" Verospiron Spironolacton 25mg Gedeon Richter (hộp 1 vỉ x 20 viên nén) "</t>
  </si>
  <si>
    <t>https://product.hstatic.net/200000428801/product/upload_2718176e29134510a060105a8067ecd0.jpg</t>
  </si>
  <si>
    <t>Q30290323165</t>
  </si>
  <si>
    <t>" Verospiron Spironolacton 50mg Gedeon Richter (hộp 3 vỉ x 10 viên nang) "</t>
  </si>
  <si>
    <t>https://product.hstatic.net/200000428801/product/upload_b3fe1a65c1f741a493efc90eccf16707.jpg</t>
  </si>
  <si>
    <t>Q30290323166</t>
  </si>
  <si>
    <t>" Vertucid Yash Medicare Ấn Độ (tuýp 15g)"</t>
  </si>
  <si>
    <t>https://product.hstatic.net/200000428801/product/upload_2d9dafaf88ba4d1dacf467b855c0dde0.jpg</t>
  </si>
  <si>
    <t>Q30290323167</t>
  </si>
  <si>
    <t>" Vesicare Solifenacin succinate 5mg Astellas (hộp 3 vỉ x 10 viên nén) "</t>
  </si>
  <si>
    <t>https://product.hstatic.net/200000428801/product/upload_91fcdf13122043778369f680c02194e1.jpg</t>
  </si>
  <si>
    <t>Q302354637</t>
  </si>
  <si>
    <t>" Vệ Sinh Phụ Nữ Gynosap Hà Thành (Bịch 30gói x gói nhỏ 5g bột) "</t>
  </si>
  <si>
    <t>https://product.hstatic.net/200000428801/product/upload_de6e6a956cb64031b5090b6d563d152d.jpg</t>
  </si>
  <si>
    <t>Q30290323168</t>
  </si>
  <si>
    <t>" Vg 5 Đà Nẵng (lọ 40 viên nén dài) "</t>
  </si>
  <si>
    <t>https://product.hstatic.net/200000428801/product/upload_47adcbd079fe47918b31639e436a498d.jpg</t>
  </si>
  <si>
    <t>Q30290323169</t>
  </si>
  <si>
    <t>" Viacol giảm ho rát họng Vietnat (hộp 5 vỉ x 4 viên ngậm không đường) "</t>
  </si>
  <si>
    <t>https://product.hstatic.net/200000428801/product/upload_1e2323be570a4f6ea7740bffabd560f6.jpg</t>
  </si>
  <si>
    <t>Q30290323170</t>
  </si>
  <si>
    <t>" Viacoram 3,5mg/2,5mg Servier (lọ 30 viên nén) "</t>
  </si>
  <si>
    <t>https://product.hstatic.net/200000428801/product/upload_4c7f41ff57054981bf2988141d0c647c.jpg</t>
  </si>
  <si>
    <t>Q30290323171</t>
  </si>
  <si>
    <t>" Viacoram 7mg/5mg Servier (lọ 30 viên nén) "</t>
  </si>
  <si>
    <t>https://product.hstatic.net/200000428801/product/upload_cd3edb67005e4ecd9ddb19e5a3f196c0.jpg</t>
  </si>
  <si>
    <t>Q30290323172</t>
  </si>
  <si>
    <t>" Viagra Sildenafil 100mg Pfizer (hộp 1 viên nén) "</t>
  </si>
  <si>
    <t>https://product.hstatic.net/200000428801/product/385_43c44d6243114f9cb0e1f07fc8258e07.png</t>
  </si>
  <si>
    <t>Q30290323174</t>
  </si>
  <si>
    <t>" Viagra Sildenafil 100mg Pfizer (hộp 4 viên nén) "</t>
  </si>
  <si>
    <t>https://product.hstatic.net/200000428801/product/upload_d9703fd83bb4480c8829be65da46fbab.jpg</t>
  </si>
  <si>
    <t>Q30290323173</t>
  </si>
  <si>
    <t>" Viagra Sildenafil 50mg Pfizer (hộp 1 viên) "</t>
  </si>
  <si>
    <t>https://product.hstatic.net/200000428801/product/upload_4fd489a556934eb0bdb0262da8c23b2f.jpg</t>
  </si>
  <si>
    <t>Q30290323175</t>
  </si>
  <si>
    <t>" Viartril S Glucosamin 250mg Rottapharm Ý (lọ 80 viên) "</t>
  </si>
  <si>
    <t>https://product.hstatic.net/200000428801/product/upload_ade5c29edc914bc5af2379f19fba50e6.jpg</t>
  </si>
  <si>
    <t>Q30290323176</t>
  </si>
  <si>
    <t>" Viartril S Rottapharm (hộp 30 gói)"</t>
  </si>
  <si>
    <t>https://product.hstatic.net/200000428801/product/upload_de6fd3533bda4ee688ac1e5e3baa6a00.jpg</t>
  </si>
  <si>
    <t>Q30290323177</t>
  </si>
  <si>
    <t>" Viatux extra không đường Thiên Nhiên Việt (hộp 5 vỉ x 4 viên kẹo) "</t>
  </si>
  <si>
    <t>https://product.hstatic.net/200000428801/product/upload_d0e97bcbf2934780978bfdcd21de2dad.jpg</t>
  </si>
  <si>
    <t>Q30290323180</t>
  </si>
  <si>
    <t>" Vidoca 400mg Thanh Hóa (Lốc 10 hộp x 1 vỉ x 1 viên nén dài hộp xanh) "</t>
  </si>
  <si>
    <t>https://product.hstatic.net/200000428801/product/upload_b1c1034a005b43adbc7287f38679d2f6.jpg</t>
  </si>
  <si>
    <t>Q30290323181</t>
  </si>
  <si>
    <t>" Vidoca 400mg Thanh Hóa (Lốc 10 hộp x 1 vỉ x 1 viên nén vị cam) "</t>
  </si>
  <si>
    <t>Q30290323182</t>
  </si>
  <si>
    <t>" Vidpoic Alpha Lipoic Acid 600mg Gia Nguyễn (hộp 3 vỉ x 10 viên nén) "</t>
  </si>
  <si>
    <t>https://product.hstatic.net/200000428801/product/upload_de9883b58918437a83db02abf6a6fae6.jpg</t>
  </si>
  <si>
    <t>Q30210032372</t>
  </si>
  <si>
    <t>" Vietlife Inflapain Medistar (hộp 3 vỉ x 10 viên nang) "</t>
  </si>
  <si>
    <t>https://product.hstatic.net/200000428801/product/upload_6f1aa7f3fc9447c7ba3b2203ef4630d5.jpg</t>
  </si>
  <si>
    <t>Q30290323183</t>
  </si>
  <si>
    <t>" Viêm da Bảo Phương lọ 8ml "</t>
  </si>
  <si>
    <t>https://product.hstatic.net/200000428801/product/upload_939c01427dea4573844f579e5fd5043a.jpg</t>
  </si>
  <si>
    <t>Q30290323185</t>
  </si>
  <si>
    <t>" Viên Bổ Phế Banikha Thiên Phúc (hộp 2 lọ x 30 viên nén) "</t>
  </si>
  <si>
    <t>https://product.hstatic.net/200000428801/product/373_260c38e904354c40850855855c5bc9a1.png</t>
  </si>
  <si>
    <t>Q30290323186</t>
  </si>
  <si>
    <t>" Viên bổ phổi Detox Vitamin max pluss C200 Chuck (hộp 20 ống x 10ml) "</t>
  </si>
  <si>
    <t>https://product.hstatic.net/200000428801/product/upload_df9b6892e44e4edb91a054802ab148e4.jpg</t>
  </si>
  <si>
    <t>Q30290323188</t>
  </si>
  <si>
    <t>" Viên giảm cân Phục Linh Việt Hàn (hộp 3 vỉ x 10 viên nang) "</t>
  </si>
  <si>
    <t>https://product.hstatic.net/200000428801/product/upload_699ddd74f6074c19aa6617750e4b88df.jpg</t>
  </si>
  <si>
    <t>Q30290323189</t>
  </si>
  <si>
    <t>" Viên Gout Tâm Bình lọ 60 viên "</t>
  </si>
  <si>
    <t>https://product.hstatic.net/200000428801/product/upload_3ed3c60b69134cafadb91cbc927919ff.jpg</t>
  </si>
  <si>
    <t>Q30290323190</t>
  </si>
  <si>
    <t>" Viên Hà Thủ Ô Extracap OPC (hộp 5 vỉ x 10 viên nang cứng) "</t>
  </si>
  <si>
    <t>https://product.hstatic.net/200000428801/product/upload_bd5152fc0bcc47d488a199d9720a3e76.jpg</t>
  </si>
  <si>
    <t>Q30290323191</t>
  </si>
  <si>
    <t>" Viên Ích Mẫu OP.CIM OPC (hộp 5 vỉ x 10 viên nang cứng) "</t>
  </si>
  <si>
    <t>https://product.hstatic.net/200000428801/product/upload_1531524b9fb84994a8696fa9dec77308.jpg</t>
  </si>
  <si>
    <t>Q302775676</t>
  </si>
  <si>
    <t>" Viên Khớp Tâm Bình (Hộp 60 viên) "</t>
  </si>
  <si>
    <t>https://product.hstatic.net/200000428801/product/upload_d3fde0f9a9864d6cba96f71ecd9c35f1.jpg</t>
  </si>
  <si>
    <t>Q302839574</t>
  </si>
  <si>
    <t>" Viên Nén Đặt Âm Đạo Clotrimazol 100mg Medipharco (Hộp 6 viên đặt) "</t>
  </si>
  <si>
    <t>https://product.hstatic.net/200000428801/product/upload_fb9687ba55494e3a88a66acd79a88bc3.jpg</t>
  </si>
  <si>
    <t>Q302884988</t>
  </si>
  <si>
    <t>" Viên Ngậm Bảo Thanh Hoa Linh (Hộp 20 vỉ x 5 viên) "</t>
  </si>
  <si>
    <t>https://product.hstatic.net/200000428801/product/upload_f5ceb781d58a41d4a383dd641f7b99b9.jpg</t>
  </si>
  <si>
    <t>Q302774782</t>
  </si>
  <si>
    <t>" Viên Ngậm Bảo Thanh Không Đường Hoa Linh (Hộp 20 vỉ x 5 viên) "</t>
  </si>
  <si>
    <t>https://product.hstatic.net/200000428801/product/upload_68ae23e3895045d0933316524086d84e.jpg</t>
  </si>
  <si>
    <t>Q302336383</t>
  </si>
  <si>
    <t>" Viên Ngậm Bozypaine Boston (Hộp 1 tuýp x 24 viên ngậm) "</t>
  </si>
  <si>
    <t>https://product.hstatic.net/200000428801/product/upload_7e74b6aebc7b4c04b6a46599a5240e81.jpg</t>
  </si>
  <si>
    <t>Q30290323192</t>
  </si>
  <si>
    <t>" Viên ngậm C Hải Phòng hộp 40 gói "</t>
  </si>
  <si>
    <t>https://product.hstatic.net/200000428801/product/upload_bc1ea8a8243d47a1b50863cc7a2c01d1.jpg</t>
  </si>
  <si>
    <t>Q30290323193</t>
  </si>
  <si>
    <t>" Viên ngậm chanh gừng quế Akopha Pháp (hộp 3 vỉ x 8 viên) "</t>
  </si>
  <si>
    <t>https://product.hstatic.net/200000428801/product/upload_61805675375f40d4a05d408f33040753.jpg</t>
  </si>
  <si>
    <t>Q30210032356</t>
  </si>
  <si>
    <t>" Viên Ngậm Ích Nhi Nam Dược (hộp 5 vỉ x 6 viên x 2g) "</t>
  </si>
  <si>
    <t>https://product.hstatic.net/200000428801/product/upload_280bf471e8d94c4c9184c1f03267d86e.jpg</t>
  </si>
  <si>
    <t>Q30210032357</t>
  </si>
  <si>
    <t>" Viên Ngậm Ô Mai Mơ Mật Ong Akopha (hộp 3 vỉ x 8 viên) "</t>
  </si>
  <si>
    <t>https://cdn2-retail-images.kiotviet.vn/2025/11/17/giabaopharma/2f8e56c4c5e548ef9ce63999586b2c67.jpg</t>
  </si>
  <si>
    <t>Q30210032359</t>
  </si>
  <si>
    <t>" Viên ngậm quất gừng mật ong VP Essen – Đức (hộp 24 viên) "</t>
  </si>
  <si>
    <t>https://cdn2-retail-images.kiotviet.vn/2024/11/02/giabaopharma/855419a04ef94cf28a002b968b9544e4.png</t>
  </si>
  <si>
    <t>Q30210032360</t>
  </si>
  <si>
    <t>" Viên ngậm Vitamin C sữa ong chúa hình người nhện cọc x 15 con "</t>
  </si>
  <si>
    <t>https://product.hstatic.net/200000428801/product/372_6db1ddfae06848a785fac9e7ad642fb4.png</t>
  </si>
  <si>
    <t>Q30210032361</t>
  </si>
  <si>
    <t>" Viên Sỏi Thận Domesco (lọ 100 viên nén bao phim) "</t>
  </si>
  <si>
    <t>https://product.hstatic.net/200000428801/product/upload_29de618d6c8a4f5a987357ced9bc92a5.jpg</t>
  </si>
  <si>
    <t>Q30210032364</t>
  </si>
  <si>
    <t>" Viên sủi thanh nhiệt LiveCool Thảo dược và Vitamin C Nam Dược (tuýp 16 viên hương cam) "</t>
  </si>
  <si>
    <t>https://product.hstatic.net/200000428801/product/upload_d99e55059a73498a827081be1f2ba408.jpg</t>
  </si>
  <si>
    <t>Q30210032365</t>
  </si>
  <si>
    <t>" Viên sủi thanh nhiệt LiveCool Thảo dược và Vitamin C Nam Dược (tuýp 16 viên hương chanh) "</t>
  </si>
  <si>
    <t>https://product.hstatic.net/200000428801/product/upload_825de6c47b224c82a7a0143237e5b112.jpg</t>
  </si>
  <si>
    <t>Q30210032366</t>
  </si>
  <si>
    <t>" Viên sủi thanh nhiệt LiveCool Thảo dược và Vitamin C Nam Dược (tuýp 16 viên hương dưa gang) "</t>
  </si>
  <si>
    <t>https://product.hstatic.net/200000428801/product/375_041d58e3f4184109b967b3be85dd8783.png</t>
  </si>
  <si>
    <t>Q30210032367</t>
  </si>
  <si>
    <t>" Viên tán sỏi Tống Thạch Hoàn Vgas (lọ 60 viên) "</t>
  </si>
  <si>
    <t>https://product.hstatic.net/200000428801/product/upload_b8af8aa071844c91a31c9d24d3e4fdde.jpg</t>
  </si>
  <si>
    <t>Q30210032368</t>
  </si>
  <si>
    <t>" Viên Thần Khớp Hưng An Phú (lọ 60 viên nén) "</t>
  </si>
  <si>
    <t>https://product.hstatic.net/200000428801/product/upload_e61a39f49a3446f39b03ffcc7054451f.jpg</t>
  </si>
  <si>
    <t>Q302438292</t>
  </si>
  <si>
    <t>" Viên Uống Procare Diamond Catalent (Lọ 30 viên nang mềm) "</t>
  </si>
  <si>
    <t>https://product.hstatic.net/200000428801/product/upload_97e7c75adfef45e19e0dd9ad95aa5d27.jpg</t>
  </si>
  <si>
    <t>Q302111321</t>
  </si>
  <si>
    <t>" Viên Vai Gáy Japan Pharma (Chai 30 viên ) "</t>
  </si>
  <si>
    <t>https://product.hstatic.net/200000428801/product/369_5051c0d566c8480e8a77e07c42571985.png</t>
  </si>
  <si>
    <t>Q30210032369</t>
  </si>
  <si>
    <t>" Viên vai gáy Thái Dương hộp 2 vỉ x 15 viên nang "</t>
  </si>
  <si>
    <t>https://product.hstatic.net/200000428801/product/368_612b906b00484d93a912218f3d5f1438.png</t>
  </si>
  <si>
    <t>Q30210032370</t>
  </si>
  <si>
    <t>" Viên xoang TW3 Foripharm (lọ 30 viên nang) "</t>
  </si>
  <si>
    <t>https://product.hstatic.net/200000428801/product/367_a89cb8f87e8342f6888612a9aae9f5a9.png</t>
  </si>
  <si>
    <t>Q30210032371</t>
  </si>
  <si>
    <t>" Viên xông Euca OPC hộp 10 vỉ x 10 viên nang mềm "</t>
  </si>
  <si>
    <t>https://product.hstatic.net/200000428801/product/upload_01ef99c20fb74be1811bbfeda07b9849.jpg</t>
  </si>
  <si>
    <t>Q30210032373</t>
  </si>
  <si>
    <t>" Vigamox nhỏ mắt Alcon (lọ 5ml) "</t>
  </si>
  <si>
    <t>https://product.hstatic.net/200000428801/product/upload_a18903a98b5d4093b5d5c9ae15c641fc.jpg</t>
  </si>
  <si>
    <t>Q30210032374</t>
  </si>
  <si>
    <t>" Viganam Tâm Bình hộp 60 viên nang "</t>
  </si>
  <si>
    <t>https://product.hstatic.net/200000428801/product/upload_c67ec30a55294472ae93e9ab289a136e.jpg</t>
  </si>
  <si>
    <t>Q30210032376</t>
  </si>
  <si>
    <t>" Vigentin 250mg/62,5mg Pharbaco (hộp 12 gói x 1,7g) "</t>
  </si>
  <si>
    <t>https://product.hstatic.net/200000428801/product/upload_4380b6adc34749768b1dc32bfa58afe1.jpg</t>
  </si>
  <si>
    <t>Q30210032377</t>
  </si>
  <si>
    <t>" Vigentin 875/125mg DP TW1 Pharbaco (hộp 2 vỉ x 7 viên nén dài bao phim) "</t>
  </si>
  <si>
    <t>https://product.hstatic.net/200000428801/product/370_58dd24979bb94351bbd0d1cc3b6846bd.png</t>
  </si>
  <si>
    <t>Q30210032378</t>
  </si>
  <si>
    <t>" Vigentin Amoxicillin 250mg Acid clavulanic 31.25mg TW1 (hộp 12 gói x 1g) "</t>
  </si>
  <si>
    <t>https://product.hstatic.net/200000428801/product/upload_7f0ac4779b114137ac3b2d3b3f4295d5.jpg</t>
  </si>
  <si>
    <t>Q30210032379</t>
  </si>
  <si>
    <t>" Vigentin Amoxicillin 500mg Acid clavulanic 62.5mg TW1 (hộp 12 gói x 2g) "</t>
  </si>
  <si>
    <t>https://product.hstatic.net/200000428801/product/upload_f725e84093a4424a865aaae4a4e5b2bb.jpg</t>
  </si>
  <si>
    <t>Q30210032380</t>
  </si>
  <si>
    <t>" Vigentin DT Amoxicillin 500mg Acid clavulanic 62.5mg TW1 (hộp 2 vỉ x 7 viên nén dài bao phim) "</t>
  </si>
  <si>
    <t>https://product.hstatic.net/200000428801/product/upload_1d6f98b2902243c6ad0a19d273baa8f7.jpg</t>
  </si>
  <si>
    <t>Q30213032350</t>
  </si>
  <si>
    <t>" Vigisup Korea Prime (hộp 2 vỉ x 6 viên đặt phụ khoa) "</t>
  </si>
  <si>
    <t>Q30213032351</t>
  </si>
  <si>
    <t>" Vihacaps 600mg Cộng Hòa Belarus (hộp 5 vỉ x 10 viên nang mềm) "</t>
  </si>
  <si>
    <t>https://product.hstatic.net/200000428801/product/374_f0b486e75ed34dd9ad03b699690084d2.png</t>
  </si>
  <si>
    <t>Q30210032352</t>
  </si>
  <si>
    <t>" Vimaxx Lights Nam Hà (Cọc 10 lọ x15ml) "</t>
  </si>
  <si>
    <t>https://product.hstatic.net/200000428801/product/upload_aa6d8ccc31514ee6b7bd4e81f5fd8454.jpg</t>
  </si>
  <si>
    <t>Q30210032351</t>
  </si>
  <si>
    <t>" VimiraDS Ferromin bổ sung sắt Kendy Bulgaria (tuýp 20 viên sủi vị dâu không tanh) "</t>
  </si>
  <si>
    <t>https://product.hstatic.net/200000428801/product/d12942911988451887a8eef3af97ab7e_afbbc3e505444b7ab8c091f54ce98b95.jpg</t>
  </si>
  <si>
    <t>Q30210032350</t>
  </si>
  <si>
    <t>" Vin Hepa 1000mg/5ml Vĩnh Phúc (hộp 2 vỉ x 5 ống tiêm) "</t>
  </si>
  <si>
    <t>https://product.hstatic.net/200000428801/product/4e0e8100f58c46cf815e44359d52378e_073e47a54008487c9977ed521391a519.png</t>
  </si>
  <si>
    <t>Q30290323151</t>
  </si>
  <si>
    <t>" Vin Hepa 500mg Vĩnh Phúc (hộp 6 vỉ x 10 viên nang)"</t>
  </si>
  <si>
    <t>https://product.hstatic.net/200000428801/product/c3c862fe78ea4f5fbb922f64c3c0e2a8_17429e081f4a4bcea7943227c86c38e7.png</t>
  </si>
  <si>
    <t>Q30290323153</t>
  </si>
  <si>
    <t>" Vinadica dầu gấc Lạc Việt (lọ 100 viên nang mềm) "</t>
  </si>
  <si>
    <t>https://product.hstatic.net/200000428801/product/03e191e05d6646bcb9f7d30b89a95cd2_c62a9375bbfb43c59d52b49e1a9b6ea1.png</t>
  </si>
  <si>
    <t>Q30290323154</t>
  </si>
  <si>
    <t>" Vinafolin Ethinylestradiol 0.05mg Ba Đình (hộp 1 vỉ x 10 viên nén) "</t>
  </si>
  <si>
    <t>https://product.hstatic.net/200000428801/product/upload_50806e024ff84bf38350374368e0cafd.jpg</t>
  </si>
  <si>
    <t>Q3029032357</t>
  </si>
  <si>
    <t>" Vinaga DHA dầu gấc viên nang lọ 100 viên "</t>
  </si>
  <si>
    <t>https://product.hstatic.net/200000428801/product/upload_b77f53486097465f8e2d90634f77844b.jpg</t>
  </si>
  <si>
    <t>Q3029032358</t>
  </si>
  <si>
    <t>" Vinaho siro Thái Dương (lọ 100ml) "</t>
  </si>
  <si>
    <t>https://product.hstatic.net/200000428801/product/upload_fcb58f8c5f544b619464a97ace1977c1.jpg</t>
  </si>
  <si>
    <t>Q3029032359</t>
  </si>
  <si>
    <t>" Vinaho xịt họng Thái Dương (lọ 20ml) "</t>
  </si>
  <si>
    <t>https://product.hstatic.net/200000428801/product/upload_2f88fcaf6a1a419da1911ec4f8e9bc52.jpg</t>
  </si>
  <si>
    <t>Q3029032360</t>
  </si>
  <si>
    <t>" Vinatid bôi da Gamma (lọ 150ml) "</t>
  </si>
  <si>
    <t>https://product.hstatic.net/200000428801/product/upload_cf8aca78be774edea7044914e523958e.jpg</t>
  </si>
  <si>
    <t>Q3029032361</t>
  </si>
  <si>
    <t>" Vincerol Acenocoumarol 1mg Vĩnh Phúc (hộp 10 vỉ x 10 viên nén) "</t>
  </si>
  <si>
    <t>https://product.hstatic.net/200000428801/product/upload_286b1d324bb94b28a7d2978e546ff8c1.jpg</t>
  </si>
  <si>
    <t>Q3029032362</t>
  </si>
  <si>
    <t>" Vincerol Acenocoumarol 4mg Vĩnh Phúc (hộp 10 vỉ x 10 viên nén) "</t>
  </si>
  <si>
    <t>https://product.hstatic.net/200000428801/product/upload_caa31aa780da4b4eaa4d14cb55748bbc.jpg</t>
  </si>
  <si>
    <t>Q3029032363</t>
  </si>
  <si>
    <t>" Vincomid Metoclopramid HCl 10mg/2ml Vĩnh Phúc (hộp 2 vỉ x 5 ống x 2ml tiêm) "</t>
  </si>
  <si>
    <t>https://product.hstatic.net/200000428801/product/upload_7442f1ff5fc946b28c6d087dfff4d6fa.jpg</t>
  </si>
  <si>
    <t>Q3029032365</t>
  </si>
  <si>
    <t>" Vincozyn Plus Vĩnh Phúc (hộp 1 vỉ x 10 ống x 2ml tiêm) rẻ "</t>
  </si>
  <si>
    <t>https://product.hstatic.net/200000428801/product/upload_c9542d9abab44bce96c76708898bea28.jpg</t>
  </si>
  <si>
    <t>Q3029032364</t>
  </si>
  <si>
    <t>" Vincozyn Vĩnh Phúc (hộp 2 vỉ x 5 ống x 2ml dung dịch tiêm) đắt "</t>
  </si>
  <si>
    <t>https://product.hstatic.net/200000428801/product/upload_ec3e172632614ca3b7f841fb121e59c6.jpg</t>
  </si>
  <si>
    <t>SP648516</t>
  </si>
  <si>
    <t>" Vinocam Tenoxicam 20mg Vĩnh Phúc( Hộp 5 lọ + nước cất)"</t>
  </si>
  <si>
    <t>Q3029032366</t>
  </si>
  <si>
    <t>" Vinocyclin 50 Minocyclin 50mg Medisun (hộp 3 vỉ x 10 viên nang) "</t>
  </si>
  <si>
    <t>Q30280323164</t>
  </si>
  <si>
    <t>" Vinphacetam Piracetam 1g/5ml Vĩnh Phúc (hộp 2 vỉ x 5 ống tiêm) "</t>
  </si>
  <si>
    <t>https://product.hstatic.net/200000428801/product/upload_eb78b4a484e74ae3b1aad05c044e45ab.jpg</t>
  </si>
  <si>
    <t>Q30280323165</t>
  </si>
  <si>
    <t>" Vinphacetam Piracetam 2g/10ml Vĩnh Phúc (hộp 2 vỉ x 5 ống tiêm) "</t>
  </si>
  <si>
    <t>Q30280323166</t>
  </si>
  <si>
    <t>" Vinphacine Amikacin 500mg/2ml Vĩnh Phúc (hộp 2 vỉ x 5 ống x 2ml dung dịch tiêm) "</t>
  </si>
  <si>
    <t>https://product.hstatic.net/200000428801/product/upload_b977acded8a1434988c51ba2c03e65b5.jpg</t>
  </si>
  <si>
    <t>Q30280323167</t>
  </si>
  <si>
    <t>" Vinpocetin 5mg Hà Tây (hộp 2 vỉ x 25 viên nén) "</t>
  </si>
  <si>
    <t>https://product.hstatic.net/200000428801/product/upload_5ce44a4e3e654f5792737ce6f80e1e3f.jpg</t>
  </si>
  <si>
    <t>Q302990956</t>
  </si>
  <si>
    <t>" Vinpocetin 5mg Mediplantex (Hộp 2 vỉ x 25 viên nén) "</t>
  </si>
  <si>
    <t>https://product.hstatic.net/200000428801/product/upload_232fb3515baa4dd78f9616b7c3b58127.jpg</t>
  </si>
  <si>
    <t>Q30280323168</t>
  </si>
  <si>
    <t>" Vinrolac Ketorolac 30mg/ml Vĩnh Phúc (hộp 10 ống x 1ml tiêm) "</t>
  </si>
  <si>
    <t>https://product.hstatic.net/200000428801/product/upload_24b25e5ffe924fc2bc2805c4372a5459.jpg</t>
  </si>
  <si>
    <t>Q3029032371</t>
  </si>
  <si>
    <t>" Vinsolon Methylprednisolon 16mg Vĩnh Phúc (hộp 2 vỉ x 10 viên nén) "</t>
  </si>
  <si>
    <t>https://product.hstatic.net/200000428801/product/upload_5d0088d7c105448fb2285a347a0eeece.jpg</t>
  </si>
  <si>
    <t>Q30280323170</t>
  </si>
  <si>
    <t>" Vintanil Acetyl DL leucin 500mg/5ml Vĩnh Phúc (hộp 10 vỉ x 5 ống x 5ml tiêm) "</t>
  </si>
  <si>
    <t>https://product.hstatic.net/200000428801/product/upload_61a572cd5cc5408bac5ade997b2a1fff.jpg</t>
  </si>
  <si>
    <t>Q3029032372</t>
  </si>
  <si>
    <t>" Vinzix Furosemid 20mg/2ml Vĩnh Phúc (hộp 2 vỉ x 5 ống x 2ml tiêm) "</t>
  </si>
  <si>
    <t>https://product.hstatic.net/200000428801/product/upload_94de92746abc42c5a83eca581c353c58.jpg</t>
  </si>
  <si>
    <t>Q30280323171</t>
  </si>
  <si>
    <t>" Vinzix Furosemid 20mg/2ml Vinphaco (hộp 10 vỉ x 5 ống x 2ml) "</t>
  </si>
  <si>
    <t>https://product.hstatic.net/200000428801/product/upload_519a632fc90444e6af9d1a24190983c5.jpg</t>
  </si>
  <si>
    <t>Q30280323173</t>
  </si>
  <si>
    <t>" Vipteen Vinh Gia (hộp 2 vỉ x 10 viên) "</t>
  </si>
  <si>
    <t>https://product.hstatic.net/200000428801/product/upload_9fb4980d28994d68bbe0f7280e768828.jpg</t>
  </si>
  <si>
    <t>Q30280323175</t>
  </si>
  <si>
    <t>" Vis La sport Việt Đức (hộp 10 gói x 19g) "</t>
  </si>
  <si>
    <t>https://product.hstatic.net/200000428801/product/upload_5a915aed8ba74947b8e155feb173c809.jpg</t>
  </si>
  <si>
    <t>Q30280323174</t>
  </si>
  <si>
    <t>" Vis La Việt Đức (hộp 10 gói x 18.8g) "</t>
  </si>
  <si>
    <t>https://product.hstatic.net/200000428801/product/upload_f2af190ae7364f70ae6959edca2a41e9.jpg</t>
  </si>
  <si>
    <t>Q30280323176</t>
  </si>
  <si>
    <t>" Vis-La oresol Gia Nguyễn (hộp 10 gói) "</t>
  </si>
  <si>
    <t>https://product.hstatic.net/200000428801/product/upload_e87e94a10ddc4ba0a556d0ce7bd97f4e.jpg</t>
  </si>
  <si>
    <t>Q30280323177</t>
  </si>
  <si>
    <t>" Visaid aloe Avizor (hộp 30 ống x 0.4ml) "</t>
  </si>
  <si>
    <t>https://product.hstatic.net/200000428801/product/upload_173f58b2551f420f9aacae6f1251495f.jpg</t>
  </si>
  <si>
    <t>Q30280323178</t>
  </si>
  <si>
    <t>" Vista B B12 Đại Y (hộp 1 lọ 100 viên nén) "</t>
  </si>
  <si>
    <t>https://product.hstatic.net/200000428801/product/upload_8ec32c1bc94c471482fa7134cb73957c.jpg</t>
  </si>
  <si>
    <t>Q30280323179</t>
  </si>
  <si>
    <t>" Vita C Glucose Mekophar (hộp 46 gói x 24 viên ngậm) "</t>
  </si>
  <si>
    <t>https://product.hstatic.net/200000428801/product/upload_0408495cc1e54648b1f4c5618d5dadfe.jpg</t>
  </si>
  <si>
    <t>Q30280323181</t>
  </si>
  <si>
    <t>" Vitacap Mega (hộp 5 vỉ x 10 viên nang mềm) "</t>
  </si>
  <si>
    <t>https://product.hstatic.net/200000428801/product/upload_ce65d3c481cc4e0d8663cc11ce1959a5.jpg</t>
  </si>
  <si>
    <t>Q3029032377</t>
  </si>
  <si>
    <t>" Vitamin 3B Abipha (hộp 100 viên nang mềm) "</t>
  </si>
  <si>
    <t>https://product.hstatic.net/200000428801/product/upload_56b5dafa43d9400db3e86f4f8077205b.jpg</t>
  </si>
  <si>
    <t>Q302883356</t>
  </si>
  <si>
    <t>" Vitamin 3B Fost Trường Thọ (Hộp 10 vỉ x 10 viên nang) "</t>
  </si>
  <si>
    <t>https://product.hstatic.net/200000428801/product/upload_0b3d87aaeb0744e4898fcf8b7cf2b9e3.jpg</t>
  </si>
  <si>
    <t>Q3029032375</t>
  </si>
  <si>
    <t>" Vitamin 3B Gold Phúc Vinh (hộp 10 vỉ x 10 viên nang mềm "</t>
  </si>
  <si>
    <t>https://product.hstatic.net/200000428801/product/upload_3d80ccf08bf14a4d97b36d538a4ae110.jpg</t>
  </si>
  <si>
    <t>Q3029032378</t>
  </si>
  <si>
    <t>" Vitamin 3B HV USP (hộp 10 vỉ x 10 viên nang mềm) "</t>
  </si>
  <si>
    <t>https://product.hstatic.net/200000428801/product/upload_34a4e59e22404e4ba667ffcba968f823.jpg</t>
  </si>
  <si>
    <t>Q3029032379</t>
  </si>
  <si>
    <t>" Vitamin 3B Plus Việt Đức (hộp 10 vỉ x 10 viên nang mềm) "</t>
  </si>
  <si>
    <t>https://product.hstatic.net/200000428801/product/upload_e1db078e170d4c76b8a3aa54e1ebf8f6.jpg</t>
  </si>
  <si>
    <t>Q3029032380</t>
  </si>
  <si>
    <t>" Vitamin 3B TH New Thanh Hóa (hộp 10 vỉ x 10 viên nang) "</t>
  </si>
  <si>
    <t>https://product.hstatic.net/200000428801/product/upload_93b6018dc0b447d680b29ac50541961f.jpg</t>
  </si>
  <si>
    <t>Q3029032376</t>
  </si>
  <si>
    <t>" Vitamin 3B Thanh Hóa (Hộp 10 vỉ x 10 viên) "</t>
  </si>
  <si>
    <t>https://product.hstatic.net/200000428801/product/upload_2e8bf7a1f5aa432c87d85f66ff8e04cc.jpg</t>
  </si>
  <si>
    <t>Q3029032382</t>
  </si>
  <si>
    <t>" Vitamin 8B Abipha (hộp 10 vỉ x 10 viên nang mềm) "</t>
  </si>
  <si>
    <t>https://product.hstatic.net/200000428801/product/upload_2733f611f26d4c97a1904c06f01f61b6.jpg</t>
  </si>
  <si>
    <t>Q3029032383</t>
  </si>
  <si>
    <t>" Vitamin 9B Plus Đại Uy (hộp 10 vỉ x 10 viên nang) "</t>
  </si>
  <si>
    <t>https://product.hstatic.net/200000428801/product/upload_a7b84770055944ac9dfc96574bbbe5f7.jpg</t>
  </si>
  <si>
    <t>Q3029032386</t>
  </si>
  <si>
    <t>" Vitamin A 5000 IU Mekophar (hộp 10 vỉ x 10 viên nang) "</t>
  </si>
  <si>
    <t>https://product.hstatic.net/200000428801/product/upload_cb515c10595f455b8ce3bf72913def2f.jpg</t>
  </si>
  <si>
    <t>Q3029032388</t>
  </si>
  <si>
    <t>" Vitamin AD Abipha (hộp 10 vỉ x 10 viên nang mềm) "</t>
  </si>
  <si>
    <t>https://product.hstatic.net/200000428801/product/upload_2edd78302d66417680eeae327d1bdf63.jpg</t>
  </si>
  <si>
    <t>Q3029032387</t>
  </si>
  <si>
    <t>" Vitamin AD Gold Phúc Vinh (hộp 10 vỉ x 10 viên nang mềm) "</t>
  </si>
  <si>
    <t>https://product.hstatic.net/200000428801/product/upload_4179265bb10042108814959617fd638d.jpg</t>
  </si>
  <si>
    <t>Q3029032389</t>
  </si>
  <si>
    <t>" Vitamin AD Hà Tây (lọ 100 viên nang mềm) "</t>
  </si>
  <si>
    <t>https://product.hstatic.net/200000428801/product/upload_93c8bf8d82be4bfb9daca93a48e9ba70.jpg</t>
  </si>
  <si>
    <t>Q3029032390</t>
  </si>
  <si>
    <t>" Vitamin B Complex Đà Nẵng (lọ 1000 viên bao đường) "</t>
  </si>
  <si>
    <t>https://product.hstatic.net/200000428801/product/upload_9f1978a9a2994462839e4d396f69480e.jpg</t>
  </si>
  <si>
    <t>Q3029032391</t>
  </si>
  <si>
    <t>" Vitamin B1 B6 B12 Mekophar (hộp 10 vỉ x 10 viên nén bao phim) "</t>
  </si>
  <si>
    <t>https://product.hstatic.net/200000428801/product/upload_78f52022fb1540b09316ccf9eec48948.jpg</t>
  </si>
  <si>
    <t>Q3029032392</t>
  </si>
  <si>
    <t>" Vitamin B1 B6 B12 Softgel Hà Tây (hộp 10 vỉ x 10 viên nang mềm) "</t>
  </si>
  <si>
    <t>https://product.hstatic.net/200000428801/product/upload_a8ee0b4cca4d4dd2a0a9c7cfb4051ce4.jpg</t>
  </si>
  <si>
    <t>Q302938898</t>
  </si>
  <si>
    <t>" Vitamin B1 Đại Uy (Lốc 10 lọ x 100 viên nén) "</t>
  </si>
  <si>
    <t>https://product.hstatic.net/200000428801/product/upload_40cb47aaf3b44fe1b153569f8d9f655f.jpg</t>
  </si>
  <si>
    <t>Q3029032393</t>
  </si>
  <si>
    <t>" Vitamin B1 Thiamin Hydroclorid 100mg/ml Vĩnh Phúc (hộp 100 ống x 1ml tiêm) "</t>
  </si>
  <si>
    <t>https://product.hstatic.net/200000428801/product/upload_1196d139c6d5486a99dfc0439e7da177.jpg</t>
  </si>
  <si>
    <t>Q3029032394</t>
  </si>
  <si>
    <t>" Vitamin B1 Thiamin Mononitrat Đại Y (lọ 2000 viên nén) "</t>
  </si>
  <si>
    <t>https://product.hstatic.net/200000428801/product/upload_5f8973f2b521402bbca915f8de383aa1.jpg</t>
  </si>
  <si>
    <t>Q3029032395</t>
  </si>
  <si>
    <t>" Vitamin B1 Thiamin Mononitrat Vinaphar (lọ 2000 viên nén) "</t>
  </si>
  <si>
    <t>https://product.hstatic.net/200000428801/product/upload_c65d0c6ab1ed44bf834cea6192b7b959.jpg</t>
  </si>
  <si>
    <t>Q3029032396</t>
  </si>
  <si>
    <t>" Vitamin B1 Thiamin Mononitrat Vinaphar (lọ 300 viên nén) "</t>
  </si>
  <si>
    <t>https://product.hstatic.net/200000428801/product/366_44ce13c002cb455384bce62d746477c1.png</t>
  </si>
  <si>
    <t>Q3029032397</t>
  </si>
  <si>
    <t>" Vitamin B1 Thiamin nitrat 1.25mg Hà Tây (hộp 10 vỉ x 10 viên nén bao phim) "</t>
  </si>
  <si>
    <t>https://product.hstatic.net/200000428801/product/upload_5290ac64ee30468c8d2109ae9ab4b97f.jpg</t>
  </si>
  <si>
    <t>Q3029032399</t>
  </si>
  <si>
    <t>" Vitamin B12 Cyanocobalamin 1000mcg/ml Vĩnh Phúc (hộp 100 ống x 1ml tiêm) "</t>
  </si>
  <si>
    <t>https://product.hstatic.net/200000428801/product/upload_e9071f32152544ef9010d5bfc78fd2f8.jpg</t>
  </si>
  <si>
    <t>Q30290323100</t>
  </si>
  <si>
    <t>" Vitamin B12 Đà Nẵng (lọ 100 viên bao đường) "</t>
  </si>
  <si>
    <t>https://product.hstatic.net/200000428801/product/upload_cd862408c9ca49ee84be92f9b25f518b.jpg</t>
  </si>
  <si>
    <t>Q3029032351</t>
  </si>
  <si>
    <t>" Vitamin B2 2.0mg Traphaco (hộp 6 vỉ x 30 viên nén) "</t>
  </si>
  <si>
    <t>https://product.hstatic.net/200000428801/product/upload_a01af4f275d34d02934b157dde3fb5c7.jpg</t>
  </si>
  <si>
    <t>Q3029032350</t>
  </si>
  <si>
    <t>" Vitamin B6 250mg Mekophar (hộp 10 vỉ x 10 viên bao đường) "</t>
  </si>
  <si>
    <t>https://product.hstatic.net/200000428801/product/upload_132dcfe459f44b6bb8ed14b126fa043c.jpg</t>
  </si>
  <si>
    <t>Q3029032352</t>
  </si>
  <si>
    <t>" Vitamin B6 Đại Y (Lốc 10 lọ x 100 viên nén) "</t>
  </si>
  <si>
    <t>https://product.hstatic.net/200000428801/product/365_da55523097ab4125929a2a2c99fd52be.png</t>
  </si>
  <si>
    <t>Q3029032354</t>
  </si>
  <si>
    <t>" Vitamin B6 Plus Hà Tây (hộp 10 vỉ x 10 nén bao phim) "</t>
  </si>
  <si>
    <t>https://product.hstatic.net/200000428801/product/upload_20ef7f680af9415193c28451c4caebdd.jpg</t>
  </si>
  <si>
    <t>Q3029032355</t>
  </si>
  <si>
    <t>" Vitamin B6 Pyridoxin Hydroclorid 100mg/ml Vĩnh Phúc (hộp 100 ống x 1 ml tiêm) "</t>
  </si>
  <si>
    <t>https://product.hstatic.net/200000428801/product/upload_a069831abf254b88bbc712be2e35107a.jpg</t>
  </si>
  <si>
    <t>Q3028032353</t>
  </si>
  <si>
    <t>" Vitamin C 1g Stella (tube 10 viên sủi) "</t>
  </si>
  <si>
    <t>https://product.hstatic.net/200000428801/product/upload_8fdffaac24e04866a19371b1d585e36d.jpg</t>
  </si>
  <si>
    <t>Q3029032356</t>
  </si>
  <si>
    <t>" Vitamin C 500mg Khánh Hòa (lọ 200 viên nang) "</t>
  </si>
  <si>
    <t>https://product.hstatic.net/200000428801/product/upload_31a7483dc2644314a2e6046f2c0cf0f7.jpg</t>
  </si>
  <si>
    <t>Q3028032357</t>
  </si>
  <si>
    <t>" Vitamin C 500mg Mekophar (hộp 20 vỉ x 10 viên bao phim) "</t>
  </si>
  <si>
    <t>https://product.hstatic.net/200000428801/product/upload_8c3b6d687f734deba0c0514b9599fa2f.jpg</t>
  </si>
  <si>
    <t>Q3028032355</t>
  </si>
  <si>
    <t>" Vitamin C 500mg Quảng Bình (hộp 10 vỉ x 10 viên nén bao phim) "</t>
  </si>
  <si>
    <t>https://product.hstatic.net/200000428801/product/upload_e7944af4e513444dab873ea6497690c7.jpg</t>
  </si>
  <si>
    <t>Q3028032356</t>
  </si>
  <si>
    <t>" Vitamin C 500mg Thanh Hóa (hộp 10 vỉ x 10 viên nén) "</t>
  </si>
  <si>
    <t>https://product.hstatic.net/200000428801/product/upload_1272e22969914354b393a83eeb3ac59e.jpg</t>
  </si>
  <si>
    <t>Q3028032354</t>
  </si>
  <si>
    <t>" Vitamin C 500mg Vidipha (hộp 10 vỉ x 10 viên nang) "</t>
  </si>
  <si>
    <t>https://product.hstatic.net/200000428801/product/upload_c58016257d6044259a0a77af870535bf.jpg</t>
  </si>
  <si>
    <t>Q3028032358</t>
  </si>
  <si>
    <t>" Vitamin C 50mg Đại Uy (lọ 1000 viên nén) "</t>
  </si>
  <si>
    <t>https://product.hstatic.net/200000428801/product/upload_4937968e65db4ce7be69ead6cf59d6de.jpg</t>
  </si>
  <si>
    <t>Q3028032360</t>
  </si>
  <si>
    <t>" Vitamin C Doremon 2.5mg Đại Y (lọ 50 viên ngậm) "</t>
  </si>
  <si>
    <t>https://product.hstatic.net/200000428801/product/upload_e7f29ca0c3bd46b6ba800a4ffb453643.jpg</t>
  </si>
  <si>
    <t>Q3028032359</t>
  </si>
  <si>
    <t>" Vitamin C Đại Y (Lốc 10 lọ x 100 viên nén) "</t>
  </si>
  <si>
    <t>https://product.hstatic.net/200000428801/product/upload_b39fde510b3e440e9313eba249b3186f.jpg</t>
  </si>
  <si>
    <t>Q3028032361</t>
  </si>
  <si>
    <t>" Vitamin C Kabi 500mg/5ml tiêm Bidiphar (hộp 6 ống x 5ml) "</t>
  </si>
  <si>
    <t>https://product.hstatic.net/200000428801/product/upload_8ca89ff2a64a4ba89ea9362cb523c0dd.jpg</t>
  </si>
  <si>
    <t>Q3028032362</t>
  </si>
  <si>
    <t>" Vitamin C Kids Thanh Hóa (hộp 50 gói x 10 viên vị Cam) "</t>
  </si>
  <si>
    <t>https://product.hstatic.net/200000428801/product/upload_08bf68ac6cd8451bb9932cd32d3d132c.jpg</t>
  </si>
  <si>
    <t>Q3028032363</t>
  </si>
  <si>
    <t>" Vitamin C Kids Thanh Hóa (hộp 50 gói x 10 viên vị Dâu) "</t>
  </si>
  <si>
    <t>https://product.hstatic.net/200000428801/product/upload_3b478468e4194cae92eb172e9f5a1337.jpg</t>
  </si>
  <si>
    <t>Q3028032364</t>
  </si>
  <si>
    <t>" Vitamin C Kids Thanh Hóa (lọ 30 viên) "</t>
  </si>
  <si>
    <t>https://product.hstatic.net/200000428801/product/upload_7599ea46e4284929acca39cef26a29f5.jpg</t>
  </si>
  <si>
    <t>Q3028032365</t>
  </si>
  <si>
    <t>" Vitamin C Phong Phú (lọ 100 viên nang cứng) "</t>
  </si>
  <si>
    <t>https://product.hstatic.net/200000428801/product/upload_640ba807b5894d199b97f5cc6e3fe28f.jpg</t>
  </si>
  <si>
    <t>Q3028032366</t>
  </si>
  <si>
    <t>" Vitamin C thú bịch 25 con "</t>
  </si>
  <si>
    <t>https://product.hstatic.net/200000428801/product/upload_4f87027368b746728e6f20688060106e.jpg</t>
  </si>
  <si>
    <t>Q3028032367</t>
  </si>
  <si>
    <t>" Vitamin C Tw3 Acid Ascorbic 500mg (hộp 10 vỉ x 10 viên) "</t>
  </si>
  <si>
    <t>https://product.hstatic.net/200000428801/product/upload_1e125c0f7b274d3da00092881a8b132c.jpg</t>
  </si>
  <si>
    <t>Q3028032369</t>
  </si>
  <si>
    <t>" Vitamin E 400IU Nature’s Bounty Mỹ (lọ 30 viên nang) "</t>
  </si>
  <si>
    <t>https://product.hstatic.net/200000428801/product/upload_cd4d1f76f78e4589b9e9099889b10597.jpg</t>
  </si>
  <si>
    <t>Q3028032370</t>
  </si>
  <si>
    <t>" Vitamin E Alas USP (hộp 30 viên nang mềm) "</t>
  </si>
  <si>
    <t>https://product.hstatic.net/200000428801/product/upload_abe3b64c139a4663b226638da09e5542.jpg</t>
  </si>
  <si>
    <t>Q3028032371</t>
  </si>
  <si>
    <t>" Vitamin E Gold Phúc Vinh (hộp 30 viên nang) "</t>
  </si>
  <si>
    <t>https://product.hstatic.net/200000428801/product/upload_98cc548d8b6f4bf3b07108c1c7997734.jpg</t>
  </si>
  <si>
    <t>Q3028032372</t>
  </si>
  <si>
    <t>" Vitamin E400 Abipha (hộp 3 vỉ x 10 viên nang mềm) "</t>
  </si>
  <si>
    <t>https://product.hstatic.net/200000428801/product/upload_a91b03494747443791130cdf0b0caec0.jpg</t>
  </si>
  <si>
    <t>Q3028032373</t>
  </si>
  <si>
    <t>" Vitamin K Menadion natri bisulfit 5mg/ml Vinphaco (hộp 1 vỉ x 10 ống x 1ml) "</t>
  </si>
  <si>
    <t>https://product.hstatic.net/200000428801/product/upload_f895ebe659d043fb82ed74dcf5b10cdb.jpg</t>
  </si>
  <si>
    <t>Q3028032374</t>
  </si>
  <si>
    <t>" Vitamin PP 50 Nicotinamid 50mg Pharmedic (lốc 10lọ x 60 viên nén) "</t>
  </si>
  <si>
    <t>https://product.hstatic.net/200000428801/product/upload_c84f3c75b01840ffb577d986455be437.jpg</t>
  </si>
  <si>
    <t>Q3028032375</t>
  </si>
  <si>
    <t>" Vitamin PP 500mg Mekophar (hộp 10 vỉ x 10 viên nén bao phim) "</t>
  </si>
  <si>
    <t>https://product.hstatic.net/200000428801/product/upload_a7bcbbd51045412aa92f3124c5d07ed6.jpg</t>
  </si>
  <si>
    <t>Q3028032376</t>
  </si>
  <si>
    <t>" Vitamin PP 50mg Traphaco (hộp 6 vỉ x 30 viên nén) "</t>
  </si>
  <si>
    <t>https://product.hstatic.net/200000428801/product/upload_a51da6bcd0804e43b57a6b8c0f6896db.jpg</t>
  </si>
  <si>
    <t>Q3028032377</t>
  </si>
  <si>
    <t>" Vitamin PP Nicotinamide Phong Phú (lọ 100 viên nén) "</t>
  </si>
  <si>
    <t>https://product.hstatic.net/200000428801/product/upload_87b370b05e114a34966348da3ccd855d.jpg</t>
  </si>
  <si>
    <t>Q3028032378</t>
  </si>
  <si>
    <t>" Vitaplex Injection lọ 500ml Siu Guan Chemical (kiện 12 chai)"</t>
  </si>
  <si>
    <t>https://product.hstatic.net/200000428801/product/upload_2fe9273cc72b40669113e948ceb0f164.jpg</t>
  </si>
  <si>
    <t>Q3028032379</t>
  </si>
  <si>
    <t>" Vitar Multivitamin vị cam Boston (tuýp 20 viên sủi) "</t>
  </si>
  <si>
    <t>https://product.hstatic.net/200000428801/product/upload_c5de6dd84b54475aa4c76bb490f1ef42.jpg</t>
  </si>
  <si>
    <t>Q3028032380</t>
  </si>
  <si>
    <t>" Vitara Anti Acne gel trị mụn Thái Lan (tuýp 10g) "</t>
  </si>
  <si>
    <t>https://product.hstatic.net/200000428801/product/upload_3927adcd954c4d45898489b942dde76d.jpg</t>
  </si>
  <si>
    <t>Q3028032381</t>
  </si>
  <si>
    <t>" Vitdeka Spray lọ 10ml Thổ Nhĩ Kỳ "</t>
  </si>
  <si>
    <t>https://product.hstatic.net/200000428801/product/upload_9d9a915083ec4a27a5ca5b93c70f201e.jpg</t>
  </si>
  <si>
    <t>Q3028032382</t>
  </si>
  <si>
    <t>" Vitiskin Isispharma chống rối loạn sắc tố da lọ 50ml) "</t>
  </si>
  <si>
    <t>https://product.hstatic.net/200000428801/product/upload_9837085b3de04327917972e2387a22b0.jpg</t>
  </si>
  <si>
    <t>Q3028032383</t>
  </si>
  <si>
    <t>" Vitrex 16mg thuốc sát khuẩn âm đạo Sao Kim (hộp 10 viên) "</t>
  </si>
  <si>
    <t>https://product.hstatic.net/200000428801/product/upload_69997de7199948f68f1bd385d3b9fb57.jpg</t>
  </si>
  <si>
    <t>Q3028032385</t>
  </si>
  <si>
    <t>" Volgasrene 75 USA Nic (lọ 200 viên nén) "</t>
  </si>
  <si>
    <t>https://product.hstatic.net/200000428801/product/upload_45a754737d0148ffba2d3edc3dc4a07f.jpg</t>
  </si>
  <si>
    <t>Q3028032386</t>
  </si>
  <si>
    <t>" Volhasan creamgel Hasan (lốc 10 tuýp 20g) "</t>
  </si>
  <si>
    <t>https://product.hstatic.net/200000428801/product/upload_0c3f1523820f4766a6379147d97528fe.jpg</t>
  </si>
  <si>
    <t>Q3028032387</t>
  </si>
  <si>
    <t>" Voltaren diclofenac natri 100mg Novartis (hộp 1 vỉ x 5 viên đạn) "</t>
  </si>
  <si>
    <t>https://product.hstatic.net/200000428801/product/upload_d70e6528acc7451cbc9a339a18aa5b07.jpg</t>
  </si>
  <si>
    <t>Q3028032388</t>
  </si>
  <si>
    <t>" Voltaren diclofenac natri 25mg Novatis (hộp 10 vỉ x 10 viên) "</t>
  </si>
  <si>
    <t>https://product.hstatic.net/200000428801/product/upload_222e268b6f8b4f07ac4ba65029329454.jpg</t>
  </si>
  <si>
    <t>Q3028032389</t>
  </si>
  <si>
    <t>" Voltaren Diclofenac natri 50mg Novatis (hộp 10 vỉ x 10 viên) "</t>
  </si>
  <si>
    <t>https://product.hstatic.net/200000428801/product/upload_9763f9153f644ef59bbae0a1631c7b43.jpg</t>
  </si>
  <si>
    <t>Q3028032390</t>
  </si>
  <si>
    <t>" Voltaren diclofenac natri 75mg/3ml tiêm Novatis (hộp 5 ống) "</t>
  </si>
  <si>
    <t>https://product.hstatic.net/200000428801/product/358_03548bf2dd694c808dc9efbdc1a813f8.png</t>
  </si>
  <si>
    <t>Q3028032391</t>
  </si>
  <si>
    <t>" Voltaren SR Diclofenac natri 75mg Novatis (hộp 10 vỉ x 10 viên) "</t>
  </si>
  <si>
    <t>https://product.hstatic.net/200000428801/product/360_6105cbba46e9424da9fb5df4730c07e9.png</t>
  </si>
  <si>
    <t>Q3028032393</t>
  </si>
  <si>
    <t>" VONSEnight Lạc Việt (hộp 10 vỉ x 10 viên nén bao phim) "</t>
  </si>
  <si>
    <t>https://product.hstatic.net/200000428801/product/upload_c8d3627699c54674b7b332bc60c18ded.jpg</t>
  </si>
  <si>
    <t>Q3028032394</t>
  </si>
  <si>
    <t>" Vorifend 500 Glucosamine sulfate 500mg Stella (hộp 6 vỉ x 10 viên nén) "</t>
  </si>
  <si>
    <t>https://product.hstatic.net/200000428801/product/upload_d89e44740a8c4b0698b1685cbf1e6bbc.jpg</t>
  </si>
  <si>
    <t>Q3028032384</t>
  </si>
  <si>
    <t>" Vôi sen ngủ ngon Tradiphar (hộp 60 viên) "</t>
  </si>
  <si>
    <t>https://product.hstatic.net/200000428801/product/upload_0ae96f361c654d44ab01662bc0aa3c11.jpg</t>
  </si>
  <si>
    <t>Q3028032396</t>
  </si>
  <si>
    <t>" Vrohto Antibacterial nhỏ mắt Rohto (lọ 13ml) "</t>
  </si>
  <si>
    <t>https://product.hstatic.net/200000428801/product/357_5ffa725b84d542f48baca63a4de1725d.png</t>
  </si>
  <si>
    <t>Q3028032397</t>
  </si>
  <si>
    <t>" Vrohto Cool nhỏ mắt Rohto (lọ 12ml)"</t>
  </si>
  <si>
    <t>https://product.hstatic.net/200000428801/product/upload_bfb656bb8dfd43fb8abcbd9963e3aaa7.jpg</t>
  </si>
  <si>
    <t>Q3028032398</t>
  </si>
  <si>
    <t>" Vrohto Dryeye nhỏ mắt Rohto (lọ 13ml) "</t>
  </si>
  <si>
    <t>https://product.hstatic.net/200000428801/product/upload_2a195b97d1f14c8c986ccad7756e4bc3.jpg</t>
  </si>
  <si>
    <t>Q3028032399</t>
  </si>
  <si>
    <t>" Vrohto for Kids nhỏ mắt Rohto (Lốc 10 lọ/ 13ml) "</t>
  </si>
  <si>
    <t>https://product.hstatic.net/200000428801/product/upload_a58247e36aba49b58b1465508985305c.jpg</t>
  </si>
  <si>
    <t>Q30280323100</t>
  </si>
  <si>
    <t>" Vrohto Mineral Tear nước mắt nhân tạo Rohto (lọ 13ml) "</t>
  </si>
  <si>
    <t>https://product.hstatic.net/200000428801/product/upload_2e347bb8cda54f47b4d53d377f15a146.jpg</t>
  </si>
  <si>
    <t>Q302553672</t>
  </si>
  <si>
    <t>" Vương Bảo Thái Minh (Hộp 2vỉ x 10 viên nén) "</t>
  </si>
  <si>
    <t>https://product.hstatic.net/200000428801/product/upload_3e1a1f97c1924ae0acd9dca332ab146e.jpg</t>
  </si>
  <si>
    <t>Q302994863</t>
  </si>
  <si>
    <t>" Vương Bảo Thái Minh (Lọ 80 viên nén) "</t>
  </si>
  <si>
    <t>https://product.hstatic.net/200000428801/product/upload_6e5710b454ab458eb93c54bba14803b6.jpg</t>
  </si>
  <si>
    <t>Q30280323150</t>
  </si>
  <si>
    <t>" Vượng khí gold Santex (chai 100ml) "</t>
  </si>
  <si>
    <t>Q30280323151</t>
  </si>
  <si>
    <t>" Vương lão kiện Đông Tây (hộp 2 lọ x 90 viên nén) "</t>
  </si>
  <si>
    <t>https://product.hstatic.net/200000428801/product/upload_6fefecca4c3d4322b670333f86f15501.jpg</t>
  </si>
  <si>
    <t>Q30280323152</t>
  </si>
  <si>
    <t>" Vương Lão Kiện Đông Tây (hộp 3 vỉ x 10 viên nén) "</t>
  </si>
  <si>
    <t>https://product.hstatic.net/200000428801/product/upload_afa2725b66e1440b9416755fb860f98d.jpg</t>
  </si>
  <si>
    <t>Q30280323153</t>
  </si>
  <si>
    <t>" Vương Não Khang Nam Phương (hộp 30 gói x 3g)"</t>
  </si>
  <si>
    <t>https://product.hstatic.net/200000428801/product/upload_5b7b506f7ccc407aa4bcbf3070bb3e92.jpg</t>
  </si>
  <si>
    <t>Q30280323154</t>
  </si>
  <si>
    <t>" Vương Niệu Đan Thái Minh (hộp 2 vỉ x 10 viên nén) "</t>
  </si>
  <si>
    <t>https://product.hstatic.net/200000428801/product/upload_17f9288208da4ba5abbe8f937bdefa1b.jpg</t>
  </si>
  <si>
    <t>Q30280323155</t>
  </si>
  <si>
    <t>" Waisan Eperison hydroclorid 50mg Bình Định (hộp 10 vỉ x 10 viên nén bao phim) "</t>
  </si>
  <si>
    <t>https://product.hstatic.net/200000428801/product/upload_1609ca3651b243ebacb5e90c705295ed.jpg</t>
  </si>
  <si>
    <t>Q30280323156</t>
  </si>
  <si>
    <t>" Waryal Moldova (hộp 2 vỉ x 7 viên đặt âm đạo) "</t>
  </si>
  <si>
    <t>https://product.hstatic.net/200000428801/product/upload_25c8634f17be4c0f93619eaf17c403f3.jpg</t>
  </si>
  <si>
    <t>Q30280323157</t>
  </si>
  <si>
    <t>" Wosulin – 30/70 40 IU/ml lọ 10ml Wockhardt Ấn Độ"</t>
  </si>
  <si>
    <t>https://product.hstatic.net/200000428801/product/upload_a3f74bac78d34d80aeaf564a085858e2.jpg</t>
  </si>
  <si>
    <t>Q30280323158</t>
  </si>
  <si>
    <t>" X3 Immune Thái Minh lọ 30 Viên"</t>
  </si>
  <si>
    <t>https://product.hstatic.net/200000428801/product/upload_3a342f23edd74d65b2d988af665c35a5.jpg</t>
  </si>
  <si>
    <t>Q302777187</t>
  </si>
  <si>
    <t>" Xà Phòng Acnes Washing Bar Nhật Bản (Bánh 75g) "</t>
  </si>
  <si>
    <t>https://product.hstatic.net/200000428801/product/upload_45f4d728835a485c92f565109adc96fd.jpg</t>
  </si>
  <si>
    <t>Q302988543</t>
  </si>
  <si>
    <t>" Xà Phòng Rửa Mặt Acne-Aid Bar (Bánh 100g) "</t>
  </si>
  <si>
    <t>https://product.hstatic.net/200000428801/product/upload_291511db1a4a4a9781c8a50fdac7d058.jpg</t>
  </si>
  <si>
    <t>Q30280323160</t>
  </si>
  <si>
    <t>" Xarelto Rivaroxaban 15mg Bayer (hộp 1 vỉ x 14 viên nén) "</t>
  </si>
  <si>
    <t>https://product.hstatic.net/200000428801/product/upload_1ebd872bc8f14fea8271d767e8a9c6de.jpg</t>
  </si>
  <si>
    <t>Q30280323161</t>
  </si>
  <si>
    <t>" Xarelto Rivaroxaban 20mg Bayer (hộp 1 vỉ x 14 viên nén) "</t>
  </si>
  <si>
    <t>https://product.hstatic.net/200000428801/product/upload_cec297c88adb44eb912c58a2ddc09b50.jpg</t>
  </si>
  <si>
    <t>Q3028032352</t>
  </si>
  <si>
    <t>" Xatral XL alfuzosine/alfuzosin 10mg Sanofi (hộp 30 viên nén) "</t>
  </si>
  <si>
    <t>https://product.hstatic.net/200000428801/product/upload_7a23c037bd1b4e8ea33b60c953e55109.jpg</t>
  </si>
  <si>
    <t>Q3028032351</t>
  </si>
  <si>
    <t>" Xerolys 5 kem dưỡng ẩm cho da khô Pháp (chai 200ml) "</t>
  </si>
  <si>
    <t>https://product.hstatic.net/200000428801/product/upload_c4d85182acbb4df7836cdde2cadecb03.jpg</t>
  </si>
  <si>
    <t>Q30270323179</t>
  </si>
  <si>
    <t>" Xigduo XR 10mg/500mg AstraZeneca (hộp 4 vỉ x 7 viên) "</t>
  </si>
  <si>
    <t>https://product.hstatic.net/200000428801/product/upload_6484d5132345442db4f810584073a801.jpg</t>
  </si>
  <si>
    <t>Q30270323178</t>
  </si>
  <si>
    <t>" Xisat hồng nhỏ Merap (lọ 15ml) "</t>
  </si>
  <si>
    <t>https://product.hstatic.net/200000428801/product/upload_734e32ce2c8a4018ad0166f9bef0f4f7.jpg</t>
  </si>
  <si>
    <t>Q30270323177</t>
  </si>
  <si>
    <t>" Xịt họng bổ phế Nam Hà trẻ em Nam Hà (hộp x 1 lọ x 30ml) "</t>
  </si>
  <si>
    <t>https://product.hstatic.net/200000428801/product/upload_3ce06acc360542b793e4c436bca7307e.jpg</t>
  </si>
  <si>
    <t>Q3028032350</t>
  </si>
  <si>
    <t>" Xịt họng bổ phế Nam Hà trên 3 tuổi Nam Hà (hộp 1 lọ x 30ml) "2026</t>
  </si>
  <si>
    <t>https://product.hstatic.net/200000428801/product/upload_2264131d7ef445d2bb1477dba4949ecc.jpg</t>
  </si>
  <si>
    <t>Q302654872</t>
  </si>
  <si>
    <t>" Xịt Họng Keo Ong Xuyên Tâm Liên Xihos 30ml "</t>
  </si>
  <si>
    <t>https://product.hstatic.net/200000428801/product/upload_d24974ce9e1148fb8a94943a3839b0b2.jpg</t>
  </si>
  <si>
    <t>Q30270323176</t>
  </si>
  <si>
    <t>" Xịt họng Nhất Anh lọ 30ml "</t>
  </si>
  <si>
    <t>https://product.hstatic.net/200000428801/product/upload_ead6050060904c9daced0cb347692848.jpg</t>
  </si>
  <si>
    <t>Q30270323175</t>
  </si>
  <si>
    <t>" Xịt họng Nhất Nhất trẻ em lọ 20ml "</t>
  </si>
  <si>
    <t>https://product.hstatic.net/200000428801/product/upload_f4ef2ffb84e64e19bdfe3500cf03f798.jpg</t>
  </si>
  <si>
    <t>Q30270323174</t>
  </si>
  <si>
    <t>" Xịt keo ong SKHONG Dược Vương (lọ 20ml) "</t>
  </si>
  <si>
    <t>https://product.hstatic.net/200000428801/product/upload_7d0f60105da44e30b59711929e414f90.jpg</t>
  </si>
  <si>
    <t>SP648478</t>
  </si>
  <si>
    <t>" Xịt Mũi Streimar blocked baby 50ml ( H/ 1 lọ 50ml) "</t>
  </si>
  <si>
    <t>SP648477</t>
  </si>
  <si>
    <t>" Xịt Mũi Streimar hygiene 50ml ( H/ 1 lọ 50ml) "</t>
  </si>
  <si>
    <t>https://product.hstatic.net/200000428801/product/upload_7944a78152c24263b6e0425401f61b37.jpg</t>
  </si>
  <si>
    <t>Q302335468</t>
  </si>
  <si>
    <t>" Xịt Mũi Xisat Người Lớn Merap (Hộp 1 chai x 75ml) "</t>
  </si>
  <si>
    <t>https://product.hstatic.net/200000428801/product/upload_7740dba838b84e54858ca14444fd52a3.jpg</t>
  </si>
  <si>
    <t>Q302776899</t>
  </si>
  <si>
    <t>" Xịt Mũi Xisat Trẻ Em Merap (Hộp 1 chai x 75ml) "</t>
  </si>
  <si>
    <t>https://product.hstatic.net/200000428801/product/359_899be96f2710476cb4818b4faeefce66.png</t>
  </si>
  <si>
    <t>Q30270323173</t>
  </si>
  <si>
    <t>" Xịt muối biển Dr.Papie trên 3 tháng tuổi "</t>
  </si>
  <si>
    <t>https://product.hstatic.net/200000428801/product/upload_bd09c1d3d24b4eeab0618ba5c59440b6.jpg</t>
  </si>
  <si>
    <t>Q302776487</t>
  </si>
  <si>
    <t>" Xịt Muỗi Soffell Hương Hoa (Chai 30ml) "</t>
  </si>
  <si>
    <t>https://product.hstatic.net/200000428801/product/upload_405836e76b9c4a02838b654a8a93a799.jpg</t>
  </si>
  <si>
    <t>Q30270323172</t>
  </si>
  <si>
    <t>" Xịt tinh dầu xả chanh Cung Đình Huế (lọ 100ml) "</t>
  </si>
  <si>
    <t>https://product.hstatic.net/200000428801/product/upload_8c22706192714f25af67f1764e103201.jpg</t>
  </si>
  <si>
    <t>Q30270323171</t>
  </si>
  <si>
    <t>" Xịt Tóc Dược Liệu Thái Dương lọ 30ml "</t>
  </si>
  <si>
    <t>https://product.hstatic.net/200000428801/product/upload_190710a8f6c544fcba1c8f1d72487d5e.jpg</t>
  </si>
  <si>
    <t>Q30270323169</t>
  </si>
  <si>
    <t>" Xitrina thuốc cốm đầy hơi trớ sữa trẻ sơ sinh Vidipha (Lọ 55g) "</t>
  </si>
  <si>
    <t>https://product.hstatic.net/200000428801/product/upload_6d183aed9ae645fa8daebebf0da47cd5.jpg</t>
  </si>
  <si>
    <t>Q302746374</t>
  </si>
  <si>
    <t>" Xoang Bách Phục Thái Minh (Hộp 2vỉ x 10 viên nén) "</t>
  </si>
  <si>
    <t>https://product.hstatic.net/200000428801/product/upload_b784df3044844d6181b013e0318d3137.jpg</t>
  </si>
  <si>
    <t>Q30270323168</t>
  </si>
  <si>
    <t>" Xtra Man tăng cường sinh lý nam Santex (Tuýp 20 viên) "</t>
  </si>
  <si>
    <t>https://product.hstatic.net/200000428801/product/upload_833c06887f9249abb56670f2f6a3bec2.jpg</t>
  </si>
  <si>
    <t>Q30221032355</t>
  </si>
  <si>
    <t>" Xuyên tâm liên thanh hao hoa vàng Chuck Bát Phúc (hộp 2 vỉ x 10 viên) "</t>
  </si>
  <si>
    <t>https://product.hstatic.net/200000428801/product/upload_0ac90454a52647cf8ed931926857a661.jpg</t>
  </si>
  <si>
    <t>Q30270323166</t>
  </si>
  <si>
    <t>https://product.hstatic.net/200000428801/product/upload_b38f0e9f8def43549878cc7714bdca01.jpg</t>
  </si>
  <si>
    <t>Q30270323167</t>
  </si>
  <si>
    <t>" Xương Khớp Phúc Vinh Lọ 60 viên nang mềm "</t>
  </si>
  <si>
    <t>https://product.hstatic.net/200000428801/product/upload_8ac5e87c9d0c453bae290926d24b2791.jpg</t>
  </si>
  <si>
    <t>Q30270323165</t>
  </si>
  <si>
    <t>" Xylo fran 0.05% DP 3/2 (Lốc 10 lọ x 10ml) "</t>
  </si>
  <si>
    <t>Q30270323164</t>
  </si>
  <si>
    <t>" Xylo fran 0.1% DP 3/2 (Lốc 10 lọ x 10ml "</t>
  </si>
  <si>
    <t>https://product.hstatic.net/200000428801/product/upload_303d8b76ad194642a12f0fbe18b0d73b.jpg</t>
  </si>
  <si>
    <t>Q30270323163</t>
  </si>
  <si>
    <t>" Xylofar nhỏ mũi 0.05% Pharmedic (Lốc 10 lọ x 10ml) "</t>
  </si>
  <si>
    <t>https://product.hstatic.net/200000428801/product/upload_8012b5f63b974dab864db2b9048f9bf1.jpg</t>
  </si>
  <si>
    <t>Q30270323162</t>
  </si>
  <si>
    <t>" Xylogen Dược Khoa (Lốc 10 lọ x 15ml) "</t>
  </si>
  <si>
    <t>https://product.hstatic.net/200000428801/product/upload_fcaa45e09efe49bd8f8e759f6c5d8aec.jpg</t>
  </si>
  <si>
    <t>Q30270323161</t>
  </si>
  <si>
    <t>" Xylometazolin 0.05% nhỏ mũi Đà Nẵng (Lốc 10 lọ x 10ml) "</t>
  </si>
  <si>
    <t>https://product.hstatic.net/200000428801/product/upload_32712308a3f34518b42f707f82c702b4.jpg</t>
  </si>
  <si>
    <t>Q30270323160</t>
  </si>
  <si>
    <t>" Xyzal Levocetirizine 5mg Thụy Sĩ (hộp 1 vỉ x 10 viên nén bao phim) "</t>
  </si>
  <si>
    <t>https://product.hstatic.net/200000428801/product/upload_48a9fac15d3f46db81b7fbc4cb4fcd53.jpg</t>
  </si>
  <si>
    <t>Q30270323159</t>
  </si>
  <si>
    <t>" Yaguchi cao dán nóng Tatra (hộp 100 miếng) "</t>
  </si>
  <si>
    <t>https://product.hstatic.net/200000428801/product/upload_0c38daa2a6f649f5bb2fe28856131e97.jpg</t>
  </si>
  <si>
    <t>Q30270323158</t>
  </si>
  <si>
    <t>" Yasmin Bayer (hộp 1 vỉ x 21 viên) "</t>
  </si>
  <si>
    <t>https://product.hstatic.net/200000428801/product/upload_00ab2247ad0f4bc78e884e6856e6dd98.jpg</t>
  </si>
  <si>
    <t>Q30270323157</t>
  </si>
  <si>
    <t>" Ybio Lactobacillus acidophilus Hậu Giang (hộp 24 gói x 1g cốm) "</t>
  </si>
  <si>
    <t>https://product.hstatic.net/200000428801/product/upload_5c5abca07793488190ba4c6c6a6644de.jpg</t>
  </si>
  <si>
    <t>Q30270323156</t>
  </si>
  <si>
    <t>" Yến Sào Thiên Nhiên Cao Cấp hộp quai xách Khánh Hòa (Hộp 6 lọ x 70ml tặng túi xách) "</t>
  </si>
  <si>
    <t>https://product.hstatic.net/200000428801/product/upload_b38e1d9bd87c43f2b69b9c72556ed855.jpg</t>
  </si>
  <si>
    <t>Q30270323155</t>
  </si>
  <si>
    <t>" Yoosun Acnes kem trị mụn Đại Bắc (Cọc 10 tuýp x 15g) "</t>
  </si>
  <si>
    <t>https://product.hstatic.net/200000428801/product/upload_5264af8f3e194e0f85cc3e397ce5439f.jpg</t>
  </si>
  <si>
    <t>Q30270323154</t>
  </si>
  <si>
    <t>" Young GSV mờ sẹo (tuýp 15g) "</t>
  </si>
  <si>
    <t>https://product.hstatic.net/200000428801/product/upload_6799cf49fb9a4a4b9b40c6600bda2bcf.jpg</t>
  </si>
  <si>
    <t>Q30270323153</t>
  </si>
  <si>
    <t>" Yspuripax 200mg Malaysia (hộp 10 vỉ x 10 viên nén) "</t>
  </si>
  <si>
    <t>https://product.hstatic.net/200000428801/product/upload_bfcdac957ac84dc1a3bc1ab2b8653d9a.jpg</t>
  </si>
  <si>
    <t>Q30270323152</t>
  </si>
  <si>
    <t>" Yumangel F Yuhan Hàn Quốc (hộp 20 gói x 15ml) "</t>
  </si>
  <si>
    <t>https://product.hstatic.net/200000428801/product/upload_4c20ccc2c7084e2ea389a28301a82b27.jpg</t>
  </si>
  <si>
    <t>Q30270323151</t>
  </si>
  <si>
    <t>" Yunpro men vi sinh Hàn Quốc (hộp 20 gói x 2gr vị nho) "</t>
  </si>
  <si>
    <t>https://product.hstatic.net/200000428801/product/upload_706d1078c79141c3934fccf46caead05.jpg</t>
  </si>
  <si>
    <t>Q30270323150</t>
  </si>
  <si>
    <t>" Yunpro men vi sinh vị nho Hàn Quốc (hộp 60 gói x 2g) "</t>
  </si>
  <si>
    <t>https://product.hstatic.net/200000428801/product/upload_97c252a67c4b489faeeb55b9507bf48e.jpg</t>
  </si>
  <si>
    <t>Q30270323100</t>
  </si>
  <si>
    <t>" Yuraf Tramadol Hcl &amp; Acetaminophen KMS Hàn Quốc (hộp 10 vỉ x 10 viên) "</t>
  </si>
  <si>
    <t>https://product.hstatic.net/200000428801/product/354_43662faed5f64d329bb7690aebb21b12.png</t>
  </si>
  <si>
    <t>Q3027032398</t>
  </si>
  <si>
    <t>" Zanedip Lercanidipine HCL 10mg Recordati Ý (hộp 2 vỉ x 14 viên) "</t>
  </si>
  <si>
    <t>https://product.hstatic.net/200000428801/product/upload_ee8cc58ae6e94517a7db644eb56a0d39.jpg</t>
  </si>
  <si>
    <t>Q3027032397</t>
  </si>
  <si>
    <t>" Zantis Soap Bar xà phòng cho da dầu và mụn Thổ Nhĩ Kỳ (bánh 80g) "</t>
  </si>
  <si>
    <t>https://product.hstatic.net/200000428801/product/353_2e324dfe46a44e9c98258e7f3005f2bb.png</t>
  </si>
  <si>
    <t>Q3027032396</t>
  </si>
  <si>
    <t>" Zapnex Olanzapin 10mg Davipharm (hộp 3 vỉ x 10 viên nén bao phim) "</t>
  </si>
  <si>
    <t>https://product.hstatic.net/200000428801/product/upload_f31bc73576114753951c22201b85616e.jpg</t>
  </si>
  <si>
    <t>Q3027032395</t>
  </si>
  <si>
    <t>" Zaromax Azithromycin 100mg Hậu Giang (hộp 24 gói x 0.75g) "</t>
  </si>
  <si>
    <t>https://product.hstatic.net/200000428801/product/upload_e635da1b6a12404390333a3c3c6da758.jpg</t>
  </si>
  <si>
    <t>Q3027032394</t>
  </si>
  <si>
    <t>" Zaromax Azithromycin 200mg Hậu Giang (hộp 24 gói) "</t>
  </si>
  <si>
    <t>https://product.hstatic.net/200000428801/product/350_2ae6df82dd23456e96cbea57e60eba9e.png</t>
  </si>
  <si>
    <t>Q3027032393</t>
  </si>
  <si>
    <t>" Zaromax Azithromycin 250mg Hậu Giang (hộp 10 vỉ x 6 viên nén bao phim) "</t>
  </si>
  <si>
    <t>https://product.hstatic.net/200000428801/product/upload_53370cc5e1904019a71b4a7ed7383bf4.jpg</t>
  </si>
  <si>
    <t>Q3027032392</t>
  </si>
  <si>
    <t>" Zaromax Azithromycin 500mg Hậu Giang (hộp 3 vỉ x 10 viên nén) "</t>
  </si>
  <si>
    <t>Q3027032391</t>
  </si>
  <si>
    <t>" Zebacef Cefdinir 125mg/5ml Bilim (lọ 100ml) "</t>
  </si>
  <si>
    <t>Q3027032390</t>
  </si>
  <si>
    <t>" Zecuf Herbal ngậm ho hương Bạc Hà Unique Ấn Độ (hộp 5 vỉ x 4 viên) "</t>
  </si>
  <si>
    <t>https://product.hstatic.net/200000428801/product/355_76b4944ed6b1426596f5abbe117bfaa1.png</t>
  </si>
  <si>
    <t>Q3027032389</t>
  </si>
  <si>
    <t>" Zecuf Herbal ngậm ho hương Cam Unique Ấn Độ (hộp 5 vỉ x 4 viên) "6/2027</t>
  </si>
  <si>
    <t>Q3027032388</t>
  </si>
  <si>
    <t>" Zecuf Herbal siro ho Unique Ấn Độ (lọ 100ml) "</t>
  </si>
  <si>
    <t>https://product.hstatic.net/200000428801/product/upload_693a008eee014d44bdaeac872a6a0c28.jpg</t>
  </si>
  <si>
    <t>Q3027032387</t>
  </si>
  <si>
    <t>" Zecuf ngậm ho không đường Ấn Độ (hộp 20 viên) "</t>
  </si>
  <si>
    <t>https://product.hstatic.net/200000428801/product/upload_c2b7b757addc4d88bf261bc497150e13.jpg</t>
  </si>
  <si>
    <t>Q3027032386</t>
  </si>
  <si>
    <t>" Zenella Med Ba Lan (hộp 14 viên đặt âm đạo) "</t>
  </si>
  <si>
    <t>https://product.hstatic.net/200000428801/product/upload_7d29aafd05684099aecde4029123d684.jpg</t>
  </si>
  <si>
    <t>Q3027032385</t>
  </si>
  <si>
    <t>" Zentel Albendazole 200mg GSK (hộp 1 vỉ x 2 viên nén) "</t>
  </si>
  <si>
    <t>https://product.hstatic.net/200000428801/product/upload_4559872a31624835bf9ecb02f8bc1742.jpg</t>
  </si>
  <si>
    <t>Q3027032384</t>
  </si>
  <si>
    <t>" Zentobiso Bisoprolol Fumarate 10mg Ireland (hộp 2 vỉ x 14 viên) "</t>
  </si>
  <si>
    <t>https://product.hstatic.net/200000428801/product/upload_8fcf64015de747198294dfeb992fc940.jpg</t>
  </si>
  <si>
    <t>Q3027032383</t>
  </si>
  <si>
    <t>" Zestoretic Lisinopril 20mg AstraZeneca (hộp 2 vỉ x 14 viên) "</t>
  </si>
  <si>
    <t>https://product.hstatic.net/200000428801/product/upload_38db509c51244e729a9822725deaa5af.jpg</t>
  </si>
  <si>
    <t>Q3027032382</t>
  </si>
  <si>
    <t>" Zestril lisinopril 10mg AstraZeneca (hộp 2 vỉ x 14 viên) "</t>
  </si>
  <si>
    <t>https://product.hstatic.net/200000428801/product/upload_a923962a9fbe47fd81e5c0d3e7bce50f.jpg</t>
  </si>
  <si>
    <t>Q3027032381</t>
  </si>
  <si>
    <t>" Zestril lisinopril 5mg AstraZeneca (hộp 2 vỉ x 14 viên) "</t>
  </si>
  <si>
    <t>https://product.hstatic.net/200000428801/product/upload_f033f7a9bfd045c584904e95ecacb418.jpg</t>
  </si>
  <si>
    <t>Q3027032380</t>
  </si>
  <si>
    <t>" ZetraCare Dược Phẩm 150 Cophavina (hộp 21 gói x 4.15g) "</t>
  </si>
  <si>
    <t>https://product.hstatic.net/200000428801/product/upload_c293b99f82cd4704baa82ee03da4b3dc.jpg</t>
  </si>
  <si>
    <t>Q3027032379</t>
  </si>
  <si>
    <t>" Zexpam USA NIC (lọ 200 viên nang) "</t>
  </si>
  <si>
    <t>https://product.hstatic.net/200000428801/product/upload_26f4447f51014ae49e0871724687dcfe.jpg</t>
  </si>
  <si>
    <t>Q3027032378</t>
  </si>
  <si>
    <t>" Ziaja gel lau rửa da sinh lý Balan (lọ 200ml) "</t>
  </si>
  <si>
    <t>https://product.hstatic.net/200000428801/product/upload_278fc0db88f44d0aab168f0958c6c66c.jpg</t>
  </si>
  <si>
    <t>Q3027032377</t>
  </si>
  <si>
    <t>" Ziaja Med cho da nhạy cảm Ba Lan (chai vòi xịt 400ml) "</t>
  </si>
  <si>
    <t>https://product.hstatic.net/200000428801/product/upload_602d76116a9e487bb24dbf9c604d5da7.jpg</t>
  </si>
  <si>
    <t>Q3027032375</t>
  </si>
  <si>
    <t>" Zilgo (cọc 12 cuộn 2.5cm x 5m) "</t>
  </si>
  <si>
    <t>https://product.hstatic.net/200000428801/product/upload_21c908a0f92b469aaf0f9cecffe5015f.jpg</t>
  </si>
  <si>
    <t>Q3027032376</t>
  </si>
  <si>
    <t>" Zilgo Breathable (cọc 12 cuộn 1.25cm x 5m) "</t>
  </si>
  <si>
    <t>https://product.hstatic.net/200000428801/product/352_02d8bff4318f4ae98ade94646a6d9a82.png</t>
  </si>
  <si>
    <t>Q3027032374</t>
  </si>
  <si>
    <t>" Zilgo Durable Elastic Fabric Nam Hà (10H/ ngón nhỏ 1.9×7.2cm 102 miếng) "</t>
  </si>
  <si>
    <t>https://product.hstatic.net/200000428801/product/upload_bc458239c5364496b085c7abc5948073.jpg</t>
  </si>
  <si>
    <t>Q3027032373</t>
  </si>
  <si>
    <t>" Zilgo Durable Elastic Fabric Nam Hà (10H/ ngón to 3.8×7.2cm 30 miếng) "</t>
  </si>
  <si>
    <t>https://product.hstatic.net/200000428801/product/349_e87c09f4aeeb4ace928462b01dc8a661.png</t>
  </si>
  <si>
    <t>Q3027032371</t>
  </si>
  <si>
    <t>" Zinc Gluconate Nhất Nhất 7,5mg kẽm Nhất Nhất (Hộp 3 vỉ x 20 viên nén) "</t>
  </si>
  <si>
    <t>https://product.hstatic.net/200000428801/product/347_7f66d5547a0f467689b9f26525848cd5.png</t>
  </si>
  <si>
    <t>Q302853766</t>
  </si>
  <si>
    <t>" ZinC Kẽm Gluconat 70mg DHG (Hộp 10 vỉ x 10 viên nén bao phim) "</t>
  </si>
  <si>
    <t>https://cdn2-retail-images.kiotviet.vn/2025/11/04/giabaopharma/398e0de72ddc4e699c7c39a6581e80f1.jpg</t>
  </si>
  <si>
    <t>Q3027032370</t>
  </si>
  <si>
    <t>" Zinc Kid Inmed Nam Hà (Hộp 25 gói x 3g) "</t>
  </si>
  <si>
    <t>https://product.hstatic.net/200000428801/product/upload_51e316aef2b34a5a813b3325ce68687c.jpg</t>
  </si>
  <si>
    <t>Q3027032369</t>
  </si>
  <si>
    <t>" ZinC siro con gấu Đông Nam Á (Lọ 150ml) "</t>
  </si>
  <si>
    <t>https://product.hstatic.net/200000428801/product/upload_9d8acf25bda549b09169949c6800e321.jpg</t>
  </si>
  <si>
    <t>Q3027032368</t>
  </si>
  <si>
    <t>" Zinco siro Berko Thổ Nhĩ Kì (Lọ 100ml) "</t>
  </si>
  <si>
    <t>https://cdn2-retail-images.kiotviet.vn/2026/02/07/giabaopharma/fa5cfdfae41c4deca8981d2376029f7f.jpg</t>
  </si>
  <si>
    <t>Q3027032367</t>
  </si>
  <si>
    <t>" Zinetex Cetirizin 10mg USA NIC (Lọ 200 viên) "</t>
  </si>
  <si>
    <t>https://product.hstatic.net/200000428801/product/342_ca84074ee55748a3836f0014ea1ce9c3.png</t>
  </si>
  <si>
    <t>Q3027032366</t>
  </si>
  <si>
    <t>" Zinmax Cefuroxim 250mg Domesco (Hộp 2 vỉ x 5 viên nén) "</t>
  </si>
  <si>
    <t>https://product.hstatic.net/200000428801/product/upload_7fd175a932144449b1f17d9af090de04.jpg</t>
  </si>
  <si>
    <t>Q3027032365</t>
  </si>
  <si>
    <t>" Zinmax Cefuroxim 500mg Domesco (Hộp 2 vỉ x 5 viên nén bao phim) "</t>
  </si>
  <si>
    <t>https://product.hstatic.net/200000428801/product/upload_6a281a3e21eb482aa5d5c3e1c7c5fa70.jpg</t>
  </si>
  <si>
    <t>Q302456314</t>
  </si>
  <si>
    <t>" Zinnat Cefuroxime 250mg GSK (Hộp 1vỉ x 10 viên) "</t>
  </si>
  <si>
    <t>https://product.hstatic.net/200000428801/product/upload_7cd89dae148b490c868a05e4d2f566a2.jpg</t>
  </si>
  <si>
    <t>Q302242425</t>
  </si>
  <si>
    <t>" Zinnat Cefuroxime 500mg GSK (Hộp 1vỉ x 10 viên) "</t>
  </si>
  <si>
    <t>https://product.hstatic.net/200000428801/product/upload_50657799023b40e59a6c3afed64d006e.jpg</t>
  </si>
  <si>
    <t>Q203328843</t>
  </si>
  <si>
    <t>" Zinnat Suspension 125mg GSK ( Hộp 1 chai x Cốm Để Pha 50ml ) "</t>
  </si>
  <si>
    <t>https://product.hstatic.net/200000428801/product/upload_a06ba9ba79464cb4af6994bb0a13e597.jpg</t>
  </si>
  <si>
    <t>Q3027032364</t>
  </si>
  <si>
    <t>" ZiQ Coenzyme Q10 Australia (Hộp 1 vỉ x10 viên) "</t>
  </si>
  <si>
    <t>https://product.hstatic.net/200000428801/product/348_daf075c5a213447f9980a58a13ad8353.png</t>
  </si>
  <si>
    <t>Q3027032363</t>
  </si>
  <si>
    <t>" Zitromax Azithromycin 500mg Pfizer (Hộp 3 viên) "</t>
  </si>
  <si>
    <t>https://product.hstatic.net/200000428801/product/upload_269b80f997b943c693de911bbb48c7c1.jpg</t>
  </si>
  <si>
    <t>Q30200074</t>
  </si>
  <si>
    <t>" Zitromax Azithromycin Pfizer (H/1 lọ15ml) "</t>
  </si>
  <si>
    <t>https://product.hstatic.net/200000428801/product/upload_51f0f6efb8fc4ef8b73ce055323ff993.jpg</t>
  </si>
  <si>
    <t>Q3027032362</t>
  </si>
  <si>
    <t>" ZiUSA Azithromycin 200mg/5ml hỗn dịch Pharbaco TW1 (Lọ 15ml) "</t>
  </si>
  <si>
    <t>https://product.hstatic.net/200000428801/product/upload_cca50322057345118713e1dd8967814e.jpg</t>
  </si>
  <si>
    <t>Q3027032361</t>
  </si>
  <si>
    <t>" Zoamco Atorvastatin 10mg Pymepharco (Hộp 2 vỉ x 15 viên nén) "</t>
  </si>
  <si>
    <t>https://product.hstatic.net/200000428801/product/upload_b7f912440ee0480590d53f3075003013.jpg</t>
  </si>
  <si>
    <t>Q3027032360</t>
  </si>
  <si>
    <t>" Zoamco Atorvastatin 20mg Pymepharco (Hộp 2 vỉ x 15 viên nén) "</t>
  </si>
  <si>
    <t>https://product.hstatic.net/200000428801/product/upload_c27bf2fc54e44d4c8241cc9f5dadb512.jpg</t>
  </si>
  <si>
    <t>Q30222032350</t>
  </si>
  <si>
    <t>" Zolic body cleansing milk sữa tắm Turkey 150ml "</t>
  </si>
  <si>
    <t>https://product.hstatic.net/200000428801/product/upload_220bb76ff7a447b2acb47dd4b4e6e25d.jpg</t>
  </si>
  <si>
    <t>Q3027032359</t>
  </si>
  <si>
    <t>" Zoloman Sertraline 100mg OPV (Hộp 3 vỉ x 10 viên nén) "</t>
  </si>
  <si>
    <t>https://product.hstatic.net/200000428801/product/345_2c525cf97d56468f8abfd5708a221fee.png</t>
  </si>
  <si>
    <t>Q3027032358</t>
  </si>
  <si>
    <t>" Zonaarme Aciclovir Z120 (Lốc 10 Tube x 5g) "</t>
  </si>
  <si>
    <t>https://product.hstatic.net/200000428801/product/upload_fb21a9d21242404483abe5dd70925fbb.jpg</t>
  </si>
  <si>
    <t>Q3027032357</t>
  </si>
  <si>
    <t>" Zopistad 7.5mg Stella (Hộp 1 vỉ x 10 viên nén) "</t>
  </si>
  <si>
    <t>Q3027032355</t>
  </si>
  <si>
    <t>" Zuchi Family xịt giầy Hoa Linh (Lốc 10 lọ x 50ml) "</t>
  </si>
  <si>
    <t>Q3027032354</t>
  </si>
  <si>
    <t>" Zuchi xịt nách cọc Hoa Linh (Lốc 10 lọ x 20ml) "</t>
  </si>
  <si>
    <t>https://product.hstatic.net/200000428801/product/upload_7b6c19f1e1424061a5744aedeb2dd6dc.jpg</t>
  </si>
  <si>
    <t>Q3027032353</t>
  </si>
  <si>
    <t>" Zy-10 Forte Ubidecarenone Coenzym Q10 100mg Ấn Độ (Hộp 3 vỉ x 10 viên nang) "</t>
  </si>
  <si>
    <t>https://product.hstatic.net/200000428801/product/upload_8f0f9dcefd0a4121b3bbea0315f005f8.jpg</t>
  </si>
  <si>
    <t>Q3027032352</t>
  </si>
  <si>
    <t>" Zycozym ngậm ho cọc Vinpharma (Lốc 10 tuýp x 24 viên) "</t>
  </si>
  <si>
    <t>https://product.hstatic.net/200000428801/product/upload_85a1442d292844709ff4f90ab92d410a.jpg</t>
  </si>
  <si>
    <t>Q3027032350</t>
  </si>
  <si>
    <t>" Zyrtec Cetirizin dihydrochlorid 0.1% GSK (Lọ 60ml) "</t>
  </si>
  <si>
    <t>https://product.hstatic.net/200000428801/product/upload_b2ad6883ceac4a5e874a6a7923be2571.jpg</t>
  </si>
  <si>
    <t>Q3027032351</t>
  </si>
  <si>
    <t>" Zyrtec Cetirizin dihydrochloride 10mg GSK (Hộp 1 vỉ x 10 viên) "</t>
  </si>
  <si>
    <t>https://product.hstatic.net/200000428801/product/upload_38d52dee744e4ac68d936987a92a1c7f.jpg</t>
  </si>
  <si>
    <t>Q302636667</t>
  </si>
  <si>
    <t>" Zyzocete Cetirizine Dihydroclorid 10mg Thanh Hóa (Hộp 10 vỉ x 10 viên nén bao phim) "</t>
  </si>
  <si>
    <t>https://product.hstatic.net/200000428801/product/9b97b9f23fb445aea9af065e92fc2094_78a04e499e884ca9b86fcb42e8fd6826.png</t>
  </si>
  <si>
    <t>Q3021904014</t>
  </si>
  <si>
    <t>"( Date 8/27) Bixofen Fexofenadine 180mg BRV( hộp 5vỉ x 10 viên nén ) "</t>
  </si>
  <si>
    <t>https://product.hstatic.net/200000428801/product/351_8a4c39a8d9cc4a75a0e08034f9bd05bb.png</t>
  </si>
  <si>
    <t>Q30290323179</t>
  </si>
  <si>
    <t>"(09/2025) Vidaloxin Amoxicilin 500mg Vidipha (hộp 10 vỉ x 10 viên nang) "</t>
  </si>
  <si>
    <t>https://product.hstatic.net/200000428801/product/upload_273a9a8cf26a42bda2e68a1736157851.jpg</t>
  </si>
  <si>
    <t>Q3021352336</t>
  </si>
  <si>
    <t>"(date 11/2024) Myderison 50mg Hungary (hộp 2 vỉ x 15 viên nén) "</t>
  </si>
  <si>
    <t>https://product.hstatic.net/200000428801/product/upload_a6b0410681024f4abbdf9cc603b90fac.jpg</t>
  </si>
  <si>
    <t>Q3021352308</t>
  </si>
  <si>
    <t>"(date 11/2024) Neopeptin men tiêu hóa Raptakos Brett Ấn Độ (hộp 10 vỉ x 10 viên nang) "</t>
  </si>
  <si>
    <t>https://product.hstatic.net/200000428801/product/upload_6f783693b8b746929d6e27760731d275.jpg</t>
  </si>
  <si>
    <t>Q302290323150</t>
  </si>
  <si>
    <t>"(date 9/2024) Progynova Estradiol 2mg Bayer (hộp 1 vỉ x 28 viên nén) "</t>
  </si>
  <si>
    <t>https://product.hstatic.net/200000428801/product/46_33274fac21b948c4bfb1afcd25bb16f8.png</t>
  </si>
  <si>
    <t>Q30216032387</t>
  </si>
  <si>
    <t>"(date 9/25) Tiềm Long Bảo Long (hộp 10 gói x 4g hoàn cứng) "</t>
  </si>
  <si>
    <t>https://product.hstatic.net/200000428801/product/356_e34aab6cbb284fa4a2b0c49843d8ac96.png</t>
  </si>
  <si>
    <t>Q302130323165</t>
  </si>
  <si>
    <t>"(DATE T2/2024) Tribetason Hà Tây (Lốc 10 tuýp x 10g) "</t>
  </si>
  <si>
    <t>https://product.hstatic.net/200000428801/product/upload_d8ce8fa2c25c4f25a59b3a7f687704d9.jpg</t>
  </si>
  <si>
    <t>Q30220026</t>
  </si>
  <si>
    <t>"A.T Arginin 800mg An Thiên (H/ 30 ống x 10ml ) "</t>
  </si>
  <si>
    <t>https://product.hstatic.net/200000428801/product/upload_aec5c5f89cbc4141856d3ce460e84241.jpg</t>
  </si>
  <si>
    <t>Q302403111</t>
  </si>
  <si>
    <t>"Agicotrim F 800/160 Agimexpharmi (hộp 10 vỉ x 10 viên nén) "</t>
  </si>
  <si>
    <t>https://product.hstatic.net/200000428801/product/upload_cd62c7d2b2c345cdb9f0f1296306867f.jpg</t>
  </si>
  <si>
    <t>Q302403146</t>
  </si>
  <si>
    <t>"Alorax Loratadin 10mg Pymepharco( hộp 10 vỉ x 10 viên nén) "</t>
  </si>
  <si>
    <t>https://cdn2-retail-images.kiotviet.vn/2026/03/26/giabaopharma/d58ace080e7b45ffb41f85e76c0920db.jpg</t>
  </si>
  <si>
    <t>Q3022403128</t>
  </si>
  <si>
    <t>"An Dạ Kingphar ( hộp 1 lọ 40 viên nén) "</t>
  </si>
  <si>
    <t>https://product.hstatic.net/200000428801/product/upload_0b16b6d045724966aab4d432c2ba47b4.jpg</t>
  </si>
  <si>
    <t>Q3022403211</t>
  </si>
  <si>
    <t>"Arcoxia Etoricoxib 90mg MSD( hộp 3 vỉ x 10 viên nén ) "</t>
  </si>
  <si>
    <t>Q3020604110</t>
  </si>
  <si>
    <t>"Bao cao su Power men ( hộp 3S ) "</t>
  </si>
  <si>
    <t>Q3020604129</t>
  </si>
  <si>
    <t>"Bao cao su X Men bi ( hộp 1S ) "</t>
  </si>
  <si>
    <t>https://product.hstatic.net/200000428801/product/343_834b6077378d4d1ca9006d6280dd2069.png</t>
  </si>
  <si>
    <t>Q3020604140</t>
  </si>
  <si>
    <t>"Bảo thanh siro ho Hoa Linh(lọ 125ml ) "</t>
  </si>
  <si>
    <t>Q3020604202</t>
  </si>
  <si>
    <t>"Beatil 4mg/5mg Gedeon Balan( hộp 3 vỉ x 10 viên nén ) "</t>
  </si>
  <si>
    <t>https://product.hstatic.net/200000428801/product/341_da7e143ffc3745528bd7b499a5381cd5.png</t>
  </si>
  <si>
    <t>Q3020604233</t>
  </si>
  <si>
    <t>"Best GSV Beta 2.5mg Dexclorpheniramin 20mg Hà Tây ( lọ 50ml ) "</t>
  </si>
  <si>
    <t>https://product.hstatic.net/200000428801/product/upload_3b739f85cd5e4236b05f8c790676c6fa.jpg</t>
  </si>
  <si>
    <t>Q3021904010</t>
  </si>
  <si>
    <t>"Bivantox tab Acid alpha lipoic 200mg TW1 Pharbaco ( hộp 3 vỉ x 10 viên nén ) "</t>
  </si>
  <si>
    <t>https://product.hstatic.net/200000428801/product/upload_11a65155b9d744e99ea5a85bd1a85b05.jpg</t>
  </si>
  <si>
    <t>Q3021904015</t>
  </si>
  <si>
    <t>"Bloza Losartan 50mg Bluepharma ( hộp 6 vỉ x 10 viên nén ) "</t>
  </si>
  <si>
    <t>https://product.hstatic.net/200000428801/product/upload_ee517ddc2d0c4d699e821f109748eba9.jpg</t>
  </si>
  <si>
    <t>Q302260544</t>
  </si>
  <si>
    <t>"Cetirizin 10mg Stella (hộp 5 vỉ x 10 viên nén ) "</t>
  </si>
  <si>
    <t>https://product.hstatic.net/200000428801/product/upload_f56c6691e0c14c158d0f365dd4824e0c.jpg</t>
  </si>
  <si>
    <t>Q30213032394</t>
  </si>
  <si>
    <t>"COMBO 10 LỌ Vaselin Strawberry dâu Phương Liên (lọ 15g) "</t>
  </si>
  <si>
    <t>https://product.hstatic.net/200000428801/product/upload_78c944d9d87b477d95dc29ad11d6c7fa.jpg</t>
  </si>
  <si>
    <t>Q3022652366</t>
  </si>
  <si>
    <t>"COMBO 10 TUÝP Lifedovate Clobetasone 0.05% Hà Tĩnh (Tube 10g) "</t>
  </si>
  <si>
    <t>https://product.hstatic.net/200000428801/product/upload_ee012907bbe4429595c04d0368601fb6.jpg</t>
  </si>
  <si>
    <t>Q3021952330</t>
  </si>
  <si>
    <t>"COMBO 10 TUÝP Medskin Acyclovir 5% Hậu Giang ( Tube 5g) "</t>
  </si>
  <si>
    <t>https://product.hstatic.net/200000428801/product/upload_8332a25bdbac432382766f9382453aaa.jpg</t>
  </si>
  <si>
    <t>Q302220323198</t>
  </si>
  <si>
    <t>"COMBO CỌC 12 HỘP Sensa Cool thanh nhiệt Sari Enesis (hộp 6 gói x 7g bột sủi) "</t>
  </si>
  <si>
    <t>https://product.hstatic.net/200000428801/product/upload_dba3afc15aab43a18cfeca812257f653.jpg</t>
  </si>
  <si>
    <t>Q3029032373</t>
  </si>
  <si>
    <t>"Vinzix Furosemid 40mg Vĩnh Phúc (hộp 5 vỉ x 50 viên nén) "</t>
  </si>
  <si>
    <t>https://product.hstatic.net/200000428801/product/upload_5e7d678791de46f0b258353782f02d4e.jpg</t>
  </si>
  <si>
    <t>Q30200345</t>
  </si>
  <si>
    <t>"Vomina 50 Nghệ An dimenhydrinate 50mg (H/25 vỉ x 4 viên)"</t>
  </si>
  <si>
    <t>https://product.hstatic.net/200000428801/product/upload_adb2b41958ec44bda2ee312f816a8e36.jpg</t>
  </si>
  <si>
    <t>Q30200425</t>
  </si>
  <si>
    <t>( date 01/28) G-XTIL-500 Gracure Pharma cefuroxim 500mg (H/1 vỉ x 10 viên) ( CEFU 03 )</t>
  </si>
  <si>
    <t>https://product.hstatic.net/200000428801/product/upload_46ef95d4d7cb4067a6856c5d6991ffb0.jpg</t>
  </si>
  <si>
    <t>SP648474</t>
  </si>
  <si>
    <t>( Date 05/2027) Flamotax cefotaxime 1g ( Hộp 1 lọ + 1 ống nước pha tiêm) ( CEFO FLA )</t>
  </si>
  <si>
    <t>https://product.hstatic.net/200000428801/product/upload_9ea7a0d9b55c4545b53bfe5fdab200bf.jpg</t>
  </si>
  <si>
    <t>Q30200304</t>
  </si>
  <si>
    <t>( date 06/28) Cefurobiotic 500 Tenamyd cefuroxim 500mg (H/5 vỉ x 10 viên) ( CEFU 07 )</t>
  </si>
  <si>
    <t>https://product.hstatic.net/200000428801/product/upload_d9d731677de14eb9911022541be476fe.jpg</t>
  </si>
  <si>
    <t>Q30200344</t>
  </si>
  <si>
    <t>( Date 07/27) Sulpirde GMP-WHO Sulpiride 50mg (H/10 vỉ x 10 viên) ( Q30200344 )</t>
  </si>
  <si>
    <t>https://product.hstatic.net/200000428801/product/upload_7f0285235eb84a79a8a5cb98a3c85313.jpg</t>
  </si>
  <si>
    <t>Q30200107</t>
  </si>
  <si>
    <t>( Date 08/27) Meloxicam Brawn Lab 7,5mg (H/10 vỉ x 10 viên) ( CELE MIC )</t>
  </si>
  <si>
    <t>https://product.hstatic.net/200000428801/product/upload_85da8430da9c463681a6bc1ff4cbc19c.jpg</t>
  </si>
  <si>
    <t>TPCN</t>
  </si>
  <si>
    <t>Q30200349</t>
  </si>
  <si>
    <t>( date 1/24) Collagen Rox Coenzym Q10 Hải Dương (H/60 viên) (Hồng) ( Q30200349 )</t>
  </si>
  <si>
    <t>https://product.hstatic.net/200000428801/product/upload_c1dd6d1ffb6747d78264ff40ef790877.jpg</t>
  </si>
  <si>
    <t>Q30200242</t>
  </si>
  <si>
    <t>( date 1/27) Gentridecme Phil Inter Pharma (Cọc 10 tuýp x 10g) ( Q30200242 )</t>
  </si>
  <si>
    <t>https://product.hstatic.net/200000428801/product/upload_47fbe7de19a94329a4f8eb4e25c94741.jpg</t>
  </si>
  <si>
    <t>SP648520</t>
  </si>
  <si>
    <t>( date 12/2026) Colcigen colchicine 1mg Celogen ( Hộp 10 vỉ x 10 viên ) ( COL COLCH )</t>
  </si>
  <si>
    <t>https://product.hstatic.net/200000428801/product/upload_104cd8500fd24a8ca4ef287d434cfa39.jpg</t>
  </si>
  <si>
    <t>Q30200182</t>
  </si>
  <si>
    <t>( date 2/27) Atendex Bharat Parenterals Dung dịch tiêm, truyền Lincomycin (H/10 lọ x2ml) ( LINCO ATE )</t>
  </si>
  <si>
    <t>Q30200276</t>
  </si>
  <si>
    <t>( Date 2026) Xịt Răng Miệng Hami Care Bibita (H/ lọ 30ml) ( Q30200276 )</t>
  </si>
  <si>
    <t>https://product.hstatic.net/200000428801/product/upload_a8a0df4639e14115900d7367fc8ae254.jpg</t>
  </si>
  <si>
    <t>Q30200116</t>
  </si>
  <si>
    <t>( date 2027) Cefixim 100 USP (H/ 10 gói) ( CEFI 100 USP )</t>
  </si>
  <si>
    <t>https://product.hstatic.net/200000428801/product/upload_be7505fbec674f17b69996e5237e3711.jpg</t>
  </si>
  <si>
    <t>SP648518</t>
  </si>
  <si>
    <t>( Date 4/2027) Aciclovir Brawn 200mg(5 vỉ x 10 viên) ( ACI 200 ACY )</t>
  </si>
  <si>
    <t>https://product.hstatic.net/200000428801/product/upload_dbb33ff85b3f4fee90881b45102f05dc.jpg</t>
  </si>
  <si>
    <t>Q302000017</t>
  </si>
  <si>
    <t>( Date 5 /26) Zilertal Cetirizine 2HCL tablet 10mg (H/10vỉ x 10viên) ( CETI ZILE )</t>
  </si>
  <si>
    <t>https://product.hstatic.net/200000428801/product/upload_c0a40831c84d40d1aabb5d3e5b2e0602.jpg</t>
  </si>
  <si>
    <t>Q30200552</t>
  </si>
  <si>
    <t>( date 5/2025) Fimaconazole 150mg Brawn (H/10v) ( Q30200552 )</t>
  </si>
  <si>
    <t>https://product.hstatic.net/200000428801/product/upload_c54dbf75457442fa901d9437d7818a92.jpg</t>
  </si>
  <si>
    <t>Q30200272</t>
  </si>
  <si>
    <t>( Date T4/27) Vitamin C 500 Takarai (H/100 viên) ( Q30200272 )</t>
  </si>
  <si>
    <t>https://product.hstatic.net/200000428801/product/upload_45629078e2b7431c9cdc7df2727eb250.jpg</t>
  </si>
  <si>
    <t>Q3022000013</t>
  </si>
  <si>
    <t>( DateT4/2025) XLCEFUZ Cefpodoxime XL Laboratories 100mg (H/20 gói x 3g) ( CEFPO 011 )</t>
  </si>
  <si>
    <t>https://product.hstatic.net/200000428801/product/upload_74806f52f38b4abea6ab593e242f6c23.jpg</t>
  </si>
  <si>
    <t>Q30200206</t>
  </si>
  <si>
    <t>(03/27) G-Flo 200 Gracure Pharmaceuticals Ltd Ofloxacin tablets usp 200mg (H/10 vỉ x 10 viên) ( OFLO G )</t>
  </si>
  <si>
    <t>https://product.hstatic.net/200000428801/product/upload_711c2409c9e741bdabfe8a3b03808e1f.jpg</t>
  </si>
  <si>
    <t>Q30200084</t>
  </si>
  <si>
    <t>(03/27) Metasone Brawn Lab Betamethasone 0.5 mg (H/10 vỉ x 10 viên) ( BETA META )</t>
  </si>
  <si>
    <t>https://product.hstatic.net/200000428801/product/upload_30e2e0e6e3df4d9bbbcf4c4e43eb6a2f.jpg</t>
  </si>
  <si>
    <t>SP648499</t>
  </si>
  <si>
    <t>(1/26) Panecox-90 Etoricoxib Acme Formulation 90mg (H/ 3 vỉ x 10 viên) ( ETO 90 )</t>
  </si>
  <si>
    <t>https://product.hstatic.net/200000428801/product/upload_79553a9c58d840158441f169ada609cc.jpg</t>
  </si>
  <si>
    <t>SP648492</t>
  </si>
  <si>
    <t>(1/3/27) Calci Nano MK7 MAXX Vinaphar (H/ 30 viên) ( )</t>
  </si>
  <si>
    <t>https://product.hstatic.net/200000428801/product/upload_cc9adba328f3472bae947b2b81ecbb75.jpg</t>
  </si>
  <si>
    <t>SP648494</t>
  </si>
  <si>
    <t>(12/3/27) 20B LINHZHI GINSENG Vinaphar (H/ 100 viên) ( )</t>
  </si>
  <si>
    <t>https://product.hstatic.net/200000428801/product/upload_5688b52ae2654615ad0394e70059543d.jpg</t>
  </si>
  <si>
    <t>SP648501</t>
  </si>
  <si>
    <t>(17/1/27)Quirex Citicoline BCworld (H/ 10 ống x 2ml) ( CITI QUI )</t>
  </si>
  <si>
    <t>https://product.hstatic.net/200000428801/product/upload_ce5e3d2fe2e94a47adcfa9a4a68186d3.jpg</t>
  </si>
  <si>
    <t>Q30200512</t>
  </si>
  <si>
    <t>(19/12/2027) Ocid Omeprazole Cadila 20mg (H/100 viên) ( OME OCID )</t>
  </si>
  <si>
    <t>https://product.hstatic.net/200000428801/product/upload_2fd84f0f46064093a4031355c407010a.jpg</t>
  </si>
  <si>
    <t>SP648500</t>
  </si>
  <si>
    <t>(2/1/26) Effer - Paralmax 250 Boston sủi (H/ 5 vì x 4 viên) ( PARA 05 )</t>
  </si>
  <si>
    <t>https://product.hstatic.net/200000428801/product/upload_d513d2a9e9f94bfcb9026f0ed17d8631.jpg</t>
  </si>
  <si>
    <t>Q30200223</t>
  </si>
  <si>
    <t>(2028) Doxycycline Brawn Laboratories (H/10 vỉ x 10 viên) ( DOXY 02 )</t>
  </si>
  <si>
    <t>https://cdn-images.kiotviet.vn/2025/09/16/giabaopharma/c6d823162b1a4d1b8ae94fe16b445498.jpg</t>
  </si>
  <si>
    <t>SP648489</t>
  </si>
  <si>
    <t>(26/2/27) Thanh Nhiệt Mát Gan Vinaphar (H/ 4 vì x 5 ống) ( )</t>
  </si>
  <si>
    <t>https://product.hstatic.net/200000428801/product/upload_417af1f2bac04c52b3482534c2234d58.jpg</t>
  </si>
  <si>
    <t>Q30200356</t>
  </si>
  <si>
    <t>(5/27) Pharkavita Extra Vinaphar (H/ 60 viên) ( Q30200356 )</t>
  </si>
  <si>
    <t>https://product.hstatic.net/200000428801/product/upload_268a38675b9847818315d0f3ef51c181.jpg</t>
  </si>
  <si>
    <t>Q302994633</t>
  </si>
  <si>
    <t>(7/8/26) Thuốc Tiêm Bắp Sorocam Piroxicam 20mg Dapharco (Hộp 10 ống 1ml) ( PIRO SORO )</t>
  </si>
  <si>
    <t>https://product.hstatic.net/200000428801/product/upload_6852b4ead3354afda0f718c5a1eb7f27.jpg</t>
  </si>
  <si>
    <t>Q30200314</t>
  </si>
  <si>
    <t>(9/27) Ospexin cefalexin áo 500mg(vỉ /10v) ( CEFA OSPE )</t>
  </si>
  <si>
    <t>https://product.hstatic.net/200000428801/product/upload_183438b5e6d946ce93210cc4e3ff7fd2.jpg</t>
  </si>
  <si>
    <t>Q30200071</t>
  </si>
  <si>
    <t>(Date 01/2024) Foocgic Fluconazole Capsules Brawn (H/ 10 v) ( FLU FOO )</t>
  </si>
  <si>
    <t>https://product.hstatic.net/200000428801/product/upload_2417adf14d3e4f818006595e6dfd64f3.jpg</t>
  </si>
  <si>
    <t>Q30200118</t>
  </si>
  <si>
    <t>(date 01/2027) Calcergy Colchicin 1mg Windlas (H/100 viên) ( Q30200118 )</t>
  </si>
  <si>
    <t>https://product.hstatic.net/200000428801/product/upload_52808acf844e40d680878d68fe8a1ba4.jpg</t>
  </si>
  <si>
    <t>Q30200253</t>
  </si>
  <si>
    <t>(Date 01/25) Zin C- Vina Vinaphar(H/100 viên) ( Q30200253 )</t>
  </si>
  <si>
    <t>Q302743788</t>
  </si>
  <si>
    <t>(DATE 01/27) Dịch Truyền Ciprofloxacin Infusion Ciprofloxacin 200mg B.P 200mg/100ml Mediplantex (Hộp 1 chai/100ml) ( cipro 6 )</t>
  </si>
  <si>
    <t>https://product.hstatic.net/200000428801/product/upload_a85299f5b6574a58a04677dc4d83e5a3.jpg</t>
  </si>
  <si>
    <t>Q302987978</t>
  </si>
  <si>
    <t>(DATE 01/27) Thuốc Tiêm Truyền Metronidazol Intravenous Infusion B.P Amanta (Hộp 1lọ x 500mg/100ml) ( INTRA METRO )</t>
  </si>
  <si>
    <t>https://product.hstatic.net/200000428801/product/upload_c29620fdabfa44d7a2318f2ebecadfce.jpg</t>
  </si>
  <si>
    <t>Q30200109</t>
  </si>
  <si>
    <t>(Date 01/28) Walenafil 100 Aurochem Pharma Pvt., Ltd - Ấn Độ sildenafil 100mg (H/1 vỉ x 4 viên) ( SILDEN WALEN )</t>
  </si>
  <si>
    <t>https://product.hstatic.net/200000428801/product/upload_06b52c63105a436097655e325fca2e81.jpg</t>
  </si>
  <si>
    <t>Q302521745</t>
  </si>
  <si>
    <t>(Date 02/01/26) Quinotab-500 Levofloxacin Tablets 500mg (Hộp 1 vỉ x 10 viên nén bao phim) ( LEVO 013 )</t>
  </si>
  <si>
    <t>https://product.hstatic.net/200000428801/product/340_509c99da71cb4ed89e325cc339102434.png</t>
  </si>
  <si>
    <t>Q30200230</t>
  </si>
  <si>
    <t>(Date 02/01/27) Maxx Gold HD Pharma Glucosamine sulfate 750mg ( H/60 viên) ( Q30200230 )</t>
  </si>
  <si>
    <t>https://product.hstatic.net/200000428801/product/ae819bb408fdd5a38cec_03dad1d527d140a58b8e73f0b9334fb8.jpg</t>
  </si>
  <si>
    <t>Q30200496</t>
  </si>
  <si>
    <t>(Date 02/10/28) Nano Curcumin Gold Tex Tam Thất Xạ Đen HD (H/ 30 viên) ( Q30200496 )</t>
  </si>
  <si>
    <t>https://product.hstatic.net/200000428801/product/upload_6af17be380f0469bb7664d24c3f41fc5.jpg</t>
  </si>
  <si>
    <t>Q30200332</t>
  </si>
  <si>
    <t>(Date 02/11/27) Cefpowel 100 DT Cefpodoxim Akums ( H/ 10 viên) ngọt ( CEFPO 022 )</t>
  </si>
  <si>
    <t>https://product.hstatic.net/200000428801/product/upload_da3fa555a2d947c8b17d93883706f711.jpg</t>
  </si>
  <si>
    <t>Q30233</t>
  </si>
  <si>
    <t>(date 02/27) Locobile Celecoxib Capsule 200mg Windlas ( H/ 3 Vỉ 10 Viên) ( CELE LOCO )</t>
  </si>
  <si>
    <t>https://product.hstatic.net/200000428801/product/upload_eb0a9f18cd2244bca604250f6d4485ad.jpg</t>
  </si>
  <si>
    <t>Q30200115</t>
  </si>
  <si>
    <t>(Date 02/27) SP Ambroxo Daewoo 30mg (H/100 viên) ( Q30200115 )</t>
  </si>
  <si>
    <t>https://product.hstatic.net/200000428801/product/upload_8a375f8b3b6d4380a7cb7e62901569cb.jpg</t>
  </si>
  <si>
    <t>Q30200086</t>
  </si>
  <si>
    <t>(Date 02/27) Triamcinolone Brawn Lab 4mg (H/10 vỉ x 10 viên) ( TRIAM BRA )</t>
  </si>
  <si>
    <t>Q30200143</t>
  </si>
  <si>
    <t>(date 02/28) BenoBoston Dexclorpheniramin maleat (L/500v) ( BENO DEXC )</t>
  </si>
  <si>
    <t>Q3020000661</t>
  </si>
  <si>
    <t>(Date 02/28) Flamipio Loperamid Flamingo (H/10 vỉ x 10 viên) ( LOPE FLA )</t>
  </si>
  <si>
    <t>https://product.hstatic.net/200000428801/product/upload_d61d0c6588384e89afc684e07775bc81.jpg</t>
  </si>
  <si>
    <t>Q30200598</t>
  </si>
  <si>
    <t>(Date 02/28) Maxxglu Glucosamin HD (H/60 viên) mẫu tím ( Q30200598 )</t>
  </si>
  <si>
    <t>https://product.hstatic.net/200000428801/product/upload_c2a4291874d5401ca43e4351c8dd76ef.jpg</t>
  </si>
  <si>
    <t>Q30200368</t>
  </si>
  <si>
    <t>(date 03/24) Cốm Collagen Roxtech Diệp lục HD Pharma (H/30 GÓI) ( Q30200368 )</t>
  </si>
  <si>
    <t>https://product.hstatic.net/200000428801/product/upload_7efe9fd20c26458b834272fcfd3573bb.jpg</t>
  </si>
  <si>
    <t>Q30200288</t>
  </si>
  <si>
    <t>(Date 04/02/26) Walerotic Cefdinir Zim 300mg (H/ 10 viên) ( cefd wa )</t>
  </si>
  <si>
    <t>Q30200311</t>
  </si>
  <si>
    <t>(Date 04/2027) Xilavic 1000 Micro Labs amoxicillin 1000mg a (H/1 vỉ x 7 viên) ( AMOX XILA )</t>
  </si>
  <si>
    <t>https://product.hstatic.net/200000428801/product/upload_88d4482e08c54afebe5d99f80d130806.jpg</t>
  </si>
  <si>
    <t>Q30200098</t>
  </si>
  <si>
    <t>(Date 04/27) Metrogyl Denta Metronidazole Unique 10g (H/ 1 tuýp 10g) ( METRO DEN )</t>
  </si>
  <si>
    <t>https://product.hstatic.net/200000428801/product/upload_68af136662ab43289df3227313b7b7f9.jpg</t>
  </si>
  <si>
    <t>Q30200489</t>
  </si>
  <si>
    <t>(Date 04/27) Protomac - 40 Pantoprazol Windlas Biotech (H/ 30 viên) ( PANTO PRO )</t>
  </si>
  <si>
    <t>https://product.hstatic.net/200000428801/product/upload_4af03afefce6483399b4a6849a1cf58c.jpg</t>
  </si>
  <si>
    <t>Q302200010</t>
  </si>
  <si>
    <t>(Date 04/27) Thuốc tra mắt Eyedin Tobramycin Marcur (lốc 10 lọ /5ml) ( TOBRA EYE )</t>
  </si>
  <si>
    <t>https://product.hstatic.net/200000428801/product/upload_4debbf569d13468b9b863fb52ac6199d.jpg</t>
  </si>
  <si>
    <t>Q30200278</t>
  </si>
  <si>
    <t>(Date 04/28) Amoxicillin Capsules 500mg Vidipha (H/ 100 viên) ( AMOX DIVI )</t>
  </si>
  <si>
    <t>https://product.hstatic.net/200000428801/product/upload_f7ca2f303a834c1085ee60a8d0b98657.jpg</t>
  </si>
  <si>
    <t>Q30200183</t>
  </si>
  <si>
    <t>(date 04/28) Cefalexin 500mg Brawn (H/10 vỉ x 10 viên) ( CEFA BRAW 01 )</t>
  </si>
  <si>
    <t>https://product.hstatic.net/200000428801/product/upload_faf0259b003041d09066ad4005d4d2fe.jpg</t>
  </si>
  <si>
    <t>Q302987587</t>
  </si>
  <si>
    <t>(Date 05/05/26) Huyết Giác 200mg Hải Linh (Hộp 30 viên) ( Q302987587 )</t>
  </si>
  <si>
    <t>https://product.hstatic.net/200000428801/product/upload_5f51af662e1c43df8750bbc8c7416940.jpg</t>
  </si>
  <si>
    <t>Q30200140</t>
  </si>
  <si>
    <t>(date 05/2027) Locobile Celecoxib Capsule 100mg Windlas ( H/ 3 vỉ 10 viên) ( CELE W )</t>
  </si>
  <si>
    <t>https://product.hstatic.net/200000428801/product/upload_4cb647336e5a4919a214a41f86782f4a.jpg</t>
  </si>
  <si>
    <t>Q30200404</t>
  </si>
  <si>
    <t>(Date 05/2027) Sife 100 Hetero Labs Limited, - Ấn Độ slidenafil 100mg ( H/1 vỉ x 4 viên) ( Q30200404 )</t>
  </si>
  <si>
    <t>https://cdn-images.kiotviet.vn/giabaopharma/a19f72c2701e456ca3472eb9b59c3e0f.jpg</t>
  </si>
  <si>
    <t>Q30200324</t>
  </si>
  <si>
    <t>(Date 05/27) Itsup 100 Slidenafil Theon - ẤN ĐỘ 100mg ( H/1 vỉ x 4 viên) ( Q30200324 )</t>
  </si>
  <si>
    <t>https://product.hstatic.net/200000428801/product/upload_d82eb35b2aa84c6b8f438cbde76e3a96.jpg</t>
  </si>
  <si>
    <t>Q30200145</t>
  </si>
  <si>
    <t>(Date 05/27) Newtop 200 Cefixime 200mg Ấn Độ(H/1 vỉ x 10 viên) ( cefi 200 new )</t>
  </si>
  <si>
    <t>https://product.hstatic.net/200000428801/product/41215101ce4813164a59_eeebd92633f64ea69439dcf2b7d630d2.jpg</t>
  </si>
  <si>
    <t>Q3020000683</t>
  </si>
  <si>
    <t>(Date 05/27) Piroxicam 20Mg Brawn (H/ 100 viên) ( PIRO BRA )</t>
  </si>
  <si>
    <t>https://product.hstatic.net/200000428801/product/upload_6d4f5c21be99465e8ca0b19e97e4d767.jpg</t>
  </si>
  <si>
    <t>Q30200262</t>
  </si>
  <si>
    <t>(Date 05/28) Daehwa Acyclovir Cream 50mg (Tuýp 5g) ( ACY ACI DAE )</t>
  </si>
  <si>
    <t>https://product.hstatic.net/200000428801/product/upload_c56cde45097140e4910f6b48a6fb298d.jpg</t>
  </si>
  <si>
    <t>Q30200403</t>
  </si>
  <si>
    <t>(Date 05/28) Newlevo GMP Levonorgestrel 0,03mg (H/1 vỉ x 28 v) ( LEVO 019 )</t>
  </si>
  <si>
    <t>https://product.hstatic.net/200000428801/product/c9f5b9d73c9ee1c0b88f_b1eb7b72cb574ecfa094fe4251974e20.jpg</t>
  </si>
  <si>
    <t>Q30200209</t>
  </si>
  <si>
    <t>(Date 05/28) Roxithin Brawn Lab Roxithromycin 150mg (H/10 vỉ x 10 viên) ( ROXI BR )</t>
  </si>
  <si>
    <t>https://product.hstatic.net/200000428801/product/upload_75a6187c793a4c6ba986d22235f4a65d.jpg</t>
  </si>
  <si>
    <t>Q3020000999</t>
  </si>
  <si>
    <t>(Date 06/07/24) Dicfiazo Diclofenac Brawn (tuýp 30g) ( DICLO BR )</t>
  </si>
  <si>
    <t>https://product.hstatic.net/200000428801/product/upload_65fa994a08854b7590dc6bb60abb239c.jpg</t>
  </si>
  <si>
    <t>Q30200411</t>
  </si>
  <si>
    <t>(Date 06/2026) Loral Loratadine Plamingo ( H/100 viên) ( LORA AL )</t>
  </si>
  <si>
    <t>https://product.hstatic.net/200000428801/product/f50e4f40c80915574c18_00998a168df746bbb8c71565ecaa022d.jpg</t>
  </si>
  <si>
    <t>Q30200445</t>
  </si>
  <si>
    <t>(Date 06/2028) Novagra Slidenafil 100mg Micro Ấn Độ(H/1 vỉ x 4 viên) ( SIDEL NOVA )</t>
  </si>
  <si>
    <t>https://product.hstatic.net/200000428801/product/upload_ff70555037024890a5cf5674819d6051.jpg</t>
  </si>
  <si>
    <t>Q30200463</t>
  </si>
  <si>
    <t>(date 06/25) Phamagel plus HD Pharma ( H/30v) ( Q30200463 )</t>
  </si>
  <si>
    <t>https://product.hstatic.net/200000428801/product/upload_a1a1bba3d5af4175ab009be0a5b534c7.jpg</t>
  </si>
  <si>
    <t>Q30200371</t>
  </si>
  <si>
    <t>(Date 06/26) Hương Nắng Xuân Rostex Pharma USA (H/30V) ( Q30200371 )</t>
  </si>
  <si>
    <t>https://product.hstatic.net/200000428801/product/upload_141615f91ec448948926ededc79c0dd3.jpg</t>
  </si>
  <si>
    <t>Q30200159</t>
  </si>
  <si>
    <t>(date 06/27) Brucipro Tablets Ciprofloxacin USP Brawn 500mg ( H/ 10 vỉ x10 viên) ( cipro 11 )</t>
  </si>
  <si>
    <t>https://product.hstatic.net/200000428801/product/upload_9246e30067d84297989fa1962c4325c7.jpg</t>
  </si>
  <si>
    <t>Q30200498</t>
  </si>
  <si>
    <t>(Date 06/27) Fenana Ytalia Acid Folic Hải Linh (H/ 30 viên) ( Q30200498 )</t>
  </si>
  <si>
    <t>https://product.hstatic.net/200000428801/product/upload_09c2401858a2425fb10a447e985ba97b.jpg</t>
  </si>
  <si>
    <t>Q30200174</t>
  </si>
  <si>
    <t>(Date 06/27) Neurocetam 800mg Piracetam Micro(H/100 viên) ( PIRA NEU 800 )</t>
  </si>
  <si>
    <t>https://product.hstatic.net/200000428801/product/upload_1623d966ac1d4fa385131514491c3bf8.jpg</t>
  </si>
  <si>
    <t>Q30200566</t>
  </si>
  <si>
    <t>(date 07/24) Piranooflam 800 Citicoline Flamingo ( H/100 viên) vỉ bạc ( CITI FLA 800 )</t>
  </si>
  <si>
    <t>https://product.hstatic.net/200000428801/product/upload_863d034359b842bdbc448b95d02a70e1.jpg</t>
  </si>
  <si>
    <t>Q30200055</t>
  </si>
  <si>
    <t>(Date 07/27) Choncylox Levofloxacin Windlas (H/ 10 viên) ( LEVO 0124 )</t>
  </si>
  <si>
    <t>https://product.hstatic.net/200000428801/product/upload_3a90360556954113b6a389b15ef836b7.jpg</t>
  </si>
  <si>
    <t>Q302287236</t>
  </si>
  <si>
    <t>(Date 07/27) Ofialin Ofloxacin Tablets 200mg (Hộp 10 vỉ x 10 viên nén) ( OFLO OFI )</t>
  </si>
  <si>
    <t>https://product.hstatic.net/200000428801/product/upload_cfe9e1809f4440369b0d5ec61f2fed8d.jpg</t>
  </si>
  <si>
    <t>Q30200328</t>
  </si>
  <si>
    <t>(Date 07/27) Sife 50 Hetero Labs Limited, - Ân Độ slidenafil 50mg ( H/1 vỉ x 4 viên) ( Q30200328 )</t>
  </si>
  <si>
    <t>https://product.hstatic.net/200000428801/product/upload_9e22fe3a3a8a48c393ba27d9dcd96be0.jpg</t>
  </si>
  <si>
    <t>Q302222211</t>
  </si>
  <si>
    <t>(Date 07/27) Siro Chanh Đào Mật Ong (màu đỏ ) HD Pharma (H/100ml) ( Q302222211 )</t>
  </si>
  <si>
    <t>https://product.hstatic.net/200000428801/product/upload_a52055ea0a894ea7a44aba7ba2244f6c.jpg</t>
  </si>
  <si>
    <t>Q30234567</t>
  </si>
  <si>
    <t>(Date 07/27) Siro Chanh Đào Mật Ong (màu xanh ) HD Pharma (H/100ml) ( Q30234567 )</t>
  </si>
  <si>
    <t>https://product.hstatic.net/200000428801/product/upload_49cbd3608d7e4097b5846868cf38c50c.jpg</t>
  </si>
  <si>
    <t>Q3021167900</t>
  </si>
  <si>
    <t>(Date 08/02/26) Yest Max NÂU 3000mg Glucosamin Syntech HD (H/ 60 viên) đỏ ( Q3021167900 )</t>
  </si>
  <si>
    <t>https://product.hstatic.net/200000428801/product/upload_8df6b2126c1849848c839fefa228ea04.jpg</t>
  </si>
  <si>
    <t>Q30200201</t>
  </si>
  <si>
    <t>(Date 08/2026) Akudinir 300 Akums Drugs &amp; Pharma Cefdinir 300mg(H/10v) ( AKU CEF )</t>
  </si>
  <si>
    <t>https://product.hstatic.net/200000428801/product/upload_a947e9847f0747e88fed8f324102e020.jpg</t>
  </si>
  <si>
    <t>Q30200516</t>
  </si>
  <si>
    <t>(Date 08/2026) Vexpod 200 Cefpodoxim Akums Drugs (H/10 viên) ( CEFPO VEX )</t>
  </si>
  <si>
    <t>https://product.hstatic.net/200000428801/product/e7ecfda76beeb6b0efff_9513951a12b64c7f8636b8d4e4f041f4.jpg</t>
  </si>
  <si>
    <t>Q3020000718</t>
  </si>
  <si>
    <t>(date 08/24) Cốm vi sinh Bio Roxtech Ecemin HD Pharma (H/30 GÓI) ( Q3020000718 )</t>
  </si>
  <si>
    <t>https://product.hstatic.net/200000428801/product/upload_d0a18d18fa004ce6a27783cebd251c98.jpg</t>
  </si>
  <si>
    <t>Q3020000656</t>
  </si>
  <si>
    <t>(Date 08/27) Amoxicillin 500mg Brawn (H/10 vỉ x 10 viên) ( AMOX BRAW )</t>
  </si>
  <si>
    <t>https://product.hstatic.net/200000428801/product/b446aa5fe9114437b19cfb92cd22146e_5898fffb7da24dbfbbb2470d89218531.png</t>
  </si>
  <si>
    <t>Q30200061</t>
  </si>
  <si>
    <t>(Date 08/28) Amlodipin Amlodipine 5mg Vidipha (H/10 vỉ x 10 viên) ( AMLO 2 )</t>
  </si>
  <si>
    <t>https://product.hstatic.net/200000428801/product/9e83abdd715b497890bcc03988429d7c_9c78e2280a414974b1ee6044df388727.png</t>
  </si>
  <si>
    <t>Q3021352352</t>
  </si>
  <si>
    <t>(date 09/26) Nalidixic Acid 500mg Brawn Ấn Độ (hộp 10 vỉ x 10 viên) ( nali 500 )</t>
  </si>
  <si>
    <t>https://product.hstatic.net/200000428801/product/94a052393c1e4a12ac5d3732cb01613b_725392f2a0ac4f089a48015750709ff1.png</t>
  </si>
  <si>
    <t>Q30200104</t>
  </si>
  <si>
    <t>(Date 09/27) Ampicillin 500mg Brawn (H/10 vỉ x 10 viên) ( AMPI BRAW )</t>
  </si>
  <si>
    <t>https://product.hstatic.net/200000428801/product/1b1a2f76863d44fdab4a23e5b4ff3a77_eda25fc31d274f09904bd61abf9071f0.png</t>
  </si>
  <si>
    <t>Q302746337</t>
  </si>
  <si>
    <t>(DATE 09/27) Dexlacyl Betamethasone 0,5mg Khapharco (Hộp 2 vỉ x 15 viên nén) ( BETA DEX )</t>
  </si>
  <si>
    <t>https://product.hstatic.net/200000428801/product/03bd8e4306e047c3bca399a266634ca1_f3aee668b5904d328172056c03cfd156.png</t>
  </si>
  <si>
    <t>Q30204052350</t>
  </si>
  <si>
    <t>(DATE 09/27) Dung dịch nhỏ mắt Eyedin DX Tobramycin &amp; Dexamethasone Ấn Độ (Lốc 10 lọ x 5ml) ( TOBRA 5 )</t>
  </si>
  <si>
    <t>https://product.hstatic.net/200000428801/product/d81010613d304afe99c56abbc8ed8b2d_3c32a1b3d8c9479c94b36e159eb732d7.png</t>
  </si>
  <si>
    <t>Q302020201</t>
  </si>
  <si>
    <t>(DATE 1/07/2025) Dung dịch vệ sinh PH Pure Feminnine wash ( lọ 150ml) ( femi )</t>
  </si>
  <si>
    <t>https://product.hstatic.net/200000428801/product/e7a349dcbf5f47c7b72855dd5ccf82f7_5a56cc4bf23c48d6846edd107044ac86.png</t>
  </si>
  <si>
    <t>SP648505</t>
  </si>
  <si>
    <t>(DATE 1/1/27) Ampicillin 1gr Mỹ (10 lọ bột) ( AMPI MY )</t>
  </si>
  <si>
    <t>https://product.hstatic.net/200000428801/product/2bc5e5b9b36946d4b7e1b1cbd3d231a4_e7a8a66009294aecb831d125b98648d9.png</t>
  </si>
  <si>
    <t>Q30200479</t>
  </si>
  <si>
    <t>(date 1/24) IvyBoston (C/60ML) ( Q30200479 )</t>
  </si>
  <si>
    <t>https://product.hstatic.net/200000428801/product/f49fcb79c1fb44ed9182d660a514be32_c97300cdcd9b4271b292b8c642a469d8.png</t>
  </si>
  <si>
    <t>Q30200528</t>
  </si>
  <si>
    <t>(Date 1/26) Vitamin 9B Vinaphar (H/100V) ( Q30200528 )</t>
  </si>
  <si>
    <t>https://product.hstatic.net/200000428801/product/26c4831f52c04575b7e8dfd7c483e4a9_96d787f470e14ff9a23bb7ebcbb2e4d0.png</t>
  </si>
  <si>
    <t>Q3020000701</t>
  </si>
  <si>
    <t>(Date 1/27) Ăn ngủ ngon Rostex mẫu 3 HD Pharma (H/60V) ( Q3020000701 )</t>
  </si>
  <si>
    <t>https://product.hstatic.net/200000428801/product/c8c8f74e70ae478b90889c857946dd94_569bd4f890bd4f20a2d24716fe1eab84.png</t>
  </si>
  <si>
    <t>Q30200246</t>
  </si>
  <si>
    <t>(date 1/27) Biotin mẫu vỉ HD Pharma (H/20V) ( Q30200246 )</t>
  </si>
  <si>
    <t>https://product.hstatic.net/200000428801/product/f4f1d9d03587471e8ad1ee7a5b14b735_264ac0bb63ba495e979580d963bf54c4.png</t>
  </si>
  <si>
    <t>Q30200601</t>
  </si>
  <si>
    <t>(Date 1/28) Acigmentin 1000 Minh Hải (H/2 vỉx7 viên) ( ACI 1000 )</t>
  </si>
  <si>
    <t>https://product.hstatic.net/200000428801/product/769a4f688ad043ceb95644d5a745dfcd_3139c167c3ae4c4a86a7afa4338864db.png</t>
  </si>
  <si>
    <t>Q30200163</t>
  </si>
  <si>
    <t>(date 10/ 2027) Cimetidine 200mg Ấn (H/10 vỉ x 10 viên) ( CIME )</t>
  </si>
  <si>
    <t>https://cdn2-retail-images.kiotviet.vn/2025/10/30/giabaopharma/20493ed1b8e94b2c973729ce72d81e9a.png</t>
  </si>
  <si>
    <t>SP648484</t>
  </si>
  <si>
    <t>(DATE 10/2025) Retento piracetam XL 800mg (h 10 vỉ x 10 viên) ( PIRA RETEN )</t>
  </si>
  <si>
    <t>https://product.hstatic.net/200000428801/product/ca471b00f45443e4bd82901f8037f0d5_00fa21ef07214f98927562a76bb1668b.png</t>
  </si>
  <si>
    <t>SP648515</t>
  </si>
  <si>
    <t>(Date 10/2026) Boston Methylboston 4mg( Hộp 30 viên) ( METHY 4 )</t>
  </si>
  <si>
    <t>https://product.hstatic.net/200000428801/product/7fa516a808e64136b97c31dad57eac01_dd3317da2abc4c8bb2a4f8dceb2d92fe.jpg</t>
  </si>
  <si>
    <t>Q30200158</t>
  </si>
  <si>
    <t>(date 10/25) Fluconazole Kausikh 150mg ( 1 lốc/10 hộp/1 vỉ/1 viên) ( FLU KAU 2 )</t>
  </si>
  <si>
    <t>https://product.hstatic.net/200000428801/product/9e5059f4524c48ef906e5323830acd99_d8491953c753400f99a1c8860e6e2f9b.png</t>
  </si>
  <si>
    <t>Q30200017</t>
  </si>
  <si>
    <t>(Date 10/25) Viên uống Good hair Roxtech Biotin HD ( H/3 vỉ x 10 viên) ( Q30200017 )</t>
  </si>
  <si>
    <t>https://product.hstatic.net/200000428801/product/38f68c561a4b490d92297e1bfb607f91_5dac331abe6348699ff5a6b72e68b07c.png</t>
  </si>
  <si>
    <t>Q302245001</t>
  </si>
  <si>
    <t>(Date 10/27) Doxycycline BP 100mg Flamingo (Hộp 10 vỉ x 10 viên nang) ( DOXY 01 )</t>
  </si>
  <si>
    <t>https://product.hstatic.net/200000428801/product/911ac9a726f948769543ab1981cedf15_83ef393bee7d46d88e98c815047c1e55.png</t>
  </si>
  <si>
    <t>Q30200243</t>
  </si>
  <si>
    <t>(DATE 10/27) Gout Rox HD Pharma (C/50V) ( Q30200243 )</t>
  </si>
  <si>
    <t>SP648482</t>
  </si>
  <si>
    <t>(Date 11/2026) Cetirizin cetirizine Boston (H/ 10 vỉ x 10 viên) ( CETI BOS )</t>
  </si>
  <si>
    <t>https://product.hstatic.net/200000428801/product/70c97e3aacfb4817a3372a5d05f750a9_af6f7fd6b14f4353ae022febdafe78af.png</t>
  </si>
  <si>
    <t>Q30200398</t>
  </si>
  <si>
    <t>(Date 11/25) Mát gan Atiso Hải Linh (H/ 4 vỉ x 5 ống 10ml) ( Q30200398 )</t>
  </si>
  <si>
    <t>https://product.hstatic.net/200000428801/product/f205bc04821144bc921d5e0ffe432c50_3c2e7d41d77d4e878690e4150209ba9f.png</t>
  </si>
  <si>
    <t>Q302998756</t>
  </si>
  <si>
    <t>(Date 11/25) Rovajec Ceftriaxon Phil Inter 1g (Hộp 10lọ) ( CEFTRI ROVA )</t>
  </si>
  <si>
    <t>https://product.hstatic.net/200000428801/product/78d39a20b2c942039ae0ec4a976fa900_367519f92cc8440993ff2b2a10822022.png</t>
  </si>
  <si>
    <t>Q30200203</t>
  </si>
  <si>
    <t>(date 11/26) Clestragat S.R.S tobramycin&amp; dexamethasone ( Lốc / 10 Lọ /5ml) ( TOBRA CLES )</t>
  </si>
  <si>
    <t>https://product.hstatic.net/200000428801/product/8f5caff138cc4e67b91ff107c52f9eb3_792bc2d793d0476d8116fe988da6ade8.png</t>
  </si>
  <si>
    <t>Q3020000649</t>
  </si>
  <si>
    <t>(Date 11/26) Omeptul Omeprazole Gracure (H/ 100 viên) ( OME OMEP )</t>
  </si>
  <si>
    <t>https://product.hstatic.net/200000428801/product/318_21edcf0a9a794302830a0c3fd00043b3.png</t>
  </si>
  <si>
    <t>Q30200616</t>
  </si>
  <si>
    <t>(Date 11/27) Acigmentin 625 Minh Hải (H/14 viên) ( ACI 625 )</t>
  </si>
  <si>
    <t>https://product.hstatic.net/200000428801/product/b20c370a841440149bd7c9232cb31776_5056f6b6414446e682803398f8319e47.png</t>
  </si>
  <si>
    <t>OME 01</t>
  </si>
  <si>
    <t>(Date 11/27) Omeprazole Brawn Lab omeprazol (H/10 vỉ x 10 viên) ( OME 01 )</t>
  </si>
  <si>
    <t>https://product.hstatic.net/200000428801/product/f99878d4a59b4f098c9d922fc6d269a6_42bf4af0949c4952bd9bf1b09bd219be.png</t>
  </si>
  <si>
    <t>Q3020000647</t>
  </si>
  <si>
    <t>(Date 11/27) Rabewell 20 Rabeprazole Madras ( H/3 vỉ x10 viên) ( RABE 09 )</t>
  </si>
  <si>
    <t>https://product.hstatic.net/200000428801/product/e622a385c7d34b9c82ed370db3e737e3_3c18a01516aa4e9b9e7ef8518e979968.png</t>
  </si>
  <si>
    <t>Q30200180</t>
  </si>
  <si>
    <t>(Date 11/5/24) Yesom 40 Esomeprazole Magnesium Hetero (H/ 3 vỉ x 10 viên) ( ESOME YESOM )</t>
  </si>
  <si>
    <t>https://cdn2-retail-images.kiotviet.vn/2025/11/17/giabaopharma/f65d80d60e9d48b68344c25b5701fd77.jpg</t>
  </si>
  <si>
    <t>Q30200488</t>
  </si>
  <si>
    <t>(Date 11/7/25) Comozol Cream Ketoconazole Dae Hwa (H/1 tuýp 10g) ( KETO COMO )</t>
  </si>
  <si>
    <t>https://product.hstatic.net/200000428801/product/3e73bf9756ed40b3bd2cfd1ada6b4af9_c8d45383c2c44e5499d65caa94d4516d.png</t>
  </si>
  <si>
    <t>Q3020262303</t>
  </si>
  <si>
    <t>(Date 12/05/26) Dung Dịch Tiêm Supvizyn New Vitamin B Complex HDPharma (Hộp 12 ống x 2 ml) ( Q3020262303 )</t>
  </si>
  <si>
    <t>https://cdn2-retail-images.kiotviet.vn/2024/12/27/giabaopharma/fddb7760f223465a942b7666a91bb254.jpg</t>
  </si>
  <si>
    <t>Q30200046</t>
  </si>
  <si>
    <t>(date 12/2026)Zexif 200 Cefpodoxime Maxim ( H/1 vỉ x 10 viên) ( CEFPO ZE )</t>
  </si>
  <si>
    <t>https://product.hstatic.net/200000428801/product/00a9a18f8dfc4797800cf38d12b4488e_5bba47e7f46641548f88605baf9bc301.png</t>
  </si>
  <si>
    <t>Q30200476</t>
  </si>
  <si>
    <t>(Date 12/24) Cốm ăn ngon Bio Gold Hải Dương màu vàng( H/20gói) ( Q30200476 )</t>
  </si>
  <si>
    <t>https://product.hstatic.net/200000428801/product/ccb5154158694d56bf9f9a7bdaca2a98_fdf924b2c3af4365afcf42ee5a456119.png</t>
  </si>
  <si>
    <t>Q3020000692</t>
  </si>
  <si>
    <t>(Date 12/24) Fevitt Nano Hải Dương (H/30 viên) Chữ ĐỎ ( Q3020000692 )</t>
  </si>
  <si>
    <t>https://product.hstatic.net/200000428801/product/6d547f95350b45379ec932322250b981_a84aa496c8d24c2a8dd406fba08c2489.jpg</t>
  </si>
  <si>
    <t>Q30222202020</t>
  </si>
  <si>
    <t>(date 12/24) IvyBoston (C/100ML) ( IVY )</t>
  </si>
  <si>
    <t>https://product.hstatic.net/200000428801/product/55a390b092d845a6a321172bf1ed87ee_336ab85eccca418c812106c652a600b5.png</t>
  </si>
  <si>
    <t>Q30200503</t>
  </si>
  <si>
    <t>(Date 12/24) Macoxy 200 Micro Labs cefpodoxime 200mg (H/1 vỉ x 10 viên) ( CEFPO MACO )</t>
  </si>
  <si>
    <t>https://product.hstatic.net/200000428801/product/f91df340429d42c5817be5ba9fed2dec_fce7d588b96e4f218b7532a1983976dc.png</t>
  </si>
  <si>
    <t>Q3020000666</t>
  </si>
  <si>
    <t>(date 12/25) Clorpheniramin Maleat 4mg (H/1000 viên dài ) ( CLOR )</t>
  </si>
  <si>
    <t>https://product.hstatic.net/200000428801/product/5633c5678e7742a593d3c2f18aa2a21c_2c310f203f124fc1b8c7c9f96d9c7ba3.png</t>
  </si>
  <si>
    <t>Q3020000655</t>
  </si>
  <si>
    <t>(Date 12/26) Amlo Card 5 Amlodipine Flamigo (H/ 10 vỉ x 10 viên) ( AMLO 5 )</t>
  </si>
  <si>
    <t>https://product.hstatic.net/200000428801/product/467a189089314152ae10fe6315d08eb9_dfc22270d91641a487fa7d34cf0dd2fe.png</t>
  </si>
  <si>
    <t>Q30200197</t>
  </si>
  <si>
    <t>(DATE 12/26) Ích Mẫu Vương Hương Phụ Hải Linh (H/30 viên) ( Q30200197 )</t>
  </si>
  <si>
    <t>Q30200599</t>
  </si>
  <si>
    <t>(Date 12/26) Pharmagel Fort Robinson (H/100 viên) ( Q30200599 )</t>
  </si>
  <si>
    <t>https://product.hstatic.net/200000428801/product/d55a246ce0b24af0ad37dc5fa1f9208f_b2db4bb9c4604f56b9c78d3f63a79c71.png</t>
  </si>
  <si>
    <t>Q3020000687</t>
  </si>
  <si>
    <t>(DATE 12/27) Ginkgo 360 With Coenzyme Q10 Vinaphar (H/100V) ( GINK 360 )</t>
  </si>
  <si>
    <t>https://product.hstatic.net/200000428801/product/d12e4cb10a524e4cb7b4a9e5dfef05e5_a025607006544b4b890d6a16d725a5e9.png</t>
  </si>
  <si>
    <t>Q30200544</t>
  </si>
  <si>
    <t>(Date 12/27) Kid Bipharton trắng ( H/10 vỉ x 10 viên) ( Q30200544 )</t>
  </si>
  <si>
    <t>https://product.hstatic.net/200000428801/product/46d9d9117b77451797e163c0dc5ead9f_3213d87421b240eab08d716cd53ab422.png</t>
  </si>
  <si>
    <t>Q302984485</t>
  </si>
  <si>
    <t>(Date 12/27) WELGRA-100 Sildenafil Citrate Tablets (Hộp 1 vỉ x 4 viên) ( SILDEN WEL100 )</t>
  </si>
  <si>
    <t>https://product.hstatic.net/200000428801/product/4ee5184ae4f1403891c5a3fbce94db39_fed21ac46669432fb80d3bc79bfc25fe.png</t>
  </si>
  <si>
    <t>Q3020262304</t>
  </si>
  <si>
    <t>(DATE 14/03/25) Viên Uống Đạm Contamint with Aloe Vera ẤN Độ (Hộp 30 viên nang) ( conta )</t>
  </si>
  <si>
    <t>https://product.hstatic.net/200000428801/product/b10c0100a85a490db42a5f066b88c231_6a7b164e91f441a9870fec81417bc6a9.png</t>
  </si>
  <si>
    <t>Q30200576</t>
  </si>
  <si>
    <t>(Date 14/04/24 ) Nano Curcumin Mật Ong HD (H/15 gói x 10ml) ( Q30200576 )</t>
  </si>
  <si>
    <t>https://product.hstatic.net/200000428801/product/f60b80a1969a460099376fd1914fee85_8ba25b6fda09441bbd59b7d5f00bb8bf.png</t>
  </si>
  <si>
    <t>Q30200461</t>
  </si>
  <si>
    <t>(date 14/10/25) Cinavitt Forte USA pharma Ginkgo biloba ( H/ 30v) ( GINK CINA 02 )</t>
  </si>
  <si>
    <t>https://product.hstatic.net/200000428801/product/469cf32a1fd94b2b85ae8ed9671e3cb2_fa227b3111d048be87e98d9629548421.png</t>
  </si>
  <si>
    <t>SP648509</t>
  </si>
  <si>
    <t>(DATE 16/04/25) CEFPOGOOD - Cefpodoxime Dispersible 100mg ( CEFPO 04 )</t>
  </si>
  <si>
    <t>https://product.hstatic.net/200000428801/product/5873222ed3f94639a1e9ae10b078a52a_c796e1335e9c4acbb97615f83378bd80.png</t>
  </si>
  <si>
    <t>Q302000016</t>
  </si>
  <si>
    <t>(Date 17/06/25) Pharmavitton Plus (Lọ 30 viên) ( Q302000016 )</t>
  </si>
  <si>
    <t>https://product.hstatic.net/200000428801/product/7fe13ffc2c8a47f5a576ec0287f58656_dc36f865029c4ded8b441da04961e6a0.png</t>
  </si>
  <si>
    <t>Q302400654</t>
  </si>
  <si>
    <t>(Date 17/07/25) Ficyc Aciclovir Tablet BP 400mg (Hộp 10 vỉ x 10 viên) ( Q302400654 )</t>
  </si>
  <si>
    <t>https://product.hstatic.net/200000428801/product/7cd662dcd1e744e8961f3f47d0cbb497_9376ccda0af347aba6d102f967856028.png</t>
  </si>
  <si>
    <t>Q30200440</t>
  </si>
  <si>
    <t>(Date 19/10/24) Xlcefuz-200 Cefpodoxime XL Laboratories (H/ 1 vỉ 10 viên) ( CEFPO 012 )</t>
  </si>
  <si>
    <t>https://product.hstatic.net/200000428801/product/a2b6175a4f414917b941e676d4d37cc3_33cd63992bb844ebb95fd1d191343e89.png</t>
  </si>
  <si>
    <t>SP648512</t>
  </si>
  <si>
    <t>(Date 2.2026) Maxxsat 50 sildenafil fourrts (1 vỉ 4 viên) ( SILDEN MAX )</t>
  </si>
  <si>
    <t>https://product.hstatic.net/200000428801/product/a7abed418ab64dd59c7900c084e169be_1e72eda8531e47f7a2534449e570fc36.png</t>
  </si>
  <si>
    <t>Q30200523</t>
  </si>
  <si>
    <t>(date 2/2027) Bretam Korea United Piracetam 400mg (H/10 vỉ x 10 viên) ( PIRA BRE )</t>
  </si>
  <si>
    <t>https://product.hstatic.net/200000428801/product/19e66537d2044538a22cca861f73d4ed_eef3f6ce6ad8467d9816aaeb79c21a51.png</t>
  </si>
  <si>
    <t>Q30200351</t>
  </si>
  <si>
    <t>(Date 2/24) E Tex 400 HD(H/30 viên) ( Q30200351 )</t>
  </si>
  <si>
    <t>https://product.hstatic.net/200000428801/product/4391f7f6417243a6b1260b928c237d4c_fea1f05a00944a268701f40141889164.png</t>
  </si>
  <si>
    <t>Q30200259</t>
  </si>
  <si>
    <t>(Date 2/25) Endix-G Cream 20g Econazol Nitrat Phil Inter (H/1 tuýp 20g) ( Q30200259 )</t>
  </si>
  <si>
    <t>https://cdn2-retail-images.kiotviet.vn/2024/08/29/giabaopharma/fecd8021535749b7afe1e73ebf4a2fb1.jpg</t>
  </si>
  <si>
    <t>Q30200539</t>
  </si>
  <si>
    <t>(Date 2/25) Proratanl dầu cá HD màu hồng (C/30 viên) ( Q30200539 )</t>
  </si>
  <si>
    <t>https://product.hstatic.net/200000428801/product/9db91bb667634adfa47892a98d34a7b6_b999852333094f70be85bb4e29be5e6f.png</t>
  </si>
  <si>
    <t>Q30200346</t>
  </si>
  <si>
    <t>(date 2/25) Unicet Cetirizin Bal Ấn Độ (H/10 vỉ x 10 viên) ( CETI UNI )</t>
  </si>
  <si>
    <t>https://product.hstatic.net/200000428801/product/42cd65587c1447e788c491fc0c818807_18ce129ab65941df9d39854d0bc648d6.png</t>
  </si>
  <si>
    <t>Q30200589</t>
  </si>
  <si>
    <t>(date 2/26) Bổ Thận Nam HD Pharma (H/30V) ( Q30200589 )</t>
  </si>
  <si>
    <t>https://product.hstatic.net/200000428801/product/c48d914b9de540fe996255ceddcf2eae_9b0b7e385ce14bea8dd50bb25fa15a15.png</t>
  </si>
  <si>
    <t>Q30200386</t>
  </si>
  <si>
    <t>(Date 2/26) Nacova Micro Labs amoxicillin 625mg and potassium clavulanate ( H/1 vỉ x 10 viên) ( AMOX NACO )</t>
  </si>
  <si>
    <t>https://product.hstatic.net/200000428801/product/9d56b7b004224f9da34da44f778d4271_316ea3c317fa416aa5f66137c90202d6.png</t>
  </si>
  <si>
    <t>Q30200114</t>
  </si>
  <si>
    <t>(Date 2/27) Candid-v6 Clotrimazole Usp 100mg Glenmark (H/6 viên) ( CLO CAN )</t>
  </si>
  <si>
    <t>https://product.hstatic.net/200000428801/product/b93b807e67164e2baf81d71115724c3d_bfae9aadf7ca4ed984dd5e3bbdbcc6e8.jpg</t>
  </si>
  <si>
    <t>Q3020000660</t>
  </si>
  <si>
    <t>(date 2/28) Brown Brurk Cefalexin 500mg Vidipha (H/10 vỉ x 10 viên) ( CEFA BRU )</t>
  </si>
  <si>
    <t>https://product.hstatic.net/200000428801/product/35a1d38549b24d85923168d75a0ea948_63fcb31c172f43758555fbb8ccfd90b3.jpg</t>
  </si>
  <si>
    <t>Q3020000654</t>
  </si>
  <si>
    <t>(date 2/28) Cefpodoxim 100mg HV USA con gấu (H/ 10 gói 3g) ( CEFPO 026 )</t>
  </si>
  <si>
    <t>https://product.hstatic.net/200000428801/product/0d391e66da6243f090b144039658657b_06d0a2698e3f43a9b0f15bd75266959c.jpg</t>
  </si>
  <si>
    <t>Q30200188</t>
  </si>
  <si>
    <t>(Date 2/28) Notenxic Triamcinolon USP (H/10 vỉ x 10 viên) ( TRIAM NOTEN )</t>
  </si>
  <si>
    <t>https://product.hstatic.net/200000428801/product/1e33958adf49494e8c642c0bf8df3f02_77873325467d469bb2d818f793960d72.jpg</t>
  </si>
  <si>
    <t>Q30200105</t>
  </si>
  <si>
    <t>(Date 2025 ) Azithromycin 250 Armephaco (1 vỉ x 6 viên) ( AZI 250 )</t>
  </si>
  <si>
    <t>https://product.hstatic.net/200000428801/product/b0913c9daf37463cac06ee918c8ff753_01efb700b70f4def8ced85934f7bef13.jpg</t>
  </si>
  <si>
    <t>Q30200222</t>
  </si>
  <si>
    <t>(Date 2027) Cefixim 100mg HV USP (H/ 3 vỉ x 10 viên) ( CEFI 100HV )</t>
  </si>
  <si>
    <t>https://product.hstatic.net/200000428801/product/753ee97cb2c145deaf857339fec38ad9_fa6814d9844344deb0bf80d64c7eb7e2.jpg</t>
  </si>
  <si>
    <t>Q30200241</t>
  </si>
  <si>
    <t>(Date 2028) Dexamethasone INJ Nutri USA Photphate 5mg (H/50 ống x 1ml) ( Q30200241 )</t>
  </si>
  <si>
    <t>https://product.hstatic.net/200000428801/product/7381fe2c2fb94b669ed897e9eab9a6c5_566509d7c5824b3eb82bebb47ae38e4e.jpg</t>
  </si>
  <si>
    <t>Q30200382</t>
  </si>
  <si>
    <t>(Date 2028) Itsup 50 Theon Pharmaceuticals Limited - Ấn Độ Slidenafil Citrate Tablets 50mg ( H/1 vỉ x 4 viên) ( Q30200382 )</t>
  </si>
  <si>
    <t>https://product.hstatic.net/200000428801/product/16e6f7a76fc04ff19355c74e30638063_3406d19782a9425e979f905c452f0cc4.png</t>
  </si>
  <si>
    <t>Q30200208</t>
  </si>
  <si>
    <t>(DATE 21/03/27) Neutrivit 5000 Bình Định Vitamin B1, B6, B12 25mg ( H/4 lọ bột đông khô+ 4 ống dung môi 5ml) ( NEUTRI )</t>
  </si>
  <si>
    <t>https://product.hstatic.net/200000428801/product/8c7e982b54274bde84552f2dadd13a03_ad77531385984806b0f39a9870d3da27.png</t>
  </si>
  <si>
    <t>Q302297231</t>
  </si>
  <si>
    <t>(Date 22/02/27) Sekaxi 100 DT Cefpodoxime Proxetil Tablets 100mg Ấn Độ (Hộp 1 vỉ x 10 viên nén) ( CEFPO SEKA )</t>
  </si>
  <si>
    <t>https://product.hstatic.net/200000428801/product/6e73caea5bf044eab2f7288bef9ed61c_ac20b56bcf0b4cf58833cf2841b21527.jpg</t>
  </si>
  <si>
    <t>Q30200612</t>
  </si>
  <si>
    <t>(Date 22/12/25) ZinBaby HD Pharma ( H/25 goi x 3g) ( Q30200612 )</t>
  </si>
  <si>
    <t>https://product.hstatic.net/200000428801/product/8a99a940a1de4dd589e67026b331caca_d979dd96a475415e9e2ec24c4e34192c.jpg</t>
  </si>
  <si>
    <t>Q30200268</t>
  </si>
  <si>
    <t>(Date 24/01/25) Meritaxi Cefotaxime Merind (H/ 1 lọ) ( CEFO MERI )</t>
  </si>
  <si>
    <t>https://product.hstatic.net/200000428801/product/c976f9034088419db7c5051cb61435dd_82a7e1b40fa94c5a9ca55ee4528f75ee.jpg</t>
  </si>
  <si>
    <t>Q30290323178</t>
  </si>
  <si>
    <t>(Date 25/12/25) Victoria Levonorgestrel 1.5mg tránh thai xanh Ba Đình (Lốc 10 hộp x 1 vỉ x 1 viên) ( LEVO 012 )</t>
  </si>
  <si>
    <t>https://product.hstatic.net/200000428801/product/2f33f6918b684f6baf376dd098fe3916_c7633a2cb00d43e7a14fc64c26d11754.jpg</t>
  </si>
  <si>
    <t>Q3020000711</t>
  </si>
  <si>
    <t>(Date 3/25) Dung dịch khử khuẩn tay SDS Hand Rub (C/500ml) ( Q3020000711 )</t>
  </si>
  <si>
    <t>https://product.hstatic.net/200000428801/product/4ffcae4b39a54e83b8bc614beb302e9d_db5ffb73bbd14dd99f471406aace9529.jpg</t>
  </si>
  <si>
    <t>Q30200381</t>
  </si>
  <si>
    <t>(Date 3/25) Hidem Đà Nẵng (H/ tuýp 15g) ( Q30200381 )</t>
  </si>
  <si>
    <t>Q30200586</t>
  </si>
  <si>
    <t>(Date 3/25) Nefian Brawn Lab Lansoprazole Lansoprazole 30mg (H/3 vỉ x 10 viên) ( LANSO NEFI )</t>
  </si>
  <si>
    <t>https://product.hstatic.net/200000428801/product/cfddaefd1a0a40aeafed5a68b21fa805_c899e92a09f74799b270a0802b4bc55f.jpg</t>
  </si>
  <si>
    <t>Q30200397</t>
  </si>
  <si>
    <t>(Date 3/25) Tỏi Đen Roxtech Hải Dương( H/30 viên) ( Q30200397 )</t>
  </si>
  <si>
    <t>https://product.hstatic.net/200000428801/product/b1f8ef48cb3f495d8b575a6281db0bf6_4ebbd774eb5c475a975a19457531af00.jpg</t>
  </si>
  <si>
    <t>Q30200275</t>
  </si>
  <si>
    <t>(Date 3/26) COMBO 10 HỘP ProAvalo Levonorgestrel Ba Đình xanh dương (hộp x 28 viên) ( LEVO 017 )</t>
  </si>
  <si>
    <t>https://product.hstatic.net/200000428801/product/6c9812ce5c6c4d43a4548bf98b963358_09db7434aa6b41dda6ddf89a7557823e.jpg</t>
  </si>
  <si>
    <t>Q30200200</t>
  </si>
  <si>
    <t>(Date 3/26) Triamcinolone Flamingo 4mg (H/ 10 vỉ x10 viên) ( TRIAM FLA )</t>
  </si>
  <si>
    <t>https://product.hstatic.net/200000428801/product/6af85b2e866648de8527facb5d7a4425_fddfb26694964abab2c42537a2178970.jpg</t>
  </si>
  <si>
    <t>Q30200286</t>
  </si>
  <si>
    <t>(date 3/27) Ginkgo Natto Plus Vinaphar (H/100V) ( GINK 05 )</t>
  </si>
  <si>
    <t>https://product.hstatic.net/200000428801/product/35676e9003584205ab7872f34db18918_a61df50c1aee4eb9960437a088161f3b.jpg</t>
  </si>
  <si>
    <t>Q30200073</t>
  </si>
  <si>
    <t>(Date 3/28) New Choice Levonorgestrel Nam Hà (H/28 viên) ( LEVO 020 )</t>
  </si>
  <si>
    <t>https://product.hstatic.net/200000428801/product/a88ddcd5d49f45a599a07243e04341af_e43be6e1144c4ab6898a0d80442a3e2d.jpg</t>
  </si>
  <si>
    <t>Q30200012</t>
  </si>
  <si>
    <t>(Date 30/06/25) Siro Giấp cá Roxtech Hải Dương (H/20 ống 10ml) ( Q30200012 )</t>
  </si>
  <si>
    <t>https://product.hstatic.net/200000428801/product/bbec1f3a292b410b868192e8e02b60fd_540b96aba51a465ab13c8c5fb66be85d.jpg</t>
  </si>
  <si>
    <t>Q30200470</t>
  </si>
  <si>
    <t>(date 4/ 2026 )Boston C 1000 Vitamin C (H/10 viên) ( Q30200470 )</t>
  </si>
  <si>
    <t>https://product.hstatic.net/200000428801/product/758598304ea94e34a6fc8cbbe03b28db_122b72e38e9b42568a6046d9b39be04b.jpg</t>
  </si>
  <si>
    <t>SP648513</t>
  </si>
  <si>
    <t>(Date 4/2025) Thymo-Green Hà Tây (H 2 vỉ x 10 viên) ( THYMO HT )</t>
  </si>
  <si>
    <t>https://product.hstatic.net/200000428801/product/6cfa4845015b43f098e6a088d9e6a1b0_031c0eb01b4843318a4d0e6e22b76566.jpg</t>
  </si>
  <si>
    <t>Q30200125</t>
  </si>
  <si>
    <t>(date 4/2028) Clarithromycin 250mg Brawn(H/10 viên) ( CLARI BR )</t>
  </si>
  <si>
    <t>https://product.hstatic.net/200000428801/product/eb6d5046344c412aa9ca09b7ba0b9b38_3a62c43a1c7547998a44cda5540e79b9.jpg</t>
  </si>
  <si>
    <t>SP000004</t>
  </si>
  <si>
    <t>(Date 4/24) Nano Curcumin Mật Ong HD (H/15 gói x 10ml) ( )</t>
  </si>
  <si>
    <t>https://product.hstatic.net/200000428801/product/3e4a7d0307e4468d82b3e4c37c9ebef9_720943e2383b4394b4054cf03f549c54.jpg</t>
  </si>
  <si>
    <t>Q30200418</t>
  </si>
  <si>
    <t>(date 5/25) Collagen Glutathion Roxtech BMP (H/30 viên) ( Q30200418 )</t>
  </si>
  <si>
    <t>https://product.hstatic.net/200000428801/product/2941885dd6174b1e99240694e2694c6b_d3a2ee0f01ee4df5b274dcbd783fe48d.jpg</t>
  </si>
  <si>
    <t>SP648508</t>
  </si>
  <si>
    <t>(DATE 5/25) LORATADINE ATADYN Tablets USP 10mg (Hộp 10x10 Tablets) ( LORA 1 )</t>
  </si>
  <si>
    <t>https://product.hstatic.net/200000428801/product/09cc13628048455c8322daebb4534e0d_474e1da2dcd64de38201bfb06a5dd219.jpg</t>
  </si>
  <si>
    <t>Q30200429</t>
  </si>
  <si>
    <t>(Date 5/25) Olavex 10 Akums Drugs &amp; Pharmaceuticals Ltd., Ấn Độ olanzapine 10mg (H/3 vỉ x 10 viên) ( OLAN OLA 10 )</t>
  </si>
  <si>
    <t>https://product.hstatic.net/200000428801/product/35bbed48581942ee97998163d6cf3b00_a80a44bb7e51410db2bf11a759389777.jpg</t>
  </si>
  <si>
    <t>Q30200608</t>
  </si>
  <si>
    <t>(Date 5/26) Sildenafil Roster Pharma USA 50mg ( H/1 vỉ x 4 viên) ( SILDEN SILO 502 )</t>
  </si>
  <si>
    <t>https://product.hstatic.net/200000428801/product/752fc18177674f1d94bd1823b0410a09_25dab5a0b5c34d38bff0e3b3a01f6565.jpg</t>
  </si>
  <si>
    <t>Q30200095</t>
  </si>
  <si>
    <t>(date 5/27) Cefadroxil Capsules 500mg Vidipha ( H/ 100 viên) ( CEFA VIDI 01 )</t>
  </si>
  <si>
    <t>https://product.hstatic.net/200000428801/product/8f57aded52b2469798ea9b60d56f23fc_4bf2b95adb2e460f8a8ce299260bad56.jpg</t>
  </si>
  <si>
    <t>Q30200341</t>
  </si>
  <si>
    <t>(date 5/27) Cheklip 20 Zim Laboratories Atorvastatin 20mg (H/3 vỉ x10 viên) ( ATO CHEK )</t>
  </si>
  <si>
    <t>https://product.hstatic.net/200000428801/product/18bd68ebd4a04f1d83f547f74fdc802c_a7e412cc713046e98dfffbeb9d561214.jpg</t>
  </si>
  <si>
    <t>Q30200410</t>
  </si>
  <si>
    <t>(Date 5/27) Lorucet - 10 Loratadine Micro (H/100 viên) ( LORA LORU )</t>
  </si>
  <si>
    <t>https://product.hstatic.net/200000428801/product/12b799936798412a80ac88cf8ffe7b08_dcc5cc51ce064eeba28bfd2e0f22db84.jpg</t>
  </si>
  <si>
    <t>Q30200427</t>
  </si>
  <si>
    <t>(Date 5/27) Medlicet Medley Pharma., Ltd - Ấn Độ cetirizine (H/10 vỉ x 10 viên) ( CETI MED )</t>
  </si>
  <si>
    <t>https://product.hstatic.net/200000428801/product/55706f0f168d4e7dbd6616c4b2c68d51_0e4c0fdb8c904148a545254bcc3e34ca.jpg</t>
  </si>
  <si>
    <t>Q30200380</t>
  </si>
  <si>
    <t>(Date 6/25) Etoricoxib Tablets Torixib Sava Heathcare 60mg (H/ 3 vỉ x 10 viên) ( ETO 60MG )</t>
  </si>
  <si>
    <t>https://cdn2-retail-images.kiotviet.vn/2025/03/14/giabaopharma/b37dc3054b444026906e004f82984541.jpg</t>
  </si>
  <si>
    <t>Q30202223</t>
  </si>
  <si>
    <t>(date 6/25) Men Biotex Plus Rostex (H/100V) ( Q30202223 )</t>
  </si>
  <si>
    <t>https://product.hstatic.net/200000428801/product/e317d8ed93c549ecb888852d676f6bc0_e9dd80a80c0c48c4830118cc397c6aa2.jpg</t>
  </si>
  <si>
    <t>Q30200510</t>
  </si>
  <si>
    <t>(Date 6/25) Phamagel Plus Calci Hydrophosphat HD (H/100viên) ( Q30200510 )</t>
  </si>
  <si>
    <t>https://product.hstatic.net/200000428801/product/9094a073d2aa48ea89f1805d921f3b8c_5de0314c16dc4b048236c9d9335cb047.jpg</t>
  </si>
  <si>
    <t>Q30200615</t>
  </si>
  <si>
    <t>(Date 6/26) Kẹo Sữa Ong Chúa Hình Thú (1 bịch/ 20 con) ( Q30200615 )</t>
  </si>
  <si>
    <t>https://product.hstatic.net/200000428801/product/8f8e4524f70047959719918d2930f4ce_c4f2c42fda654f47b5f27731b743eff3.jpg</t>
  </si>
  <si>
    <t>Q30200325</t>
  </si>
  <si>
    <t>(date 6/27)Koact 1000 Aurobindo co-amoxiclav 125mg (H/3 vỉ x 5 viên) ( AMOX KOACT 1 )</t>
  </si>
  <si>
    <t>https://product.hstatic.net/200000428801/product/8f13c43fa36848d7a4b6c5a7b5e3b096_d5f431cc85114ce19d159f5a8d27fceb.jpg</t>
  </si>
  <si>
    <t>Q30200267</t>
  </si>
  <si>
    <t>(Date 7/2027) Tempeure 100 Gracure Pharma Slidenafil Citrate 100mg (H/1 vỉ x 4 viên) ( Q30200267 )</t>
  </si>
  <si>
    <t>https://product.hstatic.net/200000428801/product/b945fe665886498487d8bc61504bc106_140d4689ebeb4d459fc9638ffd9c6c67.jpg</t>
  </si>
  <si>
    <t>Q3020000658</t>
  </si>
  <si>
    <t>(Date 7/2028) Gracox Celecoxib Capsules 200mg (H/30) ( CELE GRA )</t>
  </si>
  <si>
    <t>https://product.hstatic.net/200000428801/product/4bcb6dcb6c4b42208efc00a4f60729a9_c3fab4535a0a4b98a4bfdcf84251f252.jpg</t>
  </si>
  <si>
    <t>Q30200484</t>
  </si>
  <si>
    <t>(Date 7/25) Hàu Biển ROX (màu nâu bạc) HD Pharma (H/30V) ( Q30200484 )</t>
  </si>
  <si>
    <t>https://product.hstatic.net/200000428801/product/8610730533f345c3871c70cc3db89770_011b03b9ba1841a199fd70e989120b6b.jpg</t>
  </si>
  <si>
    <t>SP648514</t>
  </si>
  <si>
    <t>(DATE 7/25) Ibuprofen 400 Umedica ( hộp 10 vỉ x 10 viên) ( IBU UME )</t>
  </si>
  <si>
    <t>https://product.hstatic.net/200000428801/product/07647a58666f44779ea1514ce98a8a4e_0b4b871f35fc44cbbcb4b6fb1ae957e6.jpg</t>
  </si>
  <si>
    <t>Q30200597</t>
  </si>
  <si>
    <t>(Date 7/25) Maxxglu Glucosamin HD (H/60 viên) mẫu nâu ( Q30200597 )</t>
  </si>
  <si>
    <t>https://product.hstatic.net/200000428801/product/f87b91838a0f443ca0b6a0dee204e4b8_454070bbc8044464927ad3edee095077.jpg</t>
  </si>
  <si>
    <t>Q30200260</t>
  </si>
  <si>
    <t>(DATE 7/26) Betamethasone Flamigo 0,5mg (H/10 vỉ x10 viên) ( BETA )</t>
  </si>
  <si>
    <t>https://product.hstatic.net/200000428801/product/6b0c0897f2c147119e00ac3193a06771_6b71ad38e8ec43e09243032ff7b9581b.jpg</t>
  </si>
  <si>
    <t>Q30200307</t>
  </si>
  <si>
    <t>(Date 7/26) Ginex Ginseng(H/60 viên) ( Q30200307 )</t>
  </si>
  <si>
    <t>https://product.hstatic.net/200000428801/product/f428d3ea52fb4a31b51ccb214debf377_fb8dbcfcdada4feea05d7fb6690c31f0.jpg</t>
  </si>
  <si>
    <t>Q30200430</t>
  </si>
  <si>
    <t>(Date 7/27) Philpresil Aju Citicoline 500mg ( H/10 ống x 2ml) ( CITI PHIL )</t>
  </si>
  <si>
    <t>https://product.hstatic.net/200000428801/product/b16f8dd78c6b42c3ac45ff51559887bc_7946eedaf32a4980ae91a0f00418ad3e.jpg</t>
  </si>
  <si>
    <t>Q30200435</t>
  </si>
  <si>
    <t>(date 7/28) Fortec L-ornithine L-aspastate Korea (H/50 viên) ( Q30200435 )</t>
  </si>
  <si>
    <t>https://product.hstatic.net/200000428801/product/fd8ee04f0f084601a161234d92bf02a8_ec1a6200a6e14efc8eb6a5dab63d6941.jpg</t>
  </si>
  <si>
    <t>Q30200093</t>
  </si>
  <si>
    <t>(Date 7/28) Neurocetam 400 Piracetam Micro Lab (H/100 viên) ( PIRA NEU 400 )</t>
  </si>
  <si>
    <t>https://product.hstatic.net/200000428801/product/1bbc2d9d124242e9b292bf5c63ff25f7_6717cbd9657f45e2a95d679517340ea4.jpg</t>
  </si>
  <si>
    <t>Q30200062</t>
  </si>
  <si>
    <t>(Date 8/24) Herperax Micro labs Aciclovir 200mg (H/3 vỉ x10 viên) ( Q30200062 )</t>
  </si>
  <si>
    <t>https://product.hstatic.net/200000428801/product/d7a3f32bae114f808e063f7085012de0_a80f522c7a1947af9473d66b18abed73.jpg</t>
  </si>
  <si>
    <t>Q30200626</t>
  </si>
  <si>
    <t>(Date 8/27) Edsave 20 Tadalafil Tablets 20mg Y-Med (Hộp 1 vỉ x 4 viên nén bao phim) ( TADA ED )</t>
  </si>
  <si>
    <t>https://product.hstatic.net/200000428801/product/00f138bf4a5c4a4b930321e957d713ff_74006fddcc124727929adc597990e174.png</t>
  </si>
  <si>
    <t>Q30200080</t>
  </si>
  <si>
    <t>(Date 8/27) Phils-lin L Cystine (H/ 12 vỉ x 5 viên ) ( Q30200080 )</t>
  </si>
  <si>
    <t>https://product.hstatic.net/200000428801/product/3ac74f3ba43c4e3286cd60c311e97201_5dbfb3e821fe4e69b81a17c7eecaa8eb.png</t>
  </si>
  <si>
    <t>Q30200171</t>
  </si>
  <si>
    <t>(Date 9/ 2026 ) Siloflam 50 Sildenafil Citrate Flamigo ( H/4 viên) ( SILDEN SILO 50 )</t>
  </si>
  <si>
    <t>https://product.hstatic.net/200000428801/product/4df481d6c12740e5be75c376407a1c8b_776655b9d8294fcf99473a6901c0173a.jpg</t>
  </si>
  <si>
    <t>Q30200121</t>
  </si>
  <si>
    <t>(date 9/2028) Alzental Shinpong Albendazole 400mg (H/1 vỉ x1 viên) ( ALZEN 1 )</t>
  </si>
  <si>
    <t>https://product.hstatic.net/200000428801/product/d14d545934384838af308b41ca620e70_94960da7408143398bb8cf40ffb6f2fb.png</t>
  </si>
  <si>
    <t>Q30200047</t>
  </si>
  <si>
    <t>(date 9/24) Collagen Diệp lục (viên nhộng lọ) HD Pharma (H/60V) ( Q30200047 )</t>
  </si>
  <si>
    <t>https://product.hstatic.net/200000428801/product/2c7c1a7b8bc2476c8fe381d9d793ad39_8d47fbb79a244a61a1df9097fe40e08c.png</t>
  </si>
  <si>
    <t>Q30200583</t>
  </si>
  <si>
    <t>(Date 9/26) Hirmen (H/18 vỉ x 5 viên) ( Q30200583 )</t>
  </si>
  <si>
    <t>https://product.hstatic.net/200000428801/product/62b7aced78f94b889cb0eb61c9282819_2fe3ce4806324ce9b0d447dc43f86095.png</t>
  </si>
  <si>
    <t>Q30200210</t>
  </si>
  <si>
    <t>(Date t02/28) Torfin 100 Bal Pharma Ltd slidenafil 100mg ( H/1 vỉ x 4 viên) ( SILDE TOR 100 )</t>
  </si>
  <si>
    <t>https://product.hstatic.net/200000428801/product/7f62fa8d9a4448bfb9be5a942fe8a284_d85da2e47cab4b2c937f211a19096513.png</t>
  </si>
  <si>
    <t>Q30200231</t>
  </si>
  <si>
    <t>(Date T06/2027) Sifilden Baroque Pharmaceuticals Pvt. Ltd - Ân Độ slidenafil 100mg ( H/1 vỉ x 4 viên) ( Q30200231 )</t>
  </si>
  <si>
    <t>https://product.hstatic.net/200000428801/product/5b1e62e4c4754457aa9a5fcd532e2ae5_5db48fe1a90147dfaf1091cb85fb46b0.png</t>
  </si>
  <si>
    <t>Q30200258</t>
  </si>
  <si>
    <t>(date t08/26) Cefpodoxim Proxetil Dispersible Tablets Macleods 100mg (H/ 1 vỉ x 10 viên) ngọt ( CEFPO 025 )</t>
  </si>
  <si>
    <t>https://product.hstatic.net/200000428801/product/1a3d619493d34a5ba9b2097370ffcc2e_02e2a0e24adb426e894d0e7895b83ed3.png</t>
  </si>
  <si>
    <t>Q302150340</t>
  </si>
  <si>
    <t>(Date T1/24) Etotab 90 Etoricoxib 90mg Micro Ấn Độ (Hộp 10 vỉ x 10 viên nén) ( ETO TAB 2 )</t>
  </si>
  <si>
    <t>https://product.hstatic.net/200000428801/product/335fe01a14814316a48bcd2849c40edc_0a35c5664b6b4692829aaa1b14fd789e.png</t>
  </si>
  <si>
    <t>Q30222032342</t>
  </si>
  <si>
    <t>(Date T1/24) Ibulife 400 Ibuprofen Film Coated Tablet 400mg Lifepharma (Hộp 2 vỉ x 12 viên) ( IBU LIFE )</t>
  </si>
  <si>
    <t>https://product.hstatic.net/200000428801/product/14760dc5e8c84ba48e150e0e406f8eff_b87dd26aa78244679dd30705dc9ab0fc.png</t>
  </si>
  <si>
    <t>Q30200133</t>
  </si>
  <si>
    <t>(Date T1/24) Vitamin C 500mg Mediplantex (H/100v) ( Q30200133 )</t>
  </si>
  <si>
    <t>Q3022503300</t>
  </si>
  <si>
    <t>(Date T1/25) Adenafil - 100 Sildenafil Citrate Tablets 100mg Ấn Độ (Hộp 1 vỉ x 4 viên nén) ( SILDEN ADEN )</t>
  </si>
  <si>
    <t>Q3027042350</t>
  </si>
  <si>
    <t>(Date T1/25) Prukinez - 20 Esomeprazole Magnesium 20mg Ấn Độ (Hộp 3 vỉ x 10 viên nang) ( ESOME PRUK 20 )</t>
  </si>
  <si>
    <t>https://product.hstatic.net/200000428801/product/b264e15e5eda4c19afe039110f1794e5_9778e183c5344d8eb4e9899f3e33ac9f.png</t>
  </si>
  <si>
    <t>Q30200340</t>
  </si>
  <si>
    <t>(Date T10/2027) Microstat Tinidazole Genova (H/ 1 vỉ x 7 viên) ( TINI MICRO )</t>
  </si>
  <si>
    <t>https://product.hstatic.net/200000428801/product/7ca8d581f8374748b0fc8e95a81fe93f_514bee3375474a1692ade179525a1933.png</t>
  </si>
  <si>
    <t>Q30200439</t>
  </si>
  <si>
    <t>(Date t10/26) Sketixe Desloratadine Micro 5mg (H/60 viên) ( DESLORA 3 )</t>
  </si>
  <si>
    <t>https://product.hstatic.net/200000428801/product/f9dce6329d0842548ae2998df9d3e340_ef08a483a3dc431fa6d4447a13e4c481.png</t>
  </si>
  <si>
    <t>Q30200582</t>
  </si>
  <si>
    <t>(Date T12/2023) Cốt Vương HD ( H/30v) ( Q30200582 )</t>
  </si>
  <si>
    <t>https://product.hstatic.net/200000428801/product/9797d2794bde42debc6312209b21acbe_be34a297b191442b8b2dcea5dbe79e49.png</t>
  </si>
  <si>
    <t>Q3020000681</t>
  </si>
  <si>
    <t>(date t12/2026) Neo Gynotab Y-MED Metronidazole (H/1 vỉ x 10 viên) ( METRO GYN )</t>
  </si>
  <si>
    <t>https://product.hstatic.net/200000428801/product/3e2f03e64e144289bf59ba9c8783d21a_82ce491bc5564ecfb04c6740d669c6d9.png</t>
  </si>
  <si>
    <t>Q30240323200</t>
  </si>
  <si>
    <t>(Date T12/2026) PDSOLONE 40mg Methylprednisolone 40 Ấn Độ (Hộp 1 lọ) ( METHY PD )</t>
  </si>
  <si>
    <t>https://product.hstatic.net/200000428801/product/d6cba725093b4a5ca2ba5665896b6622_004ede519eb243759de87e4d13ebb69b.png</t>
  </si>
  <si>
    <t>Q30200224</t>
  </si>
  <si>
    <t>(Date T12/25) Esomeprazole Mega Megapharco Esomeprazole 40mg (H/3 vỉ x10 viên) ( ESOME MEGA )</t>
  </si>
  <si>
    <t>https://product.hstatic.net/200000428801/product/bb9458a85bc047229fa4b994dafd3f3a_e8b0d81a1672491598abeec65089e897.png</t>
  </si>
  <si>
    <t>Q3027042352</t>
  </si>
  <si>
    <t>(Date T12/26) Ziptum Cefdinir USP 300mg Ấn Độ (Hộp 10 gói bột pha hỗn dịch uống) ( cefd zip )</t>
  </si>
  <si>
    <t>https://product.hstatic.net/200000428801/product/a081e872419d47c5af8c131756661323_addd2027885e4e8781078e62a8f9e9f0.png</t>
  </si>
  <si>
    <t>Q30200433</t>
  </si>
  <si>
    <t>(date t2/2028) Omicet Cetirizine Micro(H/100 viên) ( CETI OMI )</t>
  </si>
  <si>
    <t>https://product.hstatic.net/200000428801/product/ce6334a41e79470ba266de7501a56d77_1d62b035bc274e009009d612bd8a0ba9.png</t>
  </si>
  <si>
    <t>Q30200176</t>
  </si>
  <si>
    <t>(Date t3/2025) Tobramycin Ophthalmic Solution USP (Cọc 10 lọ x 5ml) ( TOBRA OP )</t>
  </si>
  <si>
    <t>https://product.hstatic.net/200000428801/product/e92cc17e07d44888ad4cee2bdf928d13_1fd24b61628f440089d365d0bc8b3559.png</t>
  </si>
  <si>
    <t>Q302400546</t>
  </si>
  <si>
    <t>(Date T3/24) Farbenal Albendazole 400mg Tab (Hộp 1 vỉ x 2 viên) ( Q302400546 )</t>
  </si>
  <si>
    <t>https://product.hstatic.net/200000428801/product/0e7900ac28c046f0b5b418c54449f1eb_621eeced6250412e98dba2a1a67d7311.png</t>
  </si>
  <si>
    <t>Q302111875</t>
  </si>
  <si>
    <t>(Date T3/24) V-PROX 200 Cefpodoxime Proxetil Tablets USP 200mg viên nhộng (H/1 vỉ x 10 viên) ( CEFPO 09 )</t>
  </si>
  <si>
    <t>https://product.hstatic.net/200000428801/product/8676dc93719a4bd0a0378b188d632486_8339e6aa6c714767b0074b111026c44f.png</t>
  </si>
  <si>
    <t>Q30200487</t>
  </si>
  <si>
    <t>(Date t3/26) 3B Hà tây (H/10 vỉ x 10 viên) ( Q30200487 )</t>
  </si>
  <si>
    <t>https://product.hstatic.net/200000428801/product/aea5e011c74e4eb1b79d01e27128a8db_841b41aa01eb42ca93b0a14978368179.png</t>
  </si>
  <si>
    <t>Q3027042351</t>
  </si>
  <si>
    <t>(Date T3/26) Prukinez - 40 Esomeprazole Magnesium 40mg Ấn Độ (Hộp 3 vỉ x 10 viên nang) ( ESOME PRUK 40 )</t>
  </si>
  <si>
    <t>https://product.hstatic.net/200000428801/product/805527a03a8041a18d1daf5e5ae2a4c9_c71a11ade1594d8ea46bdd9a630155e2.png</t>
  </si>
  <si>
    <t>Q30200301</t>
  </si>
  <si>
    <t>(date T4/2024) Avir Aciclovir 200mg Brawn (H/5 vỉ x 10 viên) ( ACI ACY )</t>
  </si>
  <si>
    <t>https://product.hstatic.net/200000428801/product/f791b9fa81d749f795c090c42dcc49c6_0a7f95c4d7d649a3adb7bddfdb11f487.png</t>
  </si>
  <si>
    <t>Q30200040</t>
  </si>
  <si>
    <t>(Date T4/27) SIFAGEN Gentamicin 80mg (H/ 10 ống x2ml) ( GENTA SIFA )</t>
  </si>
  <si>
    <t>Q3020000674</t>
  </si>
  <si>
    <t>(Date t4/27) Tiêm Bắp Biocam Inj Piroxicam Pharmaunity Hàn Quốc (H/ 10 ống 1ml) ( PIRO BIO )</t>
  </si>
  <si>
    <t>https://product.hstatic.net/200000428801/product/e93a2afa7c164180bbd17a0f665692f1_00ff977dc3b543dd81ee3d3b2311ef7a.png</t>
  </si>
  <si>
    <t>Q30200376</t>
  </si>
  <si>
    <t>(date t5/24 ) Hương Nắng Xuân Rostex Pharma USA (H/30V) màu xanh ( Q30200376 )</t>
  </si>
  <si>
    <t>https://product.hstatic.net/200000428801/product/c25fb6c997f949d791dedd563560d624_f0af429dc3b84c6c969285e3a13c6b06.png</t>
  </si>
  <si>
    <t>Q302240323101</t>
  </si>
  <si>
    <t>(Date T5/27) Cifataze DT-100 Cefixime Dispersible 100mg Ấn Độ ngọt (Hộp 1 vỉ x 10 viên nén) ( CEFI CIFA 100 )</t>
  </si>
  <si>
    <t>https://product.hstatic.net/200000428801/product/70ef57da2a99451dbfd0e7e719b9f572_bbca3e67a355405db532d248e12d95a3.png</t>
  </si>
  <si>
    <t>SP648510</t>
  </si>
  <si>
    <t>(Date t6/2026) Ciprofloxacin 500mg Macleods (H/ 10 vỉ x 10 viên) ( cipro 3 )</t>
  </si>
  <si>
    <t>https://product.hstatic.net/200000428801/product/8103d196f84f4131b4416ab252b5bfa6_3ef1a525eb1b4079bf91fe8e95307ea2.png</t>
  </si>
  <si>
    <t>Q302240323100</t>
  </si>
  <si>
    <t>(Date T6/2027) Cifataze DT-200 Cefixime Dispersible 200mg Ấn Độ (Hộp 1 vỉ x 10 viên nén) ( CEFI CIFA 101 )</t>
  </si>
  <si>
    <t>https://product.hstatic.net/200000428801/product/bf5f485fb42c4b91a1ec554092959e2b_6dc7d5d1da05483d80b20ac793e73c72.png</t>
  </si>
  <si>
    <t>Q30200175</t>
  </si>
  <si>
    <t>(Date T6/25) Loperamide Hydrochloride Capsules USP 2mg Micro (H/100 viên) ( LOPE MIC )</t>
  </si>
  <si>
    <t>https://product.hstatic.net/200000428801/product/246_62f225c952724e04be8035f6d489b783.png</t>
  </si>
  <si>
    <t>Q302220550</t>
  </si>
  <si>
    <t>(Date T6/26) Dung dịch tiêm Quibay Piracetam 1g/5ml (Hộp 10 ống x 5ml) ( PIRA QUY )</t>
  </si>
  <si>
    <t>https://product.hstatic.net/200000428801/product/4b9f0c1dea0f4cc181eb9fa52d8cfab3_761039e84fd849d2b2471043881b3a86.png</t>
  </si>
  <si>
    <t>Q30200228</t>
  </si>
  <si>
    <t>(Date T6/27) Hindgra 100 GMP Slidenafil Citrate Tablets 100mg ( H/1 vỉ x 4 viên) ( Q30200228 )</t>
  </si>
  <si>
    <t>https://product.hstatic.net/200000428801/product/4a792b819f9f4f0fa68f96bd24d2ae42_5ba6b181ea49408d8dfddd2d8612e638.png</t>
  </si>
  <si>
    <t>Q30200064</t>
  </si>
  <si>
    <t>(date t7/2026) Men Biotex Plus Cải thiện hệ vi sinh đường ruột HD Pharma (H/100V) ( Q30200064 )</t>
  </si>
  <si>
    <t>https://product.hstatic.net/200000428801/product/9c51b8ec021b4ad7b9096df4a78fbf3e_9c7aa9ddd94142de8a968625e679b742.png</t>
  </si>
  <si>
    <t>Q30200408</t>
  </si>
  <si>
    <t>(Date t7/2027) Cefizone 1g Inj Ceftriaxone Yungjin (H/10 lọ 1g) ( CEFTRI CEFI )</t>
  </si>
  <si>
    <t>https://product.hstatic.net/200000428801/product/01ebdcd18ca54e06a0949322f4780021_2a0c51b6b38a47ce9306603b7082ba54.png</t>
  </si>
  <si>
    <t>Q30200261</t>
  </si>
  <si>
    <t>(Date T7/25) Calcium Nano HD pharma(H/30v) ( Q30200261 )</t>
  </si>
  <si>
    <t>https://product.hstatic.net/200000428801/product/8394315770d34eec8ef825b113691610_2a2195eff62248a0aafa54fab5eca3f9.png</t>
  </si>
  <si>
    <t>Q30240323167</t>
  </si>
  <si>
    <t>(Date T7/25) Peritol Cyproheptadin Hydroclorid 4mg Egis (hộp 10 vỉ x 10 viên nén) ( PERI CYP )</t>
  </si>
  <si>
    <t>https://product.hstatic.net/200000428801/product/ff6bcb68819b49458dc84e0fb708edd9_b98b1837a71d4fda833eba933dbe8628.png</t>
  </si>
  <si>
    <t>SP000001</t>
  </si>
  <si>
    <t>(Date t8/2023) Pharmacort Pharmatex Italia Triamcinoclone Acetonide 80mg/20ml ( H/5 ống x 2ml) ( TRIAM PHARMA )</t>
  </si>
  <si>
    <t>https://product.hstatic.net/200000428801/product/1c6e1e709b7c431a9dfe316e751cce3c_abd7b28adbe34f729b155a269b148b42.png</t>
  </si>
  <si>
    <t>Q302549512</t>
  </si>
  <si>
    <t>(Date T8/24) Khavetri Levocetirizine Hydrochloride 5mg (Hộp 10vỉ x 10 viên nén) ( LEVO 015 )</t>
  </si>
  <si>
    <t>https://product.hstatic.net/200000428801/product/4d2144194aa640d9a1e3f1370a9cff4d_497c3a8e94d440e5a4e58a7f67ddb3ac.png</t>
  </si>
  <si>
    <t>Q302865426</t>
  </si>
  <si>
    <t>(Date T8/25) Cefpodoxime Proxetil Dispersible Tablets Skypodox 100mg USP ( Hộp 1 vỉ x 10 viên) ( CEFPO 08 )</t>
  </si>
  <si>
    <t>https://product.hstatic.net/200000428801/product/ae369604978d4d44a5d681e249486201_38fc212e217b4fe9ac17f0de8ed937e7.png</t>
  </si>
  <si>
    <t>Q30200614</t>
  </si>
  <si>
    <t>(date t8/28) Viên Tiểu Đêm Roxtech USA Pharma (H/30V) ( Q30200614 )</t>
  </si>
  <si>
    <t>https://product.hstatic.net/200000428801/product/16f50a4df61948d7843765bd2208f7ec_1bde21aaa956494d803c6a43b1125f98.png</t>
  </si>
  <si>
    <t>Q302280323256</t>
  </si>
  <si>
    <t>(Date T9/24) Poanvag Clindamycin và Clotrimazole Ấn Độ (Hộp 1 vỉ x 7 viên nang mềm đặt âm đạo) ( CLIN POA )</t>
  </si>
  <si>
    <t>https://product.hstatic.net/200000428801/product/ee526acdfe804099b3b8b30f3908c26a_0e045b0c204246f19c0ae99ed68a80f3.png</t>
  </si>
  <si>
    <t>Q30225042350</t>
  </si>
  <si>
    <t>(Date T9/25) Ceftopix Cefpodoxime Proxetil USP 100mg Ấn Độ (Hộp 2 vỉ x 10 viên nén bao phim) ( CEFPO 06 )</t>
  </si>
  <si>
    <t>https://product.hstatic.net/200000428801/product/eb2080092d454ec8943f7bfbac9f7362_ff86767d742041d6bb8cdb16bf528065.jpg</t>
  </si>
  <si>
    <t>Q30200085</t>
  </si>
  <si>
    <t>(date05/2027) Myroken 200 Micro Labs cefixime 200mg (1 vỉ x 10 viên) ( cefi myro )</t>
  </si>
  <si>
    <t>https://product.hstatic.net/200000428801/product/d31fc832478e467ba25b6585532f0855_1bcdcaa4ad6a4b06a243d8c51a00b7d4.png</t>
  </si>
  <si>
    <t>Q3021442350</t>
  </si>
  <si>
    <t>(Date05/26) Jovan T 20 Tadalafil Tablets 20mg Ấn Độ (Hộp 1vỉ x 1 viên nén bao phim) ( TADA JO )</t>
  </si>
  <si>
    <t>https://product.hstatic.net/200000428801/product/3fd716f729a141eb91502273a76f94db_4581f5044ff44d7b83c993930b013ce8.png</t>
  </si>
  <si>
    <t>Q3020000662</t>
  </si>
  <si>
    <t>(Date07/27) Trivit- B Thiamin Drug ( H/ 10 ống) ( TRIVIT B )</t>
  </si>
  <si>
    <t>https://product.hstatic.net/200000428801/product/ed0baae928f24c258f503d8f56f3a77f_d08b1093793e408c9bd782bd6ad92b47.png</t>
  </si>
  <si>
    <t>Q30200099</t>
  </si>
  <si>
    <t>(Date10 /24) A.T Ibuprofen Syrup An Thiên (H/ 30 gói 5ml) ( IBU AT2 )</t>
  </si>
  <si>
    <t>https://product.hstatic.net/200000428801/product/9cc2f48358154df3a17b30bca1a8d30e_963801494c74429d97f0d59dc659fdad.png</t>
  </si>
  <si>
    <t>Q302200219</t>
  </si>
  <si>
    <t>(Date10/2024) A.T Ibuprofen 100mg An Thiên(C/60ml) ( IBU AT 100, )</t>
  </si>
  <si>
    <t>https://cdn2-retail-images.kiotviet.vn/2026/03/26/giabaopharma/93734c03d20c4b998cfc63fd2df565b5.jpg</t>
  </si>
  <si>
    <t>Q30200167</t>
  </si>
  <si>
    <t>(Date11/2026) Siloflam 100 Flamingo slidenafil 100mg ( H/1 vỉ x 4 viên) ( SILO SILDEN FLA )</t>
  </si>
  <si>
    <t>https://cdn-images.kiotviet.vn/2024/11/25/giabaopharma/62e04f60538b408085c23efecb8f839b.jpg</t>
  </si>
  <si>
    <t>Q3020162301</t>
  </si>
  <si>
    <t>(Date20/03/25) Tuýp Bôi Philderma 10g Clotrimazole, Gentamicin, Betamethasone Korea (Lốc 10 tuýp/ 10g) ( BETA PHIL )</t>
  </si>
  <si>
    <t>https://product.hstatic.net/200000428801/product/00fac9d3043a4c169e71cfeccff406f4_cfb1552f4c204518a3a8dfd7ac37f020.png</t>
  </si>
  <si>
    <t>Q30200043</t>
  </si>
  <si>
    <t>(Date2027) Clorifort Umedica Clotrimazole 100mg (H/6v) ( CLO RI )</t>
  </si>
  <si>
    <t>https://product.hstatic.net/200000428801/product/015c94ea3f3545c08770aa8041b83b6c_738852a75e2646b5b7bcb2820383674e.png</t>
  </si>
  <si>
    <t>Q30200186</t>
  </si>
  <si>
    <t>(DateT 12/26) Desilmax 100 Macleods Pharm Slidenafil 100mg ( H/1 vỉ x 4 viên) ( Q30200186 )</t>
  </si>
  <si>
    <t>https://product.hstatic.net/200000428801/product/dbb283fe348d4a39b2a7717b805de6fe_9d855b9063cd4e9e998b6b2ca5a84a3e.png</t>
  </si>
  <si>
    <t>SP648498</t>
  </si>
  <si>
    <t>(DateT02/27) FIMABUTE Cefixime Tablet USP 200mg (Hộp 1 x 10 viên nén) - ( CEFI FIMA 2 )</t>
  </si>
  <si>
    <t>https://product.hstatic.net/200000428801/product/9b0ccf3f7e8d4c7383ade06c69508ea6_38cba7c630d944adbec5e2679e91ea9d.png</t>
  </si>
  <si>
    <t>Q30200467</t>
  </si>
  <si>
    <t>(DateT03/2026) Vivita.E Vitamin E - Aloe Vera Oil HD Pharma (H/30V) ( Q30200467 )</t>
  </si>
  <si>
    <t>https://product.hstatic.net/200000428801/product/c1396a7959604d68921ebf8370c76162_b3e6a7e3a47d4cc0a19252a77d45cb68.png</t>
  </si>
  <si>
    <t>Q302200014</t>
  </si>
  <si>
    <t>(DateT03/25) Arginin Gold HD Pharma (H/30V) ( Q302200014 )</t>
  </si>
  <si>
    <t>https://product.hstatic.net/200000428801/product/05270859da4b4e649f1b498a21f76d16_21a04914202d4a0abce420b3aa0d393b.png</t>
  </si>
  <si>
    <t>Q302040923</t>
  </si>
  <si>
    <t>(DateT04/27) Protoflam 200 Acyclovir Tablets B.P 200mg Flamingo (Hộp 5 vỉ x 10 viên) ( ACI ACY PRO )</t>
  </si>
  <si>
    <t>https://product.hstatic.net/200000428801/product/10fb71b14ff04e3ea23aad5bcdf5f3a4_dbb19355e4924254bbada33f2976babe.png</t>
  </si>
  <si>
    <t>Q302180823</t>
  </si>
  <si>
    <t>(DateT04/27) Supraflam Cefadroxil Capsules USP 500mg Flamingo (Hộp 10 vỉ x 10 viên) ( CEFA 01 )</t>
  </si>
  <si>
    <t>https://product.hstatic.net/200000428801/product/2ada15b8b2814fda8ac09c148e51bd16_250de9c9aa724f1abb03d7f9f761c75c.png</t>
  </si>
  <si>
    <t>Q30200069</t>
  </si>
  <si>
    <t>(DateT05/27) Newtop Sachet Cefixime Maxim (H/10 gói) ( CEFI NEW )</t>
  </si>
  <si>
    <t>https://product.hstatic.net/200000428801/product/3c6ee6f8df694520bc27fe39217e78b6_19ecb9da21d648e7882d8fe88828f963.png</t>
  </si>
  <si>
    <t>Q3022306200</t>
  </si>
  <si>
    <t>(DateT06/27) Artlanzo Lansoprazole USP 30mg India (Hộp 3 vỉ x 10 viên nang tan trong ruột) ( LANSO ART )</t>
  </si>
  <si>
    <t>https://product.hstatic.net/200000428801/product/6865589889e046598a373251dff63c49_dd37a153f6ba4d89ae5e513911103133.png</t>
  </si>
  <si>
    <t>Q30200265</t>
  </si>
  <si>
    <t>(DateT06/27) Mactaxim 200 Macleods Cefixime 200mg (H/1 vỉ x 10 viên) không ngọt, viên nén ( CEFI MACTA 200 )</t>
  </si>
  <si>
    <t>https://product.hstatic.net/200000428801/product/d08ac4ba94144d8ba78299ceb1f617c8_50c2807c06554cd8a313d48f7ff2a3e0.png</t>
  </si>
  <si>
    <t>Q3020505050</t>
  </si>
  <si>
    <t>(DateT06/28) Promelain Zhejiang piracetam 1g ( H/10 ống x 5ml) ( PIRA PRO )</t>
  </si>
  <si>
    <t>https://product.hstatic.net/200000428801/product/cd159b7e957f4ab7ac7945bccb0e198d_ef297376d593425c9a4fd489990d1ab7.png</t>
  </si>
  <si>
    <t>Q3020000665</t>
  </si>
  <si>
    <t>(DateT07/27) Moxikune Moxifloxacin Makcur (Lốc 10 lọ x 5ml) ( MOXI M2 )</t>
  </si>
  <si>
    <t>https://product.hstatic.net/200000428801/product/ac02a904d1694e5d9d803545f3343438_f7d69f40b0bc414e8a3b20e8c0a4c07b.png</t>
  </si>
  <si>
    <t>Q302100240</t>
  </si>
  <si>
    <t>(DateT09/27) Vingoric-100 Sildenafil Tablets 100mg (Hộp 1 vỉ x 4 viên nén) ( SILDEN VINGO 100 )</t>
  </si>
  <si>
    <t>https://product.hstatic.net/200000428801/product/bdbb9c6f353847b08aaf3654404837c8_3f3dbbe826f44eae8093f79b5a34c865.png</t>
  </si>
  <si>
    <t>Q3020000684</t>
  </si>
  <si>
    <t>(DateT1/24) Collagen Cần tây - Diệp lục (dạng gói) HD Pharma (H/30 GÓI) ( Q3020000684 )</t>
  </si>
  <si>
    <t>https://product.hstatic.net/200000428801/product/d861dffa0bdc4048a74b180481e66a9d_875fff8f7cbf4178a01fa9d7697c8314.png</t>
  </si>
  <si>
    <t>Q30200219</t>
  </si>
  <si>
    <t>(DateT1/24) Tobraquin Tobramycin Dexamethasone Ophthalmic (h/1 lọ) ( TOBRA QIN )</t>
  </si>
  <si>
    <t>https://cdn2-retail-images.kiotviet.vn/2025/12/11/giabaopharma/c34757fda6bc4580a837eb2790276f9a.jpg</t>
  </si>
  <si>
    <t>Q3022022121</t>
  </si>
  <si>
    <t>(DateT1/25) Amoxicillin 500Mg Aurobindo (H/10 vỉ x10 viên) ( AMOX 1 )</t>
  </si>
  <si>
    <t>https://product.hstatic.net/200000428801/product/152ee4aebd5544aba1f7ff494a32afa3_a7ba4682533c40d3abce8a36018c9296.png</t>
  </si>
  <si>
    <t>Q30200283</t>
  </si>
  <si>
    <t>(DateT1/25) Kecam BC World Pharm Piroxicam 20mg/10ml (H/10 ống x 1ml) ( PIRO KE )</t>
  </si>
  <si>
    <t>https://product.hstatic.net/200000428801/product/fb41afff34024a778cd15743bb59c044_d41ff70ea9da4a5595c82797fa1cd508.png</t>
  </si>
  <si>
    <t>Q30200220</t>
  </si>
  <si>
    <t>(DateT1/27) Diclofenac Tablets BP Dynapar ec Troikaa (H/ 10 vỉ x 10 viên) ( DICLO DY )</t>
  </si>
  <si>
    <t>https://product.hstatic.net/200000428801/product/5c13e52654bf41dfae70217e8cfd3021_f8fd6286ec44400c8e5d80f7aecac948.png</t>
  </si>
  <si>
    <t>Q30200108</t>
  </si>
  <si>
    <t>(DateT1/27) Pirimas Hwail Pharm piracetam 1g/5ml ( H/10 ống x 5ml) ( PIRA PIRI )</t>
  </si>
  <si>
    <t>https://product.hstatic.net/200000428801/product/938eeb4b38614b3caec2febbf17a9b7a_c15299e14adc49f9adcded7ed2279890.png</t>
  </si>
  <si>
    <t>Q302090124</t>
  </si>
  <si>
    <t>(DateT1/27) Thanh Nhiệt Mát Gan Liver Kids Gold Vinaphar (Hộp 20 ống x 10ml) ( Q302090124 )</t>
  </si>
  <si>
    <t>https://product.hstatic.net/200000428801/product/b5a21a65ddb04a24bdabfa2d704aa72e_da75b1f8bb0a428b8be113f3ce10cb63.png</t>
  </si>
  <si>
    <t>Q30200029</t>
  </si>
  <si>
    <t>(DateT10/2023) Sildenafil Citrate Staga Stallion Ấn 50mg (H/1 vỉ 4 viên) ( SILDEN CIT )</t>
  </si>
  <si>
    <t>https://product.hstatic.net/200000428801/product/166dd30e0e7549f0b104cf9410516f37_4566799b012d424da71ac5a20c45ebac.png</t>
  </si>
  <si>
    <t>Q30200395</t>
  </si>
  <si>
    <t>(DateT10/23) Gensrilron Clotrimazol (H/1 tuýp 10g) ( Q30200395 )</t>
  </si>
  <si>
    <t>https://product.hstatic.net/200000428801/product/2a67410c94eb4e3a959d5c51057d68f0_c635d2d454ab40469022389c35d20f4c.png</t>
  </si>
  <si>
    <t>SP648496</t>
  </si>
  <si>
    <t>(DateT10/25) Kamagra Ajanta Pharma Limited, Ấn Độ Slidenafil 100mg ( KAMA SILDEN )</t>
  </si>
  <si>
    <t>https://product.hstatic.net/200000428801/product/6055a20480f846e993dc8440aa24f208_c1dead28aaa44c34ae8dd5621cb880b8.png</t>
  </si>
  <si>
    <t>Q302123489</t>
  </si>
  <si>
    <t>(DateT10/25) Viên Sủi Life Vita Multivitamin Hương Cam Chân Tâm (Lốc 10 tuýp x 20 viên nén sủi) ( MULTI SUI )</t>
  </si>
  <si>
    <t>https://product.hstatic.net/200000428801/product/d8b7d9acfdc049f3a0de0dbab9be8121_ece0d53b4dd444a79983b2d83a7159da.png</t>
  </si>
  <si>
    <t>Q302040124</t>
  </si>
  <si>
    <t>(DateT10/26) Omecelo 20 Gastro Omeprazole Capsules BP 20mg Hataphar (Hộp 10 vỉ x 10 viên) ( OME OMEPRA 01 )</t>
  </si>
  <si>
    <t>Q302200022</t>
  </si>
  <si>
    <t>(DateT10/27) Lorabay Loratadine Windlas Biotech (H/100 viên) ( LORA BAY )</t>
  </si>
  <si>
    <t>https://product.hstatic.net/200000428801/product/ebbb568624314d31b6a15ee1c9285d7b_5a7b1d5ff1174d19919d7413cccf69b5.png</t>
  </si>
  <si>
    <t>Q30200021</t>
  </si>
  <si>
    <t>(DateT10/27) Pharmacort Pharmatex Italia Triamcinoclone Acetonide 80mg/20ml ( H/5 ống x 2ml) ( TRIAM 01 )</t>
  </si>
  <si>
    <t>Q302281223</t>
  </si>
  <si>
    <t>(DateT10/27) Tuýp Vivian Diclofenac Gel BP 30g Lincoln ( DICLO VI )</t>
  </si>
  <si>
    <t>https://product.hstatic.net/200000428801/product/724993d57047495bb25f33ae7a0b1a07_87129fbe73e3462a95e36c6d480a1b3e.png</t>
  </si>
  <si>
    <t>Q30200150</t>
  </si>
  <si>
    <t>(DateT10/28) Leeflox 0,5% Lovofloxacin Arme (LỐC 10 lọ/ 5ml) ( LOVO LEE )</t>
  </si>
  <si>
    <t>https://product.hstatic.net/200000428801/product/2bd4e932e4b64a3f838630c14e62f14a_51deda5489574da1aa9b763e3fe435a7.png</t>
  </si>
  <si>
    <t>Q30200310</t>
  </si>
  <si>
    <t>(DateT11/2023) Vitamin C Kabi Bidiphar (H/6 ống x 5ml) ( Q30200310 )</t>
  </si>
  <si>
    <t>https://product.hstatic.net/200000428801/product/10d4ce4e481e49b0b85259c741a92e7f_ada7d633fd864615be2671c65cef245d.png</t>
  </si>
  <si>
    <t>Q30200468</t>
  </si>
  <si>
    <t>(DateT11/22) Nhỏ mắt Eyesintact Gentamicin (H/ 1 lọ) ( GENTA 1 )</t>
  </si>
  <si>
    <t>https://product.hstatic.net/200000428801/product/9eb54c7607f7450ea277cbab4443b2b2_37ee9eb3f05440a78e07e760b11733f8.png</t>
  </si>
  <si>
    <t>Q30200452</t>
  </si>
  <si>
    <t>(DateT11/22) Proratanl Hải Dương (H/ 30 viên) ( Q30200452 )</t>
  </si>
  <si>
    <t>https://product.hstatic.net/200000428801/product/f1501388aeb04387989fc7dc65e3f920_c60b40db1ad1443399703abcbde7e2ba.png</t>
  </si>
  <si>
    <t>Q302774937</t>
  </si>
  <si>
    <t>(DateT11/24) AT Desloratadin 2.5mg An Thiên (Hộp 1 chai x 30ml) ( DESLORA 4 )</t>
  </si>
  <si>
    <t>https://product.hstatic.net/200000428801/product/192_e6bb8ce8a9e943cb8c140240fc2c9f01.png</t>
  </si>
  <si>
    <t>Q302987663</t>
  </si>
  <si>
    <t>(DateT11/24) FIMABUTE Cefixime Tablet USP 200mg (Hộp 1 x 10 viên nén) ( CEFI FIMA )</t>
  </si>
  <si>
    <t>https://product.hstatic.net/200000428801/product/9611638618ab4e67b3dabbd6865b1aea_b2a412a170b14341a5a65e643f52481d.png</t>
  </si>
  <si>
    <t>Q30200123</t>
  </si>
  <si>
    <t>(DateT11/24) Hàu Biển ROX (màu nâu đỏ) HD Pharma (H/30V) ( Q30200123 )</t>
  </si>
  <si>
    <t>https://product.hstatic.net/200000428801/product/8ed5f69914024dac8b5695b160127c44_b41774038b5f4c7e9ac4e2e713b403b7.png</t>
  </si>
  <si>
    <t>Q30200319</t>
  </si>
  <si>
    <t>(DateT11/24) Necpod 200 Cefpodoxime (H/10 viên) ( CEFPO NEC )</t>
  </si>
  <si>
    <t>https://product.hstatic.net/200000428801/product/66319700b7244c929fd66600a978eda8_af5ae45c24a042b489849c1bc6086a02.png</t>
  </si>
  <si>
    <t>Q3020000686</t>
  </si>
  <si>
    <t>(DateT11/25) Nalidixic Acid Tablets BP 500mg Umedica Ấn Độ (Hộp 10 vỉ x 10 viên) ( nali 501 )</t>
  </si>
  <si>
    <t>https://product.hstatic.net/200000428801/product/79be4e5230bb422c961c1c791bff8346_12779380e75548fcbd8c92ae5b44d2e3.png</t>
  </si>
  <si>
    <t>Q302391223</t>
  </si>
  <si>
    <t>(DateT11/25) Nhỏ Mắt Cipro- USL Ciprofloxacin Ophthalmic Solution USP Ấn Độ (Cọc 10 lọ x 5ml) ( cipro 5 )</t>
  </si>
  <si>
    <t>https://product.hstatic.net/200000428801/product/4e9ff3901cf747c387aefcf061fda814_554dc5e537834670a3b19863e47ca2d6.png</t>
  </si>
  <si>
    <t>Q30200225</t>
  </si>
  <si>
    <t>(DateT11/26) Eszol Kusum Itraconazole 100mg (H/10v) ( Q30200225 )</t>
  </si>
  <si>
    <t>https://product.hstatic.net/200000428801/product/abaefb20d3b247e1b8972aeaf86616bf_9db69d1dd80f49ecaadedb48090e6623.png</t>
  </si>
  <si>
    <t>Q30200156</t>
  </si>
  <si>
    <t>(DateT11/28) Microluss Ciprofloxacin Micro 500mg ( H/ 10 vỉ x 10 viên) ( cipro 9 )</t>
  </si>
  <si>
    <t>https://product.hstatic.net/200000428801/product/3d697e046a7c49f780678e409049bca2_84690674236c4487a0299d2f5263cf3b.png</t>
  </si>
  <si>
    <t>Q30200610</t>
  </si>
  <si>
    <t>(DateT12/2023) Ventek Searle Montelukas 10mg (H/2 vỉ x 7 viên) ( Q30200610 )</t>
  </si>
  <si>
    <t>https://product.hstatic.net/200000428801/product/745a06621f314a319830bf1c2d82086e_b8f9d0dfcb0c4f289f7d6443ca3b6911.png</t>
  </si>
  <si>
    <t>Q30200392</t>
  </si>
  <si>
    <t>(DateT12/22) Rosuvastatin Tablets 10mg Macleods (H/30 viên) ( Q30200392 )</t>
  </si>
  <si>
    <t>https://product.hstatic.net/200000428801/product/4767685b8be7433181c6856fd22bfd4d_c3dca2f2265d420fb9a2523b0d514645.png</t>
  </si>
  <si>
    <t>Q30200414</t>
  </si>
  <si>
    <t>(DateT12/23) Ilcolen Inj Citicoline 500mg/2ml Hwail (H/ 10 ống 2ml) ( CITI ILCO )</t>
  </si>
  <si>
    <t>https://product.hstatic.net/200000428801/product/f3444a1c60fd4f52b3312cd154d8df6a_8be438efa01049b4a18da3001645795a.png</t>
  </si>
  <si>
    <t>Q302200011</t>
  </si>
  <si>
    <t>(DateT12/23) Toduc Intraconazole Saga (H/ 1 vỉ x 10 viên) ( INTRA )</t>
  </si>
  <si>
    <t>Q302337829</t>
  </si>
  <si>
    <t>(DateT12/24) AT Ambroxol 30mg An Thiên (Hộp 30 ống nhựa uống x 5ml) ( Q302337829 )</t>
  </si>
  <si>
    <t>https://product.hstatic.net/200000428801/product/8a7a283e3c994d2980b0ef36868ffe5a_3e89938238f54dc3aba81d0f3a04d0d1.png</t>
  </si>
  <si>
    <t>Q302986767</t>
  </si>
  <si>
    <t>(DateT12/24) Kẹo Ngậm Vitamin C Con Vịt (Túi 10 con) ( Q302986767 )</t>
  </si>
  <si>
    <t>https://product.hstatic.net/200000428801/product/424286ddf9ca4bebaa9c4dcf03067831_4a6ac3ff7f6e4633a185d2f2456371b6.png</t>
  </si>
  <si>
    <t>Q30212192400</t>
  </si>
  <si>
    <t>(DateT12/24) Sizoca - 10 Olanzapine Tablets 10mg Micro Ấn Độ (Hộp 3 vỉ x 10 viên nén) ( OLAN SIZO2 )</t>
  </si>
  <si>
    <t>https://product.hstatic.net/200000428801/product/182_64ad9405519c4b11a141c6d9ecf7f5e4.png</t>
  </si>
  <si>
    <t>Q302736637</t>
  </si>
  <si>
    <t>(DateT12/24) Zexif Cefpodoxime 100mg Ấn Độ (Hộp 10 gói) ( CEFPO 07 )</t>
  </si>
  <si>
    <t>https://product.hstatic.net/200000428801/product/4d752d736b0e4670a63d9130f465a2d0_fc55e1ae0134426d9504ac25f9f0d89d.png</t>
  </si>
  <si>
    <t>Q30200087</t>
  </si>
  <si>
    <t>(DateT12/26) Mactaxim 100TD Cefixime 100mg Macleods ngọt ( H/10 viên) ( CEFI MACTA 100 )</t>
  </si>
  <si>
    <t>https://product.hstatic.net/200000428801/product/bfb6fe678cca4f2db4bde3cac916d52c_1e426025e1ac482196d204a5d441896b.png</t>
  </si>
  <si>
    <t>Q30200391</t>
  </si>
  <si>
    <t>(DateT12/26) Natoobetse Q10 Nattokinase 600 FU HD(H/30 viên) màu tím ( Q30200391 )</t>
  </si>
  <si>
    <t>https://product.hstatic.net/200000428801/product/9112263e8a8e4524b2b5bb44a21302dd_fe778f508dc84264933469b2ae68ba3a.png</t>
  </si>
  <si>
    <t>Q30200529</t>
  </si>
  <si>
    <t>(DateT12/27) Lorfact-D Desloratadine 5mg Akums (H/100 viên) ( DESLORA 5 )</t>
  </si>
  <si>
    <t>https://product.hstatic.net/200000428801/product/740b5755288643d48647b097e60366cd_5074947329ef487ab9b14c3976103426.png</t>
  </si>
  <si>
    <t>Q30200473</t>
  </si>
  <si>
    <t>(DateT2/2025) Xịt Họng Xuyên Tâm Liên Roxtech Syntech HD (C/30ml) ( Q30200473 )</t>
  </si>
  <si>
    <t>https://product.hstatic.net/200000428801/product/403cb5fd770241b99cd24fe34c9eb280_4cfe060dc2104b0dbcc1eee3edd7d9ce.png</t>
  </si>
  <si>
    <t>Q30200543</t>
  </si>
  <si>
    <t>(DateT2/24) Clesspra Makcur Laboratories Ltd. - Ấn Độ Tobramycin ( L/5ml) ( TOBRA CLESS )</t>
  </si>
  <si>
    <t>https://product.hstatic.net/200000428801/product/73b330c7b24c4fb4aa816f78d9d16307_3154f78368bc4b74b46f20247c9d92c7.png</t>
  </si>
  <si>
    <t>Q30200300</t>
  </si>
  <si>
    <t>(DateT2/24) Nhỏ Mắt Clesspra DX tobramycin Dexamethasome (H/ 1 lọ 5ml) ( TOBRA DEXA 1 )</t>
  </si>
  <si>
    <t>https://product.hstatic.net/200000428801/product/35a056b62b27493e97bc1e8e3919f3fb_90c1f3a65fec407a915cf7f145c411f3.png</t>
  </si>
  <si>
    <t>Q302210923</t>
  </si>
  <si>
    <t>(DateT2/24) Tuýp Bôi Beclogen Cream 10g Betamethasone, Clotrimazole, Gentamicin Hàn Quốc (Tuýp 10g) ( BETA BEC )</t>
  </si>
  <si>
    <t>https://product.hstatic.net/200000428801/product/71cdfe043b0e46a7a8d07829a12a496f_7a736242eb264c6ca7bac1220b96fec3.png</t>
  </si>
  <si>
    <t>Q302200021</t>
  </si>
  <si>
    <t>(DateT2/25) Montemac 5 Macleods Pharma Montelukas 5mg (H/3 vỉ x 10 viên) ( Q302200021 )</t>
  </si>
  <si>
    <t>https://product.hstatic.net/200000428801/product/b91feee5285b48e88bd5f5e00144c1e0_d9ef58c0da56487cbb8278237ca3f100.png</t>
  </si>
  <si>
    <t>Q302290323173</t>
  </si>
  <si>
    <t>(DateT2/25) Pyclin 150 Clindamycin 150mg Pymepharco (hộp 10 vỉ x 10 viên nang) ( CLIN PY )</t>
  </si>
  <si>
    <t>https://product.hstatic.net/200000428801/product/515782fe8a15418894d19471bf1e38eb_ed05b01e3cba4dd4bf9b6e5e30450f13.png</t>
  </si>
  <si>
    <t>Q302141123</t>
  </si>
  <si>
    <t>(DateT2/28) Agitro 500 Azithromycin 500mg Agimexpharma (Hộp 2 vỉ x 3 viên nén bao phim) ( AZI AGIT )</t>
  </si>
  <si>
    <t>https://product.hstatic.net/200000428801/product/e4a53f9ed38048ab957b579002e245e4_00edf83f83e34517bf60aff58230c706.png</t>
  </si>
  <si>
    <t>Q30200519</t>
  </si>
  <si>
    <t>(DateT2/28) L Cystine Roxtech Vinaphar vàng (H/60v) ( Q30200519 )</t>
  </si>
  <si>
    <t>https://product.hstatic.net/200000428801/product/aa3fc04082f94b089f54ae055fac0cbf_62d6b5e875684c0e8c91d442c3d0264d.png</t>
  </si>
  <si>
    <t>Q30200166</t>
  </si>
  <si>
    <t>(DateT3/2024) Pannefia 40 Brawn Lab pantoprazole (H/3 vỉ x 10 viên) ( PANTO PAN )</t>
  </si>
  <si>
    <t>https://product.hstatic.net/200000428801/product/6dabc9db862148468159105152b0c70b_a155576d661b4a8287414d30fe8abe1b.png</t>
  </si>
  <si>
    <t>Q30200449</t>
  </si>
  <si>
    <t>(DateT3/2024) Viên Cao Thìa Canh HD Pharma (H/30V) ( Q30200449 )</t>
  </si>
  <si>
    <t>https://product.hstatic.net/200000428801/product/ad129dfc2360416bbf2f4cff0d08c8e3_fa46bf8c5c1f4a37bce154279cd7d576.png</t>
  </si>
  <si>
    <t>Q30200331</t>
  </si>
  <si>
    <t>(DateT3/24) Tzide Tinidazol Brawn ( H/100 viên) ( TINI TZI )</t>
  </si>
  <si>
    <t>https://product.hstatic.net/200000428801/product/3703c42883644320b8a66eb6e8397cc7_a10b52769e564c6ba12e704fcdc95e31.png</t>
  </si>
  <si>
    <t>Q30200515</t>
  </si>
  <si>
    <t>(DateT3/25) Gout Rox HD (C/50 viên) ( Q30200515 )</t>
  </si>
  <si>
    <t>https://product.hstatic.net/200000428801/product/010abbe3788e4a2895fa488d4254146f_7b12c1bf683c40979f37c1b4f11e1436.png</t>
  </si>
  <si>
    <t>Q302240123</t>
  </si>
  <si>
    <t>(DateT3/25) Liver TN Arginin - Diệp Hạ Châu Rostex (Hộp 3 vỉ x 10 viên) ( Q302240123 )</t>
  </si>
  <si>
    <t>https://product.hstatic.net/200000428801/product/a45bd60d35164204be5778d90e4ad3b8_2b564cf6bb764bd38ad73f021523d0a5.png</t>
  </si>
  <si>
    <t>Q302003356</t>
  </si>
  <si>
    <t>(DateT3/25) Sagades Desloratadine Tablets 5mg Ấn Độ (Cọc 5 hộp - hộp 3 vỉ x 10 viên) ( DESLORA 2 )</t>
  </si>
  <si>
    <t>https://product.hstatic.net/200000428801/product/d846ea86a3314435bd3a2d5d8e6990e3_b8480b594d814cd1b00f56f0006d51a7.png</t>
  </si>
  <si>
    <t>Q30200309</t>
  </si>
  <si>
    <t>(DateT3/25) Siro Codaroz HD Pharma (H/100ml) ( Q30200309 )</t>
  </si>
  <si>
    <t>https://product.hstatic.net/200000428801/product/d7268cb96932437cb1516179be3af730_8299f620de0a4627a08dce82853a11b0.png</t>
  </si>
  <si>
    <t>Q30200504</t>
  </si>
  <si>
    <t>(DateT3/27) Ovacef cefixime 200mg Micro Labs (1 vỉ x 10 viên) viên nhộng ( cefi ova )</t>
  </si>
  <si>
    <t>https://product.hstatic.net/200000428801/product/658e0609ab4d449885301db63e367e90_e1ec675f782247929d6f83c0e385bb96.png</t>
  </si>
  <si>
    <t>Q30200330</t>
  </si>
  <si>
    <t>(DateT3/28) Calcium – D3 – MK7 Vinaphar (H/100V) ( Q30200330 )</t>
  </si>
  <si>
    <t>https://product.hstatic.net/200000428801/product/2915ede2857c4cb8a99ab955ff486b5d_34627d620af049da8b28e99cec60bb96.png</t>
  </si>
  <si>
    <t>Q3022605129</t>
  </si>
  <si>
    <t>(DateT4/2027) Clindamycin EG 300mg Pymepharco ( hộp 10 vỉ x 10 viên nang cứng) ( CLIN EG )</t>
  </si>
  <si>
    <t>https://product.hstatic.net/200000428801/product/083d1bcd59bc443d9f3389480e1ba340_07396d46d4fd4956ac365463b8e36b60.png</t>
  </si>
  <si>
    <t>Q30200028</t>
  </si>
  <si>
    <t>(DateT4/24) Bột Strabas Sachet Cefpodoxime Maxim 100mg (H/10 gói x 1400mg) ( CEFPO STRA )</t>
  </si>
  <si>
    <t>https://product.hstatic.net/200000428801/product/5fbf31dbbe4c4a5695f7ad255fd5ed6f_49d31ef4b3434fa5859fdd0b2af611d7.png</t>
  </si>
  <si>
    <t>Q30200112</t>
  </si>
  <si>
    <t>(DateT4/24) Rostex MG 1H Tăng cường sinh lý nam giới (tác dụng nhanh) HD Pharma (H/10V) ( Q30200112 )</t>
  </si>
  <si>
    <t>https://product.hstatic.net/200000428801/product/d2fd329c1aa2496b87672ed3f3177619_7cdbee138e2a412cb6e0271231fd697d.png</t>
  </si>
  <si>
    <t>Q30200030</t>
  </si>
  <si>
    <t>(DateT4/25) Hepedon Cap Thymomodulin Hankook 80mg (H/10 vỉ x 10 viên ) ( THYMO HEP )</t>
  </si>
  <si>
    <t>https://product.hstatic.net/200000428801/product/0e3e3c7c64c54f9d884d24f25a1ca14d_d8aaeac93a404f3589f45abe362dab19.png</t>
  </si>
  <si>
    <t>Q30200459</t>
  </si>
  <si>
    <t>(DateT4/25) Hoa Anh Thảo Eva Roxtech Vitamin e Hải Dương (H/30v) hồng ( Q30200459 )</t>
  </si>
  <si>
    <t>https://product.hstatic.net/200000428801/product/462bdb8f9fe748a696d96f671361b55c_c0a678f666554a2093b4c4e14955e782.png</t>
  </si>
  <si>
    <t>Q302121923</t>
  </si>
  <si>
    <t>(DateT4/25) Xịt Mũi HP NOSEA Baby Khuynh Diệp Hồng Phước ( Lọ 1 chai x 70ml) ( Q302121923 )</t>
  </si>
  <si>
    <t>https://product.hstatic.net/200000428801/product/23879dd5f8e34510a1b4c593e959c0bc_62d794cdfae543e6bb37dacdd7627764.png</t>
  </si>
  <si>
    <t>Q302122923</t>
  </si>
  <si>
    <t>(DateT4/25) Xịt Mũi HP NOSEA Người Lớn Bạc Hà Hồng Phước ( Lọ 1 chai x 70ml) ( Q302122923 )</t>
  </si>
  <si>
    <t>https://product.hstatic.net/200000428801/product/b773733bc1994353aa1c24df2f5b925e_48dd587c4f5d40ef856db1edf6b983c4.png</t>
  </si>
  <si>
    <t>Q30200334</t>
  </si>
  <si>
    <t>(DateT4/26) Alpha Tex HD (H/30 viên nén) hỗ trợ làm tan huyết ứ, chấn thương phần mềm ( ALPHA T )</t>
  </si>
  <si>
    <t>https://product.hstatic.net/200000428801/product/e76da1ce3b0f42af8f48343f326a7b8b_545652753963479189a9a1d0ce45a9c9.png</t>
  </si>
  <si>
    <t>Q302086202301</t>
  </si>
  <si>
    <t>(DateT4/26) Siro Trị Ho Pectol TE SAGOPHA (Hộp 1 chai x 90ml) ( Q302086202301 )</t>
  </si>
  <si>
    <t>https://product.hstatic.net/200000428801/product/81496a1753f3487a8f70928f036bcab2_f32093b7cbd04993b98fdc45d5b0fa85.png</t>
  </si>
  <si>
    <t>Q3020262301</t>
  </si>
  <si>
    <t>(DateT4/26) Viên Uống AloeRoxtech Vitamin E Rostex (Hộp 60 viên nang mềm) ( Q3020262301 )</t>
  </si>
  <si>
    <t>https://product.hstatic.net/200000428801/product/4e12eea567e7434b9d7dc5390d013085_0be4c2674a2548cc9d77b5d0fe21f6ac.png</t>
  </si>
  <si>
    <t>Q3020262302</t>
  </si>
  <si>
    <t>(DateT4/26) Viên Uống Vega Calcium K2 1000 Calci + Magie Rostex (Hộp 60 viên nén bao phim) ( Q3020262302 )</t>
  </si>
  <si>
    <t>Q30200527</t>
  </si>
  <si>
    <t>(DateT5/22) Sagafixim 100 Saga Lab cefixime 100mg (H/1 vỉ x 10 viên) ( cefi saga )</t>
  </si>
  <si>
    <t>https://product.hstatic.net/200000428801/product/0ff19b62322a4ccd86f4cb9ee9653991_56f5c33117044f398d6fab1467b45bc1.png</t>
  </si>
  <si>
    <t>Q30200178</t>
  </si>
  <si>
    <t>(DateT5/25) Collagen Tex Diệp Lục Hải Dương (H/30 gói x 3g) ( Q30200178 )</t>
  </si>
  <si>
    <t>https://product.hstatic.net/200000428801/product/15e6e33bd9a8434f841940960d9b2b60_1fe4723a956042039125594da0b080f4.png</t>
  </si>
  <si>
    <t>Q302211123</t>
  </si>
  <si>
    <t>(DateT5/25) Grabulcure Fluconazole 150mg Gracure Ấn Độ (Lốc 10 hộp x 1 viên nang) ( FLU GRA )</t>
  </si>
  <si>
    <t>https://product.hstatic.net/200000428801/product/f7c7948e3c154dda9350aa8539c1a761_caf63fddf4784686986d5ddcda04711a.png</t>
  </si>
  <si>
    <t>Q30200494</t>
  </si>
  <si>
    <t>(DateT5/26) Đại Tràng Rox HD (H/60 viên) ( Q30200494 )</t>
  </si>
  <si>
    <t>https://product.hstatic.net/200000428801/product/271523efc6464e15b3fedc29a79ac462_c0d4dd2876944432b782a24f1325483d.png</t>
  </si>
  <si>
    <t>Q302230124</t>
  </si>
  <si>
    <t>(DateT5/26) PVFlox 500mg Levofloxacin Tablets 500mg Efroze (Hộp 3 vỉ x 10 viên) ( LEVO 06 )</t>
  </si>
  <si>
    <t>https://product.hstatic.net/200000428801/product/f0307eed2018421b881fc40f5791fdbf_81e5820e3c91464a9a2c2706b7c1cfa1.png</t>
  </si>
  <si>
    <t>Q302311023</t>
  </si>
  <si>
    <t>(DateT5/27) Lansopal Lansoprazole USP 30mg Viên Nang Giải Phóng Chậm Ấn Độ (Hộp 3 vỉ x 10 viên nang) ( LANSO 01 )</t>
  </si>
  <si>
    <t>https://product.hstatic.net/200000428801/product/87e99c6294764fb2aa69079483b981eb_b336faa148c24b728fbf188f78e62ac3.png</t>
  </si>
  <si>
    <t>Q3020000715</t>
  </si>
  <si>
    <t>(DateT6/26) L Cystine Roxtech Hải Dương đen (H/60v) ( Q3020000715 )</t>
  </si>
  <si>
    <t>https://product.hstatic.net/200000428801/product/3b5d1bdfd4704538bb0031d6d8b08e73_bc7d5d602f9f436c949ebeb219ef91c7.png</t>
  </si>
  <si>
    <t>Q302120923</t>
  </si>
  <si>
    <t>(DateT6/26) Meloxicam Tablets 7.5mg Flamingo (Hộp 10 vỉ x 10 viên nén) ( MELO 01 )</t>
  </si>
  <si>
    <t>https://product.hstatic.net/200000428801/product/f74aa0f7da97458583b28ac43139522c_d87177403d6c4371b2efadba706f584d.png</t>
  </si>
  <si>
    <t>Q30200164</t>
  </si>
  <si>
    <t>(DateT6/27) Ficyc Cream Brown &amp; Burk Pharm., Ltd - Ấn Độ Acyclovir 5% ( ACI ACY FIC )</t>
  </si>
  <si>
    <t>https://product.hstatic.net/200000428801/product/6fc6ec92a306431c98c9f3a15efde12d_c0824518ee224148b6a94b4bddefc5b0.png</t>
  </si>
  <si>
    <t>Q30200211</t>
  </si>
  <si>
    <t>(DateT6/27) Melo Roxtech HD Pharma (H/30V) ( MELO 03 )</t>
  </si>
  <si>
    <t>https://product.hstatic.net/200000428801/product/997dda728a344946b2bfc3578c1a5ae1_0650237e76704af49ee9b7d3acbd0c56.png</t>
  </si>
  <si>
    <t>Q302010624</t>
  </si>
  <si>
    <t>(DateT6/27) Piracetam Capsules 400mg Flamingo (Hộp 10 vỉ x 10 viên nang) ( PIRA FLA )</t>
  </si>
  <si>
    <t>https://product.hstatic.net/200000428801/product/1dc0ee71495d4d8b993f799f34884371_1c95ad5eccd84929a458b03c6a961f6b.png</t>
  </si>
  <si>
    <t>Q30200453</t>
  </si>
  <si>
    <t>(DateT7/2023) Natoobetse Q10 Nattokinase 600 FU HD(H/30 viên) màu xanh dương ( Q30200453 )</t>
  </si>
  <si>
    <t>https://product.hstatic.net/200000428801/product/56345b8ab5bf4551ab3c971f7dc7c8bc_8ff7f7d4b2c64328921b223a2f9fc353.png</t>
  </si>
  <si>
    <t>Q30200032</t>
  </si>
  <si>
    <t>(DateT7/2026) Sủi Peptitne Roxtech Papain Trường Thọ (H/10 vỉ x 4 viên) ( Q30200032 )</t>
  </si>
  <si>
    <t>https://product.hstatic.net/200000428801/product/2b4ad5b54d2a4928911741735114a8bb_0d10291e8736425a8d8e29c06c69e943.png</t>
  </si>
  <si>
    <t>Q30200434</t>
  </si>
  <si>
    <t>(DateT7/23) Fortdinir Cefdinir Maxim (H/ 10 gói) ( cefd fo )</t>
  </si>
  <si>
    <t>https://product.hstatic.net/200000428801/product/d6e0be620c0147e5997542c9bd227df7_3f5122456cba4a85b84a68f1fc13fc5f.png</t>
  </si>
  <si>
    <t>Q30200187</t>
  </si>
  <si>
    <t>(DateT7/23) Lomac 20 Cipla omeprazol 20mg (Lọ/14 viên) ( OME LOMAC 2 )</t>
  </si>
  <si>
    <t>https://product.hstatic.net/200000428801/product/261cb19cb9674aeab6279232df34c239_227e64442a3b47989b3972a245c1941c.png</t>
  </si>
  <si>
    <t>Q302060923</t>
  </si>
  <si>
    <t>(DateT7/24) Tuýp Bôi Da Genseoderm Cream 10g Hàn Quốc (Lốc 10 tuýp x 10g) ( genseo )</t>
  </si>
  <si>
    <t>https://product.hstatic.net/200000428801/product/f804fbdbe8344659a1c2085a63051b19_429eb5ba8e8e43dcae0470abf15224b7.png</t>
  </si>
  <si>
    <t>Q30200218</t>
  </si>
  <si>
    <t>(DateT7/26) Cefpodoxime Proxetil Tablets Macleods 200mg ( H/ 1 vỉ x10 viên) ( CEFPO 024 )</t>
  </si>
  <si>
    <t>https://product.hstatic.net/200000428801/product/ed0a4051beeb4a628511a581ef08e7d1_411b705b873c44c3a55a9d7ff4bff3fc.png</t>
  </si>
  <si>
    <t>Q302221923</t>
  </si>
  <si>
    <t>(DateT7/26) Vitamin B1 B6 B12 Softgel Hatapharm Ân Độ (Hộp 10 vỉ x 10 viên) ( Q302221923 )</t>
  </si>
  <si>
    <t>https://product.hstatic.net/200000428801/product/028f043c98f44ccc9ca3e09e05a9a651_f6501346f2d3418a8fbd67045591924d.png</t>
  </si>
  <si>
    <t>Q30200308</t>
  </si>
  <si>
    <t>(DateT7/27) Kamagra Ajanta Pharma Limited, Ấn Độ Slidenafil 100mg ( H/ 1 vỉ 4 viên) ( Q30200308 )</t>
  </si>
  <si>
    <t>https://product.hstatic.net/200000428801/product/ba17f98ff02b43b5891f504615b59268_31b845a94e6d4a4099f74f83792ce7f2.png</t>
  </si>
  <si>
    <t>Q302091223</t>
  </si>
  <si>
    <t>(DateT7/27) Maclevo 500 Levofloxacin Tablets 500mg Ấn Độ (Hộp 1 vỉ x 10 viên nén bao phim) ( LEVO 07 )</t>
  </si>
  <si>
    <t>https://product.hstatic.net/200000428801/product/da0e15d0058c4d3f92d5688b5f790865_9e3fcd11e09244de90568f0ed2b5c62c.png</t>
  </si>
  <si>
    <t>Q3020000652</t>
  </si>
  <si>
    <t>(DateT8/23) Genflu-N Fluocinolone Phil Inter(H/tuýp 10g) ( FLU GEN )</t>
  </si>
  <si>
    <t>https://product.hstatic.net/200000428801/product/25e53442ce664738a2cf44402e97c927_bc0d83a85c1b4341b92d4a6affcb06a3.png</t>
  </si>
  <si>
    <t>Q302502241</t>
  </si>
  <si>
    <t>(DateT8/24) Vingoric-50 Sildenafil Tablets 50mg (Hộp 1 vỉ x 4 viên nén) ( SILDEN VINGO 50 )</t>
  </si>
  <si>
    <t>https://product.hstatic.net/200000428801/product/1710eb5b6e2d4188826da15a88a7fe24_d7d116f87c5142b69680ff914bc7c751.png</t>
  </si>
  <si>
    <t>Q302281023</t>
  </si>
  <si>
    <t>(DateT8/26) Bột Pha Tiêm Trixone 1 Ceftriaxone for Injecton USP 1gm Flamigo Ân ( CEFTRI FLA )</t>
  </si>
  <si>
    <t>https://product.hstatic.net/200000428801/product/39e4e4c5aebb45ef84e08b8432a205e6_a3ffd74dab484deaa7ca02c18702bf68.png</t>
  </si>
  <si>
    <t>Q302231023</t>
  </si>
  <si>
    <t>(DateT8/26) Zopucef - 200 Cefixime 200mg Micro Ấn Độ (Hộp 1 vỉ x 10 viên nang) ( CEFI ZOPU )</t>
  </si>
  <si>
    <t>https://product.hstatic.net/200000428801/product/708a71d3cc894fc59790ba8fdf689346_651c8b4129dd4fd982bb99318a8f582d.png</t>
  </si>
  <si>
    <t>Q30200198</t>
  </si>
  <si>
    <t>(DateT9/2023) Trimebutine Maleate BTO 100mg (H/ 10 vỉ x 10 viên) ( TRIME BTO )</t>
  </si>
  <si>
    <t>https://product.hstatic.net/200000428801/product/dfb890a490cc4f61b816be5d6b1c0ae2_5201288fab9c4baa97f499bccbd3339a.png</t>
  </si>
  <si>
    <t>Q3020000690</t>
  </si>
  <si>
    <t>(DateT9/2024) Vesbratab Esomeprazole 40mg Ấn Độ ( H/30 viên) ( VESBRA ESOME )</t>
  </si>
  <si>
    <t>https://product.hstatic.net/200000428801/product/a4e343c6a1a9402089779f66e74037bd_586f4ed1bd5240d6bcc4b90a67e033f5.png</t>
  </si>
  <si>
    <t>Q30200003</t>
  </si>
  <si>
    <t>(DateT9/23) Daewaovis Dae Hwa Albendazole 400mg ( H/1 vỉ x 1 viên) ( Q30200003 )</t>
  </si>
  <si>
    <t>https://product.hstatic.net/200000428801/product/616058bf484b4dde9ec7367acbd56cd5_928a5b292c37434082dc6e9545d64c31.png</t>
  </si>
  <si>
    <t>SP000002</t>
  </si>
  <si>
    <t>(DateT9/23) Flucinar Jelfa S.A 15g ( H/tuýp 15g) ( FLUCIN )</t>
  </si>
  <si>
    <t>https://product.hstatic.net/200000428801/product/ffe608233b234948b2f04f0f83901fc7_a38d6386940349a8912f64917cd7cec4.png</t>
  </si>
  <si>
    <t>Q302171023</t>
  </si>
  <si>
    <t>(DateT9/24) Alphachymotrypsin Chymotrypsin 4,2mg S.Pharm (Hộp 5 vỉ x 10 viên nén) ( ALPHA CHY )</t>
  </si>
  <si>
    <t>https://product.hstatic.net/200000428801/product/bd9321eb9f1b482ca51070a9398424a3_af72a8568b6048ca920a114d90cffabd.png</t>
  </si>
  <si>
    <t>Q302091323</t>
  </si>
  <si>
    <t>(DateT9/24) Cbispasmo Phloroglucinol dihydrat 80mg Tab Agimexpharma (Hộp 5 vỉ x 10 viên nén) ( CBIS PHLO )</t>
  </si>
  <si>
    <t>https://product.hstatic.net/200000428801/product/94f132bde20345ab856663375f5ace3d_ffe3e16b725442938d433cab94749e46.png</t>
  </si>
  <si>
    <t>Q302210823</t>
  </si>
  <si>
    <t>(DateT9/25) Lexinmingo 500 Cefalexin Capsules BP 500mg Flamingo (Hộp 10 vỉ x 10 viên nang) ( CEFA FLA )</t>
  </si>
  <si>
    <t>https://product.hstatic.net/200000428801/product/cf750c32018a4ad6b6f844229be833e8_12510896c7624d4c9c4c9e77c272335e.png</t>
  </si>
  <si>
    <t>Q3020000693</t>
  </si>
  <si>
    <t>(DateT9/26) Androz Sildenafi Torrent (H/4 viên) ( SILDEN AND )</t>
  </si>
  <si>
    <t>https://product.hstatic.net/200000428801/product/6575d6ef42cb42fdb9734f941a242c8b_2c336baa97db4c0cb22a28fee47050c2.png</t>
  </si>
  <si>
    <t>Q302111123</t>
  </si>
  <si>
    <t>(DateT9/26) Brown Burk Cefadroxil 500mg Capsules Vidipha (Hộp 10 vỉ nhôm x 10 viên) ( CEFA VIDI )</t>
  </si>
  <si>
    <t>https://product.hstatic.net/200000428801/product/abd83818e3464cff8d9b2581075f54e5_d0b5c16b110c4b21992f09742e3e1058.png</t>
  </si>
  <si>
    <t>Q302061223</t>
  </si>
  <si>
    <t>08/2026 Nước Mắt Nhân Tạo Neosat Sodium Ophthaimic (Cọc 10 lọ x 5ml) ( Q302061223 )</t>
  </si>
  <si>
    <t>https://cdn2-retail-images.kiotviet.vn/2026/03/07/giabaopharma/7f983f912de14ae5b5568df31ae8d6db.jpg</t>
  </si>
  <si>
    <t>Q3022652309</t>
  </si>
  <si>
    <t>10/2025" Lomac Omeprazol 20mg Cipla Ấn Độ (hộp 6 vỉ nhôm x 10 viên nang) "</t>
  </si>
  <si>
    <t>https://product.hstatic.net/200000428801/product/997ec0bd137e44e2b5aad2ccc5007172_6d02939cf4ae478ea2161f4baf765c4b.png</t>
  </si>
  <si>
    <t>Q30200191</t>
  </si>
  <si>
    <t>12B With Ginseng Vinaphar (H/ 100 viên) ( GINSE 20 )</t>
  </si>
  <si>
    <t>https://product.hstatic.net/200000428801/product/1c8b6e5d1b3243c594fd7ed3c865af40_5b24f34c06ca48b8ab0b1cf31a83e10f.png</t>
  </si>
  <si>
    <t>SP648493</t>
  </si>
  <si>
    <t>15 B Linhzhi Gingseng Vinaphar (H/ 100 viên) ( )</t>
  </si>
  <si>
    <t>SP648529</t>
  </si>
  <si>
    <t>15-B linhzhi gingseng hộp 100v nang VINAPHAR ( )</t>
  </si>
  <si>
    <t>https://product.hstatic.net/200000428801/product/b08977db5fc14307926cec4827de53d2_ba8569e7a9c24289a42b7ce79c635580.png</t>
  </si>
  <si>
    <t>Q30200177</t>
  </si>
  <si>
    <t>18B Ginseng Linhzhi Vinaphar (H/100v) ( GINSE 18 )</t>
  </si>
  <si>
    <t>SP64856080</t>
  </si>
  <si>
    <t>20B hộp 100 viên Vinaphar</t>
  </si>
  <si>
    <t>SP648599</t>
  </si>
  <si>
    <t>Acetab Extra agimexpharm hộp 180 viên ( AGI ACE )</t>
  </si>
  <si>
    <t>Q3020000636</t>
  </si>
  <si>
    <t>Aciclovir Agiclovir Agimexpharm 800 mg (H/10 vỉ x 10 viên) ( AGIC 1 )</t>
  </si>
  <si>
    <t>Q30200532</t>
  </si>
  <si>
    <t>Aciclovir kem hình môi (H/1 tuýp) ( Q30200532 )</t>
  </si>
  <si>
    <t>SP64856111</t>
  </si>
  <si>
    <t>Acuclav 625 hộp 20 viên</t>
  </si>
  <si>
    <t>Q30200321</t>
  </si>
  <si>
    <t>Adagrin ICA (H/3 viên) ( ADA )</t>
  </si>
  <si>
    <t>Q30200621</t>
  </si>
  <si>
    <t>Adolox Rhydburg Pharma Levofloxacin 500mg (H/1 vỉ x 10 viên) ( LEVO 0131 )</t>
  </si>
  <si>
    <t>https://product.hstatic.net/200000428801/product/dc57f9f9ff87479cae25bbffabfbc835_acb365673e434103a262649c9d226414.png</t>
  </si>
  <si>
    <t>Q30200281</t>
  </si>
  <si>
    <t>Agiclovir 400 Agimexpharm Aciclovir (H/3 vỉ x10 viên) ( AGIC 4 )</t>
  </si>
  <si>
    <t>https://product.hstatic.net/200000428801/product/168e04441caf4a22ae70de5849ccbc49_9267e271b0c0473f83e0652ee4d2fea6.png</t>
  </si>
  <si>
    <t>Q302290923</t>
  </si>
  <si>
    <t>Agiclovir Aciclovir 200mg Agimexpharm (Hộp 2 vỉ x 10 viên nén) ( ACI ACY 2 )</t>
  </si>
  <si>
    <t>https://product.hstatic.net/200000428801/product/43e96ed188c64128b197b67f0a387234_ec9201440fc742729a041fcb81f7339f.png</t>
  </si>
  <si>
    <t>Q30200396</t>
  </si>
  <si>
    <t>Agiclovir Aciclovir Agimexfarm 800 (H/10 viên) ( AGIC 8 )</t>
  </si>
  <si>
    <t>https://product.hstatic.net/200000428801/product/c383c5dacd48487ca06a87a316268227_d8e8cf3ed74b4d80b9853e15bd53db40.png</t>
  </si>
  <si>
    <t>Q30200001</t>
  </si>
  <si>
    <t>Albendazole 400mg Brawn (H/1 vỉ x 1 viên) ( ALBEN 1 )</t>
  </si>
  <si>
    <t>Q30200100</t>
  </si>
  <si>
    <t>Allor-10 Loratadine USP XL Laboratories Ấn Độ 10mg (H/10 vỉ x 10 viên) ( LORA ALL )</t>
  </si>
  <si>
    <t>https://product.hstatic.net/200000428801/product/893afb9711b44d16a9c3c8a56fcd7fda_7d582879a2f646bda91440b728a3b550.png</t>
  </si>
  <si>
    <t>Q30200102</t>
  </si>
  <si>
    <t>Alpha Choay Sanofi (H/2 vỉ x15 viên) ( ALPHA C )</t>
  </si>
  <si>
    <t>https://product.hstatic.net/200000428801/product/ab79f3bf4c884b58ae4bf1d43494ba12_f7e026ba6f134da8984c75bdb947b2e0.png</t>
  </si>
  <si>
    <t>Q3020000637</t>
  </si>
  <si>
    <t>Alpha Chymotrypsin Robinson(H/5 vỉ x 10 viên)date 2/27 ( CHYMO 1 )</t>
  </si>
  <si>
    <t>https://product.hstatic.net/200000428801/product/aed0f4654382408999a9dcb829cae718_47f392588e3a4c0cba831c7260f2821e.png</t>
  </si>
  <si>
    <t>Q30200553</t>
  </si>
  <si>
    <t>Ambroflam Ambroxol Flamigo 30mg (H/100 viên) ( AMBRO 2 )</t>
  </si>
  <si>
    <t>Q30200541</t>
  </si>
  <si>
    <t>Ambroxol An Thiên 30mg (C/30ml) ( AMBRO AT )</t>
  </si>
  <si>
    <t>https://product.hstatic.net/200000428801/product/e3411fba2876499a9b1c26e7d60bd5c7_695aef5df912401192bce70443d80fc8.png</t>
  </si>
  <si>
    <t>Q30200590</t>
  </si>
  <si>
    <t>Amlo-EFTI Amlodipine (H/100 viên) ( AMLO 1 )</t>
  </si>
  <si>
    <t>https://product.hstatic.net/200000428801/product/8085a1be950146df9713adcf09352ccd_dcb53667c6724b27a4883c03bbf62671.png</t>
  </si>
  <si>
    <t>SP64856117</t>
  </si>
  <si>
    <t>Amoxicillin 500mg Ấn aurobindo hộ 100 viên</t>
  </si>
  <si>
    <t>Q30200157</t>
  </si>
  <si>
    <t>Amoxicillin 500Mg Flamingo (H/ 10 vỉ x 10 viên) ( AMOX FLA )</t>
  </si>
  <si>
    <t>https://product.hstatic.net/200000428801/product/2202a747683846919bd3c7abf262fe10_a684ddabfb344d0f9ab152d7c42e1c4b.png</t>
  </si>
  <si>
    <t>SP648537</t>
  </si>
  <si>
    <t>Ampicillin 500mg hộp 10 vỉ*10 viên(7/27) VIDIPHA ( AMPI VIDI )</t>
  </si>
  <si>
    <t>https://product.hstatic.net/200000428801/product/54f963b054504eea8fe051f67e06a104_758d72f1f43e4b5d83f11b56ab5dfb0c.png</t>
  </si>
  <si>
    <t>Q30200521</t>
  </si>
  <si>
    <t>Ampicillin Reyoung Corporation 1g (H/10 lọ bột pha tiêm) ( AMPI REYO )</t>
  </si>
  <si>
    <t>https://product.hstatic.net/200000428801/product/860d9ed756084d5c9cae47e99dddd837_ab7260f96f37476ab837b4fdf0f10fbd.png</t>
  </si>
  <si>
    <t>Q30200522</t>
  </si>
  <si>
    <t>Amsyn 5 Amlodipine 5mg Ấn Độ (H/10 vỉ x 10 viên) ( AMLO AMS )</t>
  </si>
  <si>
    <t>https://product.hstatic.net/200000428801/product/5e8f8382ab8348748b821270b5e001ee_75fad0da5efd40819fb8099fb41d113d.png</t>
  </si>
  <si>
    <t>SP64856088</t>
  </si>
  <si>
    <t>An cold Flu D hộp 100 viên (cảm cúm)</t>
  </si>
  <si>
    <t>https://product.hstatic.net/200000428801/product/81f49518f02f4e4e8459fc83a61158ff_293a556da447490f9a3d912beda4d51b.png</t>
  </si>
  <si>
    <t>SẢN PHẨM</t>
  </si>
  <si>
    <t>SP648607</t>
  </si>
  <si>
    <t>Anaferon hộp 20 viên tăng đề kháng ( ANA )</t>
  </si>
  <si>
    <t>Q302748564</t>
  </si>
  <si>
    <t>AnthynaMax TTA Tăng Cường Sức Khỏe, Nâng Cao Sức Đề Kháng (Hộp/ Lọ 30 viên) ( ALTHY )</t>
  </si>
  <si>
    <t>https://cdn-images.kiotviet.vn/2025/05/20/giabaopharma/fa596ec49ba34cff8f46cbafe7b2fa5e.jpg</t>
  </si>
  <si>
    <t>SP64856027</t>
  </si>
  <si>
    <t>Antotri hộp 30 viên Hải Linh ( ANTO TRI )</t>
  </si>
  <si>
    <t>https://product.hstatic.net/200000428801/product/19c7802ad2b4410686328ddc2e88bb9c_5391afc310dd430f976c03811a52f233.png</t>
  </si>
  <si>
    <t>Q30200152</t>
  </si>
  <si>
    <t>Apitim Amlodipin 5mg Dhg (H/30v) ( AMLO AP )</t>
  </si>
  <si>
    <t>https://product.hstatic.net/200000428801/product/3551d55ac27f4262b42d4dc65de0ec45_7d816ef1d5d34e13b2cd55950629669a.png</t>
  </si>
  <si>
    <t>SP648527</t>
  </si>
  <si>
    <t>Aqua Calcium D3 vinaphar ( Hộp 20 ống * 10ml) date 6/2027 ( )</t>
  </si>
  <si>
    <t>https://product.hstatic.net/200000428801/product/18ec37dfb0844845920316726149b42d_d54afd7f1ff24416acd1c88941eceb73.png</t>
  </si>
  <si>
    <t>Q302554672</t>
  </si>
  <si>
    <t>Arginin B.Complex Extra Vinaphar (H/12vỉ x 5viên) ( Q302554672 )</t>
  </si>
  <si>
    <t>SP648485</t>
  </si>
  <si>
    <t>Arginin Cà gai leo hạ châu - xạ đen Vinaphar (H/ 12 vỉ x 5 viên) ( )</t>
  </si>
  <si>
    <t>Q30200506</t>
  </si>
  <si>
    <t>Arginin Gold HD Pharma (H/60V) ( Q30200506 )</t>
  </si>
  <si>
    <t>https://product.hstatic.net/200000428801/product/6607662bdba34ea7a8e0673cecae4441_d441a77974a0466e90e2fe689faa27f2.png</t>
  </si>
  <si>
    <t>Q30200630</t>
  </si>
  <si>
    <t>Arginin xanh HD pharma (H/60V) ( Q30200630 )</t>
  </si>
  <si>
    <t>https://product.hstatic.net/200000428801/product/e921050fca9f4ce9850109aab5665112_01be231fcb4b4c3eb392d7436f31bf29.png</t>
  </si>
  <si>
    <t>Q30200580</t>
  </si>
  <si>
    <t>Asirub Ethanol An Sinh (C/500ml) ( ETHA )</t>
  </si>
  <si>
    <t>https://product.hstatic.net/200000428801/product/d298ea3db82242b7a8450fb317222be1_cc046b9aa3954edd847874a12fbb2a7b.png</t>
  </si>
  <si>
    <t>Q30200568</t>
  </si>
  <si>
    <t>Asthalin Inhaler Cipla ( H/ 1 ống hít) ( ASTHA )</t>
  </si>
  <si>
    <t>https://product.hstatic.net/200000428801/product/ad7899f094fb42679efd6ace11163e28_2a96bec2c82b469b9a86946a36446d3e.png</t>
  </si>
  <si>
    <t>Q30200271</t>
  </si>
  <si>
    <t>Aszolzoly-10 Atorvastatin Windlas (H/100 viên) ( ATOR ASZO )</t>
  </si>
  <si>
    <t>https://product.hstatic.net/200000428801/product/4008f801035d4c9ab2de0902a298cb99_1ded12e308e846019ec6579c48656caa.png</t>
  </si>
  <si>
    <t>SP648552</t>
  </si>
  <si>
    <t>Aszolzoly-20 atorvastatin 2o mg hộp 10 vỉ* 10 viên ( ATO ASZO )date 10/27</t>
  </si>
  <si>
    <t>Q30200401</t>
  </si>
  <si>
    <t>AT Desloratadin An Thiên 2,5mg (H/30 ống x 5ml) ( DESLORA AT 2.5 )</t>
  </si>
  <si>
    <t>Q30200070</t>
  </si>
  <si>
    <t>AT Ibubrofen Syrup An Thiên (H/ 30 ống) ( IBU AT. )</t>
  </si>
  <si>
    <t>https://product.hstatic.net/200000428801/product/951a4160c9b944d5842f063bbfceb110_c3cb4173dd72435794404cc5ae816fea.png</t>
  </si>
  <si>
    <t>Q30200322</t>
  </si>
  <si>
    <t>Atasic Cefixim 200mg USP (H/30 viên) ( CEFI ATA )</t>
  </si>
  <si>
    <t>https://product.hstatic.net/200000428801/product/9fab3307dd1746a398b44ce3ac8b1350_1da266185b5e4acf842a1a82a3855948.png</t>
  </si>
  <si>
    <t>Q30200571</t>
  </si>
  <si>
    <t>Augtipha 1g Augtipha Tipharco (H/ 20 viên) ( AUG 1G )</t>
  </si>
  <si>
    <t>https://product.hstatic.net/200000428801/product/90c451a6908346da816cc567f352e934_28be99b9d3e4465a91580c668e84b3ad.png</t>
  </si>
  <si>
    <t>Q3020000706</t>
  </si>
  <si>
    <t>Augtipha 625mg Amoxicilin Tipharco (H/ 20 viên) ( AMOX )</t>
  </si>
  <si>
    <t>https://product.hstatic.net/200000428801/product/f3217e5fa41641fd848ac0bba599d245_9af94b9c5ae1439883be14c96a8a79a5.png</t>
  </si>
  <si>
    <t>Q30200008</t>
  </si>
  <si>
    <t>Augxicine 250mg/31,25mg Amoxicilin Vidipha (H/ 10 gói 800mg) ( AMOX AUG 3 )</t>
  </si>
  <si>
    <t>https://product.hstatic.net/200000428801/product/b8408fe6981647b5b8b8bb47f7a93b20_b422ce39b8ba4a78a68d4e9c10e9fd95.png</t>
  </si>
  <si>
    <t>Q30200002</t>
  </si>
  <si>
    <t>Augxicine 500mg/62,5mg Amoxicilin Vidipha (H/10 gói *1000mg) ( AMOX AUG )</t>
  </si>
  <si>
    <t>https://product.hstatic.net/200000428801/product/5b72e268d9ac41dab319c4cb6df549e7_1c8d442008fc4944a1b7748c6eedd2c4.png</t>
  </si>
  <si>
    <t>Q30200474</t>
  </si>
  <si>
    <t>Augxicine Amoxicillin Vidipha 1g (H/100 viên) ( AMOX AUG 2 )</t>
  </si>
  <si>
    <t>https://product.hstatic.net/200000428801/product/016f8157ee2e456593b3fe5995229ada_533ab91d56a446b08b382fc2ebac329f.png</t>
  </si>
  <si>
    <t>Q30200622</t>
  </si>
  <si>
    <t>Avalo hồng Mediplantex Levonorgestrel 0.03mG(H/1 vỉ x 28 v) ( LEVO 0130 )</t>
  </si>
  <si>
    <t>https://product.hstatic.net/200000428801/product/d81fbcaa8df44c4bbd20ef9ece0a90a1_0a128a1d9b0145899e189223b97978d8.png</t>
  </si>
  <si>
    <t>SP648480</t>
  </si>
  <si>
    <t>Avaloday Levonorgestrel Ba Đình xanh dương (hộp x 28 viên) ( LEVO 05 )</t>
  </si>
  <si>
    <t>https://product.hstatic.net/200000428801/product/7a290b9a1df14aa8aa1f5965ca6af0a2_55e9d7cc50e4446585d147953962626f.png</t>
  </si>
  <si>
    <t>Q30200501</t>
  </si>
  <si>
    <t>Azalovir Ấn Độ aciclovir cream BP 5% ( tuýp 5g) ( ACI ACY bp )</t>
  </si>
  <si>
    <t>https://product.hstatic.net/200000428801/product/370ee5bf5a4140c4a5c21093139ce484_5a93b57f87f045ecab23cc7d51e6443b.png</t>
  </si>
  <si>
    <t>SP648546</t>
  </si>
  <si>
    <t>Azithromycin 250 Thaibiphar ( H/6v) date 7/2027 ( AZI TH )</t>
  </si>
  <si>
    <t>https://product.hstatic.net/200000428801/product/1f325bee89cd401eba55432c2529530c_8d7a83955c3b47bb801472036d6886e6.png</t>
  </si>
  <si>
    <t>Q30200623</t>
  </si>
  <si>
    <t>Aziwok-500 Ấn Độ Azithromycin 500g (H/3 vỉ x10 viên) ( AZI 500 AR )</t>
  </si>
  <si>
    <t>https://cdn2-retail-images.kiotviet.vn/2026/02/07/giabaopharma/fd2907687fd6406692b9d4431efa9ef7.png</t>
  </si>
  <si>
    <t>SP64856084</t>
  </si>
  <si>
    <t>Ăn ngủ ngon Rostex hộp 30 viên</t>
  </si>
  <si>
    <t>https://product.hstatic.net/200000428801/product/a3cd2b7c4a5f43b5b74ef2f58206c034_dad36db4b9be4113913fc4639fdb86fd.png</t>
  </si>
  <si>
    <t>SP64856058</t>
  </si>
  <si>
    <t>Ăn ngủ ngon soft hộp 30 viên ( )</t>
  </si>
  <si>
    <t>SP648507</t>
  </si>
  <si>
    <t>Ăn ngủ ngon Yến Sào Nest Kids Vinaphar (H/ 20 ống) ( )</t>
  </si>
  <si>
    <t>https://cdn2-retail-images.kiotviet.vn/2025/10/30/giabaopharma/4306de85fe13481585e119eae35f3b6a.png</t>
  </si>
  <si>
    <t>SP648490</t>
  </si>
  <si>
    <t>Babykids Mummum Yến Sào Vinaphar (H/ 20 ống x 10ml) ( )</t>
  </si>
  <si>
    <t>https://product.hstatic.net/200000428801/product/3d50c443930746b184a28daaff40a901_e8a913057da24a808149b43918f4e241.png</t>
  </si>
  <si>
    <t>Q30200025</t>
  </si>
  <si>
    <t>Banupyl-Kit Tinidazole Micro ( H/42 viên) ( TINI BANU )</t>
  </si>
  <si>
    <t>https://product.hstatic.net/200000428801/product/4f64c13cdb5f492c933381bffc5f6e3b_d47cf33c6d444bcfb60adb5a24349c98.png</t>
  </si>
  <si>
    <t>Q3020000709</t>
  </si>
  <si>
    <t>Bao Cao Su Dreamtana Tân Á (H/10 cái) ( DREAM )</t>
  </si>
  <si>
    <t>https://product.hstatic.net/200000428801/product/3ddee199be964b098b7da9d5ce06c99f_f5e8698ed82a458ca67c76d6990d4326.png</t>
  </si>
  <si>
    <t>Q3020000694</t>
  </si>
  <si>
    <t>Beauty Rostech Hoa Anh Thảo Vitamin e Hải Dương (H/60v) ( Q3020000694 )</t>
  </si>
  <si>
    <t>https://product.hstatic.net/200000428801/product/9747fbceb9d94994a2902ff2729ac1bb_b2ac78e0814749e58a1569419c160be1.png</t>
  </si>
  <si>
    <t>SP648602</t>
  </si>
  <si>
    <t>Becberzine Đại Uy lọ 500V ( BEC )</t>
  </si>
  <si>
    <t>https://product.hstatic.net/200000428801/product/fb2859734bb44031ab831caa7cf3de56_b057f490867d46d5a5839bb4d9b6968e.png</t>
  </si>
  <si>
    <t>SP648590</t>
  </si>
  <si>
    <t>Becozym Vitamin nhóm B tiêm ( BECO )</t>
  </si>
  <si>
    <t>https://product.hstatic.net/200000428801/product/d0c20ac1663340e09cde8196f31146d5_d7f4856bbd8443a9b649a1320e95ac9d.png</t>
  </si>
  <si>
    <t>Q3020000676</t>
  </si>
  <si>
    <t>Benzylpenicllin 1.000IU (H/50 ống) ( PENI BEN )</t>
  </si>
  <si>
    <t>https://product.hstatic.net/200000428801/product/600f4c2a872e4a34abe06c1ec971b6da_bd93598554be49b29bc4fe83a81b5e28.png</t>
  </si>
  <si>
    <t>Q30200303</t>
  </si>
  <si>
    <t>Bicefir 125 Cefdinir 125mg Vidipha (H/10 gói x 1500mg) ( CEFI BICE )</t>
  </si>
  <si>
    <t>https://product.hstatic.net/200000428801/product/33ee3b7ce27c4628bafeb3fa53b812c7_e7cfc18620174b4ab90ff05b6b5ff263.png</t>
  </si>
  <si>
    <t>SP648611</t>
  </si>
  <si>
    <t>Big Jim hỗ trợ tăng cường sinh lực nam giới lọ 30 viên ( )</t>
  </si>
  <si>
    <t>https://product.hstatic.net/200000428801/product/f8548d3dbc3749e6b3c6329c727c01ef_248b53507aaf404ba367a611a40dd588.png</t>
  </si>
  <si>
    <t>SP64856102</t>
  </si>
  <si>
    <t>Biogabulin-Plus hộp 100 viên</t>
  </si>
  <si>
    <t>https://product.hstatic.net/200000428801/product/e2a41ebf290c45c38ff76d3ef98cfa9f_d1f024e22b53450a95721e1543731d02.png</t>
  </si>
  <si>
    <t>SP64856099</t>
  </si>
  <si>
    <t>Biogabulin-plus men tiêu hóa hộp 100 viên</t>
  </si>
  <si>
    <t>https://product.hstatic.net/200000428801/product/455c359afe5a45d085eb2fe2ecc65a17_38e61bbc77394990be55a5448bb7ba21.png</t>
  </si>
  <si>
    <t>SP648586</t>
  </si>
  <si>
    <t>Biotin gói DHC túi 30 viên ( )</t>
  </si>
  <si>
    <t>https://product.hstatic.net/200000428801/product/5d4df12a49504fd7a1c95f501cf4be88_551341fb623a4221a43681272d8bb1f4.png</t>
  </si>
  <si>
    <t>Q30200111</t>
  </si>
  <si>
    <t>Biotin mẫu lọ HD Pharma(H/60V) date 2028 ( Q30200111 )</t>
  </si>
  <si>
    <t>https://cdn2-retail-images.kiotviet.vn/2025/02/25/giabaopharma/55b353a5e3d540029cb4064bc24358f8.jpg</t>
  </si>
  <si>
    <t>https://product.hstatic.net/200000428801/product/54233a2e8057445a89364bd26e96814c_d55aac4a78874aef902686bb29c57999.png</t>
  </si>
  <si>
    <t>Q302200024</t>
  </si>
  <si>
    <t>Bisnang Dongkoo Levofloxacin 5ml (C/5ml) ( LEVO 0129 )</t>
  </si>
  <si>
    <t>https://product.hstatic.net/200000428801/product/7977e6b55cac4399b5fc707a5ff3f100_a38a97736c824516afd1b8aa2e774754.png</t>
  </si>
  <si>
    <t>Q30200481</t>
  </si>
  <si>
    <t>Bocinor Levonorgestrel 1,5mg (H/1 v) tím ( LEVO 0128 )</t>
  </si>
  <si>
    <t>https://product.hstatic.net/200000428801/product/290929aaf20c4298a390219dd663a391_6a70729ba95e4246be3dde20c16b44a9.png</t>
  </si>
  <si>
    <t>Q30200417</t>
  </si>
  <si>
    <t>Bocinor Levonorgestrel Ba Đình 1,5mg (H/ 1 viên) xám ( LEVO 0126 )</t>
  </si>
  <si>
    <t>https://product.hstatic.net/200000428801/product/97676f540eed4d80bfe97e173ebdbc8b_b4adae35cfa6489fb1c045804bab773d.png</t>
  </si>
  <si>
    <t>Q30200297</t>
  </si>
  <si>
    <t>Bocinor Levonorgestrel Ba Đình 1,5mg (hộp x 1 vỉ x 1 viên) hồng ( Date 6/28) ( LEVO 0127 )</t>
  </si>
  <si>
    <t>https://product.hstatic.net/200000428801/product/9f3a07aed57c437086f6c867fbcc7504_acefcfe0783c457f986d9abc71f67dfd.png</t>
  </si>
  <si>
    <t>Q30200485</t>
  </si>
  <si>
    <t>Bocinor Xám Ba Đình (H/1V) ( Q30200485 )</t>
  </si>
  <si>
    <t>https://product.hstatic.net/200000428801/product/335886b79e3c4b47aa0c2432678ffb42_28804a2816814079964ed73d47502cb5.png</t>
  </si>
  <si>
    <t>SP64856093</t>
  </si>
  <si>
    <t>Boostim -1000 hộp 10 viên</t>
  </si>
  <si>
    <t>https://product.hstatic.net/200000428801/product/f324434efb2d44baac7fe84434ed6716_1b1ca7b5b99d4e4696de14c681ba13e4.png</t>
  </si>
  <si>
    <t>SP64856094</t>
  </si>
  <si>
    <t>Boostim-625 hộp 20 viên</t>
  </si>
  <si>
    <t>https://product.hstatic.net/200000428801/product/1e5cc681496a45e19d7ca3d83911cf2b_3f15657d610740cdbf49c11b803231ac.png</t>
  </si>
  <si>
    <t>Q3020000639</t>
  </si>
  <si>
    <t>Boricetam Piracetam 400mg Brawn (H/10 vỉ x 10 viên) ( PIRA BORI )</t>
  </si>
  <si>
    <t>https://product.hstatic.net/200000428801/product/9f7f5414ecf24643a5ad169a248bb530_86b1fdbf62d0447abeb26fe4422407a9.png</t>
  </si>
  <si>
    <t>SP64856015</t>
  </si>
  <si>
    <t>Bostanex siro 30 ml -desloratadine Boston ( DESLORA )</t>
  </si>
  <si>
    <t>https://cdn2-retail-images.kiotviet.vn/2025/10/23/giabaopharma/d5f5a7e71ec549c0adf0809949870d41.png</t>
  </si>
  <si>
    <t>SP648618</t>
  </si>
  <si>
    <t>Bostogel hỗn dịch uống hộp 30 gói ( )</t>
  </si>
  <si>
    <t>https://product.hstatic.net/200000428801/product/2e643566327642629cef5490de605fd2_4d16cc73bf134e6d996d358db8b3219f.png</t>
  </si>
  <si>
    <t>SP64856001</t>
  </si>
  <si>
    <t>Bổ bầu Proratanl hồng H30V- Hải Dương ( )</t>
  </si>
  <si>
    <t>https://product.hstatic.net/200000428801/product/01b14b671bc9429faf2ae6632fd521f2_59d2e47888b54d1aaa577547c209b062.png</t>
  </si>
  <si>
    <t>SP64856048</t>
  </si>
  <si>
    <t>Bổ gan Nutriday hàng nhập khẩu chính ngạch có tem phụ Hàn Quốc (1 Hộp/ 30 viên) ( )</t>
  </si>
  <si>
    <t>https://product.hstatic.net/200000428801/product/55fbf2acff1f4ab1a51d3e621c1a88a6_c0e19a792d3c44cda65bfb1c250916cd.png</t>
  </si>
  <si>
    <t>Q30200575</t>
  </si>
  <si>
    <t>Bộ kit Trueline Covid-19 Ag Rapid Test Medicon (H/ 25 bộ) ( Q30200575 )</t>
  </si>
  <si>
    <t>https://product.hstatic.net/200000428801/product/0d3011763d974ef7874bcc0ed33ea5b2_be05a21039874358bb516cf2c4f7dbb3.png</t>
  </si>
  <si>
    <t>Q30200538</t>
  </si>
  <si>
    <t>Bổ phổi Thuymododulin dạng viên (H/ 30 viên) ( Q30200538 )</t>
  </si>
  <si>
    <t>https://product.hstatic.net/200000428801/product/a53eaa721cb8406fa0e2a378572f0460_b542805d0a464fcf86319891969ed57b.png</t>
  </si>
  <si>
    <t>Q3020000713</t>
  </si>
  <si>
    <t>Bổ phổi Xuyên Tâm Liên dạng ống (H/20 ống) ( Q3020000713 )</t>
  </si>
  <si>
    <t>Q30200007</t>
  </si>
  <si>
    <t>Bổ Thận Âm Roxtech HD Pharma Cho Cả Nam Và Nữ (H/30V) ( Q30200007 )</t>
  </si>
  <si>
    <t>https://product.hstatic.net/200000428801/product/b02355df20694343a73fbbcc14c493a6_a15bd358cfc748668c1cc32b34aed9a7.png</t>
  </si>
  <si>
    <t>Q30200122</t>
  </si>
  <si>
    <t>Bổ Thận Nam (mẫu lọ) HD pharma (H/30V) ( Q30200122 )</t>
  </si>
  <si>
    <t>Q3020000719</t>
  </si>
  <si>
    <t>Bổ Thận Nam (mẫu vỉ) HD Pharma (H/30V) ( Q3020000719 )</t>
  </si>
  <si>
    <t>https://product.hstatic.net/200000428801/product/7caced09c68d4d67b36b9feb9a79cc64_5cf7b510623f4d66a6216066491b53a8.png</t>
  </si>
  <si>
    <t>Q30200011</t>
  </si>
  <si>
    <t>Bổ Thận Nam Hải Dương (C/30 viên) xanh dương ( Q30200011 )</t>
  </si>
  <si>
    <t>https://product.hstatic.net/200000428801/product/38ea06aa3bcf4291b4c24d8aaa207f85_f156ae7296d64cd9bba162ec005b8ed0.png</t>
  </si>
  <si>
    <t>Q30200019</t>
  </si>
  <si>
    <t>Bổ Thận Nam HD ( C/ 30 viên) ( Q30200019 )</t>
  </si>
  <si>
    <t>https://product.hstatic.net/200000428801/product/ce8925bcbcc64b8b8468a1db095a3653_5291c72c287643109e2a0261a594ed13.png</t>
  </si>
  <si>
    <t>Q30200196</t>
  </si>
  <si>
    <t>Bông tẩy trang Jomi Ipek (Túi/ 120 miếng) ( Q30200196 )</t>
  </si>
  <si>
    <t>https://product.hstatic.net/200000428801/product/f08df34b56a841ecb63b6b8c7db40630_5d5c81bae9204429bff00628391f9571.png</t>
  </si>
  <si>
    <t>Q30200625</t>
  </si>
  <si>
    <t>Bru-cod Brawn cefpodoxime Proxetil (L/30ml) ( CEFPO 031 )</t>
  </si>
  <si>
    <t>https://product.hstatic.net/200000428801/product/846f9c0327be41f9b79f8968940b4dd1_dd45c1fa577448a9ad5ceaa6fa3edab7.png</t>
  </si>
  <si>
    <t>Q30200161</t>
  </si>
  <si>
    <t>Brudoxil Cefadroxil 500mg Brawn vỉ nhôm (H/10 vỉ x 10 viên) ( CEFA BRU NHÔM )</t>
  </si>
  <si>
    <t>https://product.hstatic.net/200000428801/product/45f0124713a044eaa3805719d49c27cc_19739756d8f0479e83afe1bb9d19869c.png</t>
  </si>
  <si>
    <t>Q30200296</t>
  </si>
  <si>
    <t>Brudoxil Cefadroxil 500mg Brawn vỉ thường (H/10 vỉ x 10 viên) ( cefa bru thường )</t>
  </si>
  <si>
    <t>https://product.hstatic.net/200000428801/product/13aebcf458064f3499ffdac38e5da75c_ae6bfe4572d84cba9f10276770af64c2.png</t>
  </si>
  <si>
    <t>Q30200373</t>
  </si>
  <si>
    <t>Buclapdoxime Cefpodoxim 100mg Brawn (H/10v) ( CEFPO BLUCLA 1 )</t>
  </si>
  <si>
    <t>https://product.hstatic.net/200000428801/product/cf446eaf3f064308b07b69fe6576aa7a_17bad42db53c4ae1b94662ba79b601cb.png</t>
  </si>
  <si>
    <t>Q30200389</t>
  </si>
  <si>
    <t>Buclapoxime Cefpodoxim 200mg Brawn (H/10v) ( CEFPO BLUCLA 2 )</t>
  </si>
  <si>
    <t>https://product.hstatic.net/200000428801/product/8567ded63be54c868b68aeff667b48c2_a912de5493294c47b72a6b0967f7c655.png</t>
  </si>
  <si>
    <t>SP64856023</t>
  </si>
  <si>
    <t>Cà gai leo GBB premium hộp 60 viên ( )</t>
  </si>
  <si>
    <t>https://product.hstatic.net/200000428801/product/687ead6725d041efb93464cbe933c26e_77ea700972334ef3996538c5cc8275d2.png</t>
  </si>
  <si>
    <t>Q30200448</t>
  </si>
  <si>
    <t>Cà gai leo Gold Tex màu xanh HD Pharma (H/50V) ( Q30200448 )</t>
  </si>
  <si>
    <t>https://product.hstatic.net/200000428801/product/82398707f7b9479bac362182e5c6da6f_cd6634c16cf046c289e74476daba2d6c.png</t>
  </si>
  <si>
    <t>Q30200593</t>
  </si>
  <si>
    <t>Cà Gai Leo GoldTex màu vàng HD (C/ 50 viên) ( Q30200593 )</t>
  </si>
  <si>
    <t>https://product.hstatic.net/200000428801/product/9afe2e46995543a8b79fb2c07b529b63_ada61aadd270457b8aba424e59bfafb6.png</t>
  </si>
  <si>
    <t>Q3020000710</t>
  </si>
  <si>
    <t>Cà gai leo GoldTex xanh HD Pharma (Dạng vỉ/50 viên) ( Q3020000710 )</t>
  </si>
  <si>
    <t>https://product.hstatic.net/200000428801/product/thiet_ke_chua_co_ten__10__9afc3ab818b64a21a9a082b65deac207.png</t>
  </si>
  <si>
    <t>Q30200456</t>
  </si>
  <si>
    <t>Cà Gai Leo Tam Thất - Xạ Đen Rostex (Hộp 50 viên nang) ( Q30200456 )</t>
  </si>
  <si>
    <t>https://product.hstatic.net/200000428801/product/8d891e6ca97642ddb00f5a2e5af7fc6e_d92f04be86bc4418ac146435ff88e74c.png</t>
  </si>
  <si>
    <t>https://product.hstatic.net/200000428801/product/fa069c4c2f9f492dac9a55a5c09b195b_8e0b08d1184c4cb598f619b63d9d46fe.png</t>
  </si>
  <si>
    <t>Q30200361</t>
  </si>
  <si>
    <t>Cadinicin Cefpodoxime 100mg Usp ( H/10 gói x 1g) ( CEFPO CADI )</t>
  </si>
  <si>
    <t>https://cdn2-retail-images.kiotviet.vn/2025/02/25/giabaopharma/a83119e79fef4379a886348048bb39e5.jpg</t>
  </si>
  <si>
    <t>SP648620</t>
  </si>
  <si>
    <t>Calci-D3 USP hộp 100 viên ( )</t>
  </si>
  <si>
    <t>https://product.hstatic.net/200000428801/product/d55b35c8f69e46038c5382baaf800827_bbb843ea98cd4e85b6459dbc75b354d8.png</t>
  </si>
  <si>
    <t>SP648526</t>
  </si>
  <si>
    <t>Calcium D3 Mk7 Growup Kids Gold Vinaphar ( hộp 20 ống x 10ml) ( )</t>
  </si>
  <si>
    <t>https://product.hstatic.net/200000428801/product/a56ab5471c9d43e9a9cea61cc0659846_1463f86b9e9b4bdf937ffeb065d9898d.png</t>
  </si>
  <si>
    <t>SP64856052</t>
  </si>
  <si>
    <t>Calcium nano hộp 100 viên Rostex pharma ( CALCI )</t>
  </si>
  <si>
    <t>https://product.hstatic.net/200000428801/product/b44a8d51cfbf4ff99acdbc1feb41403f_470590c1501249a0856bf606591ac33b.png</t>
  </si>
  <si>
    <t>SP64856037</t>
  </si>
  <si>
    <t>Calcium nano mẫu xanh hộp 100 viên date 4/2028 ( )</t>
  </si>
  <si>
    <t>SP64856057</t>
  </si>
  <si>
    <t>Canxi D3-K2 Kingphar hộp 20 ống ( )</t>
  </si>
  <si>
    <t>https://product.hstatic.net/200000428801/product/c65c46628a484201878ad28cd3cb273a_7bfff55cef324f36b554d721d4aca8ea.png</t>
  </si>
  <si>
    <t>SP64856049</t>
  </si>
  <si>
    <t>Canxi hữu cơ Nutriday hàng nhập khẩu chính ngạch có tem phụ Hàn Quốc (1H/30v) ( )</t>
  </si>
  <si>
    <t>https://product.hstatic.net/200000428801/product/44a465775ee64a6fa9305454b37e507e_ea9105a55d1f4962975dca982f21c526.png</t>
  </si>
  <si>
    <t>SP64856066</t>
  </si>
  <si>
    <t>Canxi nano D3-K2 vỉ hộp 30 viên Kingphar ( )</t>
  </si>
  <si>
    <t>https://product.hstatic.net/200000428801/product/0b4382169f6e42e795670d3f3feb098e_8db7cf738261488583a87a6da2497a3a.png</t>
  </si>
  <si>
    <t>SP64856026</t>
  </si>
  <si>
    <t>Canxi nano extra lọ 50 viên Hải Linh ( )</t>
  </si>
  <si>
    <t>https://product.hstatic.net/200000428801/product/7405f7d143674d708634ce08ec6b14da_530d0885d0644bea89198d814668600a.png</t>
  </si>
  <si>
    <t>SP64856108</t>
  </si>
  <si>
    <t>Canzel-150 (fluconazol 1H/10 viên)</t>
  </si>
  <si>
    <t>https://product.hstatic.net/200000428801/product/85ff1b479f54447e8a93331865cde6e0_109945a2ec46468c88c2fe9dbcc18a06.png</t>
  </si>
  <si>
    <t>SP64856083</t>
  </si>
  <si>
    <t>CCefotaxime1000 hộp 10 lọ Tenamyd</t>
  </si>
  <si>
    <t>https://product.hstatic.net/200000428801/product/5492071bd4154be9bfe60bce418ae90a_9bcde0cb05bf4b1ea2059cb5007361bb.png</t>
  </si>
  <si>
    <t>SP648596</t>
  </si>
  <si>
    <t>Ceepro-500(ciprofloxacin )hộp 100 viên ( cipro 2 )</t>
  </si>
  <si>
    <t>https://product.hstatic.net/200000428801/product/aba92370a8d84a4ea0b923b674cf694e_506ff2ed829144ef9147135b836b5ffd.png</t>
  </si>
  <si>
    <t>Q302956781</t>
  </si>
  <si>
    <t>Cefadroxil Bostodroxil Hard Capsule 500mg (Hộp 10 vỉ x 10 viên nang cứng) ( CEFA BOSTO )</t>
  </si>
  <si>
    <t>https://product.hstatic.net/200000428801/product/0a98013ec1f119af40e0_9b1836ac9d794b859f5797025529e8ca.jpg</t>
  </si>
  <si>
    <t>SP648577</t>
  </si>
  <si>
    <t>cefalexin brawn hộp 100 viên date 10/2025 ( CEFA BRAW )</t>
  </si>
  <si>
    <t>https://product.hstatic.net/200000428801/product/6c08c1b0dba94ac89ead690cf9b5272a_10991fc2d02444abba446b730d7558ca.png</t>
  </si>
  <si>
    <t>Q30200374</t>
  </si>
  <si>
    <t>Cefdinir 125 -HV con gấu (H/10 gói) ( Q30200374 )</t>
  </si>
  <si>
    <t>https://product.hstatic.net/200000428801/product/17d55ccb68714e7db20cd58bd40b8591_f27c1a0011c3434990ee80c817528f0a.png</t>
  </si>
  <si>
    <t>Q3020000657</t>
  </si>
  <si>
    <t>Cefdoxone Cefpodoxime Maxim 100mg ( H/1 vỉ x 10 viên) ngọt ( CEFPO 027 )</t>
  </si>
  <si>
    <t>https://product.hstatic.net/200000428801/product/dc7e423d9a8f4a1085a18316cc5cbf63_87139bf99bb24ae591d87a2ed3333485.png</t>
  </si>
  <si>
    <t>Q30200221</t>
  </si>
  <si>
    <t>Cefixime 200mg XN150 tím (H/2 vỉ x 10 viên) ( CEFI 200 XN )</t>
  </si>
  <si>
    <t>https://product.hstatic.net/200000428801/product/0b273c194d49436bb40a2d20f0123381_a81b4474d3724721bf25035091a04835.png</t>
  </si>
  <si>
    <t>Q30200081</t>
  </si>
  <si>
    <t>Cefixime 400mg USP (H/1 vỉ x10 viên) ( CEFI 400 )</t>
  </si>
  <si>
    <t>https://product.hstatic.net/200000428801/product/0f89b76882424a0e8f27af64ee079566_95ebe527835d4e518cabacc58dea2dd6.jpg</t>
  </si>
  <si>
    <t>SP648540</t>
  </si>
  <si>
    <t>Cefotaxime sodium for injection BRAWN 1g date 02/2027 ( CEFO BRAW1 )</t>
  </si>
  <si>
    <t>https://product.hstatic.net/200000428801/product/85f82f4020af4f36bad601e814680896_8196426c7cea49098d80a1d8fe5b6cd8.png</t>
  </si>
  <si>
    <t>Q30200438</t>
  </si>
  <si>
    <t>Cefpova RTC Cefpodoxine Maxim 100mg (H/10 gói) ( CEFPO 023 )</t>
  </si>
  <si>
    <t>https://cdn2-retail-images.kiotviet.vn/2025/03/14/giabaopharma/31cbf63f09724c7aa23e7d691b6b1141.jpg</t>
  </si>
  <si>
    <t>Q30200338</t>
  </si>
  <si>
    <t>Cefurobiotic 250 Cefuroxim Medipharco( H/5 vỉ x 10 viên) ( CEFU 08 )</t>
  </si>
  <si>
    <t>https://product.hstatic.net/200000428801/product/33_166b92a5bd834851b64697e1347ed9e2.png</t>
  </si>
  <si>
    <t>Q30200088</t>
  </si>
  <si>
    <t>Cefuroxim 500 Vidipha (H/100 viên) ( CEFU 05 )</t>
  </si>
  <si>
    <t>https://cdn2-retail-images.kiotviet.vn/2025/02/17/giabaopharma/ef4a744aee594bada5701c98916bffea.jpg</t>
  </si>
  <si>
    <t>Q30200581</t>
  </si>
  <si>
    <t>Cefuroxim 500mg USP (H/ 2 vỉ x 5 viên) ( CEFU 06 )</t>
  </si>
  <si>
    <t>https://product.hstatic.net/200000428801/product/9c4977fb1a664884be8a8bd05d6b25de_667db24a810e44479a11c1b3b640bf3f.png</t>
  </si>
  <si>
    <t>Q30200502</t>
  </si>
  <si>
    <t>CEFXL 200 Lloyd Laboratories Cefpodoxime (H/1 vỉ x 10 viên) ( CEFP CEXL )</t>
  </si>
  <si>
    <t>https://product.hstatic.net/200000428801/product/1f7a32717bda4b9e8b47619e8d6104dd_f8a08b8d6fd04503abdae06ce1cbf1cd.png</t>
  </si>
  <si>
    <t>Q30200375</t>
  </si>
  <si>
    <t>CEFXL Cefpodoxim 100 XL (H/ 10 viên) ko ngọt ( CEFPO 020 )</t>
  </si>
  <si>
    <t>https://product.hstatic.net/200000428801/product/ed3a06e317de4980b80268057b6b9a08_e9805cf50c1f4e5d85a6c5f3b625b613.png</t>
  </si>
  <si>
    <t>Q3020000696</t>
  </si>
  <si>
    <t>Celebid 200 Brown &amp; Burk Pharm Celecoxib (H/3 vỉ x10 viên) ( CELE BRO )</t>
  </si>
  <si>
    <t>https://product.hstatic.net/200000428801/product/7be2b37fe01d491b865d46b320069eea_5979548310b34228b64675e45a31506d.png</t>
  </si>
  <si>
    <t>Q30200179</t>
  </si>
  <si>
    <t>Celecobib Capsules Coxib - 200mg Micro (H/ 3 vỉ x 10 viên) ( CELE MICR )</t>
  </si>
  <si>
    <t>https://product.hstatic.net/200000428801/product/2f0bb89e636b4ccb900b261621e8eaec_7281c0bfa68a486e9aa260c2616a4dd9.png</t>
  </si>
  <si>
    <t>SP64856116</t>
  </si>
  <si>
    <t>Celecoxib 200mg USL hộp 30 viên</t>
  </si>
  <si>
    <t>https://product.hstatic.net/200000428801/product/37176b5028e049a49f23c09290fca871_d5a4047cf69c4e7e97976fc63d836592.png</t>
  </si>
  <si>
    <t>Q302260519</t>
  </si>
  <si>
    <t>Celestal – Celecoxib 200mg Ấn Độ(hộp 3 vỉ x 10 viên nang )</t>
  </si>
  <si>
    <t>https://product.hstatic.net/200000428801/product/1d66dde1e799461783d06c05a678e248_7c0db14e36c34e329f64b8fd8a29fb4e.png</t>
  </si>
  <si>
    <t>Q302121240</t>
  </si>
  <si>
    <t>Celogot Colchicine Tablet USP 1mg (10 hộp nhỏ/hộp to) (1vỉ x 10viên/hộp nhỏ) ( Q302121240 )</t>
  </si>
  <si>
    <t>https://product.hstatic.net/200000428801/product/23_74e2806b27b6451f9a26264b3fb89959.png</t>
  </si>
  <si>
    <t>Q302196202301</t>
  </si>
  <si>
    <t>Cephalexin 250 Stada Kid (Hộp 24 gói x 3g) ( CEFA KID )</t>
  </si>
  <si>
    <t>https://product.hstatic.net/200000428801/product/82cad4a8be044651a6e88731287d51ed_5dec2d2ce772448288f74763dbf804c8.png</t>
  </si>
  <si>
    <t>Q30200184</t>
  </si>
  <si>
    <t>Cerixon Chong Kun Dang Ceftriaxone Sodium 1g (H/10 lọ x 1g) ( CEFTRI CERI )</t>
  </si>
  <si>
    <t>https://product.hstatic.net/200000428801/product/13_bb3a2c652b97486d88644789b02c068b.png</t>
  </si>
  <si>
    <t>Q30200214</t>
  </si>
  <si>
    <t>Ceteco Leflox Levofloxacin 500 Dược Trung Ương 3 (H/ 100 viên) ( LEVO 0125 )</t>
  </si>
  <si>
    <t>https://cdn2-retail-images.kiotviet.vn/2025/10/30/giabaopharma/26f0210527684a93bf230d517efd3b28.png</t>
  </si>
  <si>
    <t>Q30200094</t>
  </si>
  <si>
    <t>Cetirizine Hydrochloride 10mg (H/100v) date 5/2027 ( CETI HY )</t>
  </si>
  <si>
    <t>https://product.hstatic.net/200000428801/product/e7450c608de34779bd07f4bb508356d0_b952e9378f244214a686c1dc1a7a344c.png</t>
  </si>
  <si>
    <t>SP648491</t>
  </si>
  <si>
    <t>Chất xơ Fiber For kids Thymomodulin Vinaphar ( H 20 ống x 10ml ) ( THYMO KID )</t>
  </si>
  <si>
    <t>https://product.hstatic.net/200000428801/product/3c414c7a376e421cb24c7a260422b56e_fbc67bbffb9e43d3991399e4da388385.jpg</t>
  </si>
  <si>
    <t>Q30220002</t>
  </si>
  <si>
    <t>Chung - na Natri Citicoline Korea Arlico (H /2 vỉ x 10 viên) ( CITI CHUNGNA )</t>
  </si>
  <si>
    <t>https://product.hstatic.net/200000428801/product/cc3038f5063c4db5912f23aeffc2b845_8be15829bd6b42d5a76c9b32d4dbca32.png</t>
  </si>
  <si>
    <t>Q302998753</t>
  </si>
  <si>
    <t>Cinavitt Forte Ginkgo Biloba 1200mg (Hộp 30 viên nang mềm)2/1/2028 ( GINK CINA )</t>
  </si>
  <si>
    <t>https://product.hstatic.net/200000428801/product/5fc0554d17784326899f3d33bb5233bf_13672eee37584ecd9c02227db8343cd1.png</t>
  </si>
  <si>
    <t>Q30200478</t>
  </si>
  <si>
    <t>Cipro Brawn Ciprofloxacin 500mg (H/100 viên) ( cipro 10 )</t>
  </si>
  <si>
    <t>https://product.hstatic.net/200000428801/product/5c192ce293a2418aaaf9723dbf072ad5_373ec7c2c2da49d4a6e315a2b32c624b.png</t>
  </si>
  <si>
    <t>Q30200144</t>
  </si>
  <si>
    <t>https://product.hstatic.net/200000428801/product/9729768a1834482481b613442c8e7733_7054d3ca5ed143fe94c169ba666f3794.png</t>
  </si>
  <si>
    <t>Q30200023</t>
  </si>
  <si>
    <t>Ciritton Forte pharma Ginkgo biloba ( H/ 30v) ( GINK CIRIT )</t>
  </si>
  <si>
    <t>https://product.hstatic.net/200000428801/product/7fe383bc73e146bc85ef554332212a7e_19790de540d6454ea0e756bd79792616.jpg</t>
  </si>
  <si>
    <t>SP648539</t>
  </si>
  <si>
    <t>CKD Kmoxilin 625mg hộp 10 vỉ*10 viên KOREA(10/2025) ( KMOX )</t>
  </si>
  <si>
    <t>https://product.hstatic.net/200000428801/product/2a2912b61bc14ff288a0d3ce837acc43_0351431e7c9f4d2d8ccf2ebc3f40c377.png</t>
  </si>
  <si>
    <t>Q30200542</t>
  </si>
  <si>
    <t>Clarithromycin 500 Tiền Giang (H/ 1 vỉ x 10 viên) ( CLARI TG )</t>
  </si>
  <si>
    <t>https://cdn2-retail-images.kiotviet.vn/2025/12/03/giabaopharma/b1379758ae194f5092c7e7132acfc013.jpg</t>
  </si>
  <si>
    <t>SP648578</t>
  </si>
  <si>
    <t>Clarithromycin 500mg hộp 10 vỉ * 10 viên Viddipha ( CLARI VIDI )</t>
  </si>
  <si>
    <t>https://product.hstatic.net/200000428801/product/a1c59da971e84bd781c0be31b5baf7d9_fc5ff31a32494fe9af634a553ef0049f.png</t>
  </si>
  <si>
    <t>Q30200042</t>
  </si>
  <si>
    <t>Clopheniramin Q.8 ( H/1000 viên tròn) ( CLOPHE )</t>
  </si>
  <si>
    <t>https://cdn2-retail-images.kiotviet.vn/giabaopharma/3cff31b78ea44b87b327272de4efcb79.jpg</t>
  </si>
  <si>
    <t>Q30200185</t>
  </si>
  <si>
    <t>Cocilone Brawn Laboratories Colchicin 1mg ( H/100v)date 2/28 ( COCI COLC )</t>
  </si>
  <si>
    <t>https://product.hstatic.net/200000428801/product/18_670c8be9243c4698adab4952beb3ad77.png</t>
  </si>
  <si>
    <t>Q30200317</t>
  </si>
  <si>
    <t>Codepect Vinaphar (H/10 vỉ x10 viên) ( Q30200317 )</t>
  </si>
  <si>
    <t>https://product.hstatic.net/200000428801/product/11_02481be15af949da98047ba5de318f0a.png</t>
  </si>
  <si>
    <t>Q302448339</t>
  </si>
  <si>
    <t>Codetex Forte Giảm Ho, Đờm Rostex (Hộp 10 vỉ x 10 viên nang) ( CODE HO )</t>
  </si>
  <si>
    <t>https://cdn2-retail-images.kiotviet.vn/2025/10/30/giabaopharma/39eb4ea0689b4186a566cfc2e05eb9bd.png</t>
  </si>
  <si>
    <t>Q30200359</t>
  </si>
  <si>
    <t>Codorab Cefpodoxim USP 200mg ( H/3 vỉ x 10 viên) ( CEFPO CODO )</t>
  </si>
  <si>
    <t>https://product.hstatic.net/200000428801/product/182b7317ad784b8086e4056b2189114a_30576f92aa024d9a9bddbe6dc86396cc.png</t>
  </si>
  <si>
    <t>SP648588</t>
  </si>
  <si>
    <t>Colegis siro 60ml ( COLE )</t>
  </si>
  <si>
    <t>https://product.hstatic.net/200000428801/product/69_cbd15fd38e934b29a726db467946f941.png</t>
  </si>
  <si>
    <t>Q30200313</t>
  </si>
  <si>
    <t>Collagen Cần tây- Diệp lục (dạng lọ) HD Pharma (H/60V) ( Q30200313 )</t>
  </si>
  <si>
    <t>https://product.hstatic.net/200000428801/product/4_d37122b073334333a576257bbee41d4d.png</t>
  </si>
  <si>
    <t>Q30200339</t>
  </si>
  <si>
    <t>Collagen Glutathion Gold Hải Linh tím ( H/ 30 viên) ( Q30200339 )</t>
  </si>
  <si>
    <t>https://product.hstatic.net/200000428801/product/8_1d71cb968cb1477188c4f790b1c52d32.png</t>
  </si>
  <si>
    <t>SP648564</t>
  </si>
  <si>
    <t>Collagen Glutathion gold lọ 30 viên-Hải Linh ( )</t>
  </si>
  <si>
    <t>https://product.hstatic.net/200000428801/product/2218f0e384674daba986817e3c187c8f_3d13c31727d740d9bc213215ddc4ade2.png</t>
  </si>
  <si>
    <t>Q30200233</t>
  </si>
  <si>
    <t>Collagen Rox Coenzym Q10 (đỏ) HD Pharma (H/60V) ( Q30200233 )</t>
  </si>
  <si>
    <t>https://product.hstatic.net/200000428801/product/c9ede9ca26f6f8a8a1e719_1210a5bcfad64c74afff718374728796.jpg</t>
  </si>
  <si>
    <t>Q30200550</t>
  </si>
  <si>
    <t>Collagen Rox Coenzym Q10 (hồng) HD Pharma (H/60V) ( Q30200550 )</t>
  </si>
  <si>
    <t>https://product.hstatic.net/200000428801/product/10_fad06e39e2f24fa18dc635b49b080e23.png</t>
  </si>
  <si>
    <t>Q30200234</t>
  </si>
  <si>
    <t>Collagen Roxtech Diệp lục Vitamin E+ Collagen+ Acid Hyaluronic HD Pharma (H/60V) ( Q30200234 )</t>
  </si>
  <si>
    <t>Q30200466</t>
  </si>
  <si>
    <t>Collagen Tex Diệp lục (Dạng gói bột) HD Pharma (H/30 GÓI) ( Q30200466 )</t>
  </si>
  <si>
    <t>https://cdn2-retail-images.kiotviet.vn/giabaopharma/9f7932045934460cae43aa6556b9e131.png</t>
  </si>
  <si>
    <t>SP0158</t>
  </si>
  <si>
    <t>COMBO 10 Cuộn " Zilgo ( cuộn 2.5cm x 5m) "</t>
  </si>
  <si>
    <t>https://product.hstatic.net/200000428801/product/26_a7b142b67c4745d6aed7227bcd26364b.png</t>
  </si>
  <si>
    <t>SP0165</t>
  </si>
  <si>
    <t>COMBO 10 Hộp " Abu Adi kẹo dẻo tam giác BR Pharma (hộp x 12g )"</t>
  </si>
  <si>
    <t>https://product.hstatic.net/200000428801/product/7ea538bf3e15f94ba004_e0f10e9a7ed04663927409620df5ac1f.jpg</t>
  </si>
  <si>
    <t>SP0086</t>
  </si>
  <si>
    <t>COMBO 10 Hộp " Cabendaz Mebendazol 500mg USP( hộp x 1 viên nén ) "</t>
  </si>
  <si>
    <t>https://product.hstatic.net/200000428801/product/zalo_screenshot_19_11_2021_641188_bc279ed8fb8c4197939184d90ba66be1.png</t>
  </si>
  <si>
    <t>SP0164</t>
  </si>
  <si>
    <t>COMBO 10 Hộp " Dung Dịch Rơ Miệng Natri Borat Denicol 20% Sagopha ( Chai x15ml) "</t>
  </si>
  <si>
    <t>https://cdn2-retail-images.kiotviet.vn/2025/10/23/giabaopharma/f10d38d6c8314fffa7404b0cc78ea468.png</t>
  </si>
  <si>
    <t>SP0073</t>
  </si>
  <si>
    <t>COMBO 10 Hộp " Kedermfa Quang Minh ( tuýp x 5g) "</t>
  </si>
  <si>
    <t>https://cdn2-retail-images.kiotviet.vn/2025/12/29/giabaopharma/7e3362c1b7b44f67a3995ecccb7848bb.jpg</t>
  </si>
  <si>
    <t>SP0072</t>
  </si>
  <si>
    <t>COMBO 10 Hộp " Kegynan Quang Minh ( 1 vỉ x 10 viên đặt) "</t>
  </si>
  <si>
    <t>https://cdn2-retail-images.kiotviet.vn/2025/10/23/giabaopharma/5e58d27b64a041e48abaa8077377bd91.png</t>
  </si>
  <si>
    <t>SP0087</t>
  </si>
  <si>
    <t>COMBO 10 Hộp " MediClary loratadin 10mg Mediplantex ( hộp x 10 viên nén) "</t>
  </si>
  <si>
    <t>https://cdn1-retail-images.kiotviet.vn/2026/01/07/giabaopharma/33f26010434541878f312a293a488c27.jpg</t>
  </si>
  <si>
    <t>SP0092</t>
  </si>
  <si>
    <t>COMBO 10 Hộp " Mife 10 Mifepristone 10mg Hera ( hộp 1 vỉ x 1 viên nén) "</t>
  </si>
  <si>
    <t>https://product.hstatic.net/200000428801/product/945b3b7f5354970ace45_84401b508d72441dac8befbf2ff2e4e8.jpg</t>
  </si>
  <si>
    <t>SP0124</t>
  </si>
  <si>
    <t>COMBO 10 Hộp " Mikfepris Mifepristone 10mg Nam Hà (hộp x 1 viên nén) "</t>
  </si>
  <si>
    <t>https://product.hstatic.net/200000428801/product/aa7d2b5605dcc5829ccd_37fd229e747345b4976a3cad4827b4c0.jpg</t>
  </si>
  <si>
    <t>SP0096</t>
  </si>
  <si>
    <t>COMBO 10 Hộp " Multivitamin Plus Chanh leo viên sủi plusszs Hạnh Dung "</t>
  </si>
  <si>
    <t>https://product.hstatic.net/200000428801/product/94cc2a39c1640f3a5675_142a2c9634c3440ba33908cc07c93781.png</t>
  </si>
  <si>
    <t>SP0097</t>
  </si>
  <si>
    <t>COMBO 10 Hộp " Neo Beta neomycin 28000 IU Dược Khoa ( hộp x 8ml) "</t>
  </si>
  <si>
    <t>https://product.hstatic.net/200000428801/product/8de1937db3757c2b2564_76f106087e364d4cbff2bc1f57b002ab.jpg</t>
  </si>
  <si>
    <t>SP0105</t>
  </si>
  <si>
    <t>COMBO 10 Hộp " NIC Fullaca Mebendazole 500mg NIC ( hộp x1 viên) "</t>
  </si>
  <si>
    <t>https://product.hstatic.net/200000428801/product/6fa927504e14894ad005_f9ec466979374b968957319f1a9f233f.jpg</t>
  </si>
  <si>
    <t>SP0114</t>
  </si>
  <si>
    <t>COMBO 10 Hộp " Ospenxin Cefalexin 500mg Sandoz ( vỉ x 10 viên nang) "</t>
  </si>
  <si>
    <t>https://product.hstatic.net/200000428801/product/45aa5d2926aae5f4bcbb_db193a0ec1f449be98ce9dfa5038f134.jpg</t>
  </si>
  <si>
    <t>SP0117</t>
  </si>
  <si>
    <t>COMBO 10 Hộp " Pentinox Albendazol 400mg SPM (hộp x 1 viên nhai) "</t>
  </si>
  <si>
    <t>https://product.hstatic.net/200000428801/product/01c73350058ec9d0909f_64c94ef166054602808a2d8b94106a50.jpg</t>
  </si>
  <si>
    <t>SP0125</t>
  </si>
  <si>
    <t>COMBO 10 Hộp " Sacendol Vacopharm ( hộp x 10 gói x 1g cốm) "</t>
  </si>
  <si>
    <t>https://cdn2-retail-images.kiotviet.vn/giabaopharma/20ffdea8b8884afab13e92daee1ee683.jpg</t>
  </si>
  <si>
    <t>SP0014</t>
  </si>
  <si>
    <t>COMBO 10 hộp " Tanponai Acetyl leucin 500mg Đồng Nai (hộp 2 vỉ x 10 viên nén) "</t>
  </si>
  <si>
    <t>https://product.hstatic.net/200000428801/product/f38723184faa83f4dabb_c589f6c6d5854ceaa3a627ab55292c5e.jpg</t>
  </si>
  <si>
    <t>SP0141</t>
  </si>
  <si>
    <t>COMBO 10 Hộp " Tăng lực vị cam DP Quốc tế Canada ( Tube x 20 viên sủi) "</t>
  </si>
  <si>
    <t>https://cdn2-retail-images.kiotviet.vn/2024/09/04/giabaopharma/2e315d166758484ebe7ae796b5a4aa0f.png</t>
  </si>
  <si>
    <t>SP0166</t>
  </si>
  <si>
    <t>COMBO 10 Hộp " Thuốc Nhỏ Mắt EyeLight Cool DHG (Hộp x 10ml) (xanh lá) "</t>
  </si>
  <si>
    <t>https://product.hstatic.net/200000428801/product/zalo_screenshot_19_11_2021_641548_56c0364bdb7843b7ab708fa4ee00c3b0.png</t>
  </si>
  <si>
    <t>SP0053</t>
  </si>
  <si>
    <t>COMBO 10 Hộp " Thuốc Tẩy Giun Albendazol 400mg Hataphar ( Hộp 1 viên nén nhai) "</t>
  </si>
  <si>
    <t>https://product.hstatic.net/200000428801/product/2fb9c9bd8a3840661929_3ad2b8c3883c4df4997be988c23e5747.jpg</t>
  </si>
  <si>
    <t>SP0152</t>
  </si>
  <si>
    <t>COMBO 10 Hộp " Ugo tana Tân Á ( hộp 30 miếng 38 x 72 mm) "</t>
  </si>
  <si>
    <t>https://cdn2-retail-images.kiotviet.vn/2025/10/27/giabaopharma/b8dc07a8e1a94c0dad1bbc88e7ccede1.jpg</t>
  </si>
  <si>
    <t>SP0153</t>
  </si>
  <si>
    <t>COMBO 10 Hộp " Ugo tana Tân Á ( hộp x 102 miếng 19 x 72 mm) "</t>
  </si>
  <si>
    <t>https://cdn2-retail-images.kiotviet.vn/2025/12/03/giabaopharma/f3bd8d51939c4971ad9c3ec56d822c4a.jpg</t>
  </si>
  <si>
    <t>SP0018</t>
  </si>
  <si>
    <t>COMBO 10 Hộp " Vidoca 400mg Thanh Hóa ( hộp x 1 vỉ x 1 viên nén vị cam) "</t>
  </si>
  <si>
    <t>https://product.hstatic.net/200000428801/product/9e24b292766bb635ef7a_ae0452dc4b974bbf943c984196543cf1.jpg</t>
  </si>
  <si>
    <t>SP0019</t>
  </si>
  <si>
    <t>COMBO 10 Hộp " Vidoca 400mg Thanh Hóa (hộp x 1 vỉ x 1 viên nén dài hộp xanh) "</t>
  </si>
  <si>
    <t>https://product.hstatic.net/200000428801/product/zalo_screenshot_20_11_2021_717328_fd45fa9746894f7e9624359e3bd0ea85.png</t>
  </si>
  <si>
    <t>SP648511</t>
  </si>
  <si>
    <t>COMBO 10 HỘP ( date 05/2027) Fimaconazole Fluconazole brawn 150mg ( hộp 1 vỉ x 1 viên) ( FLU FIMA )</t>
  </si>
  <si>
    <t>https://product.hstatic.net/200000428801/product/zalo_screenshot_20_11_2021_717245_91add52b325d4bedb3f5b756c7d72da0.png</t>
  </si>
  <si>
    <t>SP0067</t>
  </si>
  <si>
    <t>COMBO 10 Hộp (date 10/25) Fluconazole Kausikh 150mg (1 vỉ/1 viên) ( FLU KAU )</t>
  </si>
  <si>
    <t>https://cdn-images.kiotviet.vn/2025/08/15/giabaopharma/1a07f083eb9f40f79780ec41609d8b98.jpg</t>
  </si>
  <si>
    <t>sp0648467</t>
  </si>
  <si>
    <t>Combo 10 Hộp (Date 10/26) Newlevo GMP Levonorgestrel 0,03mg (H/1 vỉ x 28 v) ( LEVO 010 )</t>
  </si>
  <si>
    <t>https://product.hstatic.net/200000428801/product/2b7f4a5722cded93b4dc_07f99518f66a4e67970755028395b083.jpg</t>
  </si>
  <si>
    <t>SP0177</t>
  </si>
  <si>
    <t>COMBO 10 Hộp (Date 12/25) Victoria Levonorgestrel 1,5mg ( hộp x1 vỉ x 1 viên nén) ( LEVO 08 )</t>
  </si>
  <si>
    <t>https://product.hstatic.net/200000428801/product/8b4e328427eee4b0bdff_e136bbc6291c45139ea80e59d0481d9c.jpg</t>
  </si>
  <si>
    <t>SP0020</t>
  </si>
  <si>
    <t>COMBO 10 Hộp (Date 25/12/25) Victoria Levonorgestrel 1.5mg tránh thai xanh Ba Đình (hộp x 1 vỉ x 1 viên) ( LEVO 09 )</t>
  </si>
  <si>
    <t>https://product.hstatic.net/200000428801/product/51a89950aa13654d3c02_cf5c43a2caea45b5b81c5c4f224ba23e.jpg</t>
  </si>
  <si>
    <t>SP0106</t>
  </si>
  <si>
    <t>COMBO 10 Hộp (DateT8/26) Newlevo Levonorgestrel 0.03mg trắng Ba Đình (hộp x 28 viên nén) "</t>
  </si>
  <si>
    <t>https://product.hstatic.net/200000428801/product/zalo_screenshot_19_11_2021_640676_044f8ce45f344b6aa2add308f1f1bb11.png</t>
  </si>
  <si>
    <t>SP0035</t>
  </si>
  <si>
    <t>COMBO 10 lọ " Agenytin xịt ngũ sắc Hà Thành ( lọ /15ml ) "</t>
  </si>
  <si>
    <t>https://product.hstatic.net/200000428801/product/30bf64019bac54f20dbd_50e528e1c94344319e84246ba88dc6a8.png</t>
  </si>
  <si>
    <t>SP0162</t>
  </si>
  <si>
    <t>COMBO 10 lọ " Aladka xịt mũi DK Pharma( lọ x 15ml ) "</t>
  </si>
  <si>
    <t>https://product.hstatic.net/200000428801/product/00b29837efbb23e57aaa_fc401a20c56e426fb95aed96cbdc6fe5.jpg</t>
  </si>
  <si>
    <t>SP0115</t>
  </si>
  <si>
    <t>COMBO 10 lọ " Becberzine 5mg đại uy ( lọ x 80 viên nén ) "</t>
  </si>
  <si>
    <t>https://product.hstatic.net/200000428801/product/590d570706d5c68b9fc4_b37a1705bc574dc7ac5a3e54950fefe9.jpg</t>
  </si>
  <si>
    <t>SP0041</t>
  </si>
  <si>
    <t>COMBO 10 lọ " Dung Dịch ASA Hóa Dược (lọ x 20ml) "</t>
  </si>
  <si>
    <t>https://product.hstatic.net/200000428801/product/6a_31b2016a0d774e8f9f138ae6c6b074cb.jpg</t>
  </si>
  <si>
    <t>SP0173</t>
  </si>
  <si>
    <t>COMBO 10 lọ " Dung Dịch Nhỏ Mắt Naphacollyre Nam Hà ( lọ x 8ml) "</t>
  </si>
  <si>
    <t>https://cdn2-retail-images.kiotviet.vn/2025/10/23/giabaopharma/6d69c651415e471da9e50a38c4ff3ba3.png</t>
  </si>
  <si>
    <t>SP0133</t>
  </si>
  <si>
    <t>COMBO 10 lọ " Hồ Nước Hóa Dược ( lọ x 20g) "</t>
  </si>
  <si>
    <t>https://product.hstatic.net/200000428801/product/vite_94975ebb06c74005808dce7242e26a91.jpg</t>
  </si>
  <si>
    <t>SP0090</t>
  </si>
  <si>
    <t>COMBO 10 Lọ " Milian sát trùng da OPC (10 lọ x 20ml) "</t>
  </si>
  <si>
    <t>https://product.hstatic.net/200000428801/product/2b1c04401592d4cc8d83_268cf54d151a4e06a75e26fb8c85b8d8.jpg</t>
  </si>
  <si>
    <t>SP0103</t>
  </si>
  <si>
    <t>COMBO 10 Lọ " Natri clorid 0,9% nhỏ mắt mũi Namha ( lọ x 10ml) "</t>
  </si>
  <si>
    <t>https://cdn2-retail-images.kiotviet.vn/2025/10/30/giabaopharma/5474f720e6c841aab84bb2ce160a9cab.png</t>
  </si>
  <si>
    <t>SP0102</t>
  </si>
  <si>
    <t>COMBO 10 Lọ " Natri Clorid 0.9% nhỏ mắt mũi ĐH Dược ( lọ x 10ml) "</t>
  </si>
  <si>
    <t>https://product.hstatic.net/200000428801/product/9b__1__a9ce2f613f594375a97584959a1d6315.png</t>
  </si>
  <si>
    <t>SP0101</t>
  </si>
  <si>
    <t>COMBO 10 Lọ " Natri Clorid 0.9% nhỏ mắt mũi Hà Nội ( lọ x 10ml) "</t>
  </si>
  <si>
    <t>https://product.hstatic.net/200000428801/product/3db811ad4c4a8714de5b_ae50f92707c24e54ac61856c16cea4ef.jpg</t>
  </si>
  <si>
    <t>SP0100</t>
  </si>
  <si>
    <t>COMBO 10 Lọ " Natri Clorid 0.9% nhỏ mắt mũi Hải Phòng ( lọ x 10ml) "</t>
  </si>
  <si>
    <t>https://product.hstatic.net/200000428801/product/f9f2c58c4fca8f94d6db_acb4b0c503a8415b9fb48993f07cab62.jpg</t>
  </si>
  <si>
    <t>SP0099</t>
  </si>
  <si>
    <t>COMBO 10 Lọ " Natri Clorid 0.9% nhỏ mắt mũi Vidipha ( lọ x 10ml) "</t>
  </si>
  <si>
    <t>https://product.hstatic.net/200000428801/product/a5ecbd2bc0f10caf55e0_e398031c402c49a78ffa8677bb34718c.jpg</t>
  </si>
  <si>
    <t>SP0048</t>
  </si>
  <si>
    <t>COMBO 10 lọ " Nhỏ Mắt Mũi Natri Clorid 0,9% Haipharco ( lọ x Lọ 8ml) "</t>
  </si>
  <si>
    <t>https://product.hstatic.net/200000428801/product/zalo_screenshot_19_11_2021_640200_784782b078f34d2eacb29f244d1cdbb3.png</t>
  </si>
  <si>
    <t>SP0108</t>
  </si>
  <si>
    <t>COMBO 10 lọ " Nostravin Xylometazoline hydrochloride 0,05% Traphaco ( lọ x 8ml) "</t>
  </si>
  <si>
    <t>https://product.hstatic.net/200000428801/product/zalo_screenshot_19_11_2021_639756_d57f43440a014d168f8fcb04ec539ee2.png</t>
  </si>
  <si>
    <t>SP0009</t>
  </si>
  <si>
    <t>COMBO 10 lọ " Omeprazole 20mg Z120 Armephaco ( lọ 14 viên nang) "</t>
  </si>
  <si>
    <t>https://cdn2-retail-images.kiotviet.vn/2025/06/10/giabaopharma/4020c8a5a1a246099990d35098fceda3.jpg</t>
  </si>
  <si>
    <t>SP0111</t>
  </si>
  <si>
    <t>COMBO 10 lọ " Oxy già 3% Hóa Dược ( lọ x 20ml) "</t>
  </si>
  <si>
    <t>https://product.hstatic.net/200000428801/product/thiet_ke_khong_ten__2__993f4bffa7484b4b995657d1f71151e1.png</t>
  </si>
  <si>
    <t>SP0110</t>
  </si>
  <si>
    <t>COMBO 10 lọ " Oxy già 3% Hóa Dược ( lọ x 50ml) "</t>
  </si>
  <si>
    <t>https://product.hstatic.net/200000428801/product/41_63458a8c279a47f0a22d5527fa71076e.png</t>
  </si>
  <si>
    <t>SP0132</t>
  </si>
  <si>
    <t>COMBO 10 lọ " Pandex Dược Khoa (lọ x 5ml nhỏ mắt) "</t>
  </si>
  <si>
    <t>https://cdn2-retail-images.kiotviet.vn/2026/04/01/giabaopharma/a6307061fe0d4e9db3b67bc0961f70e9.jpg</t>
  </si>
  <si>
    <t>SP0121</t>
  </si>
  <si>
    <t>COMBO 10 lọ " Polydoxancol nhỏ mắt Hà Tây ( lọ x 5ml) "</t>
  </si>
  <si>
    <t>https://product.hstatic.net/200000428801/product/vien_1_0bc1a1977f6a4d8b884224559bbf68dd.jpg</t>
  </si>
  <si>
    <t>SP0131</t>
  </si>
  <si>
    <t>COMBO 10 lọ " Povidon iod 10% Hóa Dược ( lọ x 20ml) "</t>
  </si>
  <si>
    <t>https://product.hstatic.net/200000428801/product/5_a0540c42f0664520897604b1713129fd.png</t>
  </si>
  <si>
    <t>SP0144</t>
  </si>
  <si>
    <t>COMBO 10 lọ " Tezkin xịt trị nấm ngoài da Gia Nguyễn (lọ x 15ml) "</t>
  </si>
  <si>
    <t>https://product.hstatic.net/200000428801/product/zalo_screenshot_20_11_2021_721173_5afbdd4e73914e35b02cc5c26a09c904.png</t>
  </si>
  <si>
    <t>SP0146</t>
  </si>
  <si>
    <t>COMBO 10 lọ " The Kati 0.05% nhỏ mắt Dược Khoa (lọ x 10ml) "</t>
  </si>
  <si>
    <t>https://product.hstatic.net/200000428801/product/zalo_screenshot_20_11_2021_721855_330974328a7e4782be96a8569c806143.png</t>
  </si>
  <si>
    <t>SP0147</t>
  </si>
  <si>
    <t>COMBO 10 lọ " TheKatadexan nhỏ mắt Dược Khoa ( lọ x 8ml) "</t>
  </si>
  <si>
    <t>https://product.hstatic.net/200000428801/product/f3bdd563e01f2141780e_d1ae612069714992b2c000199ebad989.jpg</t>
  </si>
  <si>
    <t>SP0047</t>
  </si>
  <si>
    <t>COMBO 10 lọ " Thuốc Nhỏ Mắt - Mũi - Tai Nemydexan Nam Hà (lọ x lọ 8ml) "</t>
  </si>
  <si>
    <t>https://product.hstatic.net/200000428801/product/tai_xuong_bc6750fe256e45aaa0e0f1fc1d2c37e7.jpg</t>
  </si>
  <si>
    <t>SP0059</t>
  </si>
  <si>
    <t>COMBO 10 lọ " Thuốc nhỏ mắt Natri Clorid 0,9% Pharmedic (lọ x 10ml) "</t>
  </si>
  <si>
    <t>https://product.hstatic.net/200000428801/product/52_c78dcd32980b43b7a51c5ff0d69b6079.png</t>
  </si>
  <si>
    <t>SP0046</t>
  </si>
  <si>
    <t>COMBO 10 lọ " Thuốc Nhỏ Mắt Ofloxacin 0,3% Traphaco (lọ x lọ 5ml) "</t>
  </si>
  <si>
    <t>https://cdn-images.kiotviet.vn/giabaopharma/2fb8e298826245cbaa6e6edb9820a3a2.png,https://cdn-images.kiotviet.vn/giabaopharma/3d57cc0c11e34cb584bfeff9b387d1d9.png,https://cdn-images.kiotviet.vn/giabaopharma/d27abb5a3b2544e49fcb04d07d4d46d6.png,https://cdn-images.kiotviet.vn/giabaopharma/2a6a35d0f98d43e7abb2a810e0b525ff.png,https://cdn-images.kiotviet.vn/giabaopharma/b61769e614f041ec91e0cc4a6d896750.png</t>
  </si>
  <si>
    <t>SP0055</t>
  </si>
  <si>
    <t>COMBO 10 lọ " Thuốc Nhỏ Mắt Osla 15ml Merap ( lọ/ 15ml) "</t>
  </si>
  <si>
    <t>https://product.hstatic.net/200000428801/product/zalo_screenshot_19_11_2021_639360_58de639c7a1f48f5b9e9787c00bf9f09.png</t>
  </si>
  <si>
    <t>SP0045</t>
  </si>
  <si>
    <t>COMBO 10 lọ " Thuốc Nhỏ Mắt Tobramycin 0,3% Traphaco (lọ x lọ 6ml) "</t>
  </si>
  <si>
    <t>https://product.hstatic.net/200000428801/product/59f257a56f55a50bfc44_93ff4ee05c5b43dbb5a1e79628004cd0.jpg</t>
  </si>
  <si>
    <t>SP0038</t>
  </si>
  <si>
    <t>COMBO 10 lọ " Thuốc Nhỏ Mắt, Mũi Natri Clorid 0.9% Traphaco ( lọ 10ml) "</t>
  </si>
  <si>
    <t>https://cdn2-retail-images.kiotviet.vn/2026/03/10/giabaopharma/0d2d03ee2cf043988132977f7c91f190.jpg</t>
  </si>
  <si>
    <t>SP0056</t>
  </si>
  <si>
    <t>COMBO 10 lọ " Thuốc Nhỏ Mũi Trẻ Em Otilin 0,05% Pharbaco ( lọ x 1 lọ 8ml) "</t>
  </si>
  <si>
    <t>https://product.hstatic.net/200000428801/product/8a9a4c738173432d1a62_ece253443ebf45dca1d5bbbf55ebe1fa.jpg</t>
  </si>
  <si>
    <t>SP0051</t>
  </si>
  <si>
    <t>COMBO 10 lọ " Thuốc Ophazidon 250mg Hà Nội (L Lọ 100 viên nén) "</t>
  </si>
  <si>
    <t>https://product.hstatic.net/200000428801/product/964544e9bcf478aa21e5_e57df4bd23a646d28d009655f4ed5985.jpg</t>
  </si>
  <si>
    <t>SP0176</t>
  </si>
  <si>
    <t>COMBO 10 lọ " Thuốc xịt mũi Coldi B Nam Hà (lọ x 15ml) "</t>
  </si>
  <si>
    <t>https://cdn2-retail-images.kiotviet.vn/2025/10/30/giabaopharma/c270c26bab8447dd95909798f87b9cc8.jpg</t>
  </si>
  <si>
    <t>SP0142</t>
  </si>
  <si>
    <t>COMBO 10 lọ " Ticoldex nhỏ mắt Đà Nẵng Danapha (lọ x 5ml) "</t>
  </si>
  <si>
    <t>https://product.hstatic.net/200000428801/product/c1f7f3cc70d1b28febc0_05071438450b44e0a608548d94d3e43f.jpg</t>
  </si>
  <si>
    <t>SP0151</t>
  </si>
  <si>
    <t>COMBO 10 lọ " Tobramycin 0.3% nhỏ mắt Hà Tây ( lọ x 5ml ) "</t>
  </si>
  <si>
    <t>https://cdn2-retail-images.kiotviet.vn/2026/03/31/giabaopharma/5dd69fa4aefe48fb9c02e9d85df94855.jpg</t>
  </si>
  <si>
    <t>SP0150</t>
  </si>
  <si>
    <t>COMBO 10 lọ " Torexvis Tobramycin 0.3% Gia Nguyễn ( lọ x 5ml) "</t>
  </si>
  <si>
    <t>https://cdn2-retail-images.kiotviet.vn/2026/03/31/giabaopharma/1068154801b1418ebb32d4e5937d36c7.jpg</t>
  </si>
  <si>
    <t>SP0156</t>
  </si>
  <si>
    <t>COMBO 10 lọ " Vimaxx Lights Nam Hà ( lọ x15ml) "</t>
  </si>
  <si>
    <t>SP0054</t>
  </si>
  <si>
    <t>COMBO 10 lọ " Vitamin B1 Đại Y ( lọ x 100 viên nén) "</t>
  </si>
  <si>
    <t>https://product.hstatic.net/200000428801/product/zalo_screenshot_19_11_2021_638969_0c389b3739a8445a968d1d1280db140c.png</t>
  </si>
  <si>
    <t>SP0021</t>
  </si>
  <si>
    <t>COMBO 10 lọ " Vitamin B6 Đại Y ( lọ x 100 viên nén) "</t>
  </si>
  <si>
    <t>https://product.hstatic.net/200000428801/product/a492ac304251820fdb40_b2009ba77d5d4a4ea43b52dcdbd743c6.jpg</t>
  </si>
  <si>
    <t>SP0025</t>
  </si>
  <si>
    <t>COMBO 10 lọ " Vitamin C Đại Y ( lọ x 100 viên nén) "</t>
  </si>
  <si>
    <t>https://product.hstatic.net/200000428801/product/d9b8c90ea74a6014395b_32df116b5d34425da91fd26089efc592.jpg</t>
  </si>
  <si>
    <t>SP0022</t>
  </si>
  <si>
    <t>COMBO 10 lọ " Vrohto for Kids nhỏ mắt Rohto ( lọ/ 13ml) "</t>
  </si>
  <si>
    <t>https://product.hstatic.net/200000428801/product/14_cb29d703601a461da401d37a35cdf52d.png</t>
  </si>
  <si>
    <t>SP0026</t>
  </si>
  <si>
    <t>COMBO 10 lọ " Xylo fran 0.05% DP 3/2 (lọ x 10ml) "</t>
  </si>
  <si>
    <t>https://product.hstatic.net/200000428801/product/16_85240c8fc4694ddcb5b9c5d636f0074c.png</t>
  </si>
  <si>
    <t>SP0027</t>
  </si>
  <si>
    <t>COMBO 10 lọ " Xylo fran 0.1% DP 3/2 ( lọ x 10ml "</t>
  </si>
  <si>
    <t>https://cdn2-retail-images.kiotviet.vn/2025/02/13/giabaopharma/1db3279c10a143a4a8a9972f6ff835ce.jpg</t>
  </si>
  <si>
    <t>SP0029</t>
  </si>
  <si>
    <t>COMBO 10 lọ " Xylogen Dược Khoa ( lọ x 15ml) "</t>
  </si>
  <si>
    <t>https://product.hstatic.net/200000428801/product/91_910ff517582843feb23338319bacc0de.png</t>
  </si>
  <si>
    <t>SP0032</t>
  </si>
  <si>
    <t>COMBO 10 lọ " Zuchi Family xịt giầy Hoa Linh ( lọ x 50ml) "</t>
  </si>
  <si>
    <t>https://product.hstatic.net/200000428801/product/03da654171b0bfeee6a1_6ec71839913846d9baf1317bc905a5b2.png</t>
  </si>
  <si>
    <t>SP0159</t>
  </si>
  <si>
    <t>COMBO 10 lọ " Zuchi xịt nách Hoa Linh ( lọ x 20ml) "</t>
  </si>
  <si>
    <t>https://cdn1-retail-images.kiotviet.vn/2026/03/10/giabaopharma/b4ea7d7985fe4232834a68179cdb719d.jpg</t>
  </si>
  <si>
    <t>SP0068</t>
  </si>
  <si>
    <t>COMBO 10 lọ (date 11/25) Clesstragat S.R.S tobramycin&amp; dexamethasone ( Lọ /5ml) ( TOBRA 2 )</t>
  </si>
  <si>
    <t>SP0007</t>
  </si>
  <si>
    <t>COMBO 10 lọ (DATE 11/25) Dung dịch nhỏ mắt Eyedin DX Tobramycin &amp; Dexamethasone Ấn Độ ( lọ x 5ml) ( TOBRA 4 )</t>
  </si>
  <si>
    <t>https://product.hstatic.net/200000428801/product/a10dac361821d67f8f30_b724ba22139244a399e257acd45085a3.png</t>
  </si>
  <si>
    <t>SP0063</t>
  </si>
  <si>
    <t>COMBO 10 lọ (Date 11/25) Thuốc tra mắt Eyedin Tobramycin Marcur (lọ /5ml) ( TOBRA 3 )</t>
  </si>
  <si>
    <t>https://product.hstatic.net/200000428801/product/90_9a7f7d9b615541b091d5d043725aaaa3.png</t>
  </si>
  <si>
    <t>SP0066</t>
  </si>
  <si>
    <t>COMBO 10 lọ (Date 12/26) Leeflox 0,5% Lovofloxacin Arme ( lọ/ 5ml) ( LOVO LEE,, )</t>
  </si>
  <si>
    <t>SP0065</t>
  </si>
  <si>
    <t>COMBO 10 lọ (DateT10/2025) Moxikune Moxifloxacin Makcur ( lọ x 5ml) ( MOXI M )</t>
  </si>
  <si>
    <t>https://cdn1-retail-images.kiotviet.vn/2026/01/15/giabaopharma/3c2584a8377748e780e09dfe281893b7.jpg</t>
  </si>
  <si>
    <t>SP0070</t>
  </si>
  <si>
    <t>COMBO 10 lọ (DateT2/25) Nhỏ Mắt Cipro- USL Ciprofloxacin Ophthalmic Solution USP Ấn Độ ( lọ x 5ml) ( cipro 4 )</t>
  </si>
  <si>
    <t>https://cdn2-retail-images.kiotviet.vn/2025/10/30/giabaopharma/c4cc7015c4bb4508b392fbc9051667d5.png</t>
  </si>
  <si>
    <t>SP0069</t>
  </si>
  <si>
    <t>COMBO 10 lọ Nước Mắt Nhân Tạo Easimist Eye Drops Carmellose Sodium BP 0,5% 5ml Ấn Độ (lọ 5ml) ( easi )</t>
  </si>
  <si>
    <t>https://cdn2-retail-images.kiotviet.vn/2025/10/30/giabaopharma/aed8b96e4e50427897f1a68143410699.png</t>
  </si>
  <si>
    <t>SP0043</t>
  </si>
  <si>
    <t>COMBO 10 lọ" Collydexa Gold Nhỏ Mắt - Mũi - Tai Hà Nội (lọ x lọ 5ml) "</t>
  </si>
  <si>
    <t>https://product.hstatic.net/200000428801/product/zalo_screenshot_19_11_2021_627132_404487e1aa314e8dabd9a0d673d20fde.png</t>
  </si>
  <si>
    <t>SP0024</t>
  </si>
  <si>
    <t>COMBO 10 lọ" Vitamin PP 50 Nicotinamid 50mg Pharmedic (lọ x 60 viên nén) "</t>
  </si>
  <si>
    <t>https://product.hstatic.net/200000428801/product/d1e61973eda32cfd75b2_d051311fa6584cb2a24ee86dbc5e0db9.jpg</t>
  </si>
  <si>
    <t>SP0052</t>
  </si>
  <si>
    <t>COMBO 10 tuýp " (Date 12/2026) Viên Sủi Bocalex Multi DHG ( Tuýp 20 viên) "</t>
  </si>
  <si>
    <t>https://cdn2-retail-images.kiotviet.vn/2026/01/31/giabaopharma/3af35a5eb9ea40faaa2b1d740d22046e.jpg</t>
  </si>
  <si>
    <t>SP0060</t>
  </si>
  <si>
    <t>COMBO 10 tuýp " (DateT11/25) Kem bôi da YOOSUN nghệ Đại Bắc ( tuýp/ 25g)"</t>
  </si>
  <si>
    <t>https://product.hstatic.net/200000428801/product/a34a40324c678239db76_2f6496bfe2144524bfc6b4936f0f7604.jpg</t>
  </si>
  <si>
    <t>SP0037</t>
  </si>
  <si>
    <t>COMBO 10 tuýp " Acyclovir 250mg tube 5g Stella( tuýp 5g) "</t>
  </si>
  <si>
    <t>https://product.hstatic.net/200000428801/product/8f41375b4bde8180d8cf_9a0f669f4dab43d6a6878d6f9d5fc2cf.jpg</t>
  </si>
  <si>
    <t>SP0163</t>
  </si>
  <si>
    <t>COMBO 10 Tuýp " Acyclovir Medipharco( tuýp x 5g ) "</t>
  </si>
  <si>
    <t>https://product.hstatic.net/200000428801/product/zalo_screenshot_19_11_2021_627194_fdbbf51d7c164567a9fc1382b280a765.png</t>
  </si>
  <si>
    <t>SP0036</t>
  </si>
  <si>
    <t>COMBO 10 tuýp " Acyclovir STADA Tube 2g Đức (tuýp 2g) "</t>
  </si>
  <si>
    <t>https://cdn2-retail-images.kiotviet.vn/2025/12/12/giabaopharma/6dc260d9d1e74934b262cf932aa42254.jpg</t>
  </si>
  <si>
    <t>SP0013</t>
  </si>
  <si>
    <t>COMBO 10 tuýp " Amcinol Paste Mekophar ( tuýp 5g ) "</t>
  </si>
  <si>
    <t>https://product.hstatic.net/200000428801/product/zalo_screenshot_19_11_2021_627711_92be634e53604ea684066df0f60b0ddd.png</t>
  </si>
  <si>
    <t>SP0008</t>
  </si>
  <si>
    <t>COMBO 10 tuýp " Betamethasone 0.064% Medipharco( tuýp x 30g ) "</t>
  </si>
  <si>
    <t>https://product.hstatic.net/200000428801/product/89a5edbb8c3f4f61162e25_fe207a340ecf46a6a0aa33f71300a5ae.jpg</t>
  </si>
  <si>
    <t>SP0107</t>
  </si>
  <si>
    <t>COMBO 10 Tuýp " Betasalic Medipharco ( tuýp x 10g ) "</t>
  </si>
  <si>
    <t>https://product.hstatic.net/200000428801/product/zalo_screenshot_20_11_2021_718241_b1d85ad840ea4473a78c3b58f5bd6a04.png</t>
  </si>
  <si>
    <t>SP0085</t>
  </si>
  <si>
    <t>COMBO 10 Tuýp " Cadirovib Acyclovir USP( tuýp x 5g ) "</t>
  </si>
  <si>
    <t>https://product.hstatic.net/200000428801/product/zalo_screenshot_20_11_2021_718723_8e6f70816da64ae5960db5a273c5f8f8.png</t>
  </si>
  <si>
    <t>SP0127</t>
  </si>
  <si>
    <t>COMBO 10 Tuýp " Dibetalic Traphaco ( tuýp x 15g) "</t>
  </si>
  <si>
    <t>https://product.hstatic.net/200000428801/product/zalo_screenshot_20_11_2021_721707_52155db9fa52469ca59a6700882c3e46.png</t>
  </si>
  <si>
    <t>SP0042</t>
  </si>
  <si>
    <t>COMBO 10 tuýp " Kem Bôi Acyclovir Stada (tuýp 2g) "</t>
  </si>
  <si>
    <t>https://product.hstatic.net/200000428801/product/22_6a44c6a5a39d4f11974ad41451abf65e.png</t>
  </si>
  <si>
    <t>SP0050</t>
  </si>
  <si>
    <t>COMBO 10 tuýp " Kem Bôi Da Promethazin 2% Medipharco ( Tuýp 10g) "</t>
  </si>
  <si>
    <t>https://product.hstatic.net/200000428801/product/6cc0c7526087a5d9fc96_540f61d2088a44e3833189aab462eeda.jpg</t>
  </si>
  <si>
    <t>SP0061</t>
  </si>
  <si>
    <t>COMBO 10 tuýp " Kem bôi da YOOSUN rau má Đại Bắc (tuýp/ 25g)"</t>
  </si>
  <si>
    <t>https://product.hstatic.net/200000428801/product/7d8466c751299577cc38_b8d1d71d4ad249dd88301e5c578d6456.jpg</t>
  </si>
  <si>
    <t>SP0169</t>
  </si>
  <si>
    <t>COMBO 10 Tuýp " Kem Gót Sen Thái Dương ( tuýp x 20g) "</t>
  </si>
  <si>
    <t>https://cdn2-retail-images.kiotviet.vn/2025/12/31/giabaopharma/8d5282a8a0d64b899295c033abf56bc5.jpg</t>
  </si>
  <si>
    <t>SP0044</t>
  </si>
  <si>
    <t>COMBO 10 tuýp " Kem Nghệ và Vitamin Thái Dương Nano Bạc ( Tuýp 20g) "</t>
  </si>
  <si>
    <t>https://product.hstatic.net/200000428801/product/zalo_screenshot_20_11_2021_633282_a803fa604d7d413285bb3f5e6dfc44c6.png</t>
  </si>
  <si>
    <t>SP0003</t>
  </si>
  <si>
    <t>COMBO 10 tuýp " Levigatus liền da tránh sẹo Traphaco ( tuýp x 20g) "</t>
  </si>
  <si>
    <t>https://product.hstatic.net/200000428801/product/898e183e9b034e57bebb943fc7f57622_efd101fe4a174c51aedc130573960b1a.png</t>
  </si>
  <si>
    <t>SP0004</t>
  </si>
  <si>
    <t>COMBO 10 tuýp " Lưu Ly kem tẩy lông Thái Dương ( tube x 20g) "</t>
  </si>
  <si>
    <t>https://product.hstatic.net/200000428801/product/4a2610a4729f489c80b254c36e3bff5a_099297ac8355499992ff9c8ee5a6bb5b.png</t>
  </si>
  <si>
    <t>SP0077</t>
  </si>
  <si>
    <t>COMBO 10 Tuýp " Lyzopean ngậm ho Khánh Minh ( tuýp x 24 viên) "</t>
  </si>
  <si>
    <t>https://product.hstatic.net/200000428801/product/vinaphar_c47ef093ab3a41d5946e2624df2464e1.jpg</t>
  </si>
  <si>
    <t>SP0081</t>
  </si>
  <si>
    <t>COMBO 10 Tuýp " Maxgel SPM ( tuýp x 10g) "</t>
  </si>
  <si>
    <t>https://cdn2-retail-images.kiotviet.vn/2025/11/15/giabaopharma/9f4d79f1f36948eeabfab9258ef31c08.jpg</t>
  </si>
  <si>
    <t>SP0005</t>
  </si>
  <si>
    <t>COMBO 10 tuýp " MaxxSkin kem bôi da Mediplantex ( tuýp 10g) "</t>
  </si>
  <si>
    <t>https://product.hstatic.net/200000428801/product/thiet_ke_khong_ten__21__79b7797e6d484b8c996dee05c6c88a5d.png</t>
  </si>
  <si>
    <t>SP0088</t>
  </si>
  <si>
    <t>COMBO 10 Tuýp " Medskin Acyclovir 5% Hậu Giang ( Tube 5g) "</t>
  </si>
  <si>
    <t>https://product.hstatic.net/200000428801/product/zalo_screenshot_19_11_2021_626157_dee49ebd222140ecb06347a40e49252f.png</t>
  </si>
  <si>
    <t>SP0095</t>
  </si>
  <si>
    <t>COMBO 10 Tuýp " My Vita Multivitamin vị cam SPM (Tube x 20 viên sủi) "</t>
  </si>
  <si>
    <t>https://product.hstatic.net/200000428801/product/5a73fbbbf25636086f47_70b6afb7d8c24a30b66dce543ac5ee95.jpg</t>
  </si>
  <si>
    <t>SP0093</t>
  </si>
  <si>
    <t>COMBO 10 Tuýp " Naphar Multi Nam Hà ( tuýp x 20 viên sủi) "</t>
  </si>
  <si>
    <t>https://cdn2-retail-images.kiotviet.vn/2025/10/30/giabaopharma/291ca938fe604af8b0c243f729e73010.jpg</t>
  </si>
  <si>
    <t>SP0098</t>
  </si>
  <si>
    <t>COMBO 10 Tuýp " Neciomex Medipharco ( tuýp x 10g) "</t>
  </si>
  <si>
    <t>https://product.hstatic.net/200000428801/product/zalo_screenshot_19_11_2021_62663_f4aa6224095c42a88700c3b14918ca22.png</t>
  </si>
  <si>
    <t>SP0168</t>
  </si>
  <si>
    <t>COMBO 10 Tuýp " Neutasol Cream Clobetasol 0,05% Medipharco ( Tuýp 30g) "</t>
  </si>
  <si>
    <t>https://product.hstatic.net/200000428801/product/zalo_screenshot_19_11_2021_626862_acc8c21e671c415880851aa8bb974d8f.png</t>
  </si>
  <si>
    <t>SP0006</t>
  </si>
  <si>
    <t>COMBO 10 tuýp " Newgenasada Tube bôi Hàn Quốc ( tuýp /10g) "</t>
  </si>
  <si>
    <t>https://product.hstatic.net/200000428801/product/7e7752f8e11625487c07_0407deeebdd34cce81e93fa52fb51466.jpg</t>
  </si>
  <si>
    <t>SP0118</t>
  </si>
  <si>
    <t>COMBO 10 Tuýp " Panthenol D-panthenol bôi Pharmedic (tuýp x 10g) "</t>
  </si>
  <si>
    <t>https://product.hstatic.net/200000428801/product/d603bea324b8eae6b3a9_40232a62ba0d4666a0cae39f3fe204cb.jpg</t>
  </si>
  <si>
    <t>SP0129</t>
  </si>
  <si>
    <t>COMBO 10 Tuýp " Sihiron kem bảy màu tuýp Bình Thuận (tuýp x 10g) "</t>
  </si>
  <si>
    <t>https://cdn2-retail-images.kiotviet.vn/2025/10/30/giabaopharma/db95428f125a4a5fb56aa47565b82853.png</t>
  </si>
  <si>
    <t>SP0128</t>
  </si>
  <si>
    <t>COMBO 10 Tuýp " Sikemeron Vidipha (tuýp x 10g) "</t>
  </si>
  <si>
    <t>https://cdn2-retail-images.kiotviet.vn/2025/06/04/giabaopharma/df4aa161b81b436190281a714f93ea78.jpg</t>
  </si>
  <si>
    <t>SP0130</t>
  </si>
  <si>
    <t>COMBO 10 Tuýp " Sofpai bôi ngứa Quang Minh ( tuýp 5g) "</t>
  </si>
  <si>
    <t>https://product.hstatic.net/200000428801/product/zalo_screenshot_19_11_2021_625948_c90bd1d9f1b04779a1cdad11ac79d126.png</t>
  </si>
  <si>
    <t>SP0140</t>
  </si>
  <si>
    <t>COMBO 10 Tuýp " Sủi Actiso râu ngô rau má Đại Y ( tuýp x 20 viên sủi) "</t>
  </si>
  <si>
    <t>https://product.hstatic.net/200000428801/product/zalo_screenshot_19_11_2021_625467_c5e0bfd78c494a9089f708afeac527a5.png</t>
  </si>
  <si>
    <t>SP0139</t>
  </si>
  <si>
    <t>COMBO 10 Tuýp " Sủi Multi OPC tuýp x 20 viên sủi "</t>
  </si>
  <si>
    <t>https://product.hstatic.net/200000428801/product/zalo_screenshot_19_11_2021_625721_451942953e58458d9438428239d026f8.png</t>
  </si>
  <si>
    <t>SP0138</t>
  </si>
  <si>
    <t>COMBO 10 Tuýp " Sủi Multivitamin Đại Uy ( tuýp x 20 viên) "</t>
  </si>
  <si>
    <t>https://cdn1-retail-images.kiotviet.vn/2026/04/01/giabaopharma/d949fe8ac32c4e95a3c4de67b0c6cbb6.jpg</t>
  </si>
  <si>
    <t>SP0137</t>
  </si>
  <si>
    <t>COMBO 10 Tuýp " Sủi Orange Plus Đại Uy ( tuýpx 20 viên) "</t>
  </si>
  <si>
    <t>https://product.hstatic.net/200000428801/product/r1_5df2bdad81914279973e3a13d87f5a7a.jpg</t>
  </si>
  <si>
    <t>SP0136</t>
  </si>
  <si>
    <t>COMBO 10 tuýp " Sủi Orizoll Pluss Glucose khan 1,35g Santex (tuýp) "</t>
  </si>
  <si>
    <t>https://cdn2-retail-images.kiotviet.vn/giabaopharma/685d8f8fce2d4666b2b9fad05e610cc0.png</t>
  </si>
  <si>
    <t>SP0135</t>
  </si>
  <si>
    <t>COMBO 10 tuýp " Sủi Pluszs cam Đại Y (tube x 20 viên sủi) "</t>
  </si>
  <si>
    <t>https://product.hstatic.net/200000428801/product/thiet_ke_khong_ten__20__a15f16264b6e4a569543e568bf456cb7.png</t>
  </si>
  <si>
    <t>SP0145</t>
  </si>
  <si>
    <t>COMBO 10 Tuýp " Tetracyclin 1% Quảng Bình ( tuýp x 5g) "</t>
  </si>
  <si>
    <t>https://product.hstatic.net/200000428801/product/ce972e0adcfd1fa346ec_da257348bc244689b41aa0105d92a162.jpg</t>
  </si>
  <si>
    <t>SP0064</t>
  </si>
  <si>
    <t>COMBO 10 tuýp " Tezkin Cream Gia Nguyễn (tuýp 10g)"</t>
  </si>
  <si>
    <t>https://product.hstatic.net/200000428801/product/163_52d38aa6415e4091958b5cbd2d1c914d.png</t>
  </si>
  <si>
    <t>SP0062</t>
  </si>
  <si>
    <t>COMBO 10 tuýp " Topolac Clotrimazol US( tuýp 10g ) "</t>
  </si>
  <si>
    <t>https://product.hstatic.net/200000428801/product/8150f0c8892946771f38_984332b92a0f45c685ee93ab2c505cd2.png</t>
  </si>
  <si>
    <t>SP0016</t>
  </si>
  <si>
    <t>COMBO 10 tuýp " Trangala QM Quang Minh ( tuýp x 8g) "</t>
  </si>
  <si>
    <t>https://product.hstatic.net/200000428801/product/thiet_ke_khong_ten__34__7436a24270ba4ad48a6069c0b992db53.png</t>
  </si>
  <si>
    <t>SP0175</t>
  </si>
  <si>
    <t>COMBO 10 Tuýp " Tuýp Bôi Silkron 7 màu Dongkwang Pharm (Tuýp x 10g) "</t>
  </si>
  <si>
    <t>https://product.hstatic.net/200000428801/product/3b5b8a0b5310994ec001_bf8b5a2fcd894b909837b60f4ac653a6.jpg</t>
  </si>
  <si>
    <t>SP0057</t>
  </si>
  <si>
    <t>COMBO 10 tuýp " Tuýp Kem Bôi Da Tomax Centa Detapham ) tuýp x 6g) "</t>
  </si>
  <si>
    <t>https://product.hstatic.net/200000428801/product/1a4f648e280be255bb1a_a3245681ea0844d991d0ae011829c874.jpg</t>
  </si>
  <si>
    <t>SP0031</t>
  </si>
  <si>
    <t>COMBO 10 tuýp " Zonaarme Aciclovir Z120 ( Tube x 5g) "</t>
  </si>
  <si>
    <t>https://product.hstatic.net/200000428801/product/thiet_ke_khong_ten__63__2db7833b52da4546831f650067c57e48.png</t>
  </si>
  <si>
    <t>SP0160</t>
  </si>
  <si>
    <t>COMBO 10 Tuýp " Zycozym ngậm ho Vinpharma ( tuýp x 24 viên) "</t>
  </si>
  <si>
    <t>https://product.hstatic.net/200000428801/product/zalo_screenshot_18_11_2021_95223_41f85a6eba194b12b9707cecdc4ed2c9.png</t>
  </si>
  <si>
    <t>SP0034</t>
  </si>
  <si>
    <t>COMBO 10 tuýp " Zycozym ngậm ho Vinpharma (tuýp x 24 viên) "</t>
  </si>
  <si>
    <t>https://product.hstatic.net/200000428801/product/2c_438ee00b05394ca882882dc4882b9087.jpg</t>
  </si>
  <si>
    <t>SP0015</t>
  </si>
  <si>
    <t>COMBO 10 tuýp "(DATE T2/2024) Tribetason Hà Tây (tuýp x 10g) "</t>
  </si>
  <si>
    <t>https://product.hstatic.net/200000428801/product/la_4_68a9348a107445f7909082bd668c2663.jpg</t>
  </si>
  <si>
    <t>SP0181</t>
  </si>
  <si>
    <t>COMBO 10 Tuýp ( date 1/27) Gentridecme Phil Inter Pharma ( tuýp x 10g) ( GENTRI INTER )</t>
  </si>
  <si>
    <t>https://product.hstatic.net/200000428801/product/zalo_screenshot_18_11_2021_94539_e2a6114d3f4949b88d6eb16ac96ef92f.png</t>
  </si>
  <si>
    <t>SP0180</t>
  </si>
  <si>
    <t>COMBO 10 Tuýp (Date 2028) Gentrisone Shinpoong Daewoo ( tuýp x 10g) ( GENTRI SHI )</t>
  </si>
  <si>
    <t>https://product.hstatic.net/200000428801/product/bf47feeb1bcad89481db_886af90df7824ef182a91f7a4f26ae3a.jpg</t>
  </si>
  <si>
    <t>SP0002</t>
  </si>
  <si>
    <t>COMBO 10 tuýp (Date20/03/25) Tuýp Bôi Philderma 10g Clotrimazole, Gentamicin, Betamethasone Korea ( tuýp/ 10g) ( phil clotri )</t>
  </si>
  <si>
    <t>https://cdn2-retail-images.kiotviet.vn/2025/10/22/giabaopharma/7eaab12ab93f46d98b573f8d95058372.jpg</t>
  </si>
  <si>
    <t>SP0039</t>
  </si>
  <si>
    <t>COMBO 10 tuýp (DateT10/25) Viên Sủi Life Vita Multivitamin Hương Cam Chân Tâm ( tuýp x 20 viên nén sủi) ( multi cb )</t>
  </si>
  <si>
    <t>https://product.hstatic.net/200000428801/product/zalo_screenshot_18_11_2021_94303_90962bf2dccc46f5b78b4068a1997d44.png</t>
  </si>
  <si>
    <t>SP0157</t>
  </si>
  <si>
    <t>COMBO 12 Cuộn " Zilgo Breathable ( cuộn 1.25cm x 5m) "</t>
  </si>
  <si>
    <t>https://product.hstatic.net/200000428801/product/0486ba51fdd4378a6ec5_01ac175c6853417f933959506b15eb8c.jpg</t>
  </si>
  <si>
    <t>SP0049</t>
  </si>
  <si>
    <t>COMBO 12 gói " Tăm Bông SOFTTANA - Người lớn( gói) "</t>
  </si>
  <si>
    <t>https://product.hstatic.net/200000428801/product/8c6d9a756e83a0ddf992_2e9b0636635e4522920cd0640245cc1f.png</t>
  </si>
  <si>
    <t>SP0116</t>
  </si>
  <si>
    <t>COMBO 12 Hộp " Bao cao su Michio (h x 3 cái ) "</t>
  </si>
  <si>
    <t>https://product.hstatic.net/200000428801/product/9a2ed2802677e529bc66_a54d5bac63bf43519252dc9160868411.jpg</t>
  </si>
  <si>
    <t>SP0134</t>
  </si>
  <si>
    <t>COMBO 12 lọ " Supermen kẹo dẻo Bibica (lọ x 14 viên) "</t>
  </si>
  <si>
    <t>https://cdn-images.kiotviet.vn/giabaopharma/738e99b46751481ba890a8b7f58b9736.png,https://cdn-images.kiotviet.vn/giabaopharma/01551dc239ba4c8b8485a169ece31854.png,https://cdn-images.kiotviet.vn/giabaopharma/4fb151c6b5254678bb3cd0111227e080.png,https://cdn-images.kiotviet.vn/giabaopharma/e9a5a2b875d64af7a1008d01d490d954.png,https://cdn-images.kiotviet.vn/giabaopharma/bff5c78f780341d29b8ab474a47fa3b6.png</t>
  </si>
  <si>
    <t>SP0113</t>
  </si>
  <si>
    <t>COMBO 12 Tuýp " Ossizan Vitamin C vị cam Trường Thọ ( tuýp x 20 viên) "</t>
  </si>
  <si>
    <t>https://product.hstatic.net/200000428801/product/thiet_ke_khong_ten__17__06210cc6a4da4636a8f17e3eba4ee9e4.png</t>
  </si>
  <si>
    <t>SP0112</t>
  </si>
  <si>
    <t>COMBO 12 Tuýp " Ossizan Vitamin C vị chanh Trường Thọ (tuýp x 20 viên) "</t>
  </si>
  <si>
    <t>https://product.hstatic.net/200000428801/product/zalo_screenshot_18_11_2021_93743_536af5c11679407e8ffc7a369eb5bc15.png</t>
  </si>
  <si>
    <t>SP0154</t>
  </si>
  <si>
    <t>COMBO 18 Hộp " Urgo Strong Adhesive Tape hộp x 1 cuộn 1.25cm x 5m "</t>
  </si>
  <si>
    <t>https://product.hstatic.net/200000428801/product/b221b7071fafd0f189be_23390d1a7fe9423f80b8e3a5c6c48821.png</t>
  </si>
  <si>
    <t>SP0091</t>
  </si>
  <si>
    <t>COMBO 20 Hộp " Mifepriston 10mg Ba Đình ( hộp x 1 viên nén) "</t>
  </si>
  <si>
    <t>https://cdn2-retail-images.kiotviet.vn/2025/10/23/giabaopharma/4b4f890b63114d38a8f57f31e180574e.png</t>
  </si>
  <si>
    <t>SP0084</t>
  </si>
  <si>
    <t>COMBO 5 Hộp " Cefixim 100mg Mekophar (hộp 12 gói x1.5g) "</t>
  </si>
  <si>
    <t>https://product.hstatic.net/200000428801/product/zalo_screenshot_18_11_2021_93927_6bf5bf81ec464933a0b930742628aab3.png</t>
  </si>
  <si>
    <t>SP0074</t>
  </si>
  <si>
    <t>COMBO 5 Hộp " Kichidogel dán hạ sốt Kichilachi (hộp x 6 miếng) "</t>
  </si>
  <si>
    <t>https://product.hstatic.net/200000428801/product/zalo_screenshot_18_11_2021_93911_5cdf16d738dc4d489e79201752493d71.png</t>
  </si>
  <si>
    <t>SP0075</t>
  </si>
  <si>
    <t>COMBO 5 Hộp " La Hán Quả Tana Tân Á ( hộp 3 vỉ x 8 viên ngậm) "</t>
  </si>
  <si>
    <t>https://product.hstatic.net/200000428801/product/fff_668a21a80ff04df68bd857faa0af8843.jpg</t>
  </si>
  <si>
    <t>SP648469</t>
  </si>
  <si>
    <t>Combo 5 hộp " StrepTana Tân Á (hộp 3 vỉ x 8 viên ngậm) "</t>
  </si>
  <si>
    <t>https://cdn2-retail-images.kiotviet.vn/2026/03/16/giabaopharma/f9f860248eab438b8976d5494e499123.jpg</t>
  </si>
  <si>
    <t>SP0167</t>
  </si>
  <si>
    <t>COMBO 5 Hộp " Thuốc Nhỏ Mắt EyeLight Vita DHG ( Hộp 1chai x 10ml) (vàng) "</t>
  </si>
  <si>
    <t>https://product.hstatic.net/200000428801/product/456b372dd94c1912405d_1d03fbf9a62445588008d40f6ae11b78.jpg</t>
  </si>
  <si>
    <t>SP0171</t>
  </si>
  <si>
    <t>COMBO 5 lọ " Nhỏ Mắt New V.Rohto Xanh Rohto ( lọ x 13ml) "</t>
  </si>
  <si>
    <t>https://product.hstatic.net/200000428801/product/54ef8e63f9cd389361dc_b3275c2bed8743789310027162b41a10.jpg</t>
  </si>
  <si>
    <t>SP0170</t>
  </si>
  <si>
    <t>COMBO 5 lọ " Nhỏ Mắt V.Rohto Vitamin Vàng Rohto (lọ x13ml "</t>
  </si>
  <si>
    <t>https://product.hstatic.net/200000428801/product/d915d580a22e63703a3f_4c4f4341883e429d82781bfeb7d3f1da.jpg</t>
  </si>
  <si>
    <t>SP0143</t>
  </si>
  <si>
    <t>COMBO 5 Tuýp " Ticarlox làm mờ sẹo Thiên Khánh ( tuýp x 10g) "</t>
  </si>
  <si>
    <t>https://product.hstatic.net/200000428801/product/fc0f0f19be5f7e01274e_350265c86c494ac2bdaab2b56ce3f96e.jpg</t>
  </si>
  <si>
    <t>SP0011</t>
  </si>
  <si>
    <t>COMBO 6 Hộp " Ospay Oxymetazoline Hải Phòng (xịt mũi 15ml) "</t>
  </si>
  <si>
    <t>https://product.hstatic.net/200000428801/product/d872afbbe25926077f48_22d6b9a0b65742278a69f8e6892369cb.jpg</t>
  </si>
  <si>
    <t>SP0172</t>
  </si>
  <si>
    <t>COMBO 6 Hộp " Thuốc Rơ Miệng Nyst Nystatin 25.000IU OPC (Hộp x 10 gói x 1g thuốc bột) "</t>
  </si>
  <si>
    <t>https://product.hstatic.net/200000428801/product/p_aae338e1faca467992eebb9fe897114b.jpg</t>
  </si>
  <si>
    <t>SP0017</t>
  </si>
  <si>
    <t>COMBO 6 Hộp " Tràng vị khang Đông Á ( hộp x 6 gói x 8g) "</t>
  </si>
  <si>
    <t>https://product.hstatic.net/200000428801/product/b4a82ae13f8bfcd5a59a_fa4160db6ffb461c801ccfacb5c1ece5.jpg</t>
  </si>
  <si>
    <t>SP0076</t>
  </si>
  <si>
    <t>COMBO 6 lọ " Kim tiền thảo Đại Y ( lọ / 100 viên bao phim) "</t>
  </si>
  <si>
    <t>https://cdn2-retail-images.kiotviet.vn/2025/10/30/giabaopharma/9353b359dc734997ae36d0c5fc810c3b.png</t>
  </si>
  <si>
    <t>SP64856046</t>
  </si>
  <si>
    <t>Coxzota-60 (etoricoxib 60mg) hộp 30 viên date 9/27 ( ETO COX )</t>
  </si>
  <si>
    <t>https://product.hstatic.net/200000428801/product/_1000x1000__paralmax_cam_cum_180v_bc2c8070053a4614a5fc5a796e67c780.jpg</t>
  </si>
  <si>
    <t>Q30200320</t>
  </si>
  <si>
    <t>Cốm Lợi Sữa DK Hải Linh (H/ 30 gói) ( Q30200320 )</t>
  </si>
  <si>
    <t>https://product.hstatic.net/200000428801/product/uu_77b58019d2574e48b063b64c9414b86b.jpg</t>
  </si>
  <si>
    <t>Q30200350</t>
  </si>
  <si>
    <t>Cốm vi sinh Bio Gold Tex HD(H/30 gói) ( Q30200350 )</t>
  </si>
  <si>
    <t>https://cdn2-retail-images.kiotviet.vn/2026/03/07/giabaopharma/d0010d06c0584bd5ac5b4e6eeb41aadc.jpg</t>
  </si>
  <si>
    <t>GANCOT</t>
  </si>
  <si>
    <t>Cường gân cốt vai gáy Kingphar lọ 40 viên</t>
  </si>
  <si>
    <t>https://product.hstatic.net/200000428801/product/zalo_screenshot_18_11_2021_92975_4138d73ab95644f39ebc54a3cac433e8.png</t>
  </si>
  <si>
    <t>SP648574</t>
  </si>
  <si>
    <t>D-EMULGEL diclofenac tube 20g VCP ( DICLO D )</t>
  </si>
  <si>
    <t>https://cdn2-retail-images.kiotviet.vn/2025/02/22/giabaopharma/797586afaaae4af3b05d8d9a5bb21f98.jpg</t>
  </si>
  <si>
    <t>SP64856077</t>
  </si>
  <si>
    <t>Dạ dày Kingphar lọ 40 viên ( )</t>
  </si>
  <si>
    <t>https://product.hstatic.net/200000428801/product/pamatase_methylprednisolone_sodium_40mg_hop_10_lo_tiem_han_quoc_86a78d99fa4749abb1ead533b948dce9.jpg</t>
  </si>
  <si>
    <t>SP648614</t>
  </si>
  <si>
    <t>Dạ dày Max hộp 20 gói Hải Linh ( )</t>
  </si>
  <si>
    <t>https://cdn2-retail-images.kiotviet.vn/giabaopharma/6421b1a2fbe14b849bc1269ae9d68654.png,https://cdn2-retail-images.kiotviet.vn/giabaopharma/27879413e0844e879300652b39b51bd6.png,https://cdn2-retail-images.kiotviet.vn/giabaopharma/e726b14e4dbf4411804b50c12054a450.png,https://cdn2-retail-images.kiotviet.vn/giabaopharma/52e5103b0a23453b946756624a16d96e.png,https://cdn2-retail-images.kiotviet.vn/giabaopharma/52f8ce69a98c4ca09592fdff2577aefe.png</t>
  </si>
  <si>
    <t>Q30200229</t>
  </si>
  <si>
    <t>date 10/2027 Levocide 500 Cadila Pharm., Ltd - Ấn Độ levofloxacin 500mg ( H/1 vỉ x 10 viên) ( LEVO 0122 )</t>
  </si>
  <si>
    <t>https://product.hstatic.net/200000428801/product/76d00e3489df4c8115ce_d0a842bafcf2485aa3a3c74466933579.jpg</t>
  </si>
  <si>
    <t>SP648560</t>
  </si>
  <si>
    <t>date 9/2027 Lisanolonola Triamcinolone Acetonide 80mg/2ml ( H/5 ống x 2ml) ( TRIAM LISA )</t>
  </si>
  <si>
    <t>https://product.hstatic.net/200000428801/product/30089fd00d3bc865912a_c2908c4b31ee4e3385f6bf56cdd69a36.jpg</t>
  </si>
  <si>
    <t>SP64856018</t>
  </si>
  <si>
    <t>Dầu Cá Alaska Omega-3 Polvita Mỹ ( OME 08 )</t>
  </si>
  <si>
    <t>https://product.hstatic.net/200000428801/product/20211211_145447_5e2d590df28e4bf2b4939542f1e104cd.png</t>
  </si>
  <si>
    <t>Q30200137</t>
  </si>
  <si>
    <t>Dầu gội chống gàu Selsun (Chai 100ml) ( Q30200137 )</t>
  </si>
  <si>
    <t>https://product.hstatic.net/200000428801/product/0b30544af4c3349d6dd2_17f3eb5ae71449148131ff79460c7aee.jpg</t>
  </si>
  <si>
    <t>Dầu gội phủ bạc COTECHPHARM màu đen ( )</t>
  </si>
  <si>
    <t>https://product.hstatic.net/200000428801/product/zalo_screenshot_18_11_2021_9150_230d4e75048c42f38c4739fcbf23c7b5.png</t>
  </si>
  <si>
    <t>Q30200153</t>
  </si>
  <si>
    <t>Dầu gội tóc đen Shitinsof Hán phương- Linh chi Amepro (H/3 gói 15ml) ( Q30200153 )</t>
  </si>
  <si>
    <t>https://cdn2-retail-images.kiotviet.vn/2026/02/07/giabaopharma/d432893395b94fee823e1cb9ba3c8ec3.png</t>
  </si>
  <si>
    <t>MỸ PHẨM</t>
  </si>
  <si>
    <t>SP648567</t>
  </si>
  <si>
    <t>Dầu gội trị gầu Anti-Dandruff shampoo GBB ( DICLO EMU )</t>
  </si>
  <si>
    <t>https://cdn2-retail-images.kiotviet.vn/2025/10/30/giabaopharma/1093e73ec9c243f2b5419a8d14cbb908.png</t>
  </si>
  <si>
    <t>Q30200044</t>
  </si>
  <si>
    <t>DDateT06/2026) Lisanolonola Triamcinolone Acetonide 80mg/2ml ( H/5 ống x 2ml) ( TRIAM 02 )</t>
  </si>
  <si>
    <t>https://product.hstatic.net/200000428801/product/thiet_ke_khong_ten__14__bae8423348a04c5a82ad4cb266129098.png</t>
  </si>
  <si>
    <t>SP64856071</t>
  </si>
  <si>
    <t>Dentanagyl chấm răng ( DENTA GY )bán từ 1 cọc 12 lọ</t>
  </si>
  <si>
    <t>https://product.hstatic.net/200000428801/product/155f7935b5677b392276_67317524035446999445cd054d1b8f7b.png</t>
  </si>
  <si>
    <t>Q3020000678</t>
  </si>
  <si>
    <t>Desloratadin (60ml) An Thiên Desloratadine 2,5mg ( C/60ml) ( DESLORA AT )</t>
  </si>
  <si>
    <t>https://product.hstatic.net/200000428801/product/31_c24ef8cc41204b78a7fd539af05c5027.png</t>
  </si>
  <si>
    <t>SP648610</t>
  </si>
  <si>
    <t>DHA brain kid hộp 20 gói ( )</t>
  </si>
  <si>
    <t>https://cdn2-retail-images.kiotviet.vn/2025/10/02/giabaopharma/2bf48e507e6a4834a56fbf92f86fb268.jpg</t>
  </si>
  <si>
    <t>Q302654854</t>
  </si>
  <si>
    <t>DHA Brain Kid Tốt Cho Não Bộ, Thị Lực Hải Linh (Hộp 20 gói) ( Q302654854 )</t>
  </si>
  <si>
    <t>https://product.hstatic.net/200000428801/product/0bcdcc3c39cbfa95a3da_607595dc272d45e1947fb0a18cedde64.jpg</t>
  </si>
  <si>
    <t>Q3020000640</t>
  </si>
  <si>
    <t>Diclofenac Sodium INJ Nutri USA (H/50 ống x 2ml) ( DICLO NU )</t>
  </si>
  <si>
    <t>https://product.hstatic.net/200000428801/product/30f550d53051f30faa4013_24b737d3c9eb45249e43dc518cde24a4.jpg</t>
  </si>
  <si>
    <t>Q30200419</t>
  </si>
  <si>
    <t>Diclotabs -50 Diclofenac Natri 50mg Axon (H/ 10 vỉ * 10 viên) ( DICLO TAB )</t>
  </si>
  <si>
    <t>https://product.hstatic.net/200000428801/product/39_ebc7e75222dc4daaa80ccd40021b1a93.png</t>
  </si>
  <si>
    <t>SP64856061</t>
  </si>
  <si>
    <t>Diệp hạ châu Plus Kingphar lọ 40 viên ( )</t>
  </si>
  <si>
    <t>https://cdn2-retail-images.kiotviet.vn/2025/12/17/giabaopharma/8a1b13aa335645c980127f2c31630df6.jpg</t>
  </si>
  <si>
    <t>SP64856086</t>
  </si>
  <si>
    <t>Diệp hạ châu Plus Kingphar lọ 60 viên</t>
  </si>
  <si>
    <t>https://product.hstatic.net/200000428801/product/zalo_screenshot_18_11_2021_90115_c206ca11e06f45a2a9c78d8ae1a73042.png</t>
  </si>
  <si>
    <t>Q30200323</t>
  </si>
  <si>
    <t>Diorophyl Piracetam400mg Micro Ấn Độ (H/10 vỉ x 10 viên) ( PIRA 400 )</t>
  </si>
  <si>
    <t>https://product.hstatic.net/200000428801/product/9cb80d4a24baeee4b7ab_e5251ae655f14811856c87a00e493460.jpg</t>
  </si>
  <si>
    <t>SP648557</t>
  </si>
  <si>
    <t>Doppelherz Aktiv A-Z Depot bổ sung vitamin hộp 30 viên ( )</t>
  </si>
  <si>
    <t>https://product.hstatic.net/200000428801/product/zalo_screenshot_18_11_2021_90575_75bedc20970548609f06a6d886926dc0.png</t>
  </si>
  <si>
    <t>SP648554</t>
  </si>
  <si>
    <t>Doppelherz Aktiv Magnesium + Calcium + D3 – Hỗ trợ cơ và xương ( )</t>
  </si>
  <si>
    <t>https://cdn1-retail-images.kiotviet.vn/2026/01/15/giabaopharma/2349c757f04047c183cdaa9648a96b7c.jpg</t>
  </si>
  <si>
    <t>SP648553</t>
  </si>
  <si>
    <t>Doppelherz Aktiv Vital Pregna bổ sung vitamin cho bà bầu ( )</t>
  </si>
  <si>
    <t>https://product.hstatic.net/200000428801/product/thiet_ke_khong_ten__12__e635faddaca141b3850e5ed8e169e0de.png</t>
  </si>
  <si>
    <t>SP648551</t>
  </si>
  <si>
    <t>Doppelherz Aktiv-Meno giúp giảm các triệu chứng mãn kinh, bổ sung calci hộp 30 viên ( )</t>
  </si>
  <si>
    <t>https://product.hstatic.net/200000428801/product/24_b8ed1d478a7b48e6802bd66dd1093c75.png</t>
  </si>
  <si>
    <t>SP648475</t>
  </si>
  <si>
    <t>Dorithricin ngậm viêm họng Đức ( H 2 vỉ x 10 viên) ( DORI )</t>
  </si>
  <si>
    <t>https://product.hstatic.net/200000428801/product/nhiet-ke-2_925293041c03475b9e90102f1670d738.jpg</t>
  </si>
  <si>
    <t>Q3020000712</t>
  </si>
  <si>
    <t>Dung dịch khử khuẩn tay SDS Hand Rub (C/100ml) ( Q3020000712 )</t>
  </si>
  <si>
    <t>https://product.hstatic.net/200000428801/product/10_d0d6da238b09419dacd419e62aef272b.png</t>
  </si>
  <si>
    <t>SP648575</t>
  </si>
  <si>
    <t>Dung dịch nhỏ mắt Dr Ophtic 22 15ml (bán từ 1 cọc có 10 lọ) ( )</t>
  </si>
  <si>
    <t>https://cdn2-retail-images.kiotviet.vn/2026/03/07/giabaopharma/e5238a7c42404e52abd9c94b994b0a6f.jpg</t>
  </si>
  <si>
    <t>SP648569</t>
  </si>
  <si>
    <t>Dung dịch vệ sinh GBB Intimate wash 150ml chai bọt ( )</t>
  </si>
  <si>
    <t>https://cdn2-retail-images.kiotviet.vn/2026/03/07/giabaopharma/71c11698f77f4fb5982dd0f7e5eeb36f.jpg</t>
  </si>
  <si>
    <t>SP648595</t>
  </si>
  <si>
    <t>Đa triệu chứng gói hộp 12 gói ( )</t>
  </si>
  <si>
    <t>https://cdn2-retail-images.kiotviet.vn/2026/04/01/giabaopharma/804788cb858e4bf0b5be3aedd786912e.jpg</t>
  </si>
  <si>
    <t>https://cdn2-retail-images.kiotviet.vn/2025/10/22/giabaopharma/4c6d95f189e04203a26464470af4dbee.jpg</t>
  </si>
  <si>
    <t>Q30200120</t>
  </si>
  <si>
    <t>Đại Tràng Rox HD(H/30 viên) ( Q30200120 )</t>
  </si>
  <si>
    <t>https://cdn-images.kiotviet.vn/giabaopharma/07de3b5e50434ae0b550dac6064e6bc0.jpg</t>
  </si>
  <si>
    <t>Q302858634</t>
  </si>
  <si>
    <t>Đường Huyết Hoa Đà - Hải Linh (Hộp 30 viên nang cứng) ( Q302858634 )</t>
  </si>
  <si>
    <t>https://cdn-images.kiotviet.vn/2025/06/30/giabaopharma/28734c70d31e4e17a601fce91a30c515.jpg</t>
  </si>
  <si>
    <t>Q30200292</t>
  </si>
  <si>
    <t>E Tex 400 dầu gấc 400IU (H/ 30 viên) ( Q30200292 )</t>
  </si>
  <si>
    <t>https://cdn2-retail-images.kiotviet.vn/2025/10/30/giabaopharma/85f0f45612a74afb90073b3a3bf72e25.png</t>
  </si>
  <si>
    <t>Q30200053</t>
  </si>
  <si>
    <t>Effer- Paralmax 325 Paracetamol Boston (H/20 viên) ( PARA EFF3 )</t>
  </si>
  <si>
    <t>https://cdn2-retail-images.kiotviet.vn/2026/02/07/giabaopharma/4494134914244095a818ceda30285d15.png</t>
  </si>
  <si>
    <t>Q30200412</t>
  </si>
  <si>
    <t>Effer- Paralmax 500 Paracetamol Boston (H/20 viên) ( PARA EFF2 )</t>
  </si>
  <si>
    <t>https://cdn2-retail-images.kiotviet.vn/2025/11/10/giabaopharma/8c4808d00b964d14a4c4ab16e83443de.jpg</t>
  </si>
  <si>
    <t>Q30200475</t>
  </si>
  <si>
    <t>Effer-Paralmax Paracetamol 150mg (Hộp 30 gói 1,5g) ( PARA EFF 1 )</t>
  </si>
  <si>
    <t>https://product.hstatic.net/200000428801/product/zalo_screenshot_18_11_2021_859859_7fe9af076f45484ab1ad4b64fe24e10f.png</t>
  </si>
  <si>
    <t>Q30200204</t>
  </si>
  <si>
    <t>Eganin Kwang Dong (H/ 60 Viên) Hàn Quốc ( Q30200204 )</t>
  </si>
  <si>
    <t>https://product.hstatic.net/200000428801/product/zalo_screenshot_18_11_2021_832816_cf6c25df226d419cb6b0a36da2d3b2d9.png</t>
  </si>
  <si>
    <t>Q30200437</t>
  </si>
  <si>
    <t>Egodinir Cefdinir 300 Am Vi (H/10 viên) ( cefd ego )</t>
  </si>
  <si>
    <t>https://product.hstatic.net/200000428801/product/e2abae4cae156e4b3704_1834253ecc35415f8977d487ad7f7e47.jpg</t>
  </si>
  <si>
    <t>SP64856105</t>
  </si>
  <si>
    <t>Esoragim 20(esomeprazol 20mg) agimex hộp 14 viên</t>
  </si>
  <si>
    <t>https://product.hstatic.net/200000428801/product/thiet_ke_khong_ten__1__225d0b6c5bb049cd971cebbe14c81e70.png</t>
  </si>
  <si>
    <t>SP64856104</t>
  </si>
  <si>
    <t>Esoragim 40mg(esomeprazol) hộp 4 vỉ *7 viên</t>
  </si>
  <si>
    <t>https://cdn2-retail-images.kiotviet.vn/2025/10/23/giabaopharma/885dbc703cd04d239b96173ae3f03b46.png</t>
  </si>
  <si>
    <t>SP648572</t>
  </si>
  <si>
    <t>Etoricoxib tablets 60mg hộp 30 viên date 5/2026 ( ETO 1 )</t>
  </si>
  <si>
    <t>https://product.hstatic.net/200000428801/product/nanoo_c637adbe190b4653afd3ac89efc3d766.jpg</t>
  </si>
  <si>
    <t>Q302210723</t>
  </si>
  <si>
    <t>Etotab - 90 Etoricoxib 90mg Ấn Độ (Hộp 10 vỉ x 10 viên nén) ( ETO TAB )</t>
  </si>
  <si>
    <t>https://cdn2-retail-images.kiotviet.vn/2025/10/23/giabaopharma/3b06bec375de4279b8951608dc440812.jpg</t>
  </si>
  <si>
    <t>Q30200569</t>
  </si>
  <si>
    <t>Eucatol C Boston (H/100 viên) ( Q30200569 )</t>
  </si>
  <si>
    <t>https://cdn1-retail-images.kiotviet.vn/2026/01/20/giabaopharma/58ebbae77c0b4f7db3061abeda979996.jpg</t>
  </si>
  <si>
    <t>Q30200632</t>
  </si>
  <si>
    <t>Eufib Rox Men vi sinh nhập khẩu Đan Mạch (dạng gói) HD Pharma (H/20 GÓI) ( Q30200632 )</t>
  </si>
  <si>
    <t>https://product.hstatic.net/200000428801/product/0528ff949b6e5e30077f_e7a748ee1721417abf59cb2050ab097e.jpg</t>
  </si>
  <si>
    <t>SP648531</t>
  </si>
  <si>
    <t>Eugra 100(sidenafil 100) hộp 4 viên Boston pharma ( SIDEN EUG )</t>
  </si>
  <si>
    <t>https://product.hstatic.net/200000428801/product/27_0229c9e85bf54fda964bdd1cb402fdea.png</t>
  </si>
  <si>
    <t>Q30200169</t>
  </si>
  <si>
    <t>Eurobe Tex Bổ sung chất xơ hòa tan (dạng ống siro) HD Pharma (H/ 4 VỈ X 5 ỐNG) ( Q30200169 )</t>
  </si>
  <si>
    <t>https://cdn-images.kiotviet.vn/2025/09/17/giabaopharma/022b09921000485b835be65c29270c91.jpg</t>
  </si>
  <si>
    <t>Q30200149</t>
  </si>
  <si>
    <t>Euroginca Vinaphar (H/100V) ( Q30200149 )</t>
  </si>
  <si>
    <t>https://product.hstatic.net/200000428801/product/34cc493b11704ee086c3c59523c78bc4_32daab5245564bbe9089a973de39f575.jpg</t>
  </si>
  <si>
    <t>SP648486</t>
  </si>
  <si>
    <t>Eurogincare Vinarphar ( H/10 vỉ x 10 viên) ( euro )</t>
  </si>
  <si>
    <t>https://product.hstatic.net/200000428801/product/zalo_screenshot_18_11_2021_832743_dd8c108f986b4ca5ad0134bbd6e9b58a.png</t>
  </si>
  <si>
    <t>Q30200379</t>
  </si>
  <si>
    <t>Eva Roxtech Hoa Anh Thảo Vitamin E Hải Dương (H/60 viên) ( Q30200379 )</t>
  </si>
  <si>
    <t>https://product.hstatic.net/200000428801/product/e1fde0e285f647a81ee7_a468d7bff37d437589f0c5bb2f1e14b1.jpg</t>
  </si>
  <si>
    <t>Q30200531</t>
  </si>
  <si>
    <t>Extorant 100 Acetylcystein Daewoo (H/ 30 gói) ( Q30200531 )</t>
  </si>
  <si>
    <t>https://cdn2-retail-images.kiotviet.vn/2026/03/07/giabaopharma/8c190e826250467d8bed17515b3aae3c.jpg</t>
  </si>
  <si>
    <t>Q30200106</t>
  </si>
  <si>
    <t>Famcin 300 GMP-WHO rifampicin 300mg (H/100 Viên) ( RIFA FAMCI )</t>
  </si>
  <si>
    <t>https://product.hstatic.net/200000428801/product/24000b05a8cc6a9233dd_fea37acac83d472a853e630530db89cb.jpg</t>
  </si>
  <si>
    <t>SP64856024</t>
  </si>
  <si>
    <t>Febustad 80mg Stella hộp 30 viên ( FEBU 80 )</t>
  </si>
  <si>
    <t>https://product.hstatic.net/200000428801/product/4504482e6e40ae1ef751_ab124baf9fab4b02868a8b838c470d0a.jpg</t>
  </si>
  <si>
    <t>Q30200248</t>
  </si>
  <si>
    <t>Ferromax Extra Vinaphar (H/100 viên) date 11/27 ( Q30200248 )</t>
  </si>
  <si>
    <t>https://product.hstatic.net/200000428801/product/zalo_screenshot_18_11_2021_831316_edb9f3040cd24c2cb855c15d711899d6.png</t>
  </si>
  <si>
    <t>Q30200560</t>
  </si>
  <si>
    <t>Ferron BLG(H/ 30 viên) ( Q30200560 )</t>
  </si>
  <si>
    <t>https://product.hstatic.net/200000428801/product/713433d5158ad0d4899b_2ee86b38d72d446791315904db834e23.jpg</t>
  </si>
  <si>
    <t>Q30200193</t>
  </si>
  <si>
    <t>Ferrovit Fumarate Mega Lifesciences (H/50 viên) ( Q30200193 )</t>
  </si>
  <si>
    <t>https://cdn2-retail-images.kiotviet.vn/2026/02/03/giabaopharma/dfb5d3b8805c4e4f86a34bfeb75d8a3a.jpg</t>
  </si>
  <si>
    <t>Q30200290</t>
  </si>
  <si>
    <t>Fetnal 500 Cefuroxim Brawn (H/10 viên) date 2/2027 ( CEFU 04 )</t>
  </si>
  <si>
    <t>https://cdn1-retail-images.kiotviet.vn/2026/01/09/giabaopharma/cb53cf1cc7e948b98317775e37236587.jpg</t>
  </si>
  <si>
    <t>Q30200495</t>
  </si>
  <si>
    <t>Fevitt Nano Hải Dương (H/100 viên) Chữ ĐỎ ( Q30200495 )</t>
  </si>
  <si>
    <t>https://product.hstatic.net/200000428801/product/zalo_screenshot_18_11_2021_830488_4a78d03990c34d8aae33b5843cfcdda8.png</t>
  </si>
  <si>
    <t>Q30200556</t>
  </si>
  <si>
    <t>Fevitt Nano HD (H/30 viên) Chữ ĐEN ( Q30200556 )</t>
  </si>
  <si>
    <t>https://product.hstatic.net/200000428801/product/14_8151033c5f344db1bc7e152d2a3ac6bd.png</t>
  </si>
  <si>
    <t>Q30200535</t>
  </si>
  <si>
    <t>Fevitt Nano HD(H/100 viên) chữ ĐEN date 10/28 ( Q30200535 )</t>
  </si>
  <si>
    <t>https://cdn2-retail-images.kiotviet.vn/2025/12/31/giabaopharma/bd52447d83e947a589f0aea629f61700.jpg</t>
  </si>
  <si>
    <t>Q30200562</t>
  </si>
  <si>
    <t>Fexo Boston 180 Boston Fexofenadine Hydrochloride (H/3 vỉ x10 viên) ( Q30200562 )</t>
  </si>
  <si>
    <t>https://cdn-images.kiotviet.vn/2025/05/24/giabaopharma/fc446ab1e7bf474d8ce4847e10c71e6b.jpg</t>
  </si>
  <si>
    <t>SP648538</t>
  </si>
  <si>
    <t>Fexofenadine 180mg US hộp 10 viên ( FEXO 180 )</t>
  </si>
  <si>
    <t>https://product.hstatic.net/200000428801/product/99014be26316a048f907_cf944989591b4a05b091431cab0202d2.jpg</t>
  </si>
  <si>
    <t>SP64856030</t>
  </si>
  <si>
    <t>Fiber food hộp 20 gói bổ sung chất xơ Hải Linh ( )</t>
  </si>
  <si>
    <t>https://product.hstatic.net/200000428801/product/zalo_screenshot_18_11_2021_829584_67c8711d26d04d62bf06f8dcd47958cf.png</t>
  </si>
  <si>
    <t>SP648536</t>
  </si>
  <si>
    <t>FIBER INUFO hộp 20 ống * 10ml ( )</t>
  </si>
  <si>
    <t>https://cdn-images.kiotviet.vn/2025/09/12/giabaopharma/b42ff313dbc54abca6db33e9b4b8a312.jpg</t>
  </si>
  <si>
    <t>Q30200173</t>
  </si>
  <si>
    <t>Fimadro – 500 Cefadroxil Brawn(H/100 viên) ( CEFA FIMA )</t>
  </si>
  <si>
    <t>https://product.hstatic.net/200000428801/product/thiet_ke_khong_ten__9__e2d5dc6be6f1412fac8841e77382bdee.png</t>
  </si>
  <si>
    <t>SP64856100</t>
  </si>
  <si>
    <t>Fimadro-500 hộp 100 viên vỉ thường</t>
  </si>
  <si>
    <t>https://product.hstatic.net/200000428801/product/c9fea168b69f76c12f8e_a73396370dfb4fd2bf3d2610335394a9.jpg</t>
  </si>
  <si>
    <t>Q30200205</t>
  </si>
  <si>
    <t>Flucinar Jelfa S.A 15g ( H/tuýp 15g) ( FLUCIN 2 )</t>
  </si>
  <si>
    <t>https://product.hstatic.net/200000428801/product/maxx-gold-glucosamin_3bd53ea81f2f4f529e7c717c7f92b177.jpg</t>
  </si>
  <si>
    <t>Q30200423</t>
  </si>
  <si>
    <t>FLZ 100 Ấn Độ sildenafil 100mg (H/ 4 Viên)date 9/27 ( SILDEN FLZ )</t>
  </si>
  <si>
    <t>https://product.hstatic.net/200000428801/product/c684ffa2eac8299670d9_4c0a7bfd97344ee18845871623cb96cf.jpg</t>
  </si>
  <si>
    <t>SP648534</t>
  </si>
  <si>
    <t>Funginil-150( fluconazol 150mg) 1 hộp to(10h nhỏ 1 vỉ 1 viên) ( FLU FUN )</t>
  </si>
  <si>
    <t>https://product.hstatic.net/200000428801/product/marvelon_bayer__h.21v__936bc09a10c04f33a624633fc6b995d6.jpeg</t>
  </si>
  <si>
    <t>Q30200567</t>
  </si>
  <si>
    <t>Gamincef Sachet Cefpodoxim Maxim ( H/10 gói) ( CEFPO GAMIN )</t>
  </si>
  <si>
    <t>https://product.hstatic.net/200000428801/product/zalo_screenshot_18_11_2021_829748_19eec616ba29498eb5414a2dcc6ca69c.png</t>
  </si>
  <si>
    <t>SP648625</t>
  </si>
  <si>
    <t>Gan kỳ nam Roxtex bổ gan lọ 30 viên date 10/2026 ( )</t>
  </si>
  <si>
    <t>https://product.hstatic.net/200000428801/product/majegra-100mg-1_1332aa65f31043b68be9d1ca269b9fd6.jpg</t>
  </si>
  <si>
    <t>Q3020000717</t>
  </si>
  <si>
    <t>Genocef S.R.S Pharma Pvt., Ltd - Ấn Độ Cefdinir 300mg (H/ 1 vỉ x 10 viên) ( Q3020000717 )</t>
  </si>
  <si>
    <t>https://cdn2-retail-images.kiotviet.vn/2026/03/26/giabaopharma/cb7c032e6fe349afa0eda92489b4ad4c.jpg</t>
  </si>
  <si>
    <t>Q30200306</t>
  </si>
  <si>
    <t>Gentamicin Sulphate Injection T.P Drug Lab Gentamicin Sulphate 80mg/2ml (H/50 ống x 2ml) ( GENTA INJ )</t>
  </si>
  <si>
    <t>https://cdn2-retail-images.kiotviet.vn/2025/11/15/giabaopharma/a81fc70e7493405993c141d7a633c616.png</t>
  </si>
  <si>
    <t>Q30200226</t>
  </si>
  <si>
    <t>Gentrisone Shinpoong Daewoo (tuýp x 10g)date 2028 ( Q30200226 )</t>
  </si>
  <si>
    <t>https://product.hstatic.net/200000428801/product/1_5b04e191ec664b2cad358fc960e4daa3.png</t>
  </si>
  <si>
    <t>Q3020000642</t>
  </si>
  <si>
    <t>Giấc ngủ vàng HD HỒNG HD Pharma (H/30V) ( Q3020000642 )</t>
  </si>
  <si>
    <t>https://product.hstatic.net/200000428801/product/zalo_screenshot_18_11_2021_829204_ead30189fd844a31be719bd7db7773e5.png</t>
  </si>
  <si>
    <t>Q3020000659</t>
  </si>
  <si>
    <t>Giấc ngủ vàng VÀNGHD (Mẫu hộp màu cam ) HD Pharma (H/30V) ( Q3020000659 )</t>
  </si>
  <si>
    <t>https://product.hstatic.net/200000428801/product/300388db7dbbb7e5eeaa_df960ace41674526a3c309ef36291224.jpg</t>
  </si>
  <si>
    <t>SP64856072</t>
  </si>
  <si>
    <t>Ginkgo biloba 120mg hộp 100 viên vinaphar ( GINK BILO )</t>
  </si>
  <si>
    <t>https://product.hstatic.net/200000428801/product/zalo_screenshot_18_11_2021_829696_4f73d1fcee9245fcacd040f9c99810ae.png</t>
  </si>
  <si>
    <t>SP64856041</t>
  </si>
  <si>
    <t>Ginkgo biloba xanh dương hộp 100 viên ( GINK BILO1 )</t>
  </si>
  <si>
    <t>https://product.hstatic.net/200000428801/product/06280d3825cce692bfdd_6d082e6d9da14390abfb9716082d81fa.jpg</t>
  </si>
  <si>
    <t>SP64856028</t>
  </si>
  <si>
    <t>Ginkgo natto 360 citicolin hộp 100 viên Hải Linh ( GINK NAT )</t>
  </si>
  <si>
    <t>https://product.hstatic.net/200000428801/product/thuoc-lorfact-d-5mg__d07d5e1af45b49e5a739fe251f0276a7.jpg</t>
  </si>
  <si>
    <t>SP648615</t>
  </si>
  <si>
    <t>Ginkgo Q10 cao lạc tiên-coenzym q10 hộp 100 viên Hải linh ( GINK 2 )</t>
  </si>
  <si>
    <t>https://cdn2-retail-images.kiotviet.vn/2025/10/30/giabaopharma/eb17c7d95f034df8b8495a2124e9d0f9.png</t>
  </si>
  <si>
    <t>SP64856067</t>
  </si>
  <si>
    <t>Ginkgo Q10 tím hộp 100 viên Vinaphar ( GINK Q10 )</t>
  </si>
  <si>
    <t>https://product.hstatic.net/200000428801/product/4390e879c08d03d35a9c_6a22f0a4aba04d86a2132a4d06b45d7e.jpg</t>
  </si>
  <si>
    <t>SP648487</t>
  </si>
  <si>
    <t>Ginkgo Q10 Vinaphar (H/ 100 viên)date 10/28 ( GINK 04 )</t>
  </si>
  <si>
    <t>https://cdn1-retail-images.kiotviet.vn/2026/01/09/giabaopharma/d7d40996717c40969188ecd746f314b8.jpg</t>
  </si>
  <si>
    <t>Q30200596</t>
  </si>
  <si>
    <t>Ginkgo Roxtech Cao Việt Quất HD(H/ 100 viên) mẫu xanh T12/2023 ( gink quat )</t>
  </si>
  <si>
    <t>https://product.hstatic.net/200000428801/product/31_f1051fee3b4942b6ae430bfe39cd872f.png</t>
  </si>
  <si>
    <t>SP648488</t>
  </si>
  <si>
    <t>GinkoBiloba Vinaphar ( H/100 viên) ( GINK 03 )</t>
  </si>
  <si>
    <t>https://product.hstatic.net/200000428801/product/long_huyet_p.h_phuc_hung__h.244v__bc7380b8b700402ca230a84dbc54b7b9.jpg</t>
  </si>
  <si>
    <t>SP64856034</t>
  </si>
  <si>
    <t>Ginseng B12 đông trùng hạ thảo hộp 100 viên hải Linh ( )</t>
  </si>
  <si>
    <t>https://product.hstatic.net/200000428801/product/99474533ca14004a5905_e852a0c322584550b974f0c45c396dc2.jpg</t>
  </si>
  <si>
    <t>Q302280323257</t>
  </si>
  <si>
    <t>Girlvag Clindamycin và Clotrimazole Ấn Độ (Hộp 1 vỉ x 7 viên nang mềm đặt âm đạo) ( CLIN GIL )</t>
  </si>
  <si>
    <t>https://product.hstatic.net/200000428801/product/zalo_screenshot_18_11_2021_828820_fed748ffd3fc47e9bb0bc3b759e6d63a.png</t>
  </si>
  <si>
    <t>SP64856097</t>
  </si>
  <si>
    <t>Globonir -cefdinir 300mg hộp 10 viên</t>
  </si>
  <si>
    <t>https://product.hstatic.net/200000428801/product/2c3d8ba58212414c1803_5eb621aa4005436bb239276d2a8785e7.jpg</t>
  </si>
  <si>
    <t>SP64856029</t>
  </si>
  <si>
    <t>Glucosamin 1200 lọ 60 viên Hải Linh ( GLU 1200 )</t>
  </si>
  <si>
    <t>https://cdn2-retail-images.kiotviet.vn/2025/10/30/giabaopharma/f78b3e53e447430ca5df71aa619af12f.png</t>
  </si>
  <si>
    <t>Q30200441</t>
  </si>
  <si>
    <t>Glucosamine Brawn Laborato Capsules 250mg (H/10 vỉ x 10 viên) ( Q30200441 )</t>
  </si>
  <si>
    <t>https://product.hstatic.net/200000428801/product/zalo_screenshot_18_11_2021_828108_54d465562f4145da8b746ca66f2a6498.png</t>
  </si>
  <si>
    <t>Q30200594</t>
  </si>
  <si>
    <t>Goldpacetam Piracetam Samjin 400mg (H/100 viên) ( PIRA GOL )</t>
  </si>
  <si>
    <t>https://product.hstatic.net/200000428801/product/7a_f028857b9b18443398abf003e81c41bd.jpg</t>
  </si>
  <si>
    <t>SP64856005</t>
  </si>
  <si>
    <t>Good Hair cao hà thủ ô, kẽm, biotin, vitamin B5 giảm bạc tóc hộp 30 viên date 10/1/2027 ( )</t>
  </si>
  <si>
    <t>https://cdn2-retail-images.kiotviet.vn/2025/12/11/giabaopharma/d0700acb343443259e8ba05621e2a273.jpg</t>
  </si>
  <si>
    <t>SP64856087</t>
  </si>
  <si>
    <t>Gout Urique Kingphar lọ 40 viên</t>
  </si>
  <si>
    <t>https://product.hstatic.net/200000428801/product/a001c1e8351ff641af0e_fe6ea2bafe994b568a4fb90a5c9c8986.jpg</t>
  </si>
  <si>
    <t>Q3022000023</t>
  </si>
  <si>
    <t>Grarizine Gracure Pharma Levocetirizine Dihydrochloride 5mg (H/10 vỉ x 10 viên) ( LEVO 0123 )</t>
  </si>
  <si>
    <t>https://cdn2-retail-images.kiotviet.vn/2025/10/22/giabaopharma/7284ac1586fd4455842e51bdd0bfe087.png</t>
  </si>
  <si>
    <t>Q30200077</t>
  </si>
  <si>
    <t>Grasamin Pantoprazole Gracure 40mg (H/ 3 vỈ 10 viên) ( PANTO GRA )</t>
  </si>
  <si>
    <t>https://product.hstatic.net/200000428801/product/zalo_screenshot_18_11_2021_827260_01d73f28ff4145829b61e05391ca373e.png</t>
  </si>
  <si>
    <t>Q30200293</t>
  </si>
  <si>
    <t>Griale E Paracetamol Spharm (H/25 gói) ( PARA 0412 )</t>
  </si>
  <si>
    <t>https://cdn2-retail-images.kiotviet.vn/2025/10/30/giabaopharma/dc65aeefa20844eab25d703b946c49d2.png</t>
  </si>
  <si>
    <t>Q30200132</t>
  </si>
  <si>
    <t>H-inzole Omeprazole Capsules BP Lark Ấn (H/100v) ( OME H IN )</t>
  </si>
  <si>
    <t>https://cdn1-retail-images.kiotviet.vn/2026/01/16/giabaopharma/cde2daf5588e4556a26b0cffd356ef13.jpg</t>
  </si>
  <si>
    <t>Q30200413</t>
  </si>
  <si>
    <t>Hadugast HD (H/20 gói) ( Q30200413 )</t>
  </si>
  <si>
    <t>https://product.hstatic.net/200000428801/product/ac1178ec1618d2468b09_997b4cdf2df44a3188b709543fa45910.jpg</t>
  </si>
  <si>
    <t>Q30200236</t>
  </si>
  <si>
    <t>Hanomin Gíneng Vinaphar (H/60V) ( Q30200236 )</t>
  </si>
  <si>
    <t>https://product.hstatic.net/200000428801/product/zalo_screenshot_20_11_2021_636746_c9f634fd17ab4a6fad318c52f6520c36.png</t>
  </si>
  <si>
    <t>Q30200066</t>
  </si>
  <si>
    <t>Harelon Extra Vinaphar (H/100V) ( Q30200066 )</t>
  </si>
  <si>
    <t>https://product.hstatic.net/200000428801/product/b0496491f40b25557c1a1_bcbe61ca68a7486792d09fe9534d308d.jpg</t>
  </si>
  <si>
    <t>SP64856017</t>
  </si>
  <si>
    <t>Hàu Oyster Plus lọ 60 viên hàng nhập khẩu có tem phụ ( )</t>
  </si>
  <si>
    <t>https://product.hstatic.net/200000428801/product/f3b477387ffebea0e7ef_220d3675648b45a888168a72441f044a.jpg</t>
  </si>
  <si>
    <t>Q30200477</t>
  </si>
  <si>
    <t>HepeRoxtech L-ornithine L-aspartat (H/10g) ( Q30200477 )</t>
  </si>
  <si>
    <t>https://cdn1-retail-images.kiotviet.vn/2026/01/26/giabaopharma/7517b0fa89db465495b95053dc06b73a.jpg</t>
  </si>
  <si>
    <t>SP64856055</t>
  </si>
  <si>
    <t>Hitgra 100mg(sildenafil) hộp 4 viên date 10/26 ( SILDEN HIT )</t>
  </si>
  <si>
    <t>https://product.hstatic.net/200000428801/product/zalo_screenshot_18_11_2021_82720_e5245d3f6e3645d29abd59705fc18556.png</t>
  </si>
  <si>
    <t>Q30200517</t>
  </si>
  <si>
    <t>Hoa Anh Thảo Beauty Rostech Vitamin e Hải Dương (H/30v) ( Q30200517 )</t>
  </si>
  <si>
    <t>https://product.hstatic.net/200000428801/product/1da7e9fc3966fb38a277_a4d1eb4f6da34795bb08c4dc35f24b5c.jpg</t>
  </si>
  <si>
    <t>SP648605</t>
  </si>
  <si>
    <t>Hoạt huyết dưỡng não Đại Uy hộp 100 viên ( )</t>
  </si>
  <si>
    <t>https://product.hstatic.net/200000428801/product/db9b2501f89b3ac5638a_352312eb61aa43afb3c98e2b9b6701df.jpg</t>
  </si>
  <si>
    <t>SP64856059</t>
  </si>
  <si>
    <t>Hoạt huyết Eurofa hộp 30 viên date 2/2027 ( )</t>
  </si>
  <si>
    <t>https://product.hstatic.net/200000428801/product/ki_16136614ca2d4794a41cd4efe1699160.jpg</t>
  </si>
  <si>
    <t>Q30200407</t>
  </si>
  <si>
    <t>Hoạt Huyết Hakinton Extra Vinaphar (H/100V) ( Q30200407 )</t>
  </si>
  <si>
    <t>https://cdn2-retail-images.kiotviet.vn/2025/10/23/giabaopharma/af488e53eca04a869b1462082c8a1370.png</t>
  </si>
  <si>
    <t>Q30200063</t>
  </si>
  <si>
    <t>Homtamin Ginseng Korea United Pharm Cao nhân sâm ( H/12 vỉ x 5 viên) ( Q30200063 )</t>
  </si>
  <si>
    <t>https://cdn2-retail-images.kiotviet.vn/giabaopharma/37fbe26e30e64088a5a3baf09246aa7e.png</t>
  </si>
  <si>
    <t>Q30200629</t>
  </si>
  <si>
    <t>Homtamin Korea United Pharm không sâm (H/12 vỉ x 5 viên) ( Q30200629 )</t>
  </si>
  <si>
    <t>https://product.hstatic.net/200000428801/product/22_95da5333e5db427883a9b5f057de2a6e.png</t>
  </si>
  <si>
    <t>Q30215032341</t>
  </si>
  <si>
    <t>Hormedi 40 Methylprednisolon 40mg Pharbaco (Hộp 1lọ thuốc bột đông khô và 1 ống dung môi) ( METHY HOR )</t>
  </si>
  <si>
    <t>https://product.hstatic.net/200000428801/product/kh_3b5b501ee1da4021bc59ecf672b20167.jpg</t>
  </si>
  <si>
    <t>SP648483</t>
  </si>
  <si>
    <t>Hỗ trợ mọc tóc Cosme Hair,skin naills Medicinal ( Lọ 60 viên) ( )</t>
  </si>
  <si>
    <t>https://cdn2-retail-images.kiotviet.vn/2025/10/23/giabaopharma/f45f8581faca42049f025bfe22f7d0a7.png</t>
  </si>
  <si>
    <t>Q3020000668</t>
  </si>
  <si>
    <t>Huginko tiêm(H/ 10 ống 5ml) ( GINK HUGIN )</t>
  </si>
  <si>
    <t>https://product.hstatic.net/200000428801/product/_1000x1000__eucatol_new_5514850c25704a25805ec38ae0024b3b.jpg</t>
  </si>
  <si>
    <t>Q302200012</t>
  </si>
  <si>
    <t>Hutaxon Ceftriaxone 1g Fhil Inter( H/10 lọ) ( CEFTRI HUTA )</t>
  </si>
  <si>
    <t>https://cdn2-retail-images.kiotviet.vn/2025/10/23/giabaopharma/7d5e796b648044baa839961af38d4d7b.jpg</t>
  </si>
  <si>
    <t>SP64856078</t>
  </si>
  <si>
    <t>Huyết đường lọ 40 viên ( )</t>
  </si>
  <si>
    <t>https://product.hstatic.net/200000428801/product/e4d9eaa4805d3c7ff507e32f879cfb58_0c71850a01c04f62b231f8d4b422aa05.jpg</t>
  </si>
  <si>
    <t>SP64856065</t>
  </si>
  <si>
    <t>Hybru injection Brawn(hydrocortison 100mg) ( HYB INJ )</t>
  </si>
  <si>
    <t>https://product.hstatic.net/200000428801/product/cc661fbbfe4c3d12645d_f29cbb9fac6447a3a3233ef077f472af.jpg</t>
  </si>
  <si>
    <t>SP64856056</t>
  </si>
  <si>
    <t>Hycid-20(omeprazol 20 mg) hộp 100 viên ( OME 05 )</t>
  </si>
  <si>
    <t>https://cdn1-retail-images.kiotviet.vn/2026/01/16/giabaopharma/1f3620d7c3b444d7b73b242be3b918d2.jpg</t>
  </si>
  <si>
    <t>Q3020000697</t>
  </si>
  <si>
    <t>Incacex HD Pharm Vitamin B1, B6, B12 25mg (H/10 vỉ x 10 viên) ( Q3020000697 )</t>
  </si>
  <si>
    <t>https://product.hstatic.net/200000428801/product/9c8c108ba4cd64933ddc_0affdbac9ff34ff68c6cbfe6eeeac1c3.jpg</t>
  </si>
  <si>
    <t>Q30200442</t>
  </si>
  <si>
    <t>Indclav 1000 Amoxicillin 875mg and Clavulanate 125mg Ấn Độ ( H/1 vỉ x 10 viên) ( AMOX INDC )</t>
  </si>
  <si>
    <t>https://product.hstatic.net/200000428801/product/4262f0db4b6e8b30d27f_d73242b8bd7c46928a86f08ceaf23376.jpg</t>
  </si>
  <si>
    <t>Q30200004</t>
  </si>
  <si>
    <t>Indclav 625 Ấn Độ Amoxcillin and Clavulanate ( H/2 vỉ x 10 viên) ( amox ind625 )date 2/27</t>
  </si>
  <si>
    <t>https://product.hstatic.net/200000428801/product/zalo_screenshot_18_11_2021_826401_8de4e51b9f084e878929f0580ac581fa.png</t>
  </si>
  <si>
    <t>Q30200237</t>
  </si>
  <si>
    <t>Inore-Kit Tinidazol Micro (H/42 viên)date 8/26 ( TINI INO )</t>
  </si>
  <si>
    <t>https://product.hstatic.net/200000428801/product/zalo_screenshot_18_11_2021_825664_9374cd6635ed4f80a23deda2fd0b869a.png</t>
  </si>
  <si>
    <t>SP648571</t>
  </si>
  <si>
    <t>Itbay 90 Etoricoxib 90mg hoppj 30 viên date 6/2026 ( ETO BAY )</t>
  </si>
  <si>
    <t>https://cdn2-retail-images.kiotviet.vn/2025/10/13/giabaopharma/79ebc4d1e32547528bfc7fc8a508fd39.jpg</t>
  </si>
  <si>
    <t>SP64856109</t>
  </si>
  <si>
    <t>Itraxcop -itraconazole 100mg hộp 3 vỉ date 10/2027</t>
  </si>
  <si>
    <t>https://cdn2-retail-images.kiotviet.vn/2025/10/30/giabaopharma/dba8ba024eb143e687b6b88a9eecfc16.png</t>
  </si>
  <si>
    <t>SP648613</t>
  </si>
  <si>
    <t>Jassamin flex hỗ trợ sụn khớp hộp 50 viên ( JASSA )</t>
  </si>
  <si>
    <t>https://cdn1-retail-images.kiotviet.vn/2026/01/15/giabaopharma/3509d4b0835d4437a883529ddc13a1d8.jpg</t>
  </si>
  <si>
    <t>Q30200355</t>
  </si>
  <si>
    <t>Jollikid Sumo Lysine HCL Hải Linh( H/20 ống 10ml) ( Q30200355 )</t>
  </si>
  <si>
    <t>https://product.hstatic.net/200000428801/product/zalo_screenshot_18_11_2021_825162_383e33a5d50e4a439b6a5f92bc0bce55.png</t>
  </si>
  <si>
    <t>SP64856043</t>
  </si>
  <si>
    <t>Kefodime-100 (cefpodoxime) hộp 1 vỉ 10 viên ( CEFPO KEFO )</t>
  </si>
  <si>
    <t>https://product.hstatic.net/200000428801/product/thiet_ke_chua_co_ten__2__3e361f8cd689445d83b9720c97228aa6.png</t>
  </si>
  <si>
    <t>Q3020000672</t>
  </si>
  <si>
    <t>Kem Bôi Giấp Cá Roxtech Hải Dương ( H/ 1 Tuýp 20g) ( Q3020000672 )</t>
  </si>
  <si>
    <t>https://product.hstatic.net/200000428801/product/f8683ac68e804ede1791_74d6e820cb09462f81aa616535dfd934.jpg</t>
  </si>
  <si>
    <t>SP648584</t>
  </si>
  <si>
    <t>Kẽm gói DHC ( )</t>
  </si>
  <si>
    <t>https://product.hstatic.net/200000428801/product/0402a157c8130f4d5602_914d464fd133481badba8e79526fa663.jpg</t>
  </si>
  <si>
    <t>Q302987515</t>
  </si>
  <si>
    <t>Kẹo Ngậm Ho Eucatol Boston (Gói 15 viên ngậm) ( Q302987515 )</t>
  </si>
  <si>
    <t>https://product.hstatic.net/200000428801/product/hhhh_f907a890d63c4dc2be25cac6fe756fcf.jpg</t>
  </si>
  <si>
    <t>Q30200618</t>
  </si>
  <si>
    <t>Khẩu Trang 4D An Phú (H/ 10 cái) ( Q30200618 )</t>
  </si>
  <si>
    <t>https://product.hstatic.net/200000428801/product/huong_nang_xuan__1__870ccb6743af4304a0bc6f6fd827425e.png</t>
  </si>
  <si>
    <t>Q30200135</t>
  </si>
  <si>
    <t>Khẩu Trang 5D Mark Kids Hồng Quân Trẻ Em 2 lớp (Túi/10c) ( Q30200135 )</t>
  </si>
  <si>
    <t>https://cdn2-retail-images.kiotviet.vn/2025/10/30/giabaopharma/e8af7c4fa3494f25aceff5bf4528339a.png</t>
  </si>
  <si>
    <t>Q30200579</t>
  </si>
  <si>
    <t>Khẩu Trang KF94 (Túi/ 10 chiếc) ( Q30200579 )</t>
  </si>
  <si>
    <t>https://product.hstatic.net/200000428801/product/zalo_screenshot_18_11_2021_75972_3dcb08305bb44700bdbdf14476c864eb.png</t>
  </si>
  <si>
    <t>Q30200250</t>
  </si>
  <si>
    <t>Kid Bipharton xanh ( H/6 vỉ x 15 viên) ( Q30200250 )</t>
  </si>
  <si>
    <t>https://cdn2-retail-images.kiotviet.vn/2026/03/07/giabaopharma/571570ce87864c3baba820e89f201240.jpg</t>
  </si>
  <si>
    <t>Q30200436</t>
  </si>
  <si>
    <t>Koact 625 Amoxicilina- Acido Clavulanico 500-125mg (H/15 viên) ( AMOX KOAC )</t>
  </si>
  <si>
    <t>https://product.hstatic.net/200000428801/product/hoat_huyet_hakinton_extra__2__1e6f6ab0b9a94dad875ee9ffa6e0cb77.png</t>
  </si>
  <si>
    <t>Q302211823</t>
  </si>
  <si>
    <t>L Glutathione Sinaka Rostex USA (Hộp 1 lọ x 30 viên) ( Q302211823 )</t>
  </si>
  <si>
    <t>https://product.hstatic.net/200000428801/product/7c64659261e8a2b6fbf9_d28797bf57da445b9ca7feffb0202be7.jpg</t>
  </si>
  <si>
    <t>SP648517</t>
  </si>
  <si>
    <t>L- cystine Premium + GB beauty (H/60 viên) ( )</t>
  </si>
  <si>
    <t>https://product.hstatic.net/200000428801/product/6ba172079c665c380577_1b5745a5d1f640168086bcb312552e16.jpg</t>
  </si>
  <si>
    <t>SP64856110</t>
  </si>
  <si>
    <t>L-ornithin L-Aspartat 3g hộp 10 gói*5g</t>
  </si>
  <si>
    <t>https://product.hstatic.net/200000428801/product/zalo_screenshot_18_11_2021_759825_aff8b4a2941d430083b4f386824cb7cb.png</t>
  </si>
  <si>
    <t>SP648606</t>
  </si>
  <si>
    <t>Lactacyd odor fresh trầu không 250ml ( LACTA 1 )</t>
  </si>
  <si>
    <t>https://product.hstatic.net/200000428801/product/zalo_screenshot_18_11_2021_758477_86f97aba03ed47cb9516af0e103a155f.png</t>
  </si>
  <si>
    <t>Q30200549</t>
  </si>
  <si>
    <t>Lamin Baby HD Pharma (H/20 GÓI) ( Q30200549 )</t>
  </si>
  <si>
    <t>https://product.hstatic.net/200000428801/product/0435946d06c7c7999ed6_57ea68405c264499ba4258b97a74df47.jpg</t>
  </si>
  <si>
    <t>SP64856053</t>
  </si>
  <si>
    <t>Lanikson 30mg(lansoprazol) hộp 30 viên ( LANSO LANI )</t>
  </si>
  <si>
    <t>https://product.hstatic.net/200000428801/product/bfc84b73b76e7a30237f_07780de9dd6e43738d21b0aed7d08264.jpg</t>
  </si>
  <si>
    <t>Q302667965</t>
  </si>
  <si>
    <t>Lansomac 30 Lansoprazole Delayed Capsules USP 30mg Ấn Độ (Hộp 3 vỉ x 10 viên) date 10/26 ( LANSO 30 )</t>
  </si>
  <si>
    <t>https://product.hstatic.net/200000428801/product/72dcf2bfceb20dec54a3_f0860424993649f4b790e6e6b78efa59.jpg</t>
  </si>
  <si>
    <t>Q30200005</t>
  </si>
  <si>
    <t>Lecefti Cefixim 200mg Ấn Độ (H/ 10 viên) viên nhộng ( CEFI LECE )</t>
  </si>
  <si>
    <t>https://product.hstatic.net/200000428801/product/4a552ea92744e31aba55_b4a1fcfe4b54430d8b3eeb8376a89b0c.jpg</t>
  </si>
  <si>
    <t>Q30200603</t>
  </si>
  <si>
    <t>Levomels Myung-In Pharm L-ornithine-L-aspartate 500mg (H/10 ống x 5ml) ( LEVO MY )</t>
  </si>
  <si>
    <t>https://product.hstatic.net/200000428801/product/zalo_screenshot_20_11_2021_719481_7de2d21adb684478a075357562323526.png</t>
  </si>
  <si>
    <t>SP64856112</t>
  </si>
  <si>
    <t>Levotex HD pharma levofloxacin 500mg "10 vỉ hộp 100 viên"</t>
  </si>
  <si>
    <t>https://product.hstatic.net/200000428801/product/zalo_screenshot_20_11_2021_718289_075d1123d6bb4b838784984514350921.png</t>
  </si>
  <si>
    <t>SP64856096</t>
  </si>
  <si>
    <t>Levotex HDpharma (levofloxacin 500mg)"hộp 1 vỉ 10 viên"</t>
  </si>
  <si>
    <t>https://product.hstatic.net/200000428801/product/af1d6e8e0e93cccd9582_993a3c4f62da410cb1f8ff219497c389.jpg</t>
  </si>
  <si>
    <t>Q30200357</t>
  </si>
  <si>
    <t>Levtrang Levocetizin Hydrochlorid Windlas (H/10 vỉ x 10 viên) ( LEVO 0121 )date 10/26</t>
  </si>
  <si>
    <t>https://product.hstatic.net/200000428801/product/hapacol_1fc2f5a1ce6e4b80951611a664db7b79.jpg</t>
  </si>
  <si>
    <t>Q30200426</t>
  </si>
  <si>
    <t>Lincodazin GMP-WHO Lincomycin Hydrochloride 500mg (H/10 vỉ x 10 viên) ( Q30200426 )</t>
  </si>
  <si>
    <t>https://product.hstatic.net/200000428801/product/hanomin_ginseng__2__847b1f33a72b438a8bf8315098ee9fff.png</t>
  </si>
  <si>
    <t>Q30200559</t>
  </si>
  <si>
    <t>Liver TN Hải Dương (H/30 viên) ( Q30200559 )</t>
  </si>
  <si>
    <t>https://product.hstatic.net/200000428801/product/e776fa50994755190c56_c25bfd48db31452bb08d5f0882f1b5bb.jpg</t>
  </si>
  <si>
    <t>Q30200604</t>
  </si>
  <si>
    <t>llftriaxone ildong pharma Ceftriaxone Sodium 1g ( H/10v) ( CEFTRI IL )</t>
  </si>
  <si>
    <t>https://product.hstatic.net/200000428801/product/h1_2553a7f152334453953833a33ecb8724.jpg</t>
  </si>
  <si>
    <t>SP64856091</t>
  </si>
  <si>
    <t>Lobrmin (loperamid 2ng) hộp 100 viên SAGA</t>
  </si>
  <si>
    <t>https://product.hstatic.net/200000428801/product/b4abb255210fe151b81e_a61ae42e8deb4266a5eefb97c8e81941.jpg</t>
  </si>
  <si>
    <t>Q302500515</t>
  </si>
  <si>
    <t>Lodextrin Agimexpharm ( Hộp 100 viên nén bao phim) ( LODE AGIM )</t>
  </si>
  <si>
    <t>https://product.hstatic.net/200000428801/product/01bc67fa1881dadf8390_67a14e400d2645b4b655ed278182f468.jpg</t>
  </si>
  <si>
    <t>Q30200348</t>
  </si>
  <si>
    <t>Lomac-20 Omeprazol Cipla vỉ (H/100 viên) ( OME LOMAC )</t>
  </si>
  <si>
    <t>https://product.hstatic.net/200000428801/product/zalo_screenshot_18_11_2021_758588_721277ebec6549bc80a481ddb7d016d7.png</t>
  </si>
  <si>
    <t>Q30200083</t>
  </si>
  <si>
    <t>Lopran Brawn Laboratories loperamide (H/10 vỉ x 10 viên) ( LOPE LORP )</t>
  </si>
  <si>
    <t>https://cdn2-retail-images.kiotviet.vn/2025/11/12/giabaopharma/f99f1a46c43e45c7bc3f1139c8a2abab.jpg</t>
  </si>
  <si>
    <t>Q30200605</t>
  </si>
  <si>
    <t>Losartal 50 Losartan Potasium 50mg (H/3 vỉ x 10 viên) ( LOSA 50 )</t>
  </si>
  <si>
    <t>https://product.hstatic.net/200000428801/product/3a_c4b83a051233487f88c8e8de29d70da8.jpg</t>
  </si>
  <si>
    <t>Q30200570</t>
  </si>
  <si>
    <t>Lucass Sachet Cefpodoxim Maxim ( H/ 10 gói) ( CEFPO LUCA )</t>
  </si>
  <si>
    <t>https://product.hstatic.net/200000428801/product/333_2cd6ef22c11e491cbe24dbb6b7c380b7.jpg</t>
  </si>
  <si>
    <t>Q3020000641</t>
  </si>
  <si>
    <t>Lutein Rostex Pharma USA (H/3 vỉ x 10 viên) ( Q3020000641 )</t>
  </si>
  <si>
    <t>https://product.hstatic.net/200000428801/product/zalo_screenshot_18_11_2021_757109_45a4109c20b74337b7fa2cf2a932c4ce.png</t>
  </si>
  <si>
    <t>SP648592</t>
  </si>
  <si>
    <t>Magnesi b6 Đại Uy hộp 100 viên ( )</t>
  </si>
  <si>
    <t>https://product.hstatic.net/200000428801/product/thiet_ke_khong_ten__94__fa78edd71d1a43699650a01489381b9d.png</t>
  </si>
  <si>
    <t>Magnesi B6 Medipharco (hộp 5 vỉ * 10 viên)</t>
  </si>
  <si>
    <t>https://product.hstatic.net/200000428801/product/e7eb15ac74b1b6efefa0_0ab40d8894fc4a4594b3874ee1a32bd1.jpg</t>
  </si>
  <si>
    <t>Q30200525</t>
  </si>
  <si>
    <t>Majegra 50 Synmedic Lab sildenafil 50mg (H/1 vỉ x 4 viên) ( SILDEN MAJE )</t>
  </si>
  <si>
    <t>https://product.hstatic.net/200000428801/product/f29dcaa0166ed6308f7f_43e072a2398947f19ed6d0820913218b.jpg</t>
  </si>
  <si>
    <t>Q30200574</t>
  </si>
  <si>
    <t>Majegra-100 Sildenafil Synmedic (H/4 viên) ( silden maje 100 )</t>
  </si>
  <si>
    <t>https://product.hstatic.net/200000428801/product/zalo_screenshot_18_11_2021_75685_fe4d073cb8aa4b50a6ac1ef0c170700a.png</t>
  </si>
  <si>
    <t>SP64856119</t>
  </si>
  <si>
    <t>Mastic-5 brawn montelukat 5mg "hộp 3 vỉ * 10 viên)</t>
  </si>
  <si>
    <t>https://product.hstatic.net/200000428801/product/zalo_screenshot_20_11_2021_627335_15d7441d7f3e4138922309b8a5c43ea8.png</t>
  </si>
  <si>
    <t>Q30200500</t>
  </si>
  <si>
    <t>Maxx Gold HD Pharma Glucosamine sulfate 750mg ( H/60 viên) ( Q30200500 )</t>
  </si>
  <si>
    <t>https://cdn2-retail-images.kiotviet.vn/2025/12/23/giabaopharma/1d169866b1e446fb85a39681b7b0c8de.png</t>
  </si>
  <si>
    <t>Q30200342</t>
  </si>
  <si>
    <t>Maxxsat 100 Fourrts (India) Lab sildenafil 100mg ( H/1 vỉ x 4 viên) date 2/27 ( SILDEN MAX 100 )</t>
  </si>
  <si>
    <t>https://cdn2-retail-images.kiotviet.vn/2025/11/29/giabaopharma/bbf4dd24767d496095c0606991b452e0.jpg</t>
  </si>
  <si>
    <t>SP64856095</t>
  </si>
  <si>
    <t>Men ống men vi sinh richergen hộp 20 ống</t>
  </si>
  <si>
    <t>https://cdn2-retail-images.kiotviet.vn/2025/10/30/giabaopharma/d3f83a7060cf4a808ab6b444a66fd3b0.png</t>
  </si>
  <si>
    <t>Q302170723</t>
  </si>
  <si>
    <t>Men Vi Sinh LiveSpo Clausy Bào Tử Lợi Khuẩn Việt Nam (10 ống x 5ml) ( Q302170723 )</t>
  </si>
  <si>
    <t>https://product.hstatic.net/200000428801/product/zalo_screenshot_18_11_2021_756289_d15bcec9216b452ebb52f1a2bbd90e2f.png</t>
  </si>
  <si>
    <t>SP64856118</t>
  </si>
  <si>
    <t>https://product.hstatic.net/200000428801/product/f44c89a6f15630086947_b58546a998be439a971d25b0105ffcf8.jpg</t>
  </si>
  <si>
    <t>Q30200165</t>
  </si>
  <si>
    <t>Meritintab Dae Hwa Pharm (H/10 vỉ x 10 viên) ( MERI )</t>
  </si>
  <si>
    <t>https://product.hstatic.net/200000428801/product/zalo_screenshot_18_11_2021_756688_a59ea5b566554d3795717377403c0905.png</t>
  </si>
  <si>
    <t>Q30200244</t>
  </si>
  <si>
    <t>Methylprednisolon 16 Khapharco Methylprednisolon 16mg (H/10 vỉ x 10 viên) ( METHY 16 )</t>
  </si>
  <si>
    <t>https://product.hstatic.net/200000428801/product/genflu-n-10g-mac-dinh-3-1-700x467_51878aa323464bc0a1696443286d0aaf.jpg</t>
  </si>
  <si>
    <t>SP648545</t>
  </si>
  <si>
    <t>Metomol hộp 100 viên(flunarizine 5mg) date 3/2025 ( FLUNA )</t>
  </si>
  <si>
    <t>https://product.hstatic.net/200000428801/product/22f68028c9ad03f35abc_a6976a1d829d49ed8c1de79068cb404f.jpg</t>
  </si>
  <si>
    <t>Q302632145</t>
  </si>
  <si>
    <t>Metronidazole Flagyl 250mg SANOFI (Hộp 2 vỉ x 10 viên nén bao phim) ( METRO FLA )</t>
  </si>
  <si>
    <t>https://cdn1-retail-images.kiotviet.vn/2026/01/10/giabaopharma/c1b21370d64d42b8bcc2110a9e401a21.jpg</t>
  </si>
  <si>
    <t>SP64856101</t>
  </si>
  <si>
    <t>Miconazol 400 hộp 1 vỉ 3 viên</t>
  </si>
  <si>
    <t>https://cdn2-retail-images.kiotviet.vn/2025/10/31/giabaopharma/6d7b2873e433438ab1bdc91b92a5bb79.jpg</t>
  </si>
  <si>
    <t>Q30200428</t>
  </si>
  <si>
    <t>Micro Celcoxib 100 Micro Labs celecoxib 100mg (H/3 vỉ x 10 viên) ( CELE 100 )</t>
  </si>
  <si>
    <t>https://cdn1-retail-images.kiotviet.vn/2026/01/10/giabaopharma/d9b70fe888144c13aa913c1f1f9f21ed.jpg</t>
  </si>
  <si>
    <t>Q30200207</t>
  </si>
  <si>
    <t>Miduc Saga Laboratories - Ấn Độ Itraconazole (H/1 vỉ x 10 viên)date 12/2026 ( ITRA MIDUC )</t>
  </si>
  <si>
    <t>https://product.hstatic.net/200000428801/product/1f9eef651d92decc8783_ad7f05e8ebaf4669b602cd7a144cfb1f.jpg</t>
  </si>
  <si>
    <t>Q30200420</t>
  </si>
  <si>
    <t>Moller's Tran Dầu Gan Cá Tuyết hương chanh (C/ 250ml) ( Q30200420 )</t>
  </si>
  <si>
    <t>https://product.hstatic.net/200000428801/product/thiet_ke_khong_ten__69__f101dd99ffa7479cb7eec3df5abf6d6f.png</t>
  </si>
  <si>
    <t>Q30200585</t>
  </si>
  <si>
    <t>Montemac 10 Macleods Pharma Montelukas 10mg (H/3 vỉ x 10 viên) ( Q30200585 )</t>
  </si>
  <si>
    <t>https://cdn2-retail-images.kiotviet.vn/2025/10/22/giabaopharma/09e92ec6c60b4ac0962b231538dd0bcb.jpg</t>
  </si>
  <si>
    <t>SP64856074</t>
  </si>
  <si>
    <t>Mỡ máu Kingphar lọ 40 viên ( )</t>
  </si>
  <si>
    <t>SP648544</t>
  </si>
  <si>
    <t>Mũ y tế bịch ( )</t>
  </si>
  <si>
    <t>https://product.hstatic.net/200000428801/product/zalo_screenshot_18_11_2021_755581_ba7034e44b844848a3d05ced67732563.png</t>
  </si>
  <si>
    <t>Q30227032385</t>
  </si>
  <si>
    <t>MUA ÍT NHẤT 5 LỌ " Sancoba nhỏ mắt Santen Nhật Bản (lọ 5ml) "</t>
  </si>
  <si>
    <t>https://cdn2-retail-images.kiotviet.vn/2026/03/07/giabaopharma/5dc385132bd2466c84cadfe8667f6b01.jpg</t>
  </si>
  <si>
    <t>Q30200199</t>
  </si>
  <si>
    <t>Mumbaby Yến Sào Sữa Non HD màu đỏ ( H/4 vỉ x 5 ỗng 10ml) ( Q30200199 )</t>
  </si>
  <si>
    <t>https://product.hstatic.net/200000428801/product/pp_751635a766d449e08ab40a9110278d74.png</t>
  </si>
  <si>
    <t>Q30200015</t>
  </si>
  <si>
    <t>Mumbaby Yến Sào Sữa Non HD màu xanh ( H/4 vỉ x 5 ỗng 10ml) ( Q30200015 )</t>
  </si>
  <si>
    <t>https://product.hstatic.net/200000428801/product/20211211_142551_ce518ded7d2b4e4f8a0d9cfc8d2f08b9.png</t>
  </si>
  <si>
    <t>SP648543</t>
  </si>
  <si>
    <t>Mylitix-200(cefixime 200) hộp 10 viên date 7/27 ( CEFI MYLTIX )</t>
  </si>
  <si>
    <t>https://product.hstatic.net/200000428801/product/e4f11c358e9f4fc1168e_90d923d6132c42369ed978cba9686016.jpg</t>
  </si>
  <si>
    <t>Q3020000699</t>
  </si>
  <si>
    <t>Nesteloc 40 USP Esomeprazole 40mg (H/3 vỉ x 10 viên) date 12/27 ( ESOME NESTE )</t>
  </si>
  <si>
    <t>https://product.hstatic.net/200000428801/product/zalo_screenshot_18_11_2021_755585_30990e1f1f624f808a729ec9ea910aaf.png</t>
  </si>
  <si>
    <t>Q30200383</t>
  </si>
  <si>
    <t>Newlevo hồng GMP Levonorgestrel 0,03mg (H/1 vỉ x 28 v) ( LEVO 018 )</t>
  </si>
  <si>
    <t>https://product.hstatic.net/200000428801/product/b0691a8a6f2ba175f83a_55e005f9bbaf472e8bc9b997b580cf72.jpg</t>
  </si>
  <si>
    <t>Q3021252379</t>
  </si>
  <si>
    <t>Newlevo Levonorgestrel 0.03mg trắng Ba Đình (cọc 10 hộp x 28 viên nén) ( LEVO 011 )</t>
  </si>
  <si>
    <t>https://cdn2-retail-images.kiotviet.vn/2025/05/29/giabaopharma/5976033a522b49eb8d5abe73752e56b1.jpg,https://cdn2-retail-images.kiotviet.vn/2025/05/29/giabaopharma/5ff53766c83646448bc23e204de334e8.jpg</t>
  </si>
  <si>
    <t>Q302545687</t>
  </si>
  <si>
    <t>Ngủ Ngon OYASUM (Hộp 30 viên) Việt Nhật ( Q302545687 )</t>
  </si>
  <si>
    <t>https://product.hstatic.net/200000428801/product/522cf5b2732ebd70e43f_925cbc0413544ce1814511ec167fde00.jpg</t>
  </si>
  <si>
    <t>Q3020000671</t>
  </si>
  <si>
    <t>Nhãn Lực Hải Linh (H/30 viên) ( Q3020000671 )</t>
  </si>
  <si>
    <t>https://cdn2-retail-images.kiotviet.vn/2025/11/07/giabaopharma/eb85852f51394b32ac316c9737a558ae.jpg</t>
  </si>
  <si>
    <t>Q30200534</t>
  </si>
  <si>
    <t>Nhiệt Kế Clinical Thermometer Tokyo (H/12 cái) ( Q30200534 )</t>
  </si>
  <si>
    <t>https://cdn2-retail-images.kiotviet.vn/2025/12/06/giabaopharma/33b93fef8a6d41b2873a3691107dfd25.png</t>
  </si>
  <si>
    <t>Q3021</t>
  </si>
  <si>
    <t>Nilofact piracetam 1g/5ml Yteco (H/10 ống x 5ml) ( PIRA NILO )</t>
  </si>
  <si>
    <t>https://product.hstatic.net/200000428801/product/ff_e1571e921763453484e30aa15875dd37.jpg</t>
  </si>
  <si>
    <t>Q30200565</t>
  </si>
  <si>
    <t>Novoxim Amoxilin 500mg Micro (H/10 vỉ x 10 viên) ( AMOX 1NOVO )</t>
  </si>
  <si>
    <t>https://product.hstatic.net/200000428801/product/59df3acf233eed60b42f_b5e95f3b5d344500aa0e21c10256131b.jpg</t>
  </si>
  <si>
    <t>SP648542</t>
  </si>
  <si>
    <t>Nucoxia 60mg-Etoricoxib 60mg India hộp 10 vỉ*10 viên (date10/26) ( ETO 60 )</t>
  </si>
  <si>
    <t>https://product.hstatic.net/200000428801/product/9463054058a793f9cab6_30666d76c8f44e1f8d84b63e92e4dd96.jpg</t>
  </si>
  <si>
    <t>SP64856047</t>
  </si>
  <si>
    <t>Nucoxia 90 (etoricoxib 90 mg) hộp 100 viên date 03/2026 ( ETO 90 NUCO )</t>
  </si>
  <si>
    <t>https://product.hstatic.net/200000428801/product/eaae481aa67b66253f6a_f02a53b0e6164689ba51731c90fdb53b.jpg</t>
  </si>
  <si>
    <t>SP648585</t>
  </si>
  <si>
    <t>nước hoa GBB secret bliss dạng xịt 10ml ( )</t>
  </si>
  <si>
    <t>https://cdn2-retail-images.kiotviet.vn/2025/12/06/giabaopharma/7576f32d27cb41ceb0144342bee804a7.jpg</t>
  </si>
  <si>
    <t>SP648568</t>
  </si>
  <si>
    <t>Nước hoa vùng kín GBB inner perfume 5ml ( )</t>
  </si>
  <si>
    <t>https://product.hstatic.net/200000428801/product/cb4a859dd4ef19b140fe5_5e8c115826034d5f814350bb0bb90784.jpg</t>
  </si>
  <si>
    <t>Q302300923</t>
  </si>
  <si>
    <t>Nước Mắt Nhân Tạo Easimist Eye Drops Carmellose Sodium BP 0,5% 5ml Ấn Độ (Cọc 10 lọ) ( Q302300923 )</t>
  </si>
  <si>
    <t>https://product.hstatic.net/200000428801/product/f8513993f54737196e56_dcb5d329220141c9b9fed3d5b2e07866.jpg</t>
  </si>
  <si>
    <t>Q30200587</t>
  </si>
  <si>
    <t>Ocetin GMP citicoline 500mg ( H/ 10v) ( CITI OCE )</t>
  </si>
  <si>
    <t>https://product.hstatic.net/200000428801/product/bc5104d65931926fcb20_a0d9a8212d2e4e3589d5f9544b1fa980.jpg</t>
  </si>
  <si>
    <t>Q3021042163</t>
  </si>
  <si>
    <t>OCID Omeprazole 20mg Zydus Cadila Ấn Độ (hộp 10 vỉ x 10 viên nang) ( OME OMEPRA 02 )</t>
  </si>
  <si>
    <t>https://product.hstatic.net/200000428801/product/zalo_screenshot_20_11_2021_636192_ad6c67d13f144817933184890744edf9.png</t>
  </si>
  <si>
    <t>Q30200457</t>
  </si>
  <si>
    <t>Ofiss Cefpodoxim Maxim 200mg (H/10 viên) ( CEFPO 014 )</t>
  </si>
  <si>
    <t>https://product.hstatic.net/200000428801/product/zalo_screenshot_20_11_2021_634142_74ecd74e98644941ad97ec36b7d063ca.png</t>
  </si>
  <si>
    <t>SP648583</t>
  </si>
  <si>
    <t>Olanz 10mg (3 vỉ x 10 viên) -olanzapine 10 date 1/26 ( OLAN 1 )</t>
  </si>
  <si>
    <t>https://product.hstatic.net/200000428801/product/cc4793e0a38069de3091_9e3f2a38ea104c36b3832064df55fda9.jpg</t>
  </si>
  <si>
    <t>Q30200343</t>
  </si>
  <si>
    <t>Olavex 5 Akums Drugs &amp; Pharmaceuticals Ltd., Ấn Độ olanzapine 5mg (H/3 vỉ x 10 viên) ( OLAN OLA )</t>
  </si>
  <si>
    <t>https://product.hstatic.net/200000428801/product/1298c40709a9cbf792b8_c7c40c74a1474db7a7c02ce8376e9dbc.jpg</t>
  </si>
  <si>
    <t>Q302140123</t>
  </si>
  <si>
    <t>Ole 200 Ofloxacin Tablets USP 200mg Hà Tây (Hộp 10 vỉ x 10 viên nén bao phim) ( OFLO OLE )</t>
  </si>
  <si>
    <t>https://cdn2-retail-images.kiotviet.vn/2025/10/30/giabaopharma/d6549fc2f87b4ba1b8ac481e9b6c2710.png</t>
  </si>
  <si>
    <t>SP64856079</t>
  </si>
  <si>
    <t>Olecin-500 levofloxacin 500mg hộp 10 viên</t>
  </si>
  <si>
    <t>https://product.hstatic.net/200000428801/product/d0d550fec154000a5945_bb18439fee964317acb44bb7100f4885.jpg</t>
  </si>
  <si>
    <t>SP64856069</t>
  </si>
  <si>
    <t>Omega 3.6.9 coQ10 hộp 100 viên vàng ( OME 03 )</t>
  </si>
  <si>
    <t>https://product.hstatic.net/200000428801/product/83812e06ecc82f9676d9__1__7ac9507c00934774b0115beb14758ba5.jpg</t>
  </si>
  <si>
    <t>SP64856068</t>
  </si>
  <si>
    <t>Omega 3.6.9 slaska hộp 60 viên nội ( OME 04 )</t>
  </si>
  <si>
    <t>https://product.hstatic.net/200000428801/product/74a1ef40869e49c0108f_4b5ea4f417ef4bbcb05edf745c00703a.jpg</t>
  </si>
  <si>
    <t>Q30200378</t>
  </si>
  <si>
    <t>Omega 369 Alasukai Fish Oil Hải Linh (H/60 viên) ( OME 14 )</t>
  </si>
  <si>
    <t>https://cdn1-retail-images.kiotviet.vn/2026/03/12/giabaopharma/520dbe4eecd242108f11c8f05986a18c.jpg</t>
  </si>
  <si>
    <t>Q302106202301</t>
  </si>
  <si>
    <t>Omega 369 Coenzym Q10 FDA-DHA Vinaphar (Hộp 1 lọ x 100 viên) ( OME 13 )</t>
  </si>
  <si>
    <t>https://product.hstatic.net/200000428801/product/4e23e922da8715d94c96_21f8999a8abf455c995d913fe66344b6.jpg</t>
  </si>
  <si>
    <t>SP64856090</t>
  </si>
  <si>
    <t>Omega 369 FDA-DHA lọ 60 viên</t>
  </si>
  <si>
    <t>https://product.hstatic.net/200000428801/product/9348764e45eb8ab5d3fa_aef69a3922174245944911a92f3fb9be.jpg</t>
  </si>
  <si>
    <t>SP648497</t>
  </si>
  <si>
    <t>Omega DHA 900 Korya Vinarphar ( H/ 100 viên) ( OME 012 )</t>
  </si>
  <si>
    <t>https://product.hstatic.net/200000428801/product/eff_0f6a457db77c49a5a6790f44fbe8f8cc.jpg</t>
  </si>
  <si>
    <t>SP64856036</t>
  </si>
  <si>
    <t>Omega DHA lọ 60 viên hải Linh ( OME 06 )</t>
  </si>
  <si>
    <t>https://product.hstatic.net/200000428801/product/ef_ad7e4bdb1cf542c7ab01957ea146d1b7.jpg</t>
  </si>
  <si>
    <t>Q30200509</t>
  </si>
  <si>
    <t>Omicap- Kit Tinidazole Micro (H/ 7 kít) ( TINI OMI )</t>
  </si>
  <si>
    <t>https://product.hstatic.net/200000428801/product/72_3d2f2cb5c06641b79caf1bced6baee7b.png</t>
  </si>
  <si>
    <t>Q3020000650</t>
  </si>
  <si>
    <t>Omsergy Omeprazol Saga (H/ 100 viên) ( OME OMSER )date 12/27</t>
  </si>
  <si>
    <t>https://product.hstatic.net/200000428801/product/thiet_ke_khong_ten__2__413ddcdb2c004affa1873035e8c6a872.png</t>
  </si>
  <si>
    <t>Q30200326</t>
  </si>
  <si>
    <t>Ospamox Imexpharm áo Amocillin 500mg (Cọc 10 vỉ x 10 viên) ( AMOX OSPA )</t>
  </si>
  <si>
    <t>https://product.hstatic.net/200000428801/product/28875da30624c37a9a35_11cb5bf82eb34921b050cd6c712cbe50.jpg</t>
  </si>
  <si>
    <t>Q30200280</t>
  </si>
  <si>
    <t>Ospen 1000 Phenoxymethylpenicillin Sandoz (H 10 vỉ x 10 viên) t1/2024 ( PENI OS )</t>
  </si>
  <si>
    <t>https://product.hstatic.net/200000428801/product/e6678cfcf85b37056e4a_d6fbf756938c4831ac044a33ac4cf2a9.png</t>
  </si>
  <si>
    <t>Q302071123</t>
  </si>
  <si>
    <t>Pacifdine Loratadine Tablets USP 10mg Baroque Ấn Độ (Hộp 10 vỉ x 10 viên nén) ( LORA 2 )</t>
  </si>
  <si>
    <t>https://product.hstatic.net/200000428801/product/585471af602aac74f53b_bd278d068da14bd897813699fa2b8415.jpg</t>
  </si>
  <si>
    <t>Q30200054</t>
  </si>
  <si>
    <t>Pamatase methylprednisolone 40mg Hàn Quốc (H/10 ống) ( METHY PAMA )</t>
  </si>
  <si>
    <t>https://cdn2-retail-images.kiotviet.vn/2025/10/30/giabaopharma/8e12b31a855f4cd788e0cabaae553b7e.png</t>
  </si>
  <si>
    <t>Q30200146</t>
  </si>
  <si>
    <t>Panactol Extra Paracetamol 500mg Khánh Hoà (H/15 vỉ x 12 viên) ( PARA 0411 )</t>
  </si>
  <si>
    <t>https://cdn2-retail-images.kiotviet.vn/2026/03/07/giabaopharma/1f9423a56e0343bb851cd91d61ede22d.jpg</t>
  </si>
  <si>
    <t>SP648562</t>
  </si>
  <si>
    <t>Paracetamol 650 Boston hộp 100v ( PARA 04 )</t>
  </si>
  <si>
    <t>https://product.hstatic.net/200000428801/product/9a026ebaa2b761e938a6_b3f21e3bd1004a3db0315f98464f093a.jpg</t>
  </si>
  <si>
    <t>Q3020000682</t>
  </si>
  <si>
    <t>Paralmax Extra Paracetamol 500mg Boston (H/180viên) ( PARA 010 )</t>
  </si>
  <si>
    <t>https://product.hstatic.net/200000428801/product/8c773e0a2ae7e8b9b1f6_10e9ac448f28416e9eea94d38a391c6e.jpg</t>
  </si>
  <si>
    <t>Q30200573</t>
  </si>
  <si>
    <t>Paralmax Paracetamol Boston (H/120 Viên) ( PARA 09 )</t>
  </si>
  <si>
    <t>https://product.hstatic.net/200000428801/product/zalo_screenshot_18_11_2021_742201_bf3adef12d9049bfbe94ea16f953b2d5.png</t>
  </si>
  <si>
    <t>Q30200277</t>
  </si>
  <si>
    <t>Paralmax Paracetamol Boston (H/180 Viên) ( PARA 08 )</t>
  </si>
  <si>
    <t>https://cdn2-retail-images.kiotviet.vn/2025/12/31/giabaopharma/d6bbe854e99c48fca876e10e0b4f2dc5.jpg</t>
  </si>
  <si>
    <t>Q30200269</t>
  </si>
  <si>
    <t>Paralmax Paracetamol Bostone (H/120 viên) xanh thường ( PARA 07 )</t>
  </si>
  <si>
    <t>https://product.hstatic.net/200000428801/product/89decdd53f22fc7ca533_a1a28a35c62f4c5eb415e59fc8b5737e.jpg</t>
  </si>
  <si>
    <t>SP64856103</t>
  </si>
  <si>
    <t>Pasigel hộp 30 gói *5ml</t>
  </si>
  <si>
    <t>https://product.hstatic.net/200000428801/product/4a906b887a5abb04e24b_773bc69be799410f84c485f1a343f059.jpg</t>
  </si>
  <si>
    <t>SP64856098</t>
  </si>
  <si>
    <t>Pasigel hộp 50 gói *5ml</t>
  </si>
  <si>
    <t>https://product.hstatic.net/200000428801/product/zalo_screenshot_18_11_2021_741801_2722a6b3ec56432d821da2590a3000a1.png</t>
  </si>
  <si>
    <t>Q30200139</t>
  </si>
  <si>
    <t>Pecias Kids Vitamin D3 + K2 BMP ( C/125ml) ( Q30200139 )</t>
  </si>
  <si>
    <t>https://product.hstatic.net/200000428801/product/142af6eed600125e4b11_640a8151ddc046699ded93599916ad9b.jpg</t>
  </si>
  <si>
    <t>Q30200067</t>
  </si>
  <si>
    <t>Peptifiz US Pharma Papain 60MG (H/10 VỈ x 4 VIÊN SỦI) ( Q30200067 )</t>
  </si>
  <si>
    <t>https://cdn2-retail-images.kiotviet.vn/2025/11/20/giabaopharma/9866d4f41f5c49f1846a5e147a7c422d.png</t>
  </si>
  <si>
    <t>SP648589</t>
  </si>
  <si>
    <t>Phaanedol extra hộp 180 viên Nic(không Plus) ( PHA )</t>
  </si>
  <si>
    <t>https://product.hstatic.net/200000428801/product/thiet_ke_khong_ten__6__8ad54b6e121f499db4f194da52b2fd0e.png</t>
  </si>
  <si>
    <t>SP64856051</t>
  </si>
  <si>
    <t>Phagelvit plus hộp 60 viên roxtech ( )</t>
  </si>
  <si>
    <t>https://cdn2-retail-images.kiotviet.vn/2025/10/23/giabaopharma/05b59422017f41da8ab0f6b2305f98e9.png</t>
  </si>
  <si>
    <t>SP64856123</t>
  </si>
  <si>
    <t>https://product.hstatic.net/200000428801/product/zalo_screenshot_18_11_2021_741909_5d1c72f370164d61ae0f70cee0281472.png</t>
  </si>
  <si>
    <t>Q30200526</t>
  </si>
  <si>
    <t>Pharmagel Robinson Pharma (H/10 vỉ x 10 viên) ( Q30200526 )</t>
  </si>
  <si>
    <t>https://product.hstatic.net/200000428801/product/zalo_screenshot_18_11_2021_741561_01859b1ede744ba2a0bf46cfdae32e96.png</t>
  </si>
  <si>
    <t>Q30200536</t>
  </si>
  <si>
    <t>Piracetam Injection 1g/5ml Zhejiang Ruixin (H/10 lọ) ( PIRA ZHE )</t>
  </si>
  <si>
    <t>https://product.hstatic.net/200000428801/product/zalo_screenshot_18_11_2021_722613_5e64c2ae9de849e4a0fd430c54d392f9.png</t>
  </si>
  <si>
    <t>Q30200327</t>
  </si>
  <si>
    <t>Piracetam Kabi Fresenius 1g/5ml ( H/12 ống x 5ml) ( PIRA KABI )</t>
  </si>
  <si>
    <t>https://product.hstatic.net/200000428801/product/thiet_ke_khong_ten__4__7686216da65f4a6781b49c5af9002c78.png</t>
  </si>
  <si>
    <t>Q30200363</t>
  </si>
  <si>
    <t>PMX Ciprofloxacin KMS Pharm. Co., Ltd. ciprofloxacin 582mg (H/10 vỉ x 10 viên) ( cipro 8 )</t>
  </si>
  <si>
    <t>https://product.hstatic.net/200000428801/product/zalo_screenshot_20_11_2021_63467_8686d407657c49a99ac7fefe2bbbef18.png</t>
  </si>
  <si>
    <t>Q30200497</t>
  </si>
  <si>
    <t>Popranazol Pantoprazole Brawn 40mg (H/30 viên) ( PANTO BR )</t>
  </si>
  <si>
    <t>https://product.hstatic.net/200000428801/product/14_9d3d6ce7b6b7477cb290cd150cba2d70.png</t>
  </si>
  <si>
    <t>Q30200591</t>
  </si>
  <si>
    <t>Prasocid Pantopprazole XL ( H/30 viên) ( PANTO PRA )</t>
  </si>
  <si>
    <t>https://product.hstatic.net/200000428801/product/584fc2107456b408ed47_f9741db6c9ac44e180e23c918320d5fc.jpg</t>
  </si>
  <si>
    <t>Q30200563</t>
  </si>
  <si>
    <t>Prednision Prednisone 5mg ( H/1000v) ( PRED PRE )</t>
  </si>
  <si>
    <t>https://product.hstatic.net/200000428801/product/zalo_screenshot_20_11_2021_717416_395f2a4cddce46c6815a2a24958e830d.png</t>
  </si>
  <si>
    <t>Q30231032385</t>
  </si>
  <si>
    <t>Prednison 5mg Robinson (lọ 1000 viên nén) 03/2027 ( PRED RO )</t>
  </si>
  <si>
    <t>https://product.hstatic.net/200000428801/product/4a373f266bbca4e2fdad_d346702e9c4f4cafb09f7f8628a3bd9a.jpg</t>
  </si>
  <si>
    <t>Q30200358</t>
  </si>
  <si>
    <t>Preforin Injection Methylprednisolon Myungmoon (H/ 10 lọ bột pha tiêm) ( MRTHY PRE )</t>
  </si>
  <si>
    <t>https://product.hstatic.net/200000428801/product/7d799e10692da973f03c_9b0de7e3f35c4252ac2c5477fe8a16ae.jpg</t>
  </si>
  <si>
    <t>Q30200022</t>
  </si>
  <si>
    <t>Prizine Young II Pharm flunarizine 5,9mg (H/10 vỉ x 10 viên) ( FLU PRI )</t>
  </si>
  <si>
    <t>https://product.hstatic.net/200000428801/product/zalo_screenshot_20_11_2021_716944_47979e2c6e544456aeeb9a46d6b84926.png</t>
  </si>
  <si>
    <t>SP648532</t>
  </si>
  <si>
    <t>pro Avalo xanh(levonogesstrel 0,03) hộp 1 vỉ 28 viên DP Ba Đình ( LEVO 04 )</t>
  </si>
  <si>
    <t>https://product.hstatic.net/200000428801/product/zalo_screenshot_20_11_2021_717766_0b981936a70f4d5885e9a3cde4a8082e.png</t>
  </si>
  <si>
    <t>SP648597</t>
  </si>
  <si>
    <t>Proctogel tube bôi trĩ 20g ( PROC )</t>
  </si>
  <si>
    <t>https://cdn2-retail-images.kiotviet.vn/2025/12/30/giabaopharma/167859d7e9fa400ebe4ba42d5abb56b2.jpg</t>
  </si>
  <si>
    <t>Q30200606</t>
  </si>
  <si>
    <t>Proratanl HD Pharma (H/30v) ( Q30200606 )</t>
  </si>
  <si>
    <t>https://product.hstatic.net/200000428801/product/thiet_ke_khong_ten__84__1d400c2db94f4ee39317280ad90cb2e7.png</t>
  </si>
  <si>
    <t>Q3020000707</t>
  </si>
  <si>
    <t>Pylomed Tinidazol Medley (H/ 7 kit) ( TINI PYLO )</t>
  </si>
  <si>
    <t>https://cdn2-retail-images.kiotviet.vn/2025/12/23/giabaopharma/ce0ed8c4e3504c69941cc131bb97231c.png</t>
  </si>
  <si>
    <t>SP64856042</t>
  </si>
  <si>
    <t>Q-Bact 500 ciprofloxacin Ấn hộp 100 viên ( cipro 1 )</t>
  </si>
  <si>
    <t>https://cdn2-retail-images.kiotviet.vn/2025/10/23/giabaopharma/f4db7695b40148f48986978f734e5c39.png</t>
  </si>
  <si>
    <t>Q3020000704</t>
  </si>
  <si>
    <t>QTAX 1.0MG Cefotaxime M/S Samrudh (H/1 lọ 1g) ( CEFO QT )</t>
  </si>
  <si>
    <t>https://product.hstatic.net/200000428801/product/1c_a3432138767f4ea5b101901940fe9342.jpg</t>
  </si>
  <si>
    <t>Q30200557</t>
  </si>
  <si>
    <t>Quafa Azi Azithromycin Quảng Bình 500mg (H/20 viên) ( Q30200557 )</t>
  </si>
  <si>
    <t>https://cdn2-retail-images.kiotviet.vn/2025/02/24/giabaopharma/56ac0a06459447f09d344e2e91082e73.jpg</t>
  </si>
  <si>
    <t>Q30200294</t>
  </si>
  <si>
    <t>Rabesta - 20 Rabeprazole (H/30v) ( RABE 010 )</t>
  </si>
  <si>
    <t>https://product.hstatic.net/200000428801/product/zalo_screenshot_20_11_2021_638612_c619b369fe4a4416b1d52065cbfa5c59.png</t>
  </si>
  <si>
    <t>SP64856085</t>
  </si>
  <si>
    <t>Ramprazole 20 mg -rabeprazole 20 hộp 30 viên date 4/27</t>
  </si>
  <si>
    <t>https://product.hstatic.net/200000428801/product/zalo_screenshot_20_11_2021_638476_fb7e60bfe87546229563e2b82d714a60.png</t>
  </si>
  <si>
    <t>SP648522</t>
  </si>
  <si>
    <t>Reflan Lansoprazole Saga 30mg (H/ 3 vỉ x 10 viên) ( LANSO REF )</t>
  </si>
  <si>
    <t>https://product.hstatic.net/200000428801/product/zalo_screenshot_20_11_2021_638477_56c7f0e89ec2439382c0937ec7a61cf4.png</t>
  </si>
  <si>
    <t>Q30200482</t>
  </si>
  <si>
    <t>Reyoung Streptomycin Shandong( H/50 lọ) ( Q30200482 )</t>
  </si>
  <si>
    <t>https://product.hstatic.net/200000428801/product/c95ab8c31e8ddbd3829c_068bed7279c241f2a0f62278d80aba8c.jpg</t>
  </si>
  <si>
    <t>SP64856124</t>
  </si>
  <si>
    <t>Robazef fort Agimexfarm hộp 30 viên nén</t>
  </si>
  <si>
    <t>https://product.hstatic.net/200000428801/product/a81a8c60793db763ee2c_29edd3e8e7fc4b5394df39148d92fc00.png</t>
  </si>
  <si>
    <t>Q302998759</t>
  </si>
  <si>
    <t>Rostex MG USA Pharna (Lọ 30 viên) ( Q302998759 )</t>
  </si>
  <si>
    <t>https://product.hstatic.net/200000428801/product/44_3ef2d20365d344ea915d0bed7e22febd.png</t>
  </si>
  <si>
    <t>SP64856039</t>
  </si>
  <si>
    <t>Rutin C hộp 30 viên hải Linh ( )</t>
  </si>
  <si>
    <t>https://product.hstatic.net/200000428801/product/thiet_ke_khong_ten__81__ce9e2b5915d240ce9c9772f227b9c1cc.png</t>
  </si>
  <si>
    <t>Q30200607</t>
  </si>
  <si>
    <t>Sadaclin Sungwon Adcock Pharm clindamycin 300mg (H/10 vỉ x 10 viên) ( CLIN SAD )</t>
  </si>
  <si>
    <t>https://product.hstatic.net/200000428801/product/cccc_3fec4336b2ae4185b5d3dd21ae77c36e.jpg</t>
  </si>
  <si>
    <t>SP648547</t>
  </si>
  <si>
    <t>Sagadafil 100(sidenafil 100 hộp 1 vỉ 4 viên)date 07/2027 ( SILDEN SAGA )</t>
  </si>
  <si>
    <t>https://product.hstatic.net/200000428801/product/zalo_screenshot_18_11_2021_722513_3539d04bf2ac430fab9ef4dc0563ec04.png</t>
  </si>
  <si>
    <t>SP648530</t>
  </si>
  <si>
    <t>Sắt Fe DHA fish oil 400mg lọ 30 viên Vinaphar ( )</t>
  </si>
  <si>
    <t>https://cdn2-retail-images.kiotviet.vn/2025/10/30/giabaopharma/33ac9ffb5d46469f9e2c4770fa058cf9.png</t>
  </si>
  <si>
    <t>SP64856113</t>
  </si>
  <si>
    <t>Sâm nhung bổ thận new hộp 30 viên</t>
  </si>
  <si>
    <t>SP64856114</t>
  </si>
  <si>
    <t>Sâm nhung bổ thận new hộp 60 viên</t>
  </si>
  <si>
    <t>https://product.hstatic.net/200000428801/product/5_c979d0a8fb074208a741e45d1cd645a5.png</t>
  </si>
  <si>
    <t>Q302091423</t>
  </si>
  <si>
    <t>Sâm Nhung Bổ Thận Roxtech (Hộp 30 viên) hộp cứng ( Q302091423 )</t>
  </si>
  <si>
    <t>https://product.hstatic.net/200000428801/product/zalo_screenshot_18_11_2021_72121_7c5658d0aafb47918ea7116e3f97f825.png</t>
  </si>
  <si>
    <t>Q302151224</t>
  </si>
  <si>
    <t>Sefotime Cefotaxim For Injection USP Swiss Ấn Độ (Hộp 1 lọ 1g bột pha tiêm / 1 lọ 10ml nước cất pha tiêm)date 9/2027</t>
  </si>
  <si>
    <t>https://product.hstatic.net/200000428801/product/c28fbb10fd9537cb6e84_2099a1cecc984156b7b9d71bc09fb6fd.jpg</t>
  </si>
  <si>
    <t>SP648563</t>
  </si>
  <si>
    <t>selsun dầu gội trị gầu hộp 6 gói * 5ml ( )</t>
  </si>
  <si>
    <t>https://cdn2-retail-images.kiotviet.vn/2025/08/01/giabaopharma/985937bd694448b986d4c649150e6545.jpg</t>
  </si>
  <si>
    <t>Q30200431</t>
  </si>
  <si>
    <t>Seobtopen BTO Pharma piracetam 1g (H/ 10 ống x 5ml) ( PIRA SEO )</t>
  </si>
  <si>
    <t>https://product.hstatic.net/200000428801/product/730832d425dfe581bcce_0b4ed0c334734405974a30453705f94f.jpg</t>
  </si>
  <si>
    <t>Q30200364</t>
  </si>
  <si>
    <t>Serapid Jin Yang Pharm flunarizine 5mg (H/10 vỉ x 10 viên) ( FLU SERA )</t>
  </si>
  <si>
    <t>https://product.hstatic.net/200000428801/product/7_b344af46060545d6aa4a8f1c477423d3.png</t>
  </si>
  <si>
    <t>Q30200126</t>
  </si>
  <si>
    <t>Shinpong Gentri-Sone Cream Clotrimazol (H/1 tuýp 20g) ( Q30200126 )</t>
  </si>
  <si>
    <t>https://product.hstatic.net/200000428801/product/ae1df6a945dd8f83d6cc_23c045bcb84c499fa41d769c6829f9b7.jpg</t>
  </si>
  <si>
    <t>Q3021111111</t>
  </si>
  <si>
    <t>Silymarin Extra Vinaphar đỏ (H/60 viên) date 1/28 ( SILY 009 )</t>
  </si>
  <si>
    <t>https://product.hstatic.net/200000428801/product/e1c16ed65072942ccd63_aa6964e03b5147ef982528befb31ae0c.jpg</t>
  </si>
  <si>
    <t>SP648623</t>
  </si>
  <si>
    <t>Silymarin Rox Nâu_B complex extra_H100v ( SILY 004 )</t>
  </si>
  <si>
    <t>https://cdn1-retail-images.kiotviet.vn/2026/01/09/giabaopharma/1a1aa04a3ed5473e91654a307a0bab3f.jpg</t>
  </si>
  <si>
    <t>Q30200455</t>
  </si>
  <si>
    <t>Silymarin Rox Thymomodulin Vinaphar (H/ 100 viên) vàng ( SILY 007 )</t>
  </si>
  <si>
    <t>https://product.hstatic.net/200000428801/product/zalo_screenshot_18_11_2021_72025_2d377a68a3a14184bc25c439b795ee3f.png</t>
  </si>
  <si>
    <t>Q30200335</t>
  </si>
  <si>
    <t>Silymarin Rox Thymomodulin Vinaphar (H/ 100 viên) xanh lá ( SILY 008 )</t>
  </si>
  <si>
    <t>https://cdn2-retail-images.kiotviet.vn/2026/03/07/giabaopharma/e08acc2c19b84e87a1659f64dfbe4658.jpg</t>
  </si>
  <si>
    <t>SP64856073</t>
  </si>
  <si>
    <t>Silymarin Tex hộp 100 viên HDpharrma ( SILY 001 )</t>
  </si>
  <si>
    <t>https://product.hstatic.net/200000428801/product/168b7939da22107c4933_48c1b27f285247fcbbe0be6242ebde03.jpg</t>
  </si>
  <si>
    <t>Q30200613</t>
  </si>
  <si>
    <t>Silymarin Tex màu cam HD Pharma (H/100V) ( SILY 006 )</t>
  </si>
  <si>
    <t>https://product.hstatic.net/200000428801/product/zalo_screenshot_18_11_2021_719673_4a8fcda20dec4a488715f908ee082149.png</t>
  </si>
  <si>
    <t>Q3020000702</t>
  </si>
  <si>
    <t>Silymarin Tex màu đỏ HD Pharma (H/100V) ( SILY 005 )</t>
  </si>
  <si>
    <t>https://product.hstatic.net/200000428801/product/celeco_70760320e2d74242ab583015ae6e1ae0.png</t>
  </si>
  <si>
    <t>SP648616</t>
  </si>
  <si>
    <t>Siro An phế vương 100ml ( )</t>
  </si>
  <si>
    <t>https://product.hstatic.net/200000428801/product/zalo_screenshot_18_11_2021_716458_0fd01ec13d6e42259cf651543b45ea19.png</t>
  </si>
  <si>
    <t>Q3020000685</t>
  </si>
  <si>
    <t>Siro Mạnh Phế Khang HD Pharma (H/2 VỈ X 5 ỐNG) ( Q3020000685 )</t>
  </si>
  <si>
    <t>https://product.hstatic.net/200000428801/product/55b56ba92f2ce572bc3d_bba0aaf610ac47c891a02f3fe6ccd95f.jpg</t>
  </si>
  <si>
    <t>Q30200329</t>
  </si>
  <si>
    <t>Sito Rostech Cần tây diệp lục hỗ trợ giảm béo giảm cân ( mẫu màu xanh) HD Pharma (H/30 GÓI) ( Q30200329 )</t>
  </si>
  <si>
    <t>https://product.hstatic.net/200000428801/product/zalo_screenshot_18_11_2021_715106_7ef1bedeba06410ba22dca297464ad5d.png</t>
  </si>
  <si>
    <t>SP648573</t>
  </si>
  <si>
    <t>Sivkort-triamcinolone 80mg tiêm hộp 5 ống *2ml Đài Loan date 6/2027 ( TRIAM SIV )</t>
  </si>
  <si>
    <t>https://product.hstatic.net/200000428801/product/thiet_ke_khong_ten__27__a802dd80f64042529fcde23ca153f68d.png</t>
  </si>
  <si>
    <t>Q302121924</t>
  </si>
  <si>
    <t>Sizoca - 10 Olanzapine Tablets 10mg Micro Ấn Độ (Hộp 3 vỉ x 10 viên nén) ( OLAN SIZO )</t>
  </si>
  <si>
    <t>https://product.hstatic.net/200000428801/product/zalo_screenshot_18_11_2021_74506_91711901892a4620bd79cfb396c6edfa.png</t>
  </si>
  <si>
    <t>SP648609</t>
  </si>
  <si>
    <t>Somecid 20mg(omeprazole)hộp 100 viên ( OME 010 )</t>
  </si>
  <si>
    <t>https://cdn2-retail-images.kiotviet.vn/2025/10/25/giabaopharma/616541a9567340a289c29ab4051c1e6a.jpg</t>
  </si>
  <si>
    <t>Q30200232</t>
  </si>
  <si>
    <t>Soslac Ampharco Betamethasom 0,64% (H/ tuýp 15g) ( BETA SOS )</t>
  </si>
  <si>
    <t>https://product.hstatic.net/200000428801/product/ff198c62a4826bdc3293__1__ded3bc2ff9fa4d84a0c13c7e3e5d618e.jpg</t>
  </si>
  <si>
    <t>Q30200545</t>
  </si>
  <si>
    <t>SP Ambroxol Shinpoong Daewoo HCL 30mg (H/10 vỉ x 10 viên) ( Q30200545 )</t>
  </si>
  <si>
    <t>https://cdn2-retail-images.kiotviet.vn/2025/10/30/giabaopharma/91949ed11fe741d582e7747a49be4419.png</t>
  </si>
  <si>
    <t>Q302022326</t>
  </si>
  <si>
    <t>Stalanza - 10 Olanzapine 10mg Tablets Antipsychotic Ấn Độ (Hộp 3 vỉ x 10 viên) ( OLAN STA )</t>
  </si>
  <si>
    <t>https://product.hstatic.net/200000428801/product/0f99b818d89c1bc2428d58_3ebb99d087d14d789e65435fb61b4435.jpg</t>
  </si>
  <si>
    <t>Q30200394</t>
  </si>
  <si>
    <t>Sủi Cam Trường Thọ(H/20 viên) ( Q30200394 )</t>
  </si>
  <si>
    <t>https://cdn2-retail-images.kiotviet.vn/2025/10/30/giabaopharma/680a16a7c5254e18b94ed2086d225328.png</t>
  </si>
  <si>
    <t>Q30200194</t>
  </si>
  <si>
    <t>Sủi USCadigesic Paracetamol 500mg USP (Hộp 10 vỉ x 4 viên) ( PARA 06 )</t>
  </si>
  <si>
    <t>https://product.hstatic.net/200000428801/product/cc647c373c5fff01a64e_0c660e3af24a4077b8d52dc323dc906e.png</t>
  </si>
  <si>
    <t>SP648587</t>
  </si>
  <si>
    <t>Supvizyn new hộp 12 ống HD pharma(vitamin nhóm B) date 10/27 ( SUPV )</t>
  </si>
  <si>
    <t>https://product.hstatic.net/200000428801/product/008773956778a526fc69_a4d75c07514544f3a75fb978dcb8ad8d.jpg</t>
  </si>
  <si>
    <t>SP648603</t>
  </si>
  <si>
    <t>Sữa rửa mặt Cetaphil 125ml ( )</t>
  </si>
  <si>
    <t>https://product.hstatic.net/200000428801/product/7f69fed0be55740b2d44_aec874c4e9314e2cab286f782ebd94e5.jpg</t>
  </si>
  <si>
    <t>SP648604</t>
  </si>
  <si>
    <t>Sữa rửa mặt Cetaphil 500ml ( )</t>
  </si>
  <si>
    <t>https://cdn1-retail-images.kiotviet.vn/2026/03/26/giabaopharma/5b7e16b05186440ab5985b54402ad197.jpg</t>
  </si>
  <si>
    <t>SP648594</t>
  </si>
  <si>
    <t>Sữa rửa mặt Hadalabo đỏ chống lão hóa ( )</t>
  </si>
  <si>
    <t>https://cdn2-retail-images.kiotviet.vn/2026/03/07/giabaopharma/a67f3dd312084f0c900d6357def89db9.jpg</t>
  </si>
  <si>
    <t>SP648593</t>
  </si>
  <si>
    <t>Sữa rửa mắt hadalabo trắng dưỡng ẩm ( )</t>
  </si>
  <si>
    <t>https://product.hstatic.net/200000428801/product/thiet_ke_khong_ten__54__c41d62cdbfd9423ea238db897d04ea1c.png</t>
  </si>
  <si>
    <t>SP64856121</t>
  </si>
  <si>
    <t>Tadakick 20 tadalafil 20mg (hộp 2 vỉ* 2 viên)</t>
  </si>
  <si>
    <t>https://product.hstatic.net/200000428801/product/zalo_screenshot_18_11_2021_73506_0194ce26870f448db7c14a75850f589d.png</t>
  </si>
  <si>
    <t>SP648533</t>
  </si>
  <si>
    <t>Tanponai 500mg hộp 30 viên Đồng Nai pharm ( TANPO )</t>
  </si>
  <si>
    <t>https://product.hstatic.net/200000428801/product/ef27462d57ff96a1cfee_2e604ad026d449a3beee732fbd30afd2.jpg</t>
  </si>
  <si>
    <t>SP64856089</t>
  </si>
  <si>
    <t>tảo xanh Nhật 2200 viên hàng công ty</t>
  </si>
  <si>
    <t>https://cdn1-retail-images.kiotviet.vn/2026/01/09/giabaopharma/f8758d995596476cb5c615029dca8f94.jpg</t>
  </si>
  <si>
    <t>Q30200405</t>
  </si>
  <si>
    <t>Taxefon Bharat Parenterals., Ltd - Ấn Độ Cefotaxime 1gm (H/1 lọ) ( CEFO TAXE )</t>
  </si>
  <si>
    <t>https://product.hstatic.net/200000428801/product/clotrimazol__7__6a7a60d1b3ef4f9fb437795fd8c0361c.png</t>
  </si>
  <si>
    <t>SP648570</t>
  </si>
  <si>
    <t>Tẩy da chết body GBB rosa body scrub 300g ( )</t>
  </si>
  <si>
    <t>https://product.hstatic.net/200000428801/product/7c2a5c1a1e00d05e8911_1b9ebd1f6dec4d6b9cbb15f6179f3702.png</t>
  </si>
  <si>
    <t>SP648549</t>
  </si>
  <si>
    <t>Terlev-500 levofloxacin 500mg hộp 10 viên nén bao phim date 7/2027 ( PANTO )</t>
  </si>
  <si>
    <t>https://product.hstatic.net/200000428801/product/thiet_ke_khong_ten__1__500c675b48714fc2b51014c601d30bd6.png</t>
  </si>
  <si>
    <t>Q30200447</t>
  </si>
  <si>
    <t>Terlev-500 Micro Labs Levofloxacin 500mg ( 1 vỉ x 10 viên) date 7/2027 ( LEVO 016 )</t>
  </si>
  <si>
    <t>https://product.hstatic.net/200000428801/product/zalo_screenshot_18_11_2021_643179_397a3be1647d4476b39b06cf3ad9c5c6.png</t>
  </si>
  <si>
    <t>Q30200499</t>
  </si>
  <si>
    <t>Thanh nhiệt Actiso Vitamin c Hải Linh (H/30 viên) ( Q30200499 )</t>
  </si>
  <si>
    <t>https://cdn2-retail-images.kiotviet.vn/2025/08/01/giabaopharma/cdf1001fed5045fa85599a8c64d137b5.jpg,https://cdn2-retail-images.kiotviet.vn/2025/08/01/giabaopharma/6d03063d2a5a40678534c31968a039b8.jpg</t>
  </si>
  <si>
    <t>SP648619</t>
  </si>
  <si>
    <t>Thuốc Agitafil(tadalafil 20mg) hộp 1 viên date 1/2027 ( TADA 1 )</t>
  </si>
  <si>
    <t>https://cdn2-retail-images.kiotviet.vn/2025/10/23/giabaopharma/8fe7c16ad69d435ead7230251533091a.jpg</t>
  </si>
  <si>
    <t>SP648556</t>
  </si>
  <si>
    <t>Thuốc bổ não Doppelherz Aktiv Ginkgo ( GINK DOPPE )</t>
  </si>
  <si>
    <t>https://product.hstatic.net/200000428801/product/zalo_screenshot_18_11_2021_64358_4b2f754335c748bc95441d28bae0ceda.png</t>
  </si>
  <si>
    <t>SP648624</t>
  </si>
  <si>
    <t>Thuốc Cledomox 625 Tenamyd điều trị các trường hợp nhiễm khuẩn (2 vỉ x 7 viên) ( CLEDO )</t>
  </si>
  <si>
    <t>https://cdn2-retail-images.kiotviet.vn/2025/12/09/giabaopharma/40f9dd1991774b6abef6003954c76c5c.jpg</t>
  </si>
  <si>
    <t>SP64856031</t>
  </si>
  <si>
    <t>Thuốc giun Hyaron 400-albendazol 400 bangladesh date 5/2026 ( ALBEN HYA )</t>
  </si>
  <si>
    <t>https://cdn2-retail-images.kiotviet.vn/2025/10/09/giabaopharma/4c13d71f94e34b05863b00671ebdc309.jpg</t>
  </si>
  <si>
    <t>SP64856016</t>
  </si>
  <si>
    <t>Thuốc Omicap-20 omeprazole 20 mg date 5/2027 ( OME 09 )</t>
  </si>
  <si>
    <t>https://product.hstatic.net/200000428801/product/2022-01-07_104105_186224f215224045a291f7993a37f270.jpg</t>
  </si>
  <si>
    <t>SP648608</t>
  </si>
  <si>
    <t>Thuốc Penicilin V Kali 1.000.000 I.U Vidipha hộp 100 viên ( PENI KALI )</t>
  </si>
  <si>
    <t>https://product.hstatic.net/200000428801/product/7f6705fcf8db32856bca_7c1246f2319c43cbab8444415ed19671.jpg</t>
  </si>
  <si>
    <t>SP648561</t>
  </si>
  <si>
    <t>Thuốc Tavomac DR 40 (pantoprazole) hộp 30 viên ( PANTO TAVO )</t>
  </si>
  <si>
    <t>https://product.hstatic.net/200000428801/product/20211211_140031_9829b0d063ea4b29bab39950c59e2afd.png</t>
  </si>
  <si>
    <t>SP648559</t>
  </si>
  <si>
    <t>Thymo KozinC lysin hộp 20 ống 10ml Vinaphar ( )</t>
  </si>
  <si>
    <t>https://product.hstatic.net/200000428801/product/5f9dcd17adc76c9935d6_3347ae520d04409baf97d78ee75b03c3.jpg</t>
  </si>
  <si>
    <t>Q30200353</t>
  </si>
  <si>
    <t>Tiêm bổ gan Heparigen Inj L-ornthine -L- Aspartate Dai Han (H/ 10 ống 5ml) ( HEPA )</t>
  </si>
  <si>
    <t>https://product.hstatic.net/200000428801/product/dac368d92f5ce502bc4d_0aefe4f51efb4877a92a332276b17988.jpg</t>
  </si>
  <si>
    <t>SP64856062</t>
  </si>
  <si>
    <t>TIểu đêm Kingphar hộp 30 viên ( )</t>
  </si>
  <si>
    <t>https://product.hstatic.net/200000428801/product/27fbaeaa67d1a48ffdc0_fd9386417f5b4d35be5edee6ca128838.jpg</t>
  </si>
  <si>
    <t>Q30200513</t>
  </si>
  <si>
    <t>Tinh Dầu Xả Chai Xit Chống Muỗi Zika (C/100ml) ( Q30200513 )</t>
  </si>
  <si>
    <t>https://cdn1-retail-images.kiotviet.vn/2026/01/10/giabaopharma/1fcc90603d314f349194e69e94e6c46a.jpg</t>
  </si>
  <si>
    <t>SP648579</t>
  </si>
  <si>
    <t>Tinidazole Tablets 500mg hộp 100 viên Brawn ( TINI BRAW )</t>
  </si>
  <si>
    <t>https://product.hstatic.net/200000428801/product/28df765916ddd5838ccc54_408cde19a7e14acda6dd8c4f5fdac396.jpg</t>
  </si>
  <si>
    <t>Q30200385</t>
  </si>
  <si>
    <t>Tobicom ICA ( H/3 gói x 6 vỉ x10 viên) ( TOBI )</t>
  </si>
  <si>
    <t>https://product.hstatic.net/200000428801/product/zalo_screenshot_18_11_2021_642509_b71ea6653f3c421abf332a0ba71510c6.png</t>
  </si>
  <si>
    <t>SP648582</t>
  </si>
  <si>
    <t>Tobramycin 0,3% nhỏ mắt USP date 3/2027 ( TOBRA 1 )</t>
  </si>
  <si>
    <t>https://cdn1-retail-images.kiotviet.vn/2026/03/14/giabaopharma/8d23224524044398abd2903327cdd069.jpg</t>
  </si>
  <si>
    <t>Q3020000700</t>
  </si>
  <si>
    <t>Tonic mum baby HD Pharma (H/20 ống x 10ml) ( Q3020000700 )</t>
  </si>
  <si>
    <t>https://cdn2-retail-images.kiotviet.vn/2025/10/30/giabaopharma/56ea124b8c9e4bc9a243ddcb0ab931bc.jpg</t>
  </si>
  <si>
    <t>Q30200546</t>
  </si>
  <si>
    <t>Torfin 50 Bal Pharma Ltd slidenafil 50mg ( H/1 vỉ x 4 viên) date 7/27 ( SILDE TOR 50 )</t>
  </si>
  <si>
    <t>https://product.hstatic.net/200000428801/product/dfc895df9c32586c0123_1f5d13ad7ae14786a35a635db02726c5.jpg</t>
  </si>
  <si>
    <t>Q30200400</t>
  </si>
  <si>
    <t>Trà Thảo Dược Túi Lọc Kolenda Hà Thành (H/ 12 túi 1g) ( Q30200400 )</t>
  </si>
  <si>
    <t>https://product.hstatic.net/200000428801/product/thiet_ke_khong_ten__61__5a7002d0abce440a99ce82930d847c18.png</t>
  </si>
  <si>
    <t>SP64856040</t>
  </si>
  <si>
    <t>Tránh thai Levonorgestrel 0,03mg xanh mới ( LEVO 01 )</t>
  </si>
  <si>
    <t>https://cdn2-retail-images.kiotviet.vn/2025/11/04/giabaopharma/8cfc2cf94c354355a793cf49e041a0d9.jpg</t>
  </si>
  <si>
    <t>SP64856032</t>
  </si>
  <si>
    <t>Tránh thai Levonorgestrel 1,5mg Ba Đình tím ( LEVO 02 )</t>
  </si>
  <si>
    <t>https://product.hstatic.net/200000428801/product/bb7e2e7054279279cb36_390b3cffebae4ed49130ab94ba181f31.jpg</t>
  </si>
  <si>
    <t>SP64856092</t>
  </si>
  <si>
    <t>Trimeboston 100 viên nén hộp 5 vỉ*10 viên</t>
  </si>
  <si>
    <t>https://product.hstatic.net/200000428801/product/zalo_screenshot_20_11_2021_719777_ef943e9f319d43c8aff7a329a5938b5f.png</t>
  </si>
  <si>
    <t>Q302993874</t>
  </si>
  <si>
    <t>Truyền Tĩnh Mạnh BP Metlife Metronidazol 500mg/100ml Ấn Độ (Hộp 1 chai/ 100ml) ( METRO MET )date 4/28</t>
  </si>
  <si>
    <t>https://product.hstatic.net/200000428801/product/clotrimazol__1__a78577230a034be496721fa3944eea22.png</t>
  </si>
  <si>
    <t>Q30200406</t>
  </si>
  <si>
    <t>Umeran 75 Umedical Lab Diclofenac Sodium 75mg ( H/10 ống x 3ml) ( DICLO UME )</t>
  </si>
  <si>
    <t>https://cdn1-retail-images.kiotviet.vn/2026/01/15/giabaopharma/bdd6110c96804bb4ae512bbb5e0e66bf.jpg</t>
  </si>
  <si>
    <t>SP648541</t>
  </si>
  <si>
    <t>Vast 10-Atovastatin 10mg hộp 3 vỉ*10 viên date 9/2026 ( ATO 10 )</t>
  </si>
  <si>
    <t>https://product.hstatic.net/200000428801/product/bio_c3bde12b3c8f4b489514054a92e087c6.jpg</t>
  </si>
  <si>
    <t>Q30201122023</t>
  </si>
  <si>
    <t>Vespratab 40 Esomeprazole Tablets 40mg Ấn Độ (Hộp 3 vỉ x 10 viên)date 5/2026 ( OME VESPRA )</t>
  </si>
  <si>
    <t>https://cdn2-retail-images.kiotviet.vn/2025/08/01/giabaopharma/6003eacaae3740d7a24d9e3305737c9c.jpg</t>
  </si>
  <si>
    <t>Q3021575919</t>
  </si>
  <si>
    <t>Victoria Levonorgestrel 1,5mg (Cọc 10 hộp x1 vỉ x 1 viên nén) ( LEVO 014 )</t>
  </si>
  <si>
    <t>https://cdn2-retail-images.kiotviet.vn/2025/12/23/giabaopharma/0a80cf1c6f5f4c16b456d0f2ce18b10a.png</t>
  </si>
  <si>
    <t>SP648528</t>
  </si>
  <si>
    <t>Vidlezine-B 200 cefpodoxime 200 ( 2 vỉ x 10 viên) ( CEFPO VID )date 7/27</t>
  </si>
  <si>
    <t>https://product.hstatic.net/200000428801/product/cong_dung_2d2574b635234308af99344c34089bf0.png</t>
  </si>
  <si>
    <t>SP648555</t>
  </si>
  <si>
    <t>Viên dầu cá Doppelherz Omega 3 + Folic acid + B6 + B12 Đức bổ tim mạch, giảm mỡ máu hộp 30 viên ( OME 011 )</t>
  </si>
  <si>
    <t>https://product.hstatic.net/200000428801/product/36_6ae541bcc9e04e0cac51a6ac2e81c2e1.png</t>
  </si>
  <si>
    <t>SP64856019</t>
  </si>
  <si>
    <t>Viên dầu cá omega 369 Alaska Polvita Mỹ ( OME 07 )</t>
  </si>
  <si>
    <t>Q30200486</t>
  </si>
  <si>
    <t>Viên giấp cá HD Extra HD Pharma (H/30V) ( Q30200486 )</t>
  </si>
  <si>
    <t>https://cdn-images.kiotviet.vn/2025/05/24/giabaopharma/5e43971057474bc09470b0487b8cd485.jpg</t>
  </si>
  <si>
    <t>SP64856050</t>
  </si>
  <si>
    <t>Viên giấp cá roxtech hộp 30 viên mẫu mới ( )</t>
  </si>
  <si>
    <t>https://product.hstatic.net/200000428801/product/68765cc47c84b2daeb95_d402aa19c34541d29e4493809aa9e885.jpg</t>
  </si>
  <si>
    <t>Q302020202444</t>
  </si>
  <si>
    <t>Viên Nén Roxithromycin 150mg Micro( Hộp 10 vỉ x 10 viên) ( ROXI MIC )</t>
  </si>
  <si>
    <t>https://product.hstatic.net/200000428801/product/5eadf94e1013de4d8702_855a6fc93edc4d59bddf9131cfddd3db.png</t>
  </si>
  <si>
    <t>SP64856007</t>
  </si>
  <si>
    <t>Viên Ngậm Super cool giảm ho, giảm đau rát cổ họng, bị khản tiếng tube 30 viên date 11/2027 ( )</t>
  </si>
  <si>
    <t>https://product.hstatic.net/200000428801/product/truline_44e0cd6ff7f0457f83680700a3d87e96.jpg</t>
  </si>
  <si>
    <t>SP648617</t>
  </si>
  <si>
    <t>Viên nghậm hohung chanh hộp 24 viên Hải Linh ( )</t>
  </si>
  <si>
    <t>https://product.hstatic.net/200000428801/product/zalo_screenshot_18_11_2021_636454_10d59e46ca2944849d9239fb47411edb.png</t>
  </si>
  <si>
    <t>Q30200018</t>
  </si>
  <si>
    <t>Viên sủi Cà Gai Leo Roxtech HD( H/ 1tuýp x 10 viên nén) ( Q30200018 )</t>
  </si>
  <si>
    <t>https://product.hstatic.net/200000428801/product/75_101caee8ed714f86a75b0949eccfb100.png</t>
  </si>
  <si>
    <t>SP64856020</t>
  </si>
  <si>
    <t>Viên sủi Pico Multivitamin Cam 3g 1 cọc 10 tube ( MULTI )</t>
  </si>
  <si>
    <t>https://cdn2-retail-images.kiotviet.vn/2025/12/22/giabaopharma/6898ba2f72cb41e19b6d2a545c3a63e1.jpg</t>
  </si>
  <si>
    <t>SP64856022</t>
  </si>
  <si>
    <t>Viên sủi Pico Plus C 3g 1 cọc 10 tube ( )</t>
  </si>
  <si>
    <t>https://product.hstatic.net/200000428801/product/8bf43d96c96e07305e7f5_2c2d127cb962404abb9e2c87697942d8.png</t>
  </si>
  <si>
    <t>SP64856021</t>
  </si>
  <si>
    <t>Viên sủi Pico vị chanh leo 3g 1 cọc 10 tube ( )</t>
  </si>
  <si>
    <t>https://product.hstatic.net/200000428801/product/zalo_screenshot_20_11_2021_636423_52d6c269177544d2b10dd22ad6ee9109.png</t>
  </si>
  <si>
    <t>Q30200600</t>
  </si>
  <si>
    <t>Viên Thìa Canh Roxtech HD (H/30 viên) ( Q30200600 )</t>
  </si>
  <si>
    <t>https://product.hstatic.net/200000428801/product/b6413493b88e7ad0239f_57c367550a834771ba9d390cbeaa4772.jpg</t>
  </si>
  <si>
    <t>SP64856081</t>
  </si>
  <si>
    <t>Viên tiểu đêm Roxtech đen lọ 30 viên</t>
  </si>
  <si>
    <t>https://cdn2-retail-images.kiotviet.vn/2025/10/30/giabaopharma/53b3da8cc45a4417aa298f6454583670.png</t>
  </si>
  <si>
    <t>Q302091023</t>
  </si>
  <si>
    <t>Viên uống Blackmores Bio C 1000mg hỗ trợ bổ sung Vitamin C Úc (Lọ 31 viên) ( Q302091023 )</t>
  </si>
  <si>
    <t>https://product.hstatic.net/200000428801/product/a4166237eba62ef877b7_5d827fee4bc149a080ed966fabb731bb.jpg</t>
  </si>
  <si>
    <t>SP64856011</t>
  </si>
  <si>
    <t>Viên uống GBB Vitamin C premium hộp 60 viên ( )</t>
  </si>
  <si>
    <t>https://cdn2-retail-images.kiotviet.vn/giabaopharma/fb2b244d91a247b0af7c32d8e7badc57.png</t>
  </si>
  <si>
    <t>SP64856003</t>
  </si>
  <si>
    <t>Viên uống giảm viêm mũi dị ứng VIROREX Chai 60 viên - Rostex date 8/2026 ( )</t>
  </si>
  <si>
    <t>https://product.hstatic.net/200000428801/product/141ff60b97db56850fca_c05cb853a9bd4db584e0f30dee9e85de.jpg</t>
  </si>
  <si>
    <t>SP64856010</t>
  </si>
  <si>
    <t>Viên uống kẽm GBB Zin C Premium hộp 30 viên ( )</t>
  </si>
  <si>
    <t>https://product.hstatic.net/200000428801/product/515037f43e32ff6ca623_47577231d6524bc6922c67f7a9583d24.png</t>
  </si>
  <si>
    <t>SP648621</t>
  </si>
  <si>
    <t>Viên uống Multivitamin DHC hàng nhập khẩu chính ngạch có tem phụ ( )</t>
  </si>
  <si>
    <t>https://product.hstatic.net/200000428801/product/thiet_ke_khong_ten__83__7151cd2ecfec4b07b7e0c34daead859f.png</t>
  </si>
  <si>
    <t>Q302012324</t>
  </si>
  <si>
    <t>Viên Uống Phagelvit Plus Rostex (Hộp 3 vỉ x 10 viên nang)</t>
  </si>
  <si>
    <t>https://product.hstatic.net/200000428801/product/dre_e10a32f6693c4bdead0b1f74420fef16.jpg</t>
  </si>
  <si>
    <t>SP64856008</t>
  </si>
  <si>
    <t>Viên Uống Tăng Cường Đề Kháng ZinC Roxtech – Hộp 100 Viên date 1/2028 ( )</t>
  </si>
  <si>
    <t>https://product.hstatic.net/200000428801/product/6f393e032d62e73cbe73_380c7a0d701545d8b28fe18e65272940.jpg</t>
  </si>
  <si>
    <t>SP64856006</t>
  </si>
  <si>
    <t>Viên uống tinh dầu hoa anh thảo Beauty Roxtech hỗ trợ làm đẹp da, chống lão hóa (Lọ 60 viên nang mềm) ( )</t>
  </si>
  <si>
    <t>Q30200578</t>
  </si>
  <si>
    <t>Viên Xoang Tán Roxtech HD (H/50 viên) ( Q30200578 )</t>
  </si>
  <si>
    <t>https://product.hstatic.net/200000428801/product/ea95bb68dbb81ae643a9_92fb4d21dcbc40339ca7e5990bc8b465.jpg</t>
  </si>
  <si>
    <t>SP64856060</t>
  </si>
  <si>
    <t>Viên xương khớp Kingphar new lọ 40 viên ( )</t>
  </si>
  <si>
    <t>https://product.hstatic.net/200000428801/product/zalo_screenshot_18_11_2021_621734_765b2933b12f41ccbab9c589a1bfea04.png</t>
  </si>
  <si>
    <t>Q3020000714</t>
  </si>
  <si>
    <t>Viga mẫu mới Tadalafil 20mg Dược Phẩm 120 (H/4 viên) date 4/28 ( TADA VIGA )</t>
  </si>
  <si>
    <t>https://product.hstatic.net/200000428801/product/zalo_screenshot_18_11_2021_621903_6aa461a9921941ca9bc60bb26a2ed747.png</t>
  </si>
  <si>
    <t>Q30200464</t>
  </si>
  <si>
    <t>Viorex Roster Pharma USA ( chai 60v) ( Q30200464 )</t>
  </si>
  <si>
    <t>https://product.hstatic.net/200000428801/product/zalo_screenshot_18_11_2021_620803_ef319e2d1f404f7c8e6d55c8ae691a16.png</t>
  </si>
  <si>
    <t>SP64856013</t>
  </si>
  <si>
    <t>Vipocef 200 -cefpodoxim 200 hộp 1 vỉ 10 viên ( CEFPO VIPO )</t>
  </si>
  <si>
    <t>https://product.hstatic.net/200000428801/product/521c637002a0c3fe9ab1_cfdee4322d9b480d93f8ae2f3ecbf1fb.jpg</t>
  </si>
  <si>
    <t>Q302009988877</t>
  </si>
  <si>
    <t>Virorex (h/ 60v) ( Q302009988877 )</t>
  </si>
  <si>
    <t>https://cdn2-retail-images.kiotviet.vn/2025/02/13/giabaopharma/b676b3df8143429fb08dee0deded5f62.jpg</t>
  </si>
  <si>
    <t>Q30200611</t>
  </si>
  <si>
    <t>Viscirox Coffeecell Ciprofloxacin 0,3% (H/5ml) ( cipro 7 )</t>
  </si>
  <si>
    <t>https://cdn2-retail-images.kiotviet.vn/2026/02/07/giabaopharma/b8b6d847937244619f2a6b37d52f4433.jpg</t>
  </si>
  <si>
    <t>SP648591</t>
  </si>
  <si>
    <t>Vistamin b1 lọ 100 viên Đại Uy cọc 10 lọ(bán theo cọc) ( )</t>
  </si>
  <si>
    <t>https://product.hstatic.net/200000428801/product/auti_0d857fc3bfea4ecfb1e8d1881470ff98.jpg</t>
  </si>
  <si>
    <t>Q30200075</t>
  </si>
  <si>
    <t>Vistorax Tobramycin Healthbiotech (H/ lọ 5ml) ( TOBRA VIS )</t>
  </si>
  <si>
    <t>https://product.hstatic.net/200000428801/product/a9bee4ff40e48abad3f5_88e308b45786446197c3838d377b3138.jpg</t>
  </si>
  <si>
    <t>SP64856045</t>
  </si>
  <si>
    <t>Vitamin 3B (B1-B6-B12) cam Vinaphar hộp 100 viên ( )</t>
  </si>
  <si>
    <t>https://product.hstatic.net/200000428801/product/97724da82d78ec26b569_0f70677074d046dda6f495576f7accda.jpg</t>
  </si>
  <si>
    <t>SP64856063</t>
  </si>
  <si>
    <t>Vitamin 3b Euzofa hộp 100 viên ( )</t>
  </si>
  <si>
    <t>https://product.hstatic.net/200000428801/product/at-ibubrofen-5ml-hop-30ong-1-1-700x467_a23c4fb689c045e080fe3064426bbd22.jpg</t>
  </si>
  <si>
    <t>Q30200257</t>
  </si>
  <si>
    <t>Vitamin 3B Hải Linh (H/100 viên) ( Q30200257 )</t>
  </si>
  <si>
    <t>https://product.hstatic.net/200000428801/product/71866600f1d1348f6dc0_fe7a8524c5634f20937188524bb2ffcf.jpg</t>
  </si>
  <si>
    <t>SP648581</t>
  </si>
  <si>
    <t>Vitamin 3B Hải Linh hộp 100 viên ( )</t>
  </si>
  <si>
    <t>https://product.hstatic.net/200000428801/product/09080d09438c89d2d09d_fcb39a964b0244ddb3c66bddf0beff4f.jpg</t>
  </si>
  <si>
    <t>SP64856106</t>
  </si>
  <si>
    <t>Vitamin 3B hồng hộp 100 viên -viphar</t>
  </si>
  <si>
    <t>https://product.hstatic.net/200000428801/product/thiet_ke_khong_ten__47__8b5c90b4eb7b4240a9280a91d6187b96.png</t>
  </si>
  <si>
    <t>SP64856038</t>
  </si>
  <si>
    <t>Vitamin 3B tím Vinaphar hộp 100 viên ( )date 10/2028</t>
  </si>
  <si>
    <t>https://product.hstatic.net/200000428801/product/387_987fa13fc3314277b0e0c3a28b85bd05.png</t>
  </si>
  <si>
    <t>SP648495</t>
  </si>
  <si>
    <t>Vitamin 3B Vinaphar (H/ 100 viên) ( )</t>
  </si>
  <si>
    <t>https://product.hstatic.net/200000428801/product/zalo_screenshot_20_11_2021_633496_4ca569ebbc8d444988c039d2942e7880.png</t>
  </si>
  <si>
    <t>Q30200508</t>
  </si>
  <si>
    <t>Vitamin 3B Vinaphar (H/100V) ( Q30200508 )</t>
  </si>
  <si>
    <t>https://product.hstatic.net/200000428801/product/zalo_screenshot_20_11_2021_628833_a713e19145c149b4a189909be0aa19f1.png</t>
  </si>
  <si>
    <t>SP64856107</t>
  </si>
  <si>
    <t>Vitamin 3B xanh hộp 100 viên-viphar</t>
  </si>
  <si>
    <t>https://product.hstatic.net/200000428801/product/3e6dcc85afb76ce935a6_80799a24da9f4a9b82a8fe34c185b0aa.jpg</t>
  </si>
  <si>
    <t>SP64856035</t>
  </si>
  <si>
    <t>Vitamin 9b hộp 100 viên Hải Linh ( )</t>
  </si>
  <si>
    <t>https://product.hstatic.net/200000428801/product/apitim-5mg-h-30v-1-700x467_01f0d7e9e9df401fa4ecc6880721ba41.jpg</t>
  </si>
  <si>
    <t>Q30200366</t>
  </si>
  <si>
    <t>Vitamin A&amp;D OPC Vitamin A D (H/10 vỉ x 10 viên) date 10/27 ( Q30200366 )</t>
  </si>
  <si>
    <t>https://product.hstatic.net/200000428801/product/0938693609e6c8b891f7_7ca74f67efed4019b589ec7238d94189.jpg</t>
  </si>
  <si>
    <t>Q3020000648</t>
  </si>
  <si>
    <t>Vitamin B1 100mg Robinson ( H/100 viên) ( Q3020000648 )</t>
  </si>
  <si>
    <t>https://product.hstatic.net/200000428801/product/b8671c839f23517d0832_1e48b536d37a4dab9c48fd22fec9c8cc.jpg</t>
  </si>
  <si>
    <t>Q30200520</t>
  </si>
  <si>
    <t>Vitamin B6 125mg Robinson (H/100v) ( Q30200520 )</t>
  </si>
  <si>
    <t>https://product.hstatic.net/200000428801/product/zalo_screenshot_20_11_2021_627132_bd057c59fe8f4d1f93da13bb79ca6502.png,https://cdn2-retail-images.kiotviet.vn/2025/05/12/giabaopharma/b8f5a8a3ee464f36927c15510fd25cdc.jpg</t>
  </si>
  <si>
    <t>Q30200255</t>
  </si>
  <si>
    <t>Vitamin C 3000 Plus Selezin Alphabet (H/20 tubes) ( Q30200255 )</t>
  </si>
  <si>
    <t>https://product.hstatic.net/200000428801/product/zalo_screenshot_18_11_2021_611799_456220f03ef54517a122f773ed3b6281.png</t>
  </si>
  <si>
    <t>Q30200316</t>
  </si>
  <si>
    <t>Vitamin C Asia (H/100 viên) ( Q30200316 )</t>
  </si>
  <si>
    <t>https://product.hstatic.net/200000428801/product/zalo_screenshot_18_11_2021_67999_b2a2e248cb3c42f88ccbcbcaae774e50.png</t>
  </si>
  <si>
    <t>SP648565</t>
  </si>
  <si>
    <t>Vitamin C DHC gói 60 viên công ty ( )</t>
  </si>
  <si>
    <t>https://cdn1-retail-images.kiotviet.vn/2026/01/10/giabaopharma/bc4531c349114e11a74d5e8a77fbfdce.jpg</t>
  </si>
  <si>
    <t>Q30200480</t>
  </si>
  <si>
    <t>Vitamin D3 Rostex BMP (C/ 10ml) ( Q30200480 )</t>
  </si>
  <si>
    <t>https://cdn1-retail-images.kiotviet.vn/2026/03/10/giabaopharma/0d5b5a329aaa4428a4fd35c7bf873328.jpg</t>
  </si>
  <si>
    <t>Q30200458</t>
  </si>
  <si>
    <t>Vitamin D3 Rostex MK7 DHA (H/ lọ 15ml) ( Q30200458 )</t>
  </si>
  <si>
    <t>https://cdn1-retail-images.kiotviet.vn/2026/01/10/giabaopharma/2e9738929df943a3988938b59ded855e.jpg</t>
  </si>
  <si>
    <t>SP64856002</t>
  </si>
  <si>
    <t>Vitamin D3,MK7-DHA rostex lọ xanh date 4/2026 ( )</t>
  </si>
  <si>
    <t>https://product.hstatic.net/200000428801/product/0643b28a7a76ba28e367_98fd6e61c79249fb967ec5ac57b56443.jpg</t>
  </si>
  <si>
    <t>Q3020000643</t>
  </si>
  <si>
    <t>Vitamin E -Natre 400IU (mẫu vàng) HD Pharma (H/30V) ( Q3020000643 )</t>
  </si>
  <si>
    <t>https://product.hstatic.net/200000428801/product/ce00b8542ffeeea0b7ef_4a1a37df3322434db530e8f3f734f687.jpg</t>
  </si>
  <si>
    <t>SP64856082</t>
  </si>
  <si>
    <t>Vitamin E 400 IU lọ 30 viên</t>
  </si>
  <si>
    <t>https://product.hstatic.net/200000428801/product/f95aa069edec27b27efd_6281f52d35844ca3b318119d8c31f02a.jpg</t>
  </si>
  <si>
    <t>SP64856044</t>
  </si>
  <si>
    <t>Vitamin E 400IU hộp 10 viên mẫu xanh Hà Tây ( )</t>
  </si>
  <si>
    <t>https://product.hstatic.net/200000428801/product/581ee4cd2668e236bb79_d29f34269e014d38b356aaab51f46c32.jpg</t>
  </si>
  <si>
    <t>Q30200416</t>
  </si>
  <si>
    <t>Vitamin E 500 Hải Linh (H/ 30 viên) ( Q30200416 )</t>
  </si>
  <si>
    <t>https://product.hstatic.net/200000428801/product/zalo_screenshot_17_11_2021_953653_ce3de0b521484f88a441f02097799bc8.png</t>
  </si>
  <si>
    <t>SP64856033</t>
  </si>
  <si>
    <t>Vitamin E 500 lọ 30 viên Hải Linh ( )</t>
  </si>
  <si>
    <t>https://product.hstatic.net/200000428801/product/thiet_ke_khong_ten__44__fbe6376928a446d3bc36d708004fd6ee.png</t>
  </si>
  <si>
    <t>SP64856054</t>
  </si>
  <si>
    <t>Vitamin E lọ 60 viên Hai Linh ( )</t>
  </si>
  <si>
    <t>https://cdn1-retail-images.kiotviet.vn/2026/01/10/giabaopharma/b58d8739dd59442488ee355d40103620.jpg</t>
  </si>
  <si>
    <t>Q302210316</t>
  </si>
  <si>
    <t>Vitamin E Robinson Pharma USA (Hộp 10 vỉ x 10 viên nang mềm) ( Q302210316 )</t>
  </si>
  <si>
    <t>https://product.hstatic.net/200000428801/product/91_04de6004dd744f4b8fb8af0b3e9803e8.png</t>
  </si>
  <si>
    <t>SP648600</t>
  </si>
  <si>
    <t>Vivax-100(sildenafil) hộp 4 viên date 11/2026 ( SILDEN VIV )</t>
  </si>
  <si>
    <t>https://product.hstatic.net/200000428801/product/zalo_screenshot_17_11_2021_950921_e54d5f29afc0474da8b33dad61594dc0.png</t>
  </si>
  <si>
    <t>SP64856025</t>
  </si>
  <si>
    <t>Vivita E 400 hộp100 viên ( )</t>
  </si>
  <si>
    <t>https://cdn2-retail-images.kiotviet.vn/2026/03/26/giabaopharma/e769cdd9d955452c829bcd14ac37e3ee.jpg</t>
  </si>
  <si>
    <t>Q30200352</t>
  </si>
  <si>
    <t>Vivita.E Vitamin E - Aloe Vera Oil HD Pharma (H/30V) mẫu trắng ( Q30200352 )</t>
  </si>
  <si>
    <t>https://product.hstatic.net/200000428801/product/zalo_screenshot_17_11_2021_949145_565d457a484d41e5a4e5dff49ab89ec5.png</t>
  </si>
  <si>
    <t>SP64856120</t>
  </si>
  <si>
    <t>Willmon 100 sifenafil 100mg (hộp 1 vỉ*4 viên)</t>
  </si>
  <si>
    <t>https://i.postimg.cc/ZYQs1vgK/Alpha-tex.png</t>
  </si>
  <si>
    <t>Q30200393</t>
  </si>
  <si>
    <t>Xịt Họng Xuyên Tâm Liên DK Mộc Trang Viên(C/30ml) ( Q30200393 )</t>
  </si>
  <si>
    <t>https://product.hstatic.net/200000428801/product/9e28ccd1b421757f2c30_567dbd17054c49d0b48d47691fa67e7e.jpg</t>
  </si>
  <si>
    <t>SP64856076</t>
  </si>
  <si>
    <t>Xịt mũi Seesalt Baby Kingphar chai 70ml ( )</t>
  </si>
  <si>
    <t>https://cdn-images.kiotviet.vn/2025/09/22/giabaopharma/bb94eca27dc24cfda53494c0d0dce3ba.jpg</t>
  </si>
  <si>
    <t>SP64856075</t>
  </si>
  <si>
    <t>Xịt mũi Seesalt Kingphar chai 70ml ( )</t>
  </si>
  <si>
    <t>https://product.hstatic.net/200000428801/product/0ec90bcdbb8b7bd5229a_787f6f8dafcb4dc690f7fb069f0a130e.jpg</t>
  </si>
  <si>
    <t>Q302011923</t>
  </si>
  <si>
    <t>Xịt mũi Sterimar Hygiene Baby Pháp 50ml ( Q302011923 )</t>
  </si>
  <si>
    <t>https://product.hstatic.net/200000428801/product/zalo_screenshot_17_11_2021_941709_41f68449853a4ba790be4bbbb029359c.png</t>
  </si>
  <si>
    <t>Q30200254</t>
  </si>
  <si>
    <t>Xuyên Tâm Liên Plus Hải Linh (H/ lọ 30 viên) ( Q30200254 )</t>
  </si>
  <si>
    <t>https://product.hstatic.net/200000428801/product/zalo_screenshot_17_11_2021_939460_9054c996e4924889970e09c9f3cf073f.png</t>
  </si>
  <si>
    <t>Q30200471</t>
  </si>
  <si>
    <t>Yest Max XANH 3000mg Glucosamin Syntech HD (H/ 60 viên) ( Q30200471 )</t>
  </si>
  <si>
    <t>https://product.hstatic.net/200000428801/product/zalo_screenshot_17_11_2021_937604_437f449fcfd1484296f71db060d96f0c.png</t>
  </si>
  <si>
    <t>Q30200009</t>
  </si>
  <si>
    <t>Yến sào sữa non Gold Hải Linh (H/ 20 ống) ( Q30200009 )</t>
  </si>
  <si>
    <t>https://cdn2-retail-images.kiotviet.vn/2025/10/30/giabaopharma/27fdd4708bee4077a4f3322152d00589.png</t>
  </si>
  <si>
    <t>Q30200295</t>
  </si>
  <si>
    <t>Yến Sào Sữa Non Hải Linh đỏ (H/20 ống) ( Q30200295 )</t>
  </si>
  <si>
    <t>https://cdn2-retail-images.kiotviet.vn/2026/03/07/giabaopharma/10731d2a6d704a23ba345438a52ae007.jpg</t>
  </si>
  <si>
    <t>Q30200129</t>
  </si>
  <si>
    <t>Yumangel Almagate Yuhan (H/20 gói) ( YUMA )</t>
  </si>
  <si>
    <t>https://product.hstatic.net/200000428801/product/fa41cefce232226c7b23_74863291a6b9456eb8b01f1963f436b9.jpg</t>
  </si>
  <si>
    <t>SP64856115</t>
  </si>
  <si>
    <t>Zedgra 100 sidenafil 100mg hộp 4 viên</t>
  </si>
  <si>
    <t>https://product.hstatic.net/200000428801/product/6234057550bb90e5c9aa_04ab1617c0ee4224a4d38dc65cc015f0.jpg</t>
  </si>
  <si>
    <t>Nhóm hàng</t>
  </si>
  <si>
    <t>Giá bán</t>
  </si>
  <si>
    <t>46,000.0</t>
  </si>
  <si>
    <t>93.0</t>
  </si>
  <si>
    <t>16,000.0</t>
  </si>
  <si>
    <t>0.0</t>
  </si>
  <si>
    <t>42,000.0</t>
  </si>
  <si>
    <t>877.0</t>
  </si>
  <si>
    <t>139,000.0</t>
  </si>
  <si>
    <t>138,001.0</t>
  </si>
  <si>
    <t>350,000.0</t>
  </si>
  <si>
    <t>3,532.0</t>
  </si>
  <si>
    <t>48,000.0</t>
  </si>
  <si>
    <t>21,000.0</t>
  </si>
  <si>
    <t>10,000.0</t>
  </si>
  <si>
    <t>31,000.0</t>
  </si>
  <si>
    <t>51,000.0</t>
  </si>
  <si>
    <t>17,000.0</t>
  </si>
  <si>
    <t>19,000.0</t>
  </si>
  <si>
    <t>18,000.0</t>
  </si>
  <si>
    <t>899.0</t>
  </si>
  <si>
    <t>116,000.0</t>
  </si>
  <si>
    <t>11,000.0</t>
  </si>
  <si>
    <t>53,000.0</t>
  </si>
  <si>
    <t>60,000.0</t>
  </si>
  <si>
    <t>108,877.0</t>
  </si>
  <si>
    <t>186,000.0</t>
  </si>
  <si>
    <t>301,000.0</t>
  </si>
  <si>
    <t>29,500.0</t>
  </si>
  <si>
    <t>999,970.0</t>
  </si>
  <si>
    <t>47,000.0</t>
  </si>
  <si>
    <t>86,000.0</t>
  </si>
  <si>
    <t>98,494.0</t>
  </si>
  <si>
    <t>22,000.0</t>
  </si>
  <si>
    <t>980,730.0</t>
  </si>
  <si>
    <t>20,500.0</t>
  </si>
  <si>
    <t>23,000.0</t>
  </si>
  <si>
    <t>99,428.0</t>
  </si>
  <si>
    <t>182,000.0</t>
  </si>
  <si>
    <t>1,000.0</t>
  </si>
  <si>
    <t>142,000.0</t>
  </si>
  <si>
    <t>97,000.0</t>
  </si>
  <si>
    <t>906.0</t>
  </si>
  <si>
    <t>41,500.0</t>
  </si>
  <si>
    <t>33,000.0</t>
  </si>
  <si>
    <t>98,112.0</t>
  </si>
  <si>
    <t>69,000.0</t>
  </si>
  <si>
    <t>9,805.0</t>
  </si>
  <si>
    <t>26,000.0</t>
  </si>
  <si>
    <t>980.0</t>
  </si>
  <si>
    <t>40,000.0</t>
  </si>
  <si>
    <t>87,000.0</t>
  </si>
  <si>
    <t>990.0</t>
  </si>
  <si>
    <t>90,000.0</t>
  </si>
  <si>
    <t>875.0</t>
  </si>
  <si>
    <t>43,000.0</t>
  </si>
  <si>
    <t>52,000.0</t>
  </si>
  <si>
    <t>151,000.0</t>
  </si>
  <si>
    <t>333,000.0</t>
  </si>
  <si>
    <t>100.0</t>
  </si>
  <si>
    <t>28,000.0</t>
  </si>
  <si>
    <t>5,178.0</t>
  </si>
  <si>
    <t>82,000.0</t>
  </si>
  <si>
    <t>78,000.0</t>
  </si>
  <si>
    <t>998.0</t>
  </si>
  <si>
    <t>91,605.0</t>
  </si>
  <si>
    <t>36,000.0</t>
  </si>
  <si>
    <t>143,000.0</t>
  </si>
  <si>
    <t>145,000.0</t>
  </si>
  <si>
    <t>135,000.0</t>
  </si>
  <si>
    <t>9,000.0</t>
  </si>
  <si>
    <t>85,000.0</t>
  </si>
  <si>
    <t>10,500.0</t>
  </si>
  <si>
    <t>24,000.0</t>
  </si>
  <si>
    <t>9,960.0</t>
  </si>
  <si>
    <t>99,360.0</t>
  </si>
  <si>
    <t>27,000.0</t>
  </si>
  <si>
    <t>9,787.0</t>
  </si>
  <si>
    <t>72,000.0</t>
  </si>
  <si>
    <t>15,500.0</t>
  </si>
  <si>
    <t>783.0</t>
  </si>
  <si>
    <t>140,000.0</t>
  </si>
  <si>
    <t>98,442.0</t>
  </si>
  <si>
    <t>7,200.0</t>
  </si>
  <si>
    <t>12,500.0</t>
  </si>
  <si>
    <t>49,000.0</t>
  </si>
  <si>
    <t>91.0</t>
  </si>
  <si>
    <t>9,500.0</t>
  </si>
  <si>
    <t>23,500.0</t>
  </si>
  <si>
    <t>6,867.0</t>
  </si>
  <si>
    <t>16,500.0</t>
  </si>
  <si>
    <t>5,900.0</t>
  </si>
  <si>
    <t>137,000.0</t>
  </si>
  <si>
    <t>30,000.0</t>
  </si>
  <si>
    <t>7,000.0</t>
  </si>
  <si>
    <t>67,000.0</t>
  </si>
  <si>
    <t>327.0</t>
  </si>
  <si>
    <t>109,760.0</t>
  </si>
  <si>
    <t>431,000.0</t>
  </si>
  <si>
    <t>39,000.0</t>
  </si>
  <si>
    <t>99,424.0</t>
  </si>
  <si>
    <t>8,000.0</t>
  </si>
  <si>
    <t>32,000.0</t>
  </si>
  <si>
    <t>81.0</t>
  </si>
  <si>
    <t>12,000.0</t>
  </si>
  <si>
    <t>55,000.0</t>
  </si>
  <si>
    <t>99,834.0</t>
  </si>
  <si>
    <t>99,403.0</t>
  </si>
  <si>
    <t>122,000.0</t>
  </si>
  <si>
    <t>77.0</t>
  </si>
  <si>
    <t>98,000.0</t>
  </si>
  <si>
    <t>99,660.0</t>
  </si>
  <si>
    <t>83,000.0</t>
  </si>
  <si>
    <t>98,401.0</t>
  </si>
  <si>
    <t>37,000.0</t>
  </si>
  <si>
    <t>73,000.0</t>
  </si>
  <si>
    <t>976.0</t>
  </si>
  <si>
    <t>290,000.0</t>
  </si>
  <si>
    <t>70,000.0</t>
  </si>
  <si>
    <t>212,000.0</t>
  </si>
  <si>
    <t>99,736.0</t>
  </si>
  <si>
    <t>42,040.0</t>
  </si>
  <si>
    <t>15,000.0</t>
  </si>
  <si>
    <t>38,000.0</t>
  </si>
  <si>
    <t>85,511.0</t>
  </si>
  <si>
    <t>163,000.0</t>
  </si>
  <si>
    <t>97,676.0</t>
  </si>
  <si>
    <t>915.0</t>
  </si>
  <si>
    <t>156,000.0</t>
  </si>
  <si>
    <t>99,260.0</t>
  </si>
  <si>
    <t>111,000.0</t>
  </si>
  <si>
    <t>131,000.0</t>
  </si>
  <si>
    <t>5,214.0</t>
  </si>
  <si>
    <t>141,000.0</t>
  </si>
  <si>
    <t>101,000.0</t>
  </si>
  <si>
    <t>230,000.0</t>
  </si>
  <si>
    <t>335,000.0</t>
  </si>
  <si>
    <t>12,895.0</t>
  </si>
  <si>
    <t>8,500.0</t>
  </si>
  <si>
    <t>278,000.0</t>
  </si>
  <si>
    <t>206,000.0</t>
  </si>
  <si>
    <t>161,000.0</t>
  </si>
  <si>
    <t>450,000.0</t>
  </si>
  <si>
    <t>863.0</t>
  </si>
  <si>
    <t>66,000.0</t>
  </si>
  <si>
    <t>80,000.0</t>
  </si>
  <si>
    <t>880.0</t>
  </si>
  <si>
    <t>99,000.0</t>
  </si>
  <si>
    <t>638.0</t>
  </si>
  <si>
    <t>312,000.0</t>
  </si>
  <si>
    <t>225,000.0</t>
  </si>
  <si>
    <t>49.0</t>
  </si>
  <si>
    <t>9,884.0</t>
  </si>
  <si>
    <t>62,000.0</t>
  </si>
  <si>
    <t>95.0</t>
  </si>
  <si>
    <t>992.0</t>
  </si>
  <si>
    <t>59,000.0</t>
  </si>
  <si>
    <t>76,000.0</t>
  </si>
  <si>
    <t>30,500.0</t>
  </si>
  <si>
    <t>99,259.0</t>
  </si>
  <si>
    <t>29,000.0</t>
  </si>
  <si>
    <t>45,000.0</t>
  </si>
  <si>
    <t>64,000.0</t>
  </si>
  <si>
    <t>991.0</t>
  </si>
  <si>
    <t>20,000.0</t>
  </si>
  <si>
    <t>972.0</t>
  </si>
  <si>
    <t>44.0</t>
  </si>
  <si>
    <t>8,150.0</t>
  </si>
  <si>
    <t>63,000.0</t>
  </si>
  <si>
    <t>995.0</t>
  </si>
  <si>
    <t>941.0</t>
  </si>
  <si>
    <t>9,113.0</t>
  </si>
  <si>
    <t>973.0</t>
  </si>
  <si>
    <t>25,000.0</t>
  </si>
  <si>
    <t>99,703.0</t>
  </si>
  <si>
    <t>9,391.0</t>
  </si>
  <si>
    <t>117,000.0</t>
  </si>
  <si>
    <t>993.0</t>
  </si>
  <si>
    <t>9,361.0</t>
  </si>
  <si>
    <t>890.0</t>
  </si>
  <si>
    <t>924.0</t>
  </si>
  <si>
    <t>920.0</t>
  </si>
  <si>
    <t>835.0</t>
  </si>
  <si>
    <t>713.0</t>
  </si>
  <si>
    <t>14,000.0</t>
  </si>
  <si>
    <t>96,000.0</t>
  </si>
  <si>
    <t>836.0</t>
  </si>
  <si>
    <t>950.0</t>
  </si>
  <si>
    <t>89.0</t>
  </si>
  <si>
    <t>927.0</t>
  </si>
  <si>
    <t>9,300.0</t>
  </si>
  <si>
    <t>999.0</t>
  </si>
  <si>
    <t>355,000.0</t>
  </si>
  <si>
    <t>71,000.0</t>
  </si>
  <si>
    <t>9,950.0</t>
  </si>
  <si>
    <t>9,851.0</t>
  </si>
  <si>
    <t>984.0</t>
  </si>
  <si>
    <t>58,000.0</t>
  </si>
  <si>
    <t>379.0</t>
  </si>
  <si>
    <t>78.0</t>
  </si>
  <si>
    <t>9,606.0</t>
  </si>
  <si>
    <t>986.0</t>
  </si>
  <si>
    <t>99,854.0</t>
  </si>
  <si>
    <t>998,337.0</t>
  </si>
  <si>
    <t>115,000.0</t>
  </si>
  <si>
    <t>9,999.0</t>
  </si>
  <si>
    <t>172,000.0</t>
  </si>
  <si>
    <t>99,965.0</t>
  </si>
  <si>
    <t>765.0</t>
  </si>
  <si>
    <t>251,000.0</t>
  </si>
  <si>
    <t>118.0</t>
  </si>
  <si>
    <t>89,000.0</t>
  </si>
  <si>
    <t>9,165.0</t>
  </si>
  <si>
    <t>5,000.0</t>
  </si>
  <si>
    <t>662.0</t>
  </si>
  <si>
    <t>9,051.0</t>
  </si>
  <si>
    <t>56,000.0</t>
  </si>
  <si>
    <t>22,500.0</t>
  </si>
  <si>
    <t>112,000.0</t>
  </si>
  <si>
    <t>9,370.0</t>
  </si>
  <si>
    <t>5,808.0</t>
  </si>
  <si>
    <t>34,000.0</t>
  </si>
  <si>
    <t>99,916.0</t>
  </si>
  <si>
    <t>9,788.0</t>
  </si>
  <si>
    <t>41,000.0</t>
  </si>
  <si>
    <t>10.0</t>
  </si>
  <si>
    <t>371.0</t>
  </si>
  <si>
    <t>9,935.0</t>
  </si>
  <si>
    <t>94,511.0</t>
  </si>
  <si>
    <t>121,000.0</t>
  </si>
  <si>
    <t>8,300.0</t>
  </si>
  <si>
    <t>88,318.0</t>
  </si>
  <si>
    <t>197,000.0</t>
  </si>
  <si>
    <t>20,800.0</t>
  </si>
  <si>
    <t>9,970.0</t>
  </si>
  <si>
    <t>8,729.0</t>
  </si>
  <si>
    <t>7,428.0</t>
  </si>
  <si>
    <t>35,000.0</t>
  </si>
  <si>
    <t>99,476.0</t>
  </si>
  <si>
    <t>97,394.0</t>
  </si>
  <si>
    <t>8,288.0</t>
  </si>
  <si>
    <t>608.0</t>
  </si>
  <si>
    <t>307.0</t>
  </si>
  <si>
    <t>900.0</t>
  </si>
  <si>
    <t>84,000.0</t>
  </si>
  <si>
    <t>12.0</t>
  </si>
  <si>
    <t>9,358.0</t>
  </si>
  <si>
    <t>99,829.0</t>
  </si>
  <si>
    <t>665.0</t>
  </si>
  <si>
    <t>3,987.0</t>
  </si>
  <si>
    <t>52,500.0</t>
  </si>
  <si>
    <t>79,000.0</t>
  </si>
  <si>
    <t>99,592.0</t>
  </si>
  <si>
    <t>211,000.0</t>
  </si>
  <si>
    <t>997,727.0</t>
  </si>
  <si>
    <t>75,000.0</t>
  </si>
  <si>
    <t>96,115.0</t>
  </si>
  <si>
    <t>95,000.0</t>
  </si>
  <si>
    <t>99,874.0</t>
  </si>
  <si>
    <t>98,214.0</t>
  </si>
  <si>
    <t>77,000.0</t>
  </si>
  <si>
    <t>7,853.0</t>
  </si>
  <si>
    <t>109,818.0</t>
  </si>
  <si>
    <t>146,000.0</t>
  </si>
  <si>
    <t>13,000.0</t>
  </si>
  <si>
    <t>280,000.0</t>
  </si>
  <si>
    <t>208.0</t>
  </si>
  <si>
    <t>191,000.0</t>
  </si>
  <si>
    <t>9,394.0</t>
  </si>
  <si>
    <t>99,888.0</t>
  </si>
  <si>
    <t>9,878.0</t>
  </si>
  <si>
    <t>700.0</t>
  </si>
  <si>
    <t>98,169.0</t>
  </si>
  <si>
    <t>32,500.0</t>
  </si>
  <si>
    <t>92,175.0</t>
  </si>
  <si>
    <t>768.0</t>
  </si>
  <si>
    <t>94,292.0</t>
  </si>
  <si>
    <t>54,000.0</t>
  </si>
  <si>
    <t>999,201.0</t>
  </si>
  <si>
    <t>150,000.0</t>
  </si>
  <si>
    <t>9,897.0</t>
  </si>
  <si>
    <t>171,000.0</t>
  </si>
  <si>
    <t>176,000.0</t>
  </si>
  <si>
    <t>152,000.0</t>
  </si>
  <si>
    <t>870.0</t>
  </si>
  <si>
    <t>17,500.0</t>
  </si>
  <si>
    <t>99,768.0</t>
  </si>
  <si>
    <t>13,500.0</t>
  </si>
  <si>
    <t>7,562.0</t>
  </si>
  <si>
    <t>365,000.0</t>
  </si>
  <si>
    <t>910.0</t>
  </si>
  <si>
    <t>7,708.0</t>
  </si>
  <si>
    <t>74,000.0</t>
  </si>
  <si>
    <t>1,800.0</t>
  </si>
  <si>
    <t>100,000.0</t>
  </si>
  <si>
    <t>5,590.0</t>
  </si>
  <si>
    <t>109,974.0</t>
  </si>
  <si>
    <t>3,132.0</t>
  </si>
  <si>
    <t>154,000.0</t>
  </si>
  <si>
    <t>98,898.0</t>
  </si>
  <si>
    <t>99,638.0</t>
  </si>
  <si>
    <t>9,613.0</t>
  </si>
  <si>
    <t>742.0</t>
  </si>
  <si>
    <t>57,000.0</t>
  </si>
  <si>
    <t>118,776.0</t>
  </si>
  <si>
    <t>9,737.0</t>
  </si>
  <si>
    <t>579.0</t>
  </si>
  <si>
    <t>103,000.0</t>
  </si>
  <si>
    <t>977.0</t>
  </si>
  <si>
    <t>120,000.0</t>
  </si>
  <si>
    <t>245,000.0</t>
  </si>
  <si>
    <t>138,000.0</t>
  </si>
  <si>
    <t>180,000.0</t>
  </si>
  <si>
    <t>170,000.0</t>
  </si>
  <si>
    <t>6,500.0</t>
  </si>
  <si>
    <t>11,500.0</t>
  </si>
  <si>
    <t>839.0</t>
  </si>
  <si>
    <t>65,500.0</t>
  </si>
  <si>
    <t>130,000.0</t>
  </si>
  <si>
    <t>999,660.0</t>
  </si>
  <si>
    <t>3,500.0</t>
  </si>
  <si>
    <t>14,500.0</t>
  </si>
  <si>
    <t>190,000.0</t>
  </si>
  <si>
    <t>185,000.0</t>
  </si>
  <si>
    <t>965.0</t>
  </si>
  <si>
    <t>969.0</t>
  </si>
  <si>
    <t>18,500.0</t>
  </si>
  <si>
    <t>9,941.0</t>
  </si>
  <si>
    <t>932.0</t>
  </si>
  <si>
    <t>997.0</t>
  </si>
  <si>
    <t>110,000.0</t>
  </si>
  <si>
    <t>34,500.0</t>
  </si>
  <si>
    <t>19,500.0</t>
  </si>
  <si>
    <t>9,549.0</t>
  </si>
  <si>
    <t>9,048.0</t>
  </si>
  <si>
    <t>704.0</t>
  </si>
  <si>
    <t>286,000.0</t>
  </si>
  <si>
    <t>865.0</t>
  </si>
  <si>
    <t>110.0</t>
  </si>
  <si>
    <t>79.0</t>
  </si>
  <si>
    <t>96.0</t>
  </si>
  <si>
    <t>860.0</t>
  </si>
  <si>
    <t>895.0</t>
  </si>
  <si>
    <t>497.0</t>
  </si>
  <si>
    <t>740.0</t>
  </si>
  <si>
    <t>98,013.0</t>
  </si>
  <si>
    <t>98,275.0</t>
  </si>
  <si>
    <t>95,917.0</t>
  </si>
  <si>
    <t>687.0</t>
  </si>
  <si>
    <t>8,805.0</t>
  </si>
  <si>
    <t>2,422.0</t>
  </si>
  <si>
    <t>90,241.0</t>
  </si>
  <si>
    <t>9,234.0</t>
  </si>
  <si>
    <t>108,388.0</t>
  </si>
  <si>
    <t>930.0</t>
  </si>
  <si>
    <t>5,162.0</t>
  </si>
  <si>
    <t>975.0</t>
  </si>
  <si>
    <t>456.0</t>
  </si>
  <si>
    <t>628.0</t>
  </si>
  <si>
    <t>2,525.0</t>
  </si>
  <si>
    <t>994.0</t>
  </si>
  <si>
    <t>9,451.0</t>
  </si>
  <si>
    <t>949.0</t>
  </si>
  <si>
    <t>37.0</t>
  </si>
  <si>
    <t>916.0</t>
  </si>
  <si>
    <t>989.0</t>
  </si>
  <si>
    <t>8,885.0</t>
  </si>
  <si>
    <t>970.0</t>
  </si>
  <si>
    <t>585.0</t>
  </si>
  <si>
    <t>3,000.0</t>
  </si>
  <si>
    <t>940.0</t>
  </si>
  <si>
    <t>98.0</t>
  </si>
  <si>
    <t>430.0</t>
  </si>
  <si>
    <t>812.0</t>
  </si>
  <si>
    <t>81,000.0</t>
  </si>
  <si>
    <t>21,500.0</t>
  </si>
  <si>
    <t>89,890.0</t>
  </si>
  <si>
    <t>109,640.0</t>
  </si>
  <si>
    <t>5,156.0</t>
  </si>
  <si>
    <t>97,335.0</t>
  </si>
  <si>
    <t>960.0</t>
  </si>
  <si>
    <t>109,319.0</t>
  </si>
  <si>
    <t>237,000.0</t>
  </si>
  <si>
    <t>527.0</t>
  </si>
  <si>
    <t>125,000.0</t>
  </si>
  <si>
    <t>4,000.0</t>
  </si>
  <si>
    <t>95,310.0</t>
  </si>
  <si>
    <t>826.0</t>
  </si>
  <si>
    <t>2,766.0</t>
  </si>
  <si>
    <t>9,740.0</t>
  </si>
  <si>
    <t>18,430.0</t>
  </si>
  <si>
    <t>871.0</t>
  </si>
  <si>
    <t>955.0</t>
  </si>
  <si>
    <t>706.0</t>
  </si>
  <si>
    <t>160,000.0</t>
  </si>
  <si>
    <t>91,590.0</t>
  </si>
  <si>
    <t>85.0</t>
  </si>
  <si>
    <t>61,000.0</t>
  </si>
  <si>
    <t>15,010.0</t>
  </si>
  <si>
    <t>https://cdn2-retail-images.kiotviet.vn/2026/03/31/giabaopharma/a1632d6e4df94c51a7329fd37a3166f7.jpg</t>
  </si>
  <si>
    <t>109,868.0</t>
  </si>
  <si>
    <t>840.0</t>
  </si>
  <si>
    <t>44,000.0</t>
  </si>
  <si>
    <t>50,000.0</t>
  </si>
  <si>
    <t>781.0</t>
  </si>
  <si>
    <t>9,084.0</t>
  </si>
  <si>
    <t>237.0</t>
  </si>
  <si>
    <t>295,000.0</t>
  </si>
  <si>
    <t>226,000.0</t>
  </si>
  <si>
    <t>109,603.0</t>
  </si>
  <si>
    <t>613.0</t>
  </si>
  <si>
    <t>814.0</t>
  </si>
  <si>
    <t>847.0</t>
  </si>
  <si>
    <t>859.0</t>
  </si>
  <si>
    <t>159,000.0</t>
  </si>
  <si>
    <t>119,000.0</t>
  </si>
  <si>
    <t>109,000.0</t>
  </si>
  <si>
    <t>296,000.0</t>
  </si>
  <si>
    <t>325,000.0</t>
  </si>
  <si>
    <t>87.0</t>
  </si>
  <si>
    <t>204,000.0</t>
  </si>
  <si>
    <t>99.0</t>
  </si>
  <si>
    <t>330,000.0</t>
  </si>
  <si>
    <t>320,000.0</t>
  </si>
  <si>
    <t>289,000.0</t>
  </si>
  <si>
    <t>47.0</t>
  </si>
  <si>
    <t>26,500.0</t>
  </si>
  <si>
    <t>281,000.0</t>
  </si>
  <si>
    <t>999,523.0</t>
  </si>
  <si>
    <t>187,000.0</t>
  </si>
  <si>
    <t>68,000.0</t>
  </si>
  <si>
    <t>894.0</t>
  </si>
  <si>
    <t>99,903.0</t>
  </si>
  <si>
    <t>17.0</t>
  </si>
  <si>
    <t>246,000.0</t>
  </si>
  <si>
    <t>99,475.0</t>
  </si>
  <si>
    <t>574.0</t>
  </si>
  <si>
    <t>632.0</t>
  </si>
  <si>
    <t>99,960.0</t>
  </si>
  <si>
    <t>9,962.0</t>
  </si>
  <si>
    <t>99,986.0</t>
  </si>
  <si>
    <t>610.0</t>
  </si>
  <si>
    <t>99,915.0</t>
  </si>
  <si>
    <t>168,000.0</t>
  </si>
  <si>
    <t>88.0</t>
  </si>
  <si>
    <t>50.0</t>
  </si>
  <si>
    <t>9,701.0</t>
  </si>
  <si>
    <t>99,933.0</t>
  </si>
  <si>
    <t>99,958.0</t>
  </si>
  <si>
    <t>99,975.0</t>
  </si>
  <si>
    <t>99,997.0</t>
  </si>
  <si>
    <t>99,762.0</t>
  </si>
  <si>
    <t>241,000.0</t>
  </si>
  <si>
    <t>261,000.0</t>
  </si>
  <si>
    <t>109,998.0</t>
  </si>
  <si>
    <t>105,000.0</t>
  </si>
  <si>
    <t>999,975.0</t>
  </si>
  <si>
    <t>8,277.0</t>
  </si>
  <si>
    <t>98,382.0</t>
  </si>
  <si>
    <t>46.0</t>
  </si>
  <si>
    <t>198.0</t>
  </si>
  <si>
    <t>205,000.0</t>
  </si>
  <si>
    <t>99,896.0</t>
  </si>
  <si>
    <t>69.0</t>
  </si>
  <si>
    <t>136,000.0</t>
  </si>
  <si>
    <t>91,000.0</t>
  </si>
  <si>
    <t>99,421.0</t>
  </si>
  <si>
    <t>979.0</t>
  </si>
  <si>
    <t>6,426.0</t>
  </si>
  <si>
    <t>99,266.0</t>
  </si>
  <si>
    <t>5.0</t>
  </si>
  <si>
    <t>9,985.0</t>
  </si>
  <si>
    <t>827.0</t>
  </si>
  <si>
    <t>855.0</t>
  </si>
  <si>
    <t>998,275.0</t>
  </si>
  <si>
    <t>888.0</t>
  </si>
  <si>
    <t>99,612.0</t>
  </si>
  <si>
    <t>8,814.0</t>
  </si>
  <si>
    <t>9,460.0</t>
  </si>
  <si>
    <t>271,000.0</t>
  </si>
  <si>
    <t>221,000.0</t>
  </si>
  <si>
    <t>94,748.0</t>
  </si>
  <si>
    <t>177,000.0</t>
  </si>
  <si>
    <t>99,995.0</t>
  </si>
  <si>
    <t>195.0</t>
  </si>
  <si>
    <t>162,000.0</t>
  </si>
  <si>
    <t>931.0</t>
  </si>
  <si>
    <t>455,000.0</t>
  </si>
  <si>
    <t>300,000.0</t>
  </si>
  <si>
    <t>123,000.0</t>
  </si>
  <si>
    <t>99,990.0</t>
  </si>
  <si>
    <t>99,818.0</t>
  </si>
  <si>
    <t>98,729.0</t>
  </si>
  <si>
    <t>99,937.0</t>
  </si>
  <si>
    <t>9,812.0</t>
  </si>
  <si>
    <t>302 STORE MANAGER VBA</t>
  </si>
  <si>
    <t>Mục</t>
  </si>
  <si>
    <t>Sheet</t>
  </si>
  <si>
    <t>Khách hàng</t>
  </si>
  <si>
    <t>KHÁCH HÀNG</t>
  </si>
  <si>
    <t>Dữ liệu khách</t>
  </si>
  <si>
    <t>Hàng hóa</t>
  </si>
  <si>
    <t>Hàng Q302</t>
  </si>
  <si>
    <t>Danh mục bán hàng</t>
  </si>
  <si>
    <t>Hóa đơn</t>
  </si>
  <si>
    <t>CHI TIẾT HÓA ĐƠN</t>
  </si>
  <si>
    <t>Chi tiết bán hàng</t>
  </si>
  <si>
    <t>Công nợ</t>
  </si>
  <si>
    <t>CÔNG NỢ THEO HÓA ĐƠN</t>
  </si>
  <si>
    <t>Theo dõi phải thu</t>
  </si>
  <si>
    <t>Mẫu hóa đơn</t>
  </si>
  <si>
    <t>LÊN HÓA ĐƠN</t>
  </si>
  <si>
    <t>In/xem mẫu</t>
  </si>
  <si>
    <t>Hướng dẫn</t>
  </si>
  <si>
    <t>MENU</t>
  </si>
  <si>
    <t>Sheet điều hướng</t>
  </si>
  <si>
    <t>302 STORE MANAGER</t>
  </si>
  <si>
    <t>Tổng khách hàng</t>
  </si>
  <si>
    <t>Tổng hàng hóa</t>
  </si>
  <si>
    <t>Tổng hóa đơn</t>
  </si>
  <si>
    <t>Tổng công nợ</t>
  </si>
  <si>
    <t>Tổng doanh số</t>
  </si>
  <si>
    <t>Mở sheet MENU để điều hướng</t>
  </si>
  <si>
    <t>Bản này dùng kèm module VBA trong thư mục vba</t>
  </si>
  <si>
    <t>TẠO HÓA ĐƠN</t>
  </si>
  <si>
    <t>Mã SP</t>
  </si>
  <si>
    <t>Chạy macro CreateInvoiceFromForm sau khi nhập xong</t>
  </si>
  <si>
    <t>PHIẾU THU / CHI</t>
  </si>
  <si>
    <t>Loại</t>
  </si>
  <si>
    <t>receipt</t>
  </si>
  <si>
    <t>Số tiền</t>
  </si>
  <si>
    <t>Phương thức</t>
  </si>
  <si>
    <t>Tiền mặt</t>
  </si>
  <si>
    <t>Chạy macro CreateVoucherFromForm</t>
  </si>
  <si>
    <t>Điều hướng nhanh</t>
  </si>
  <si>
    <t>Hóa đơn chi tiết</t>
  </si>
  <si>
    <t>Sheet thao tác</t>
  </si>
  <si>
    <t>TẠO_HÓA_ĐƠN / PHIẾU_THU_CHI</t>
  </si>
  <si>
    <t>Mã phiếu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</si>
</sst>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Ngày &quot;d\ &quot;tháng &quot;m\ &quot;năm &quot;yyyy"/>
    <numFmt numFmtId="165" formatCode="m/d/yyyy\ h:mm:ss"/>
    <numFmt numFmtId="166" formatCode="#,##0.00\ [$đ-42A]"/>
  </numFmts>
  <fonts count="30" x14ac:knownFonts="1">
    <font>
      <sz val="10"/>
      <color rgb="FF000000"/>
      <name val="Arial"/>
      <scheme val="minor"/>
    </font>
    <font>
      <sz val="10"/>
      <color theme="1"/>
      <name val="Arial"/>
      <family val="2"/>
      <scheme val="minor"/>
    </font>
    <font>
      <b/>
      <sz val="16"/>
      <color theme="1"/>
      <name val="Arial"/>
      <family val="2"/>
      <scheme val="minor"/>
    </font>
    <font>
      <sz val="10"/>
      <name val="Arial"/>
      <family val="2"/>
    </font>
    <font>
      <sz val="11"/>
      <color rgb="FF000000"/>
      <name val="Calibri"/>
      <family val="2"/>
    </font>
    <font>
      <sz val="11"/>
      <color theme="1"/>
      <name val="Calibri"/>
      <family val="2"/>
    </font>
    <font>
      <b/>
      <sz val="10"/>
      <color theme="1"/>
      <name val="Arial"/>
      <family val="2"/>
      <scheme val="minor"/>
    </font>
    <font>
      <b/>
      <sz val="10"/>
      <color theme="4"/>
      <name val="Arial"/>
      <family val="2"/>
      <scheme val="minor"/>
    </font>
    <font>
      <sz val="14"/>
      <color rgb="FF000000"/>
      <name val="Calibri"/>
      <family val="2"/>
    </font>
    <font>
      <sz val="17"/>
      <color rgb="FF000000"/>
      <name val="Calibri"/>
      <family val="2"/>
    </font>
    <font>
      <b/>
      <sz val="12"/>
      <color theme="1"/>
      <name val="Arial"/>
      <family val="2"/>
      <scheme val="minor"/>
    </font>
    <font>
      <sz val="11"/>
      <color rgb="FF3C78D8"/>
      <name val="Calibri"/>
      <family val="2"/>
    </font>
    <font>
      <b/>
      <sz val="11"/>
      <color theme="1"/>
      <name val="Calibri"/>
      <family val="2"/>
    </font>
    <font>
      <sz val="10"/>
      <color theme="1"/>
      <name val="Arial"/>
      <family val="2"/>
    </font>
    <font>
      <b/>
      <sz val="17"/>
      <color theme="1"/>
      <name val="Calibri"/>
      <family val="2"/>
    </font>
    <font>
      <u/>
      <sz val="11"/>
      <color rgb="FF000000"/>
      <name val="Calibri"/>
      <family val="2"/>
    </font>
    <font>
      <u/>
      <sz val="11"/>
      <color rgb="FF000000"/>
      <name val="Calibri"/>
      <family val="2"/>
    </font>
    <font>
      <u/>
      <sz val="11"/>
      <color rgb="FF000000"/>
      <name val="Calibri"/>
      <family val="2"/>
    </font>
    <font>
      <u/>
      <sz val="11"/>
      <color rgb="FF000000"/>
      <name val="Calibri"/>
      <family val="2"/>
    </font>
    <font>
      <b/>
      <sz val="11"/>
      <color rgb="FF000000"/>
      <name val="Calibri"/>
      <family val="2"/>
    </font>
    <font>
      <b/>
      <sz val="17"/>
      <color rgb="FF000000"/>
      <name val="Calibri"/>
      <family val="2"/>
    </font>
    <font>
      <b/>
      <sz val="15"/>
      <color rgb="FF000000"/>
      <name val="Calibri"/>
      <family val="2"/>
    </font>
    <font>
      <sz val="17"/>
      <color theme="1"/>
      <name val="Calibri"/>
      <family val="2"/>
    </font>
    <font>
      <sz val="15"/>
      <color theme="1"/>
      <name val="Calibri"/>
      <family val="2"/>
    </font>
    <font>
      <u/>
      <sz val="11"/>
      <color rgb="FF1155CC"/>
      <name val="Calibri"/>
      <family val="2"/>
    </font>
    <font>
      <sz val="11"/>
      <color theme="1"/>
      <name val="Arial"/>
      <family val="2"/>
    </font>
    <font>
      <u/>
      <sz val="11"/>
      <color rgb="FF1155CC"/>
      <name val="Calibri"/>
      <family val="2"/>
    </font>
    <font>
      <sz val="15"/>
      <color rgb="FF000000"/>
      <name val="Calibri"/>
      <family val="2"/>
    </font>
    <font>
      <u/>
      <sz val="11"/>
      <color rgb="FF000000"/>
      <name val="Calibri"/>
      <family val="2"/>
    </font>
    <font>
      <u/>
      <sz val="11"/>
      <color rgb="FF000000"/>
      <name val="Calibri"/>
      <family val="2"/>
    </font>
  </fonts>
  <fills count="9">
    <fill>
      <patternFill patternType="none"/>
    </fill>
    <fill>
      <patternFill patternType="gray125"/>
    </fill>
    <fill>
      <patternFill patternType="solid">
        <fgColor rgb="FFCFE2F3"/>
        <bgColor rgb="FFCFE2F3"/>
      </patternFill>
    </fill>
    <fill>
      <patternFill patternType="solid">
        <fgColor theme="0"/>
        <bgColor theme="0"/>
      </patternFill>
    </fill>
    <fill>
      <patternFill patternType="solid">
        <fgColor rgb="FFA4C2F4"/>
        <bgColor rgb="FFA4C2F4"/>
      </patternFill>
    </fill>
    <fill>
      <patternFill patternType="solid">
        <fgColor rgb="FFDCE6F1"/>
        <bgColor rgb="FFDCE6F1"/>
      </patternFill>
    </fill>
    <fill>
      <patternFill patternType="solid">
        <fgColor rgb="FF4F81BD"/>
        <bgColor rgb="FF4F81BD"/>
      </patternFill>
    </fill>
    <fill>
      <patternFill patternType="solid">
        <fgColor rgb="FF3C78D8"/>
        <bgColor rgb="FF3C78D8"/>
      </patternFill>
    </fill>
    <fill>
      <patternFill patternType="solid">
        <fgColor rgb="FF6D9EEB"/>
        <bgColor rgb="FF6D9EEB"/>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95B3D7"/>
      </top>
      <bottom style="thin">
        <color rgb="FF95B3D7"/>
      </bottom>
      <diagonal/>
    </border>
  </borders>
  <cellStyleXfs count="1">
    <xf numFmtId="0" fontId="0" fillId="0" borderId="0"/>
  </cellStyleXfs>
  <cellXfs count="128">
    <xf numFmtId="0" fontId="0" fillId="0" borderId="0" xfId="0"/>
    <xf numFmtId="0" fontId="1" fillId="0" borderId="0" xfId="0" applyFont="1" applyAlignment="1">
      <alignment horizontal="left" vertical="center" wrapText="1"/>
    </xf>
    <xf numFmtId="0" fontId="1" fillId="0" borderId="0" xfId="0" applyFont="1" applyAlignment="1">
      <alignment vertical="center"/>
    </xf>
    <xf numFmtId="1" fontId="1" fillId="0" borderId="0" xfId="0" applyNumberFormat="1" applyFont="1" applyAlignment="1">
      <alignment vertical="center"/>
    </xf>
    <xf numFmtId="0" fontId="1" fillId="0" borderId="0" xfId="0" applyFont="1" applyAlignment="1">
      <alignment horizontal="center" vertical="center" wrapText="1"/>
    </xf>
    <xf numFmtId="0" fontId="4" fillId="0" borderId="0" xfId="0" applyFont="1" applyAlignment="1">
      <alignment horizontal="left"/>
    </xf>
    <xf numFmtId="0" fontId="1" fillId="0" borderId="0" xfId="0" applyFont="1" applyAlignment="1">
      <alignment horizontal="left" vertical="center"/>
    </xf>
    <xf numFmtId="0" fontId="5" fillId="2" borderId="4" xfId="0" applyFont="1" applyFill="1" applyBorder="1"/>
    <xf numFmtId="0" fontId="6" fillId="0" borderId="4" xfId="0" applyFont="1" applyBorder="1" applyAlignment="1">
      <alignment horizontal="center" vertical="center" wrapText="1"/>
    </xf>
    <xf numFmtId="0" fontId="7" fillId="0" borderId="4" xfId="0" applyFont="1" applyBorder="1" applyAlignment="1">
      <alignment horizontal="center" vertical="center"/>
    </xf>
    <xf numFmtId="0" fontId="6" fillId="0" borderId="4" xfId="0" applyFont="1" applyBorder="1" applyAlignment="1">
      <alignment horizontal="center" vertical="center"/>
    </xf>
    <xf numFmtId="1" fontId="6"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4" fillId="0" borderId="4" xfId="0" applyFont="1" applyBorder="1" applyAlignment="1">
      <alignment horizontal="center" vertical="center" wrapText="1"/>
    </xf>
    <xf numFmtId="0" fontId="8" fillId="0" borderId="4" xfId="0" applyFont="1" applyBorder="1" applyAlignment="1">
      <alignment horizontal="left" vertical="center" wrapText="1"/>
    </xf>
    <xf numFmtId="0" fontId="1" fillId="0" borderId="4" xfId="0" applyFont="1" applyBorder="1" applyAlignment="1">
      <alignment vertical="center"/>
    </xf>
    <xf numFmtId="3" fontId="1" fillId="0" borderId="4" xfId="0" applyNumberFormat="1" applyFont="1" applyBorder="1" applyAlignment="1">
      <alignment horizontal="center" vertical="center"/>
    </xf>
    <xf numFmtId="0" fontId="1" fillId="3" borderId="0" xfId="0" applyFont="1" applyFill="1" applyAlignment="1">
      <alignment vertical="center"/>
    </xf>
    <xf numFmtId="0" fontId="9" fillId="0" borderId="4"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1" fontId="1" fillId="0" borderId="0" xfId="0" applyNumberFormat="1" applyFont="1" applyAlignment="1">
      <alignment horizontal="center" vertical="center"/>
    </xf>
    <xf numFmtId="0" fontId="4" fillId="0" borderId="5" xfId="0" applyFont="1" applyBorder="1" applyAlignment="1">
      <alignment horizontal="left"/>
    </xf>
    <xf numFmtId="0" fontId="5" fillId="4" borderId="5" xfId="0" applyFont="1" applyFill="1" applyBorder="1"/>
    <xf numFmtId="0" fontId="4" fillId="0" borderId="5" xfId="0" applyFont="1" applyBorder="1" applyAlignment="1">
      <alignment horizontal="left" wrapText="1"/>
    </xf>
    <xf numFmtId="0" fontId="9" fillId="0" borderId="5" xfId="0" applyFont="1" applyBorder="1" applyAlignment="1">
      <alignment horizontal="left" wrapText="1"/>
    </xf>
    <xf numFmtId="1" fontId="1" fillId="0" borderId="4" xfId="0" applyNumberFormat="1" applyFont="1" applyBorder="1" applyAlignment="1">
      <alignment vertical="center"/>
    </xf>
    <xf numFmtId="0" fontId="9" fillId="5" borderId="5" xfId="0" applyFont="1" applyFill="1" applyBorder="1" applyAlignment="1">
      <alignment horizontal="left" wrapText="1"/>
    </xf>
    <xf numFmtId="0" fontId="4" fillId="5" borderId="5" xfId="0" applyFont="1" applyFill="1" applyBorder="1" applyAlignment="1">
      <alignment horizontal="left" wrapText="1"/>
    </xf>
    <xf numFmtId="0" fontId="1" fillId="0" borderId="0" xfId="0" applyFont="1" applyAlignment="1">
      <alignment wrapText="1"/>
    </xf>
    <xf numFmtId="0" fontId="4" fillId="5" borderId="5" xfId="0" applyFont="1" applyFill="1" applyBorder="1" applyAlignment="1">
      <alignment horizontal="left" vertical="center"/>
    </xf>
    <xf numFmtId="0" fontId="11" fillId="5" borderId="5" xfId="0" applyFont="1" applyFill="1" applyBorder="1" applyAlignment="1">
      <alignment horizontal="left" vertical="center"/>
    </xf>
    <xf numFmtId="0" fontId="4" fillId="0" borderId="5" xfId="0" applyFont="1" applyBorder="1" applyAlignment="1">
      <alignment horizontal="left" vertical="center" wrapText="1"/>
    </xf>
    <xf numFmtId="0" fontId="4" fillId="5" borderId="5" xfId="0" applyFont="1" applyFill="1" applyBorder="1" applyAlignment="1">
      <alignment horizontal="left" vertical="center" wrapText="1"/>
    </xf>
    <xf numFmtId="165" fontId="1" fillId="0" borderId="0" xfId="0" applyNumberFormat="1" applyFont="1" applyAlignment="1">
      <alignment vertical="center"/>
    </xf>
    <xf numFmtId="0" fontId="12" fillId="6" borderId="5" xfId="0" applyFont="1" applyFill="1" applyBorder="1" applyAlignment="1">
      <alignment horizontal="left"/>
    </xf>
    <xf numFmtId="0" fontId="12" fillId="6" borderId="5" xfId="0" applyFont="1" applyFill="1" applyBorder="1"/>
    <xf numFmtId="0" fontId="4" fillId="5" borderId="5" xfId="0" applyFont="1" applyFill="1" applyBorder="1" applyAlignment="1">
      <alignment horizontal="left"/>
    </xf>
    <xf numFmtId="0" fontId="5" fillId="5" borderId="5" xfId="0" applyFont="1" applyFill="1" applyBorder="1"/>
    <xf numFmtId="0" fontId="4" fillId="5" borderId="5" xfId="0" applyFont="1" applyFill="1" applyBorder="1" applyAlignment="1">
      <alignment horizontal="right"/>
    </xf>
    <xf numFmtId="0" fontId="5" fillId="0" borderId="5" xfId="0" applyFont="1" applyBorder="1"/>
    <xf numFmtId="0" fontId="4" fillId="0" borderId="5" xfId="0" applyFont="1" applyBorder="1" applyAlignment="1">
      <alignment horizontal="right"/>
    </xf>
    <xf numFmtId="0" fontId="4" fillId="5" borderId="5" xfId="0" applyFont="1" applyFill="1" applyBorder="1"/>
    <xf numFmtId="0" fontId="4" fillId="0" borderId="5" xfId="0" applyFont="1" applyBorder="1"/>
    <xf numFmtId="3" fontId="4" fillId="5" borderId="5" xfId="0" applyNumberFormat="1" applyFont="1" applyFill="1" applyBorder="1" applyAlignment="1">
      <alignment horizontal="left"/>
    </xf>
    <xf numFmtId="0" fontId="13" fillId="5" borderId="5" xfId="0" applyFont="1" applyFill="1" applyBorder="1"/>
    <xf numFmtId="3" fontId="4" fillId="0" borderId="5" xfId="0" applyNumberFormat="1" applyFont="1" applyBorder="1" applyAlignment="1">
      <alignment horizontal="left"/>
    </xf>
    <xf numFmtId="0" fontId="13" fillId="0" borderId="0" xfId="0" applyFont="1"/>
    <xf numFmtId="0" fontId="12" fillId="6" borderId="0" xfId="0" applyFont="1" applyFill="1" applyAlignment="1">
      <alignment horizontal="left" vertical="center"/>
    </xf>
    <xf numFmtId="0" fontId="12" fillId="6" borderId="5" xfId="0" applyFont="1" applyFill="1" applyBorder="1" applyAlignment="1">
      <alignment horizontal="center" vertical="center"/>
    </xf>
    <xf numFmtId="0" fontId="14" fillId="6" borderId="5" xfId="0" applyFont="1" applyFill="1" applyBorder="1" applyAlignment="1">
      <alignment horizontal="center" vertical="center" wrapText="1"/>
    </xf>
    <xf numFmtId="3" fontId="1" fillId="7" borderId="0" xfId="0" applyNumberFormat="1" applyFont="1" applyFill="1" applyAlignment="1">
      <alignment horizontal="center" vertical="center"/>
    </xf>
    <xf numFmtId="1" fontId="12"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xf>
    <xf numFmtId="0" fontId="4" fillId="0" borderId="0" xfId="0" applyFont="1" applyAlignment="1">
      <alignment horizontal="left" vertical="center"/>
    </xf>
    <xf numFmtId="0" fontId="4" fillId="0" borderId="5" xfId="0" applyFont="1" applyBorder="1" applyAlignment="1">
      <alignment horizontal="left" vertical="center"/>
    </xf>
    <xf numFmtId="0" fontId="9" fillId="0" borderId="5" xfId="0" applyFont="1" applyBorder="1" applyAlignment="1">
      <alignment horizontal="left" vertical="center" wrapText="1"/>
    </xf>
    <xf numFmtId="3" fontId="1" fillId="0" borderId="0" xfId="0" applyNumberFormat="1" applyFont="1" applyAlignment="1">
      <alignment vertical="center"/>
    </xf>
    <xf numFmtId="0" fontId="15" fillId="5" borderId="5" xfId="0" applyFont="1" applyFill="1" applyBorder="1" applyAlignment="1">
      <alignment horizontal="left" vertical="center" wrapText="1"/>
    </xf>
    <xf numFmtId="3" fontId="1" fillId="0" borderId="0" xfId="0" applyNumberFormat="1" applyFont="1" applyAlignment="1">
      <alignment vertical="center" wrapText="1"/>
    </xf>
    <xf numFmtId="0" fontId="4" fillId="5" borderId="0" xfId="0" applyFont="1" applyFill="1" applyAlignment="1">
      <alignment horizontal="left" vertical="center"/>
    </xf>
    <xf numFmtId="0" fontId="9" fillId="5" borderId="5" xfId="0" applyFont="1" applyFill="1" applyBorder="1" applyAlignment="1">
      <alignment horizontal="left" vertical="center" wrapText="1"/>
    </xf>
    <xf numFmtId="0" fontId="16" fillId="0" borderId="5" xfId="0" applyFont="1" applyBorder="1" applyAlignment="1">
      <alignment horizontal="left" vertical="center" wrapText="1"/>
    </xf>
    <xf numFmtId="0" fontId="17" fillId="0" borderId="5" xfId="0" applyFont="1" applyBorder="1" applyAlignment="1">
      <alignment horizontal="left" vertical="center"/>
    </xf>
    <xf numFmtId="0" fontId="18" fillId="5" borderId="5" xfId="0" applyFont="1" applyFill="1" applyBorder="1" applyAlignment="1">
      <alignment horizontal="left" vertical="center"/>
    </xf>
    <xf numFmtId="0" fontId="4" fillId="0" borderId="5" xfId="0" applyFont="1" applyBorder="1" applyAlignment="1">
      <alignment vertical="center" wrapText="1"/>
    </xf>
    <xf numFmtId="0" fontId="4" fillId="0" borderId="5" xfId="0" applyFont="1" applyBorder="1" applyAlignment="1">
      <alignment vertical="center"/>
    </xf>
    <xf numFmtId="0" fontId="4" fillId="5" borderId="0" xfId="0" applyFont="1" applyFill="1" applyAlignment="1">
      <alignment horizontal="left" vertical="center" wrapText="1"/>
    </xf>
    <xf numFmtId="0" fontId="1" fillId="0" borderId="0" xfId="0" applyFont="1" applyAlignment="1">
      <alignment vertical="center" wrapText="1"/>
    </xf>
    <xf numFmtId="0" fontId="4" fillId="0" borderId="0" xfId="0" applyFont="1" applyAlignment="1">
      <alignment horizontal="left" vertical="center" wrapText="1"/>
    </xf>
    <xf numFmtId="0" fontId="4" fillId="5" borderId="5" xfId="0" applyFont="1" applyFill="1" applyBorder="1" applyAlignment="1">
      <alignment vertical="center" wrapText="1"/>
    </xf>
    <xf numFmtId="0" fontId="19" fillId="8" borderId="0" xfId="0" applyFont="1" applyFill="1" applyAlignment="1">
      <alignment horizontal="center" vertical="center"/>
    </xf>
    <xf numFmtId="0" fontId="19" fillId="8" borderId="5" xfId="0" applyFont="1" applyFill="1" applyBorder="1" applyAlignment="1">
      <alignment horizontal="center" vertical="center"/>
    </xf>
    <xf numFmtId="0" fontId="20" fillId="8" borderId="5" xfId="0" applyFont="1" applyFill="1" applyBorder="1" applyAlignment="1">
      <alignment horizontal="center" vertical="center"/>
    </xf>
    <xf numFmtId="166" fontId="21" fillId="8" borderId="5" xfId="0" applyNumberFormat="1" applyFont="1" applyFill="1" applyBorder="1" applyAlignment="1">
      <alignment horizontal="center" vertical="center"/>
    </xf>
    <xf numFmtId="0" fontId="5" fillId="3" borderId="0" xfId="0" applyFont="1" applyFill="1" applyAlignment="1">
      <alignment horizontal="center" vertical="center" wrapText="1"/>
    </xf>
    <xf numFmtId="0" fontId="5" fillId="3" borderId="5"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13" fillId="3" borderId="0" xfId="0" applyFont="1" applyFill="1" applyAlignment="1">
      <alignment horizontal="center" vertical="center"/>
    </xf>
    <xf numFmtId="166" fontId="23" fillId="3" borderId="5" xfId="0" applyNumberFormat="1" applyFont="1" applyFill="1" applyBorder="1" applyAlignment="1">
      <alignment horizontal="center" vertical="center" wrapText="1"/>
    </xf>
    <xf numFmtId="0" fontId="5" fillId="5" borderId="5" xfId="0" applyFont="1" applyFill="1" applyBorder="1" applyAlignment="1">
      <alignment horizontal="right" wrapText="1"/>
    </xf>
    <xf numFmtId="0" fontId="24" fillId="5" borderId="5" xfId="0" applyFont="1" applyFill="1" applyBorder="1" applyAlignment="1">
      <alignment wrapText="1"/>
    </xf>
    <xf numFmtId="0" fontId="25" fillId="0" borderId="0" xfId="0" applyFont="1"/>
    <xf numFmtId="0" fontId="5" fillId="0" borderId="0" xfId="0" applyFont="1" applyAlignment="1">
      <alignment horizontal="right" wrapText="1"/>
    </xf>
    <xf numFmtId="0" fontId="5" fillId="0" borderId="5" xfId="0" applyFont="1" applyBorder="1" applyAlignment="1">
      <alignment wrapText="1"/>
    </xf>
    <xf numFmtId="0" fontId="22" fillId="0" borderId="5" xfId="0" applyFont="1" applyBorder="1" applyAlignment="1">
      <alignment wrapText="1"/>
    </xf>
    <xf numFmtId="0" fontId="23" fillId="0" borderId="5" xfId="0" applyFont="1" applyBorder="1" applyAlignment="1">
      <alignment horizontal="right" wrapText="1"/>
    </xf>
    <xf numFmtId="0" fontId="5" fillId="0" borderId="5" xfId="0" applyFont="1" applyBorder="1" applyAlignment="1">
      <alignment horizontal="right" wrapText="1"/>
    </xf>
    <xf numFmtId="0" fontId="26" fillId="0" borderId="5" xfId="0" applyFont="1" applyBorder="1" applyAlignment="1">
      <alignment wrapText="1"/>
    </xf>
    <xf numFmtId="0" fontId="5" fillId="5" borderId="0" xfId="0" applyFont="1" applyFill="1" applyAlignment="1">
      <alignment horizontal="right" wrapText="1"/>
    </xf>
    <xf numFmtId="0" fontId="5" fillId="5" borderId="5" xfId="0" applyFont="1" applyFill="1" applyBorder="1" applyAlignment="1">
      <alignment wrapText="1"/>
    </xf>
    <xf numFmtId="0" fontId="22" fillId="5" borderId="5" xfId="0" applyFont="1" applyFill="1" applyBorder="1" applyAlignment="1">
      <alignment wrapText="1"/>
    </xf>
    <xf numFmtId="0" fontId="23" fillId="5" borderId="5" xfId="0" applyFont="1" applyFill="1" applyBorder="1" applyAlignment="1">
      <alignment horizontal="right" wrapText="1"/>
    </xf>
    <xf numFmtId="0" fontId="5" fillId="0" borderId="5" xfId="0" applyFont="1" applyBorder="1" applyAlignment="1">
      <alignment horizontal="center" wrapText="1"/>
    </xf>
    <xf numFmtId="0" fontId="4" fillId="3" borderId="5"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1" fillId="3" borderId="0" xfId="0" applyFont="1" applyFill="1" applyAlignment="1">
      <alignment horizontal="center" vertical="center" wrapText="1"/>
    </xf>
    <xf numFmtId="166" fontId="27" fillId="3" borderId="5" xfId="0" applyNumberFormat="1" applyFont="1" applyFill="1" applyBorder="1" applyAlignment="1">
      <alignment horizontal="center" vertical="center" wrapText="1"/>
    </xf>
    <xf numFmtId="0" fontId="4" fillId="5" borderId="5" xfId="0" applyFont="1" applyFill="1" applyBorder="1" applyAlignment="1">
      <alignment horizontal="right" wrapText="1"/>
    </xf>
    <xf numFmtId="0" fontId="28" fillId="5" borderId="5" xfId="0" applyFont="1" applyFill="1" applyBorder="1" applyAlignment="1">
      <alignment horizontal="left" wrapText="1"/>
    </xf>
    <xf numFmtId="0" fontId="4" fillId="0" borderId="0" xfId="0" applyFont="1" applyAlignment="1">
      <alignment horizontal="left" wrapText="1"/>
    </xf>
    <xf numFmtId="0" fontId="27" fillId="0" borderId="5" xfId="0" applyFont="1" applyBorder="1" applyAlignment="1">
      <alignment horizontal="right" wrapText="1"/>
    </xf>
    <xf numFmtId="0" fontId="4" fillId="0" borderId="5" xfId="0" applyFont="1" applyBorder="1" applyAlignment="1">
      <alignment horizontal="right" wrapText="1"/>
    </xf>
    <xf numFmtId="0" fontId="29" fillId="0" borderId="5" xfId="0" applyFont="1" applyBorder="1" applyAlignment="1">
      <alignment horizontal="left" wrapText="1"/>
    </xf>
    <xf numFmtId="0" fontId="4" fillId="5" borderId="0" xfId="0" applyFont="1" applyFill="1" applyAlignment="1">
      <alignment horizontal="left" wrapText="1"/>
    </xf>
    <xf numFmtId="0" fontId="27" fillId="5" borderId="5" xfId="0" applyFont="1" applyFill="1" applyBorder="1" applyAlignment="1">
      <alignment horizontal="right" wrapText="1"/>
    </xf>
    <xf numFmtId="0" fontId="4" fillId="0" borderId="5" xfId="0" applyFont="1" applyBorder="1" applyAlignment="1">
      <alignment horizontal="center" wrapText="1"/>
    </xf>
    <xf numFmtId="0" fontId="4" fillId="5" borderId="5" xfId="0" applyFont="1" applyFill="1" applyBorder="1" applyAlignment="1">
      <alignment horizontal="center" wrapText="1"/>
    </xf>
    <xf numFmtId="0" fontId="27" fillId="0" borderId="5" xfId="0" applyFont="1" applyBorder="1" applyAlignment="1">
      <alignment horizontal="center" wrapText="1"/>
    </xf>
    <xf numFmtId="0" fontId="4" fillId="5" borderId="5" xfId="0" applyFont="1" applyFill="1" applyBorder="1" applyAlignment="1">
      <alignment wrapText="1"/>
    </xf>
    <xf numFmtId="0" fontId="4" fillId="0" borderId="5" xfId="0" applyFont="1" applyBorder="1" applyAlignment="1">
      <alignment wrapText="1"/>
    </xf>
    <xf numFmtId="0" fontId="1" fillId="0" borderId="0" xfId="0" applyFont="1" applyAlignment="1">
      <alignment horizontal="center" vertical="center" wrapText="1"/>
    </xf>
    <xf numFmtId="0" fontId="0" fillId="0" borderId="0" xfId="0"/>
    <xf numFmtId="0" fontId="1" fillId="0" borderId="0" xfId="0" applyFont="1" applyAlignment="1">
      <alignment horizontal="left" vertical="center" wrapText="1"/>
    </xf>
    <xf numFmtId="0" fontId="2" fillId="0" borderId="0" xfId="0" applyFont="1" applyAlignment="1">
      <alignment horizontal="center" vertical="center" wrapText="1"/>
    </xf>
    <xf numFmtId="0" fontId="1" fillId="0" borderId="1" xfId="0" applyFont="1" applyBorder="1" applyAlignment="1">
      <alignment horizontal="center"/>
    </xf>
    <xf numFmtId="0" fontId="3" fillId="0" borderId="2" xfId="0" applyFont="1" applyBorder="1"/>
    <xf numFmtId="0" fontId="3" fillId="0" borderId="3" xfId="0" applyFont="1" applyBorder="1"/>
    <xf numFmtId="164" fontId="1" fillId="0" borderId="0" xfId="0" applyNumberFormat="1" applyFont="1" applyAlignment="1">
      <alignment horizontal="left" vertical="center" wrapText="1"/>
    </xf>
    <xf numFmtId="0" fontId="1"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0" borderId="0" xfId="0" applyFont="1" applyAlignment="1">
      <alignment horizontal="center" vertical="center" wrapText="1"/>
    </xf>
    <xf numFmtId="0" fontId="1" fillId="0" borderId="0" xfId="0" applyFont="1"/>
    <xf numFmtId="0" fontId="4" fillId="0" borderId="5" xfId="0" applyFont="1" applyBorder="1" applyAlignment="1">
      <alignment horizontal="left"/>
    </xf>
    <xf numFmtId="0" fontId="3" fillId="0" borderId="5" xfId="0" applyFont="1" applyBorder="1"/>
    <xf numFmtId="0" fontId="4" fillId="5" borderId="5" xfId="0" applyFont="1" applyFill="1" applyBorder="1" applyAlignment="1">
      <alignment horizontal="left"/>
    </xf>
    <xf numFmtId="3" fontId="4" fillId="5" borderId="5" xfId="0" applyNumberFormat="1" applyFont="1" applyFill="1" applyBorder="1" applyAlignment="1">
      <alignment horizontal="left"/>
    </xf>
    <xf numFmtId="3" fontId="4" fillId="0" borderId="5" xfId="0" applyNumberFormat="1" applyFont="1" applyBorder="1" applyAlignment="1">
      <alignment horizontal="left"/>
    </xf>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CHI TIẾT HÓA ĐƠN-style" pivot="0" count="4" xr9:uid="{00000000-0011-0000-FFFF-FFFF00000000}">
      <tableStyleElement type="wholeTable" size="0" dxfId="7"/>
      <tableStyleElement type="headerRow" dxfId="6"/>
      <tableStyleElement type="firstRowStripe" dxfId="5"/>
      <tableStyleElement type="secondRowStripe" dxfId="4"/>
    </tableStyle>
    <tableStyle name="CÔNG NỢ THEO HÓA ĐƠN-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5</xdr:col>
      <xdr:colOff>990600</xdr:colOff>
      <xdr:row>0</xdr:row>
      <xdr:rowOff>190500</xdr:rowOff>
    </xdr:from>
    <xdr:ext cx="1343025" cy="504825"/>
    <xdr:sp macro="" textlink="">
      <xdr:nvSpPr>
        <xdr:cNvPr id="3" name="Shape 3">
          <a:extLst>
            <a:ext uri="{FF2B5EF4-FFF2-40B4-BE49-F238E27FC236}">
              <a16:creationId xmlns:a16="http://schemas.microsoft.com/office/drawing/2014/main" id="{00000000-0008-0000-0000-000003000000}"/>
            </a:ext>
          </a:extLst>
        </xdr:cNvPr>
        <xdr:cNvSpPr/>
      </xdr:nvSpPr>
      <xdr:spPr>
        <a:xfrm>
          <a:off x="3201600" y="578400"/>
          <a:ext cx="1320900" cy="4905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Lưu hóa đơn</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990600</xdr:colOff>
      <xdr:row>0</xdr:row>
      <xdr:rowOff>190500</xdr:rowOff>
    </xdr:from>
    <xdr:ext cx="1343025" cy="504825"/>
    <xdr:sp macro="" textlink="">
      <xdr:nvSpPr>
        <xdr:cNvPr id="3" name="Shape 3">
          <a:extLst>
            <a:ext uri="{FF2B5EF4-FFF2-40B4-BE49-F238E27FC236}">
              <a16:creationId xmlns:a16="http://schemas.microsoft.com/office/drawing/2014/main" id="{00000000-0008-0000-0100-000003000000}"/>
            </a:ext>
          </a:extLst>
        </xdr:cNvPr>
        <xdr:cNvSpPr/>
      </xdr:nvSpPr>
      <xdr:spPr>
        <a:xfrm>
          <a:off x="3201600" y="578400"/>
          <a:ext cx="1320900" cy="4905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Lưu hóa đơn</a:t>
          </a:r>
          <a:endParaRPr sz="1400"/>
        </a:p>
      </xdr:txBody>
    </xdr:sp>
    <xdr:clientData fLocksWithSheet="0"/>
  </xdr:oneCellAnchor>
  <xdr:oneCellAnchor>
    <xdr:from>
      <xdr:col>6</xdr:col>
      <xdr:colOff>19050</xdr:colOff>
      <xdr:row>4</xdr:row>
      <xdr:rowOff>66675</xdr:rowOff>
    </xdr:from>
    <xdr:ext cx="1276350" cy="447675"/>
    <xdr:sp macro="" textlink="">
      <xdr:nvSpPr>
        <xdr:cNvPr id="4" name="Shape 4">
          <a:extLst>
            <a:ext uri="{FF2B5EF4-FFF2-40B4-BE49-F238E27FC236}">
              <a16:creationId xmlns:a16="http://schemas.microsoft.com/office/drawing/2014/main" id="{00000000-0008-0000-0100-000004000000}"/>
            </a:ext>
          </a:extLst>
        </xdr:cNvPr>
        <xdr:cNvSpPr/>
      </xdr:nvSpPr>
      <xdr:spPr>
        <a:xfrm>
          <a:off x="2431050" y="948675"/>
          <a:ext cx="1661100" cy="560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TẢI HÓA ĐƠN</a:t>
          </a:r>
          <a:endParaRPr sz="14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ảng_1" displayName="Bảng_1" ref="A1:J7">
  <tableColumns count="10">
    <tableColumn id="1" xr3:uid="{00000000-0010-0000-0000-000001000000}" name="Mã hóa đơn"/>
    <tableColumn id="2" xr3:uid="{00000000-0010-0000-0000-000002000000}" name="Ngày giờ"/>
    <tableColumn id="3" xr3:uid="{00000000-0010-0000-0000-000003000000}" name="Mã khách hàng"/>
    <tableColumn id="4" xr3:uid="{00000000-0010-0000-0000-000004000000}" name="Tên Khách hàng"/>
    <tableColumn id="5" xr3:uid="{00000000-0010-0000-0000-000005000000}" name="Mã Sản phẩm"/>
    <tableColumn id="6" xr3:uid="{00000000-0010-0000-0000-000006000000}" name="Tên sản phẩm"/>
    <tableColumn id="7" xr3:uid="{00000000-0010-0000-0000-000007000000}" name="Số lượng"/>
    <tableColumn id="8" xr3:uid="{00000000-0010-0000-0000-000008000000}" name="Đơn giá"/>
    <tableColumn id="9" xr3:uid="{00000000-0010-0000-0000-000009000000}" name="Thành tiền"/>
    <tableColumn id="10" xr3:uid="{00000000-0010-0000-0000-00000A000000}" name="Tổng tiền hóa đơn"/>
  </tableColumns>
  <tableStyleInfo name="CHI TIẾT HÓA ĐƠ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ảng_2" displayName="Bảng_2" ref="A1:H969">
  <tableColumns count="8">
    <tableColumn id="1" xr3:uid="{00000000-0010-0000-0100-000001000000}" name="Mã Hóa đơn"/>
    <tableColumn id="2" xr3:uid="{00000000-0010-0000-0100-000002000000}" name="Ngày"/>
    <tableColumn id="3" xr3:uid="{00000000-0010-0000-0100-000003000000}" name="Mã khách hàng"/>
    <tableColumn id="4" xr3:uid="{00000000-0010-0000-0100-000004000000}" name="Tên khách"/>
    <tableColumn id="5" xr3:uid="{00000000-0010-0000-0100-000005000000}" name="SĐT"/>
    <tableColumn id="6" xr3:uid="{00000000-0010-0000-0100-000006000000}" name="Ghi chú"/>
    <tableColumn id="7" xr3:uid="{00000000-0010-0000-0100-000007000000}" name="Khách cần trả"/>
    <tableColumn id="8" xr3:uid="{00000000-0010-0000-0100-000008000000}" name="Khách đã trả"/>
  </tableColumns>
  <tableStyleInfo name="CÔNG NỢ THEO HÓA ĐƠ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827" Type="http://schemas.openxmlformats.org/officeDocument/2006/relationships/hyperlink" Target="https://product.hstatic.net/200000428801/product/upload_b01d5cfc14104cab8d96d00674db3423.jpg" TargetMode="External"/><Relationship Id="rId3182" Type="http://schemas.openxmlformats.org/officeDocument/2006/relationships/hyperlink" Target="https://product.hstatic.net/200000428801/product/6b0c0897f2c147119e00ac3193a06771_6b71ad38e8ec43e09243032ff7b9581b.jpg" TargetMode="External"/><Relationship Id="rId4026" Type="http://schemas.openxmlformats.org/officeDocument/2006/relationships/hyperlink" Target="https://product.hstatic.net/200000428801/product/0938693609e6c8b891f7_7ca74f67efed4019b589ec7238d94189.jpg" TargetMode="External"/><Relationship Id="rId3042" Type="http://schemas.openxmlformats.org/officeDocument/2006/relationships/hyperlink" Target="https://product.hstatic.net/200000428801/product/upload_fc60b38759d94c7c8f8ee9912b293296.jpg" TargetMode="External"/><Relationship Id="rId3999" Type="http://schemas.openxmlformats.org/officeDocument/2006/relationships/hyperlink" Target="https://cdn2-retail-images.kiotviet.vn/2025/10/30/giabaopharma/53b3da8cc45a4417aa298f6454583670.png" TargetMode="External"/><Relationship Id="rId170" Type="http://schemas.openxmlformats.org/officeDocument/2006/relationships/hyperlink" Target="https://cdn2-retail-images.kiotviet.vn/2024/12/19/giabaopharma/d0a6b7d4a147478e8858e361a65fc90a.jpg,https:/cdn-images.kiotviet.vn/2024/12/19/giabaopharma/9714c8518c66419fb08c02b7c2a7d6a7.jpg" TargetMode="External"/><Relationship Id="rId3859" Type="http://schemas.openxmlformats.org/officeDocument/2006/relationships/hyperlink" Target="https://product.hstatic.net/200000428801/product/eaae481aa67b66253f6a_f02a53b0e6164689ba51731c90fdb53b.jpg" TargetMode="External"/><Relationship Id="rId987" Type="http://schemas.openxmlformats.org/officeDocument/2006/relationships/hyperlink" Target="https://product.hstatic.net/200000428801/product/upload_b6f0ee39cc894a09974860351d0656df.jpg" TargetMode="External"/><Relationship Id="rId2668" Type="http://schemas.openxmlformats.org/officeDocument/2006/relationships/hyperlink" Target="https://product.hstatic.net/200000428801/product/upload_89bffe82a6c04f3884de34004ffd6e39.jpg" TargetMode="External"/><Relationship Id="rId2875" Type="http://schemas.openxmlformats.org/officeDocument/2006/relationships/hyperlink" Target="https://product.hstatic.net/200000428801/product/upload_45f4d728835a485c92f565109adc96fd.jpg" TargetMode="External"/><Relationship Id="rId3719" Type="http://schemas.openxmlformats.org/officeDocument/2006/relationships/hyperlink" Target="https://product.hstatic.net/200000428801/product/zalo_screenshot_18_11_2021_832743_dd8c108f986b4ca5ad0134bbd6e9b58a.png" TargetMode="External"/><Relationship Id="rId3926" Type="http://schemas.openxmlformats.org/officeDocument/2006/relationships/hyperlink" Target="https://product.hstatic.net/200000428801/product/c28fbb10fd9537cb6e84_2099a1cecc984156b7b9d71bc09fb6fd.jpg" TargetMode="External"/><Relationship Id="rId847" Type="http://schemas.openxmlformats.org/officeDocument/2006/relationships/hyperlink" Target="https://product.hstatic.net/200000428801/product/upload_7a5182d3553841f7a58edd5d9e90f71c.jpg" TargetMode="External"/><Relationship Id="rId1477" Type="http://schemas.openxmlformats.org/officeDocument/2006/relationships/hyperlink" Target="https://product.hstatic.net/200000428801/product/upload_d09dfd9fd5f24021893c613943ce10ed.jpg" TargetMode="External"/><Relationship Id="rId1684" Type="http://schemas.openxmlformats.org/officeDocument/2006/relationships/hyperlink" Target="https://product.hstatic.net/200000428801/product/upload_2674b824ef394dfe879efa8d560bbf0d.jpg" TargetMode="External"/><Relationship Id="rId1891" Type="http://schemas.openxmlformats.org/officeDocument/2006/relationships/hyperlink" Target="https://product.hstatic.net/200000428801/product/upload_74c46fc57fea459ba2c751858aa83a67.jpg" TargetMode="External"/><Relationship Id="rId2528" Type="http://schemas.openxmlformats.org/officeDocument/2006/relationships/hyperlink" Target="https://product.hstatic.net/200000428801/product/upload_be5f300fc0ff420ea981ed70a743de3d.jpg" TargetMode="External"/><Relationship Id="rId2735" Type="http://schemas.openxmlformats.org/officeDocument/2006/relationships/hyperlink" Target="https://product.hstatic.net/200000428801/product/upload_d99e55059a73498a827081be1f2ba408.jpg" TargetMode="External"/><Relationship Id="rId2942" Type="http://schemas.openxmlformats.org/officeDocument/2006/relationships/hyperlink" Target="https://product.hstatic.net/200000428801/product/upload_21c908a0f92b469aaf0f9cecffe5015f.jpg" TargetMode="External"/><Relationship Id="rId707" Type="http://schemas.openxmlformats.org/officeDocument/2006/relationships/hyperlink" Target="https://product.hstatic.net/200000428801/product/upload_bfa976641b5a41b595e1726b805afd41.jpg" TargetMode="External"/><Relationship Id="rId914" Type="http://schemas.openxmlformats.org/officeDocument/2006/relationships/hyperlink" Target="https://product.hstatic.net/200000428801/product/upload_b162a60a1f1c4818bb6ae4ca1cf23f48.jpg" TargetMode="External"/><Relationship Id="rId1337" Type="http://schemas.openxmlformats.org/officeDocument/2006/relationships/hyperlink" Target="https://product.hstatic.net/200000428801/product/upload_1ba3e6ae528448daab10d43551f40c82.jpg" TargetMode="External"/><Relationship Id="rId1544" Type="http://schemas.openxmlformats.org/officeDocument/2006/relationships/hyperlink" Target="https://product.hstatic.net/200000428801/product/upload_bd905b0dc94a430f8e615f4c22def9a8.jpg" TargetMode="External"/><Relationship Id="rId1751" Type="http://schemas.openxmlformats.org/officeDocument/2006/relationships/hyperlink" Target="https://product.hstatic.net/200000428801/product/upload_bde1095033344d89ba884261b0db7e9d.jpg" TargetMode="External"/><Relationship Id="rId2802" Type="http://schemas.openxmlformats.org/officeDocument/2006/relationships/hyperlink" Target="https://product.hstatic.net/200000428801/product/upload_9f1978a9a2994462839e4d396f69480e.jpg" TargetMode="External"/><Relationship Id="rId43" Type="http://schemas.openxmlformats.org/officeDocument/2006/relationships/hyperlink" Target="https://i.postimg.cc/xjtKTRXN/435e80a30aa94ba881c013d7b30a2aed.jpg" TargetMode="External"/><Relationship Id="rId1404" Type="http://schemas.openxmlformats.org/officeDocument/2006/relationships/hyperlink" Target="https://product.hstatic.net/200000428801/product/upload_0b2de16705e14d599320fe1b91e97410.jpg" TargetMode="External"/><Relationship Id="rId1611" Type="http://schemas.openxmlformats.org/officeDocument/2006/relationships/hyperlink" Target="https://product.hstatic.net/200000428801/product/44_00655310066e487c8028104480941549.png" TargetMode="External"/><Relationship Id="rId3369" Type="http://schemas.openxmlformats.org/officeDocument/2006/relationships/hyperlink" Target="https://product.hstatic.net/200000428801/product/43e96ed188c64128b197b67f0a387234_ec9201440fc742729a041fcb81f7339f.png" TargetMode="External"/><Relationship Id="rId3576" Type="http://schemas.openxmlformats.org/officeDocument/2006/relationships/hyperlink" Target="https://product.hstatic.net/200000428801/product/c1f7f3cc70d1b28febc0_05071438450b44e0a608548d94d3e43f.jpg" TargetMode="External"/><Relationship Id="rId497" Type="http://schemas.openxmlformats.org/officeDocument/2006/relationships/hyperlink" Target="https://product.hstatic.net/200000428801/product/upload_5a6433214fd3488d998832c8e71d3fda.jpg" TargetMode="External"/><Relationship Id="rId2178" Type="http://schemas.openxmlformats.org/officeDocument/2006/relationships/hyperlink" Target="https://product.hstatic.net/200000428801/product/upload_6594f2b623c042279776874f31f021aa.jpg" TargetMode="External"/><Relationship Id="rId2385" Type="http://schemas.openxmlformats.org/officeDocument/2006/relationships/hyperlink" Target="https://product.hstatic.net/200000428801/product/upload_55e5e96dc8994bacb41187ec58311ad0.jpg" TargetMode="External"/><Relationship Id="rId3229" Type="http://schemas.openxmlformats.org/officeDocument/2006/relationships/hyperlink" Target="https://product.hstatic.net/200000428801/product/1c6e1e709b7c431a9dfe316e751cce3c_abd7b28adbe34f729b155a269b148b42.png" TargetMode="External"/><Relationship Id="rId3783" Type="http://schemas.openxmlformats.org/officeDocument/2006/relationships/hyperlink" Target="https://product.hstatic.net/200000428801/product/e4d9eaa4805d3c7ff507e32f879cfb58_0c71850a01c04f62b231f8d4b422aa05.jpg" TargetMode="External"/><Relationship Id="rId3990" Type="http://schemas.openxmlformats.org/officeDocument/2006/relationships/hyperlink" Target="https://product.hstatic.net/200000428801/product/68765cc47c84b2daeb95_d402aa19c34541d29e4493809aa9e885.jpg" TargetMode="External"/><Relationship Id="rId357" Type="http://schemas.openxmlformats.org/officeDocument/2006/relationships/hyperlink" Target="https://product.hstatic.net/200000428801/product/upload_97dc92e91b1b4846bbcf86e605287043.jpg" TargetMode="External"/><Relationship Id="rId1194" Type="http://schemas.openxmlformats.org/officeDocument/2006/relationships/hyperlink" Target="https://product.hstatic.net/200000428801/product/upload_819e3b57f68f456e83acbd43dc4e3782.jpg" TargetMode="External"/><Relationship Id="rId2038" Type="http://schemas.openxmlformats.org/officeDocument/2006/relationships/hyperlink" Target="https://product.hstatic.net/200000428801/product/f913db376c99b1c7e888_7026dbd2c85444d6bcb3c50dbe3787b5.jpg" TargetMode="External"/><Relationship Id="rId2592" Type="http://schemas.openxmlformats.org/officeDocument/2006/relationships/hyperlink" Target="https://product.hstatic.net/200000428801/product/upload_00146d34e615481691b4d4dc56cc7e92.jpg" TargetMode="External"/><Relationship Id="rId3436" Type="http://schemas.openxmlformats.org/officeDocument/2006/relationships/hyperlink" Target="https://product.hstatic.net/200000428801/product/2e643566327642629cef5490de605fd2_4d16cc73bf134e6d996d358db8b3219f.png" TargetMode="External"/><Relationship Id="rId3643" Type="http://schemas.openxmlformats.org/officeDocument/2006/relationships/hyperlink" Target="https://product.hstatic.net/200000428801/product/la_4_68a9348a107445f7909082bd668c2663.jpg" TargetMode="External"/><Relationship Id="rId3850" Type="http://schemas.openxmlformats.org/officeDocument/2006/relationships/hyperlink" Target="https://product.hstatic.net/200000428801/product/zalo_screenshot_18_11_2021_755585_30990e1f1f624f808a729ec9ea910aaf.png" TargetMode="External"/><Relationship Id="rId217" Type="http://schemas.openxmlformats.org/officeDocument/2006/relationships/hyperlink" Target="https://cdn2-retail-images.kiotviet.vn/giabaopharma/12eacee5c209489cb3c305f78df9313b.jpg" TargetMode="External"/><Relationship Id="rId564" Type="http://schemas.openxmlformats.org/officeDocument/2006/relationships/hyperlink" Target="https://product.hstatic.net/200000428801/product/66e66f06c3a24919870ae9f8227b85cc_f4f2cc4bc02443f0a902ac1229846c9f.png" TargetMode="External"/><Relationship Id="rId771" Type="http://schemas.openxmlformats.org/officeDocument/2006/relationships/hyperlink" Target="https://product.hstatic.net/200000428801/product/108_6c9bdf5c086244e5ad45605eac7e0168.png" TargetMode="External"/><Relationship Id="rId2245" Type="http://schemas.openxmlformats.org/officeDocument/2006/relationships/hyperlink" Target="https://product.hstatic.net/200000428801/product/upload_7463ba9e1e8247a190ade9912fe46a02.jpg" TargetMode="External"/><Relationship Id="rId2452" Type="http://schemas.openxmlformats.org/officeDocument/2006/relationships/hyperlink" Target="https://product.hstatic.net/200000428801/product/upload_86baedfaa4d94bdc9e25ed7fc691c71f.jpg" TargetMode="External"/><Relationship Id="rId3503" Type="http://schemas.openxmlformats.org/officeDocument/2006/relationships/hyperlink" Target="https://product.hstatic.net/200000428801/product/18_670c8be9243c4698adab4952beb3ad77.png" TargetMode="External"/><Relationship Id="rId3710" Type="http://schemas.openxmlformats.org/officeDocument/2006/relationships/hyperlink" Target="https://product.hstatic.net/200000428801/product/thiet_ke_khong_ten__1__225d0b6c5bb049cd971cebbe14c81e70.png" TargetMode="External"/><Relationship Id="rId424" Type="http://schemas.openxmlformats.org/officeDocument/2006/relationships/hyperlink" Target="https://product.hstatic.net/200000428801/product/upload_4580a7c4e983456e9bb2043e7d7a1a50.jpg" TargetMode="External"/><Relationship Id="rId631" Type="http://schemas.openxmlformats.org/officeDocument/2006/relationships/hyperlink" Target="https://product.hstatic.net/200000428801/product/upload_9694ec5716d94db4902034dd9a561cc8.jpg" TargetMode="External"/><Relationship Id="rId1054" Type="http://schemas.openxmlformats.org/officeDocument/2006/relationships/hyperlink" Target="https://product.hstatic.net/200000428801/product/upload_945de4bce0fa41519798efb8e25add6b.jpg" TargetMode="External"/><Relationship Id="rId1261" Type="http://schemas.openxmlformats.org/officeDocument/2006/relationships/hyperlink" Target="https://product.hstatic.net/200000428801/product/upload_357b954950094a78b4242a744e64598d.jpg" TargetMode="External"/><Relationship Id="rId2105" Type="http://schemas.openxmlformats.org/officeDocument/2006/relationships/hyperlink" Target="https://product.hstatic.net/200000428801/product/upload_87ecf652189f4c7d934b0b0c267a9e2c.jpg" TargetMode="External"/><Relationship Id="rId2312" Type="http://schemas.openxmlformats.org/officeDocument/2006/relationships/hyperlink" Target="https://product.hstatic.net/200000428801/product/upload_38e0d56710e1445d84425821165350ea.jpg" TargetMode="External"/><Relationship Id="rId1121" Type="http://schemas.openxmlformats.org/officeDocument/2006/relationships/hyperlink" Target="https://product.hstatic.net/200000428801/product/upload_c1992e4448f347f0bcb6393c15f48f03.jpg" TargetMode="External"/><Relationship Id="rId3086" Type="http://schemas.openxmlformats.org/officeDocument/2006/relationships/hyperlink" Target="https://product.hstatic.net/200000428801/product/e7a349dcbf5f47c7b72855dd5ccf82f7_5a56cc4bf23c48d6846edd107044ac86.png" TargetMode="External"/><Relationship Id="rId3293" Type="http://schemas.openxmlformats.org/officeDocument/2006/relationships/hyperlink" Target="https://product.hstatic.net/200000428801/product/403cb5fd770241b99cd24fe34c9eb280_4cfe060dc2104b0dbcc1eee3edd7d9ce.png" TargetMode="External"/><Relationship Id="rId1938" Type="http://schemas.openxmlformats.org/officeDocument/2006/relationships/hyperlink" Target="https://product.hstatic.net/200000428801/product/531_29bfe88073ef4a4fb8c8a1fa6f3d4681.png" TargetMode="External"/><Relationship Id="rId3153" Type="http://schemas.openxmlformats.org/officeDocument/2006/relationships/hyperlink" Target="https://product.hstatic.net/200000428801/product/cfddaefd1a0a40aeafed5a68b21fa805_c899e92a09f74799b270a0802b4bc55f.jpg" TargetMode="External"/><Relationship Id="rId3360" Type="http://schemas.openxmlformats.org/officeDocument/2006/relationships/hyperlink" Target="https://product.hstatic.net/200000428801/product/a1ca040d84a44241a5a6dac1f33f92b0_6be26bb01a744af484adc131f64e7762.png" TargetMode="External"/><Relationship Id="rId281" Type="http://schemas.openxmlformats.org/officeDocument/2006/relationships/hyperlink" Target="https://cdn-images.kiotviet.vn/giabaopharma/d6a3607958494e00b09b10711bc5909b.png" TargetMode="External"/><Relationship Id="rId3013" Type="http://schemas.openxmlformats.org/officeDocument/2006/relationships/hyperlink" Target="https://product.hstatic.net/200000428801/product/upload_c54dbf75457442fa901d9437d7818a92.jpg" TargetMode="External"/><Relationship Id="rId141" Type="http://schemas.openxmlformats.org/officeDocument/2006/relationships/hyperlink" Target="https://cdn2-retail-images.kiotviet.vn/2025/02/28/giabaopharma/10d18355749444f997d09feedc135630.jpg" TargetMode="External"/><Relationship Id="rId3220" Type="http://schemas.openxmlformats.org/officeDocument/2006/relationships/hyperlink" Target="https://product.hstatic.net/200000428801/product/8103d196f84f4131b4416ab252b5bfa6_3ef1a525eb1b4079bf91fe8e95307ea2.png" TargetMode="External"/><Relationship Id="rId7" Type="http://schemas.openxmlformats.org/officeDocument/2006/relationships/hyperlink" Target="https://cdn2-retail-images.kiotviet.vn/2026/03/19/giabaopharma/2834f92c00a144b8b65b3adf95477f84.jpg" TargetMode="External"/><Relationship Id="rId2779" Type="http://schemas.openxmlformats.org/officeDocument/2006/relationships/hyperlink" Target="https://product.hstatic.net/200000428801/product/upload_94de92746abc42c5a83eca581c353c58.jpg" TargetMode="External"/><Relationship Id="rId2986" Type="http://schemas.openxmlformats.org/officeDocument/2006/relationships/hyperlink" Target="https://product.hstatic.net/200000428801/product/344_96ee7b88bc5f40018373077256294f77.png" TargetMode="External"/><Relationship Id="rId958" Type="http://schemas.openxmlformats.org/officeDocument/2006/relationships/hyperlink" Target="https://product.hstatic.net/200000428801/product/upload_16177773616d405cb126e055fcde54a7.jpg" TargetMode="External"/><Relationship Id="rId1588" Type="http://schemas.openxmlformats.org/officeDocument/2006/relationships/hyperlink" Target="https://product.hstatic.net/200000428801/product/upload_d47db3af29b2495b95e35c23a1e68975.jpg" TargetMode="External"/><Relationship Id="rId1795" Type="http://schemas.openxmlformats.org/officeDocument/2006/relationships/hyperlink" Target="https://product.hstatic.net/200000428801/product/upload_2eb110168a234915aa574057fab39208.jpg" TargetMode="External"/><Relationship Id="rId2639" Type="http://schemas.openxmlformats.org/officeDocument/2006/relationships/hyperlink" Target="https://product.hstatic.net/200000428801/product/upload_883e83365ef549be8b4d90b9380bc1e8.jpg" TargetMode="External"/><Relationship Id="rId2846" Type="http://schemas.openxmlformats.org/officeDocument/2006/relationships/hyperlink" Target="https://product.hstatic.net/200000428801/product/upload_9d9a915083ec4a27a5ca5b93c70f201e.jpg" TargetMode="External"/><Relationship Id="rId87" Type="http://schemas.openxmlformats.org/officeDocument/2006/relationships/hyperlink" Target="https://cdn-images.kiotviet.vn/2025/06/19/giabaopharma/82fe1c8d50be41c18e28e93980bee514.jpg,https:/cdn-images.kiotviet.vn/2025/06/19/giabaopharma/5801e19c1be2412eb333dc3d0e91ebc9.jpg,https:/cdn-images.kiotviet.vn/2025/06/19/giabaopharma/79009d1c2b6445a79532113d838c30bb.jpg" TargetMode="External"/><Relationship Id="rId818" Type="http://schemas.openxmlformats.org/officeDocument/2006/relationships/hyperlink" Target="https://product.hstatic.net/200000428801/product/upload_c53762f2ad7e47a593193e0fc27159f4.jpg" TargetMode="External"/><Relationship Id="rId1448" Type="http://schemas.openxmlformats.org/officeDocument/2006/relationships/hyperlink" Target="https://product.hstatic.net/200000428801/product/upload_68897be9612e4e219bb1e9bc052b478a.jpg" TargetMode="External"/><Relationship Id="rId1655" Type="http://schemas.openxmlformats.org/officeDocument/2006/relationships/hyperlink" Target="https://product.hstatic.net/200000428801/product/21_234fb49062834054b15213b75561d1cb.png" TargetMode="External"/><Relationship Id="rId2706" Type="http://schemas.openxmlformats.org/officeDocument/2006/relationships/hyperlink" Target="https://product.hstatic.net/200000428801/product/385_43c44d6243114f9cb0e1f07fc8258e07.png" TargetMode="External"/><Relationship Id="rId1308" Type="http://schemas.openxmlformats.org/officeDocument/2006/relationships/hyperlink" Target="https://product.hstatic.net/200000428801/product/upload_85b810545c1b4a0da304f9f57abcdab8.jpg" TargetMode="External"/><Relationship Id="rId1862" Type="http://schemas.openxmlformats.org/officeDocument/2006/relationships/hyperlink" Target="https://product.hstatic.net/200000428801/product/549_0ee7e1184211430c913fd4d7fe2ada3c.png" TargetMode="External"/><Relationship Id="rId2913" Type="http://schemas.openxmlformats.org/officeDocument/2006/relationships/hyperlink" Target="https://product.hstatic.net/200000428801/product/upload_5264af8f3e194e0f85cc3e397ce5439f.jpg" TargetMode="External"/><Relationship Id="rId1515" Type="http://schemas.openxmlformats.org/officeDocument/2006/relationships/hyperlink" Target="https://product.hstatic.net/200000428801/product/upload_86cf45b8d0964e16bc7632c473452b09.jpg" TargetMode="External"/><Relationship Id="rId1722" Type="http://schemas.openxmlformats.org/officeDocument/2006/relationships/hyperlink" Target="https://product.hstatic.net/200000428801/product/upload_eaf131020a9f406f853bbc20cdbe3911.jpg" TargetMode="External"/><Relationship Id="rId14" Type="http://schemas.openxmlformats.org/officeDocument/2006/relationships/hyperlink" Target="https://cdn2-retail-images.kiotviet.vn/2026/01/28/giabaopharma/1a5db4b4a3314f50986e05e41f6d78b6.jpg" TargetMode="External"/><Relationship Id="rId3687" Type="http://schemas.openxmlformats.org/officeDocument/2006/relationships/hyperlink" Target="https://product.hstatic.net/200000428801/product/30f550d53051f30faa4013_24b737d3c9eb45249e43dc518cde24a4.jpg" TargetMode="External"/><Relationship Id="rId3894" Type="http://schemas.openxmlformats.org/officeDocument/2006/relationships/hyperlink" Target="https://cdn2-retail-images.kiotviet.vn/2025/10/23/giabaopharma/05b59422017f41da8ab0f6b2305f98e9.png" TargetMode="External"/><Relationship Id="rId2289" Type="http://schemas.openxmlformats.org/officeDocument/2006/relationships/hyperlink" Target="https://product.hstatic.net/200000428801/product/be9b7332219d4f2aa258c5e048c9b90f_ea633e18b260498abcd115df6d006187.png" TargetMode="External"/><Relationship Id="rId2496" Type="http://schemas.openxmlformats.org/officeDocument/2006/relationships/hyperlink" Target="https://product.hstatic.net/200000428801/product/upload_e6a9dd1344234e228bfe6a267d88a67d.jpg" TargetMode="External"/><Relationship Id="rId3547" Type="http://schemas.openxmlformats.org/officeDocument/2006/relationships/hyperlink" Target="https://product.hstatic.net/200000428801/product/6a_31b2016a0d774e8f9f138ae6c6b074cb.jpg" TargetMode="External"/><Relationship Id="rId3754" Type="http://schemas.openxmlformats.org/officeDocument/2006/relationships/hyperlink" Target="https://product.hstatic.net/200000428801/product/long_huyet_p.h_phuc_hung__h.244v__bc7380b8b700402ca230a84dbc54b7b9.jpg" TargetMode="External"/><Relationship Id="rId3961" Type="http://schemas.openxmlformats.org/officeDocument/2006/relationships/hyperlink" Target="https://cdn2-retail-images.kiotviet.vn/2025/08/01/giabaopharma/cdf1001fed5045fa85599a8c64d137b5.jpg,https:/cdn2-retail-images.kiotviet.vn/2025/08/01/giabaopharma/6d03063d2a5a40678534c31968a039b8.jpg" TargetMode="External"/><Relationship Id="rId468" Type="http://schemas.openxmlformats.org/officeDocument/2006/relationships/hyperlink" Target="https://cdn1-retail-images.kiotviet.vn/2026/01/10/giabaopharma/9482c57782114a0db9a49313273bad71.jpg" TargetMode="External"/><Relationship Id="rId675" Type="http://schemas.openxmlformats.org/officeDocument/2006/relationships/hyperlink" Target="https://product.hstatic.net/200000428801/product/upload_9abc4fdcb465470893c6f4b5170285f1.jpg" TargetMode="External"/><Relationship Id="rId882" Type="http://schemas.openxmlformats.org/officeDocument/2006/relationships/hyperlink" Target="https://cdn-images.kiotviet.vn/giabaopharma/36a3ec93d5bf4e418d2885fe4ec5164e.jpg" TargetMode="External"/><Relationship Id="rId1098" Type="http://schemas.openxmlformats.org/officeDocument/2006/relationships/hyperlink" Target="https://product.hstatic.net/200000428801/product/upload_b1d9d175f0f14f52be395d05c9c6693f.jpg" TargetMode="External"/><Relationship Id="rId2149" Type="http://schemas.openxmlformats.org/officeDocument/2006/relationships/hyperlink" Target="https://product.hstatic.net/200000428801/product/6bf29f4804a94621a538255ae1a091e4_0d8f9349e9c64ee6ac96b4fd8ab84d9b.png" TargetMode="External"/><Relationship Id="rId2356" Type="http://schemas.openxmlformats.org/officeDocument/2006/relationships/hyperlink" Target="https://product.hstatic.net/200000428801/product/upload_a9b89544274845879de6a70f043de4d8.jpg" TargetMode="External"/><Relationship Id="rId2563" Type="http://schemas.openxmlformats.org/officeDocument/2006/relationships/hyperlink" Target="https://product.hstatic.net/200000428801/product/upload_97b2175b75914161b8cef8b6368d9d0b.jpg" TargetMode="External"/><Relationship Id="rId2770" Type="http://schemas.openxmlformats.org/officeDocument/2006/relationships/hyperlink" Target="https://product.hstatic.net/200000428801/product/upload_2db2a79b1fbb426d8c3fe8b2142191ef.jpg" TargetMode="External"/><Relationship Id="rId3407" Type="http://schemas.openxmlformats.org/officeDocument/2006/relationships/hyperlink" Target="https://product.hstatic.net/200000428801/product/370ee5bf5a4140c4a5c21093139ce484_5a93b57f87f045ecab23cc7d51e6443b.png" TargetMode="External"/><Relationship Id="rId3614" Type="http://schemas.openxmlformats.org/officeDocument/2006/relationships/hyperlink" Target="https://product.hstatic.net/200000428801/product/4a2610a4729f489c80b254c36e3bff5a_099297ac8355499992ff9c8ee5a6bb5b.png" TargetMode="External"/><Relationship Id="rId3821" Type="http://schemas.openxmlformats.org/officeDocument/2006/relationships/hyperlink" Target="https://cdn2-retail-images.kiotviet.vn/2025/11/12/giabaopharma/f99f1a46c43e45c7bc3f1139c8a2abab.jpg" TargetMode="External"/><Relationship Id="rId328" Type="http://schemas.openxmlformats.org/officeDocument/2006/relationships/hyperlink" Target="https://product.hstatic.net/200000428801/product/upload_7717c3740b14484da42b124e1d598368.jpg" TargetMode="External"/><Relationship Id="rId535" Type="http://schemas.openxmlformats.org/officeDocument/2006/relationships/hyperlink" Target="https://product.hstatic.net/200000428801/product/upload_9472be35a37548ff9a46895553958f6e.jpg" TargetMode="External"/><Relationship Id="rId742" Type="http://schemas.openxmlformats.org/officeDocument/2006/relationships/hyperlink" Target="https://product.hstatic.net/200000428801/product/upload_a0401a6a3e604fe1817c03a8a61f2c17.jpg" TargetMode="External"/><Relationship Id="rId1165" Type="http://schemas.openxmlformats.org/officeDocument/2006/relationships/hyperlink" Target="https://product.hstatic.net/200000428801/product/upload_74197aeac01e42f990bde9dfa8e4b09a.jpg" TargetMode="External"/><Relationship Id="rId1372" Type="http://schemas.openxmlformats.org/officeDocument/2006/relationships/hyperlink" Target="https://product.hstatic.net/200000428801/product/upload_3b178473186946da86a19cf2fa7c709e.jpg" TargetMode="External"/><Relationship Id="rId2009" Type="http://schemas.openxmlformats.org/officeDocument/2006/relationships/hyperlink" Target="https://product.hstatic.net/200000428801/product/upload_e6b58aeb04f744138d3ef56b9696e728.jpg" TargetMode="External"/><Relationship Id="rId2216" Type="http://schemas.openxmlformats.org/officeDocument/2006/relationships/hyperlink" Target="https://product.hstatic.net/200000428801/product/upload_3f96731f814a418eb5a094d47bd404d0.jpg" TargetMode="External"/><Relationship Id="rId2423" Type="http://schemas.openxmlformats.org/officeDocument/2006/relationships/hyperlink" Target="https://product.hstatic.net/200000428801/product/upload_37ac954dd1104c92bf87c74f1634b641.jpg" TargetMode="External"/><Relationship Id="rId2630" Type="http://schemas.openxmlformats.org/officeDocument/2006/relationships/hyperlink" Target="https://product.hstatic.net/200000428801/product/upload_120de69a4e65404ba52b82bbdb53b6e1.jpg" TargetMode="External"/><Relationship Id="rId602" Type="http://schemas.openxmlformats.org/officeDocument/2006/relationships/hyperlink" Target="https://product.hstatic.net/200000428801/product/upload_8f388f3165fd44219eb03a19a7ba8008.jpg" TargetMode="External"/><Relationship Id="rId1025" Type="http://schemas.openxmlformats.org/officeDocument/2006/relationships/hyperlink" Target="https://product.hstatic.net/200000428801/product/upload_373e92092a12441693294bc6ea36e60b.jpg" TargetMode="External"/><Relationship Id="rId1232" Type="http://schemas.openxmlformats.org/officeDocument/2006/relationships/hyperlink" Target="https://product.hstatic.net/200000428801/product/upload_2327774d56be4e3280fb1918147493ff.jpg" TargetMode="External"/><Relationship Id="rId3197" Type="http://schemas.openxmlformats.org/officeDocument/2006/relationships/hyperlink" Target="https://product.hstatic.net/200000428801/product/335fe01a14814316a48bcd2849c40edc_0a35c5664b6b4692829aaa1b14fd789e.png" TargetMode="External"/><Relationship Id="rId3057" Type="http://schemas.openxmlformats.org/officeDocument/2006/relationships/hyperlink" Target="https://product.hstatic.net/200000428801/product/41215101ce4813164a59_eeebd92633f64ea69439dcf2b7d630d2.jpg" TargetMode="External"/><Relationship Id="rId185" Type="http://schemas.openxmlformats.org/officeDocument/2006/relationships/hyperlink" Target="https://cdn2-retail-images.kiotviet.vn/2025/10/23/giabaopharma/10fe3082c6074232a5f4d59b4da64fc4.jpg" TargetMode="External"/><Relationship Id="rId1909" Type="http://schemas.openxmlformats.org/officeDocument/2006/relationships/hyperlink" Target="https://product.hstatic.net/200000428801/product/67a9807578fc41db9e2a5aead8eadcff_d468fdac5a3c47dd9cfb9202d8938581.png" TargetMode="External"/><Relationship Id="rId3264" Type="http://schemas.openxmlformats.org/officeDocument/2006/relationships/hyperlink" Target="https://product.hstatic.net/200000428801/product/6055a20480f846e993dc8440aa24f208_c1dead28aaa44c34ae8dd5621cb880b8.png" TargetMode="External"/><Relationship Id="rId3471" Type="http://schemas.openxmlformats.org/officeDocument/2006/relationships/hyperlink" Target="https://product.hstatic.net/200000428801/product/0a98013ec1f119af40e0_9b1836ac9d794b859f5797025529e8ca.jpg" TargetMode="External"/><Relationship Id="rId392" Type="http://schemas.openxmlformats.org/officeDocument/2006/relationships/hyperlink" Target="https://product.hstatic.net/200000428801/product/b6f21973cb9741789efaf797118e6b40_25eb183fa82446ae9ff32377e905e146.png" TargetMode="External"/><Relationship Id="rId2073" Type="http://schemas.openxmlformats.org/officeDocument/2006/relationships/hyperlink" Target="https://product.hstatic.net/200000428801/product/upload_50b8f3b924ad4e4e981e11dcbe288e28.jpg" TargetMode="External"/><Relationship Id="rId2280" Type="http://schemas.openxmlformats.org/officeDocument/2006/relationships/hyperlink" Target="https://product.hstatic.net/200000428801/product/upload_66a26fa37cf5485d92f1a469f2018208.jpg" TargetMode="External"/><Relationship Id="rId3124" Type="http://schemas.openxmlformats.org/officeDocument/2006/relationships/hyperlink" Target="https://product.hstatic.net/200000428801/product/f60b80a1969a460099376fd1914fee85_8ba25b6fda09441bbd59b7d5f00bb8bf.png" TargetMode="External"/><Relationship Id="rId3331" Type="http://schemas.openxmlformats.org/officeDocument/2006/relationships/hyperlink" Target="https://product.hstatic.net/200000428801/product/1dc0ee71495d4d8b993f799f34884371_1c95ad5eccd84929a458b03c6a961f6b.png" TargetMode="External"/><Relationship Id="rId252" Type="http://schemas.openxmlformats.org/officeDocument/2006/relationships/hyperlink" Target="https://cdn-images.kiotviet.vn/giabaopharma/696a761438964e0198221921c283d4ad.jpg" TargetMode="External"/><Relationship Id="rId2140" Type="http://schemas.openxmlformats.org/officeDocument/2006/relationships/hyperlink" Target="https://product.hstatic.net/200000428801/product/upload_021120b8db6b484481df913411aa7ae8.jpg" TargetMode="External"/><Relationship Id="rId112" Type="http://schemas.openxmlformats.org/officeDocument/2006/relationships/hyperlink" Target="https://cdn2-retail-images.kiotviet.vn/2025/03/27/giabaopharma/61f14d7ea22e4ea68d39284ab7a0fc78.jpg" TargetMode="External"/><Relationship Id="rId1699" Type="http://schemas.openxmlformats.org/officeDocument/2006/relationships/hyperlink" Target="https://product.hstatic.net/200000428801/product/upload_771d548c3a4c4d51baacb81c7d6d9a08.jpg" TargetMode="External"/><Relationship Id="rId2000" Type="http://schemas.openxmlformats.org/officeDocument/2006/relationships/hyperlink" Target="https://product.hstatic.net/200000428801/product/upload_314fb2b8948a4d0bb20aaa313dbe9770.jpg" TargetMode="External"/><Relationship Id="rId2957" Type="http://schemas.openxmlformats.org/officeDocument/2006/relationships/hyperlink" Target="https://product.hstatic.net/200000428801/product/348_daf075c5a213447f9980a58a13ad8353.png" TargetMode="External"/><Relationship Id="rId929" Type="http://schemas.openxmlformats.org/officeDocument/2006/relationships/hyperlink" Target="https://product.hstatic.net/200000428801/product/upload_d9ad010be65c469383cb3fbb62cd0df9.jpg" TargetMode="External"/><Relationship Id="rId1559" Type="http://schemas.openxmlformats.org/officeDocument/2006/relationships/hyperlink" Target="https://product.hstatic.net/200000428801/product/upload_9b50f7abff854cc7a5dcbbb586954f8b.jpg" TargetMode="External"/><Relationship Id="rId1766" Type="http://schemas.openxmlformats.org/officeDocument/2006/relationships/hyperlink" Target="https://product.hstatic.net/200000428801/product/upload_46dcdab53b6a45e8bfaa75816ea310ec.jpg" TargetMode="External"/><Relationship Id="rId1973" Type="http://schemas.openxmlformats.org/officeDocument/2006/relationships/hyperlink" Target="https://product.hstatic.net/200000428801/product/upload_8e0ae8f197b443039a0779a19e1200cb.jpg" TargetMode="External"/><Relationship Id="rId2817" Type="http://schemas.openxmlformats.org/officeDocument/2006/relationships/hyperlink" Target="https://product.hstatic.net/200000428801/product/upload_a069831abf254b88bbc712be2e35107a.jpg" TargetMode="External"/><Relationship Id="rId4032" Type="http://schemas.openxmlformats.org/officeDocument/2006/relationships/hyperlink" Target="https://cdn1-retail-images.kiotviet.vn/2026/03/10/giabaopharma/0d5b5a329aaa4428a4fd35c7bf873328.jpg" TargetMode="External"/><Relationship Id="rId58" Type="http://schemas.openxmlformats.org/officeDocument/2006/relationships/hyperlink" Target="https://cdn-images.kiotviet.vn/2025/09/04/giabaopharma/028ca05d6cb94e19b4f7d09c3b3c8bca.jpg,https:/cdn-images.kiotviet.vn/2025/09/04/giabaopharma/cbbfbdf98fcd4756a4a542e6609b410b.jpg" TargetMode="External"/><Relationship Id="rId1419" Type="http://schemas.openxmlformats.org/officeDocument/2006/relationships/hyperlink" Target="https://product.hstatic.net/200000428801/product/upload_077deb1c3ad64f86a36f3c8b6d346f8f.jpg" TargetMode="External"/><Relationship Id="rId1626" Type="http://schemas.openxmlformats.org/officeDocument/2006/relationships/hyperlink" Target="https://product.hstatic.net/200000428801/product/41_898f454d79654f11b12927f99ce8f675.png" TargetMode="External"/><Relationship Id="rId1833" Type="http://schemas.openxmlformats.org/officeDocument/2006/relationships/hyperlink" Target="https://product.hstatic.net/200000428801/product/upload_d3d83b630a014b64ae0b656c16ea125b.jpg" TargetMode="External"/><Relationship Id="rId1900" Type="http://schemas.openxmlformats.org/officeDocument/2006/relationships/hyperlink" Target="https://product.hstatic.net/200000428801/product/upload_97c09230705a4e729f16ba2744d80a92.jpg" TargetMode="External"/><Relationship Id="rId3798" Type="http://schemas.openxmlformats.org/officeDocument/2006/relationships/hyperlink" Target="https://product.hstatic.net/200000428801/product/huong_nang_xuan__1__870ccb6743af4304a0bc6f6fd827425e.png" TargetMode="External"/><Relationship Id="rId3658" Type="http://schemas.openxmlformats.org/officeDocument/2006/relationships/hyperlink" Target="https://product.hstatic.net/200000428801/product/fff_668a21a80ff04df68bd857faa0af8843.jpg" TargetMode="External"/><Relationship Id="rId3865" Type="http://schemas.openxmlformats.org/officeDocument/2006/relationships/hyperlink" Target="https://product.hstatic.net/200000428801/product/zalo_screenshot_20_11_2021_634142_74ecd74e98644941ad97ec36b7d063ca.png" TargetMode="External"/><Relationship Id="rId579" Type="http://schemas.openxmlformats.org/officeDocument/2006/relationships/hyperlink" Target="https://product.hstatic.net/200000428801/product/upload_c0d6012eebbb420cbfa57fcef6d3490a.jpg" TargetMode="External"/><Relationship Id="rId786" Type="http://schemas.openxmlformats.org/officeDocument/2006/relationships/hyperlink" Target="https://product.hstatic.net/200000428801/product/upload_138523de14c1449a9c176f3698aec640.jpg" TargetMode="External"/><Relationship Id="rId993" Type="http://schemas.openxmlformats.org/officeDocument/2006/relationships/hyperlink" Target="https://product.hstatic.net/200000428801/product/upload_523667521c4043819bfb078462a702d7.jpg" TargetMode="External"/><Relationship Id="rId2467" Type="http://schemas.openxmlformats.org/officeDocument/2006/relationships/hyperlink" Target="https://product.hstatic.net/200000428801/product/415_17d4f2d026a34fe5b75ae0b1fe381e5c.png" TargetMode="External"/><Relationship Id="rId2674" Type="http://schemas.openxmlformats.org/officeDocument/2006/relationships/hyperlink" Target="https://product.hstatic.net/200000428801/product/379_01e57fb361e5498fa78dfcfcefb5ca43.png" TargetMode="External"/><Relationship Id="rId3518" Type="http://schemas.openxmlformats.org/officeDocument/2006/relationships/hyperlink" Target="https://cdn2-retail-images.kiotviet.vn/2025/10/23/giabaopharma/f10d38d6c8314fffa7404b0cc78ea468.png" TargetMode="External"/><Relationship Id="rId439" Type="http://schemas.openxmlformats.org/officeDocument/2006/relationships/hyperlink" Target="https://cdn2-retail-images.kiotviet.vn/giabaopharma/e826334c4567426694956891c6a43213.jpg" TargetMode="External"/><Relationship Id="rId646" Type="http://schemas.openxmlformats.org/officeDocument/2006/relationships/hyperlink" Target="https://product.hstatic.net/200000428801/product/upload_b7baa53ba07e45339199227b4e0afb38.jpg" TargetMode="External"/><Relationship Id="rId1069" Type="http://schemas.openxmlformats.org/officeDocument/2006/relationships/hyperlink" Target="https://product.hstatic.net/200000428801/product/upload_f59a542458fe447cb725ffe32c197148.jpg" TargetMode="External"/><Relationship Id="rId1276" Type="http://schemas.openxmlformats.org/officeDocument/2006/relationships/hyperlink" Target="https://product.hstatic.net/200000428801/product/upload_0e7080bcb7b142f99c1de8298120be30.jpg" TargetMode="External"/><Relationship Id="rId1483" Type="http://schemas.openxmlformats.org/officeDocument/2006/relationships/hyperlink" Target="https://product.hstatic.net/200000428801/product/bbe0406f8d53510d0842_9292d0b3bf2c488e8e9ab71f456f059c.jpg" TargetMode="External"/><Relationship Id="rId2327" Type="http://schemas.openxmlformats.org/officeDocument/2006/relationships/hyperlink" Target="https://product.hstatic.net/200000428801/product/431_ab22f22f8eda44f4b4acb72dbdba5ee9.png" TargetMode="External"/><Relationship Id="rId2881" Type="http://schemas.openxmlformats.org/officeDocument/2006/relationships/hyperlink" Target="https://product.hstatic.net/200000428801/product/upload_6484d5132345442db4f810584073a801.jpg" TargetMode="External"/><Relationship Id="rId3725" Type="http://schemas.openxmlformats.org/officeDocument/2006/relationships/hyperlink" Target="https://product.hstatic.net/200000428801/product/713433d5158ad0d4899b_2ee86b38d72d446791315904db834e23.jpg" TargetMode="External"/><Relationship Id="rId3932" Type="http://schemas.openxmlformats.org/officeDocument/2006/relationships/hyperlink" Target="https://cdn1-retail-images.kiotviet.vn/2026/01/09/giabaopharma/1a1aa04a3ed5473e91654a307a0bab3f.jpg" TargetMode="External"/><Relationship Id="rId506" Type="http://schemas.openxmlformats.org/officeDocument/2006/relationships/hyperlink" Target="https://product.hstatic.net/200000428801/product/0add53f856768828d167_ac01f84438a2441ba7bb59bdce1dc05e.jpg" TargetMode="External"/><Relationship Id="rId853" Type="http://schemas.openxmlformats.org/officeDocument/2006/relationships/hyperlink" Target="https://product.hstatic.net/200000428801/product/upload_5031eabbdbe642bc8e806583dccd72bf.jpg" TargetMode="External"/><Relationship Id="rId1136" Type="http://schemas.openxmlformats.org/officeDocument/2006/relationships/hyperlink" Target="https://product.hstatic.net/200000428801/product/upload_6feffba54969415dbe47838ffccf9152.jpg" TargetMode="External"/><Relationship Id="rId1690" Type="http://schemas.openxmlformats.org/officeDocument/2006/relationships/hyperlink" Target="https://product.hstatic.net/200000428801/product/upload_ec4ae12dde8e415a8ab3f6075e979f97.jpg" TargetMode="External"/><Relationship Id="rId2534" Type="http://schemas.openxmlformats.org/officeDocument/2006/relationships/hyperlink" Target="https://product.hstatic.net/200000428801/product/390_20a33e0c24f64250a64589c11feb81bb.png" TargetMode="External"/><Relationship Id="rId2741" Type="http://schemas.openxmlformats.org/officeDocument/2006/relationships/hyperlink" Target="https://product.hstatic.net/200000428801/product/369_5051c0d566c8480e8a77e07c42571985.png" TargetMode="External"/><Relationship Id="rId713" Type="http://schemas.openxmlformats.org/officeDocument/2006/relationships/hyperlink" Target="https://product.hstatic.net/200000428801/product/upload_0e9490dc7243459bbc69400f03b56ebd.jpg" TargetMode="External"/><Relationship Id="rId920" Type="http://schemas.openxmlformats.org/officeDocument/2006/relationships/hyperlink" Target="https://product.hstatic.net/200000428801/product/upload_4732a6fd53bc40fa8cd918aed164db2b.jpg" TargetMode="External"/><Relationship Id="rId1343" Type="http://schemas.openxmlformats.org/officeDocument/2006/relationships/hyperlink" Target="https://product.hstatic.net/200000428801/product/upload_34e550365d4247fe81eaa29c8b544412.jpg" TargetMode="External"/><Relationship Id="rId1550" Type="http://schemas.openxmlformats.org/officeDocument/2006/relationships/hyperlink" Target="https://product.hstatic.net/200000428801/product/upload_cb089d0b6bc6474cb7e5453e29fbfa6f.jpg" TargetMode="External"/><Relationship Id="rId2601" Type="http://schemas.openxmlformats.org/officeDocument/2006/relationships/hyperlink" Target="https://product.hstatic.net/200000428801/product/upload_0c81554eddcc4bcd8820d318b385a467.jpg" TargetMode="External"/><Relationship Id="rId1203" Type="http://schemas.openxmlformats.org/officeDocument/2006/relationships/hyperlink" Target="https://product.hstatic.net/200000428801/product/upload_47004661621b46b18b163e981fbec7cb.jpg" TargetMode="External"/><Relationship Id="rId1410" Type="http://schemas.openxmlformats.org/officeDocument/2006/relationships/hyperlink" Target="https://product.hstatic.net/200000428801/product/60_c4307bfe6f1d4cdbb402ee77f981bef6.png" TargetMode="External"/><Relationship Id="rId3168" Type="http://schemas.openxmlformats.org/officeDocument/2006/relationships/hyperlink" Target="https://product.hstatic.net/200000428801/product/8f57aded52b2469798ea9b60d56f23fc_4bf2b95adb2e460f8a8ce299260bad56.jpg" TargetMode="External"/><Relationship Id="rId3375" Type="http://schemas.openxmlformats.org/officeDocument/2006/relationships/hyperlink" Target="https://product.hstatic.net/200000428801/product/acac7c7c398c49539756254aead8fc65_b706ec44ad1e49fe8586d13558097848.png" TargetMode="External"/><Relationship Id="rId3582" Type="http://schemas.openxmlformats.org/officeDocument/2006/relationships/hyperlink" Target="https://product.hstatic.net/200000428801/product/d9b8c90ea74a6014395b_32df116b5d34425da91fd26089efc592.jpg" TargetMode="External"/><Relationship Id="rId296" Type="http://schemas.openxmlformats.org/officeDocument/2006/relationships/hyperlink" Target="https://product.hstatic.net/200000428801/product/a1ca040d84a44241a5a6dac1f33f92b0_6be26bb01a744af484adc131f64e7762.png" TargetMode="External"/><Relationship Id="rId2184" Type="http://schemas.openxmlformats.org/officeDocument/2006/relationships/hyperlink" Target="https://product.hstatic.net/200000428801/product/upload_bd1ee9edded04e9a85d9909d13645459.jpg" TargetMode="External"/><Relationship Id="rId2391" Type="http://schemas.openxmlformats.org/officeDocument/2006/relationships/hyperlink" Target="https://product.hstatic.net/200000428801/product/418_b1e5128dd1f74a23b25c3788eac9e032.png" TargetMode="External"/><Relationship Id="rId3028" Type="http://schemas.openxmlformats.org/officeDocument/2006/relationships/hyperlink" Target="https://product.hstatic.net/200000428801/product/upload_183438b5e6d946ce93210cc4e3ff7fd2.jpg" TargetMode="External"/><Relationship Id="rId3235" Type="http://schemas.openxmlformats.org/officeDocument/2006/relationships/hyperlink" Target="https://product.hstatic.net/200000428801/product/d31fc832478e467ba25b6585532f0855_1bcdcaa4ad6a4b06a243d8c51a00b7d4.png" TargetMode="External"/><Relationship Id="rId3442" Type="http://schemas.openxmlformats.org/officeDocument/2006/relationships/hyperlink" Target="https://product.hstatic.net/200000428801/product/b02355df20694343a73fbbcc14c493a6_a15bd358cfc748668c1cc32b34aed9a7.png" TargetMode="External"/><Relationship Id="rId156" Type="http://schemas.openxmlformats.org/officeDocument/2006/relationships/hyperlink" Target="https://cdn2-retail-images.kiotviet.vn/2025/02/07/giabaopharma/85fc98277ac8447a96a889decaebcd8a.jpg" TargetMode="External"/><Relationship Id="rId363" Type="http://schemas.openxmlformats.org/officeDocument/2006/relationships/hyperlink" Target="https://product.hstatic.net/200000428801/product/upload_1e3fe2e59eb5472b9c6cc03581ea045c.jpg" TargetMode="External"/><Relationship Id="rId570" Type="http://schemas.openxmlformats.org/officeDocument/2006/relationships/hyperlink" Target="https://product.hstatic.net/200000428801/product/upload_1b798f44472640d1915f84a5f0d7fca0.jpg" TargetMode="External"/><Relationship Id="rId2044" Type="http://schemas.openxmlformats.org/officeDocument/2006/relationships/hyperlink" Target="https://product.hstatic.net/200000428801/product/upload_9e4b44f138dc44238f24fafcf5708a8a.jpg" TargetMode="External"/><Relationship Id="rId2251" Type="http://schemas.openxmlformats.org/officeDocument/2006/relationships/hyperlink" Target="https://product.hstatic.net/200000428801/product/upload_a1c1b8dfc0154f53b0abbeb395f5dedf.jpg" TargetMode="External"/><Relationship Id="rId3302" Type="http://schemas.openxmlformats.org/officeDocument/2006/relationships/hyperlink" Target="https://product.hstatic.net/200000428801/product/ad129dfc2360416bbf2f4cff0d08c8e3_fa46bf8c5c1f4a37bce154279cd7d576.png" TargetMode="External"/><Relationship Id="rId223" Type="http://schemas.openxmlformats.org/officeDocument/2006/relationships/hyperlink" Target="https://cdn2-retail-images.kiotviet.vn/giabaopharma/ad55eaa97e2a4a3db07de6818094be77.jpg,https:/cdn2-retail-images.kiotviet.vn/giabaopharma/30a950a13890403291cf2fe14b33c695.jpg,https:/cdn-images.kiotviet.vn/giabaopharma/9606c3cf6bd74da28b2a9abf9f3838ae.jpg,https:/cdn2-retail-images.kiotviet.vn/giabaopharma/5823351e7a9c463fbc1ef9157e954ceb.jpg,https:/cdn2-retail-images.kiotviet.vn/giabaopharma/d69e810ac9ce4741a4e401a3193655c9.jpg" TargetMode="External"/><Relationship Id="rId430" Type="http://schemas.openxmlformats.org/officeDocument/2006/relationships/hyperlink" Target="https://product.hstatic.net/200000428801/product/upload_4716fe661aef4ce7b7f0aebcacfaf462.jpg" TargetMode="External"/><Relationship Id="rId1060" Type="http://schemas.openxmlformats.org/officeDocument/2006/relationships/hyperlink" Target="https://product.hstatic.net/200000428801/product/upload_1cd2b0397ebc4a5aa60ba73d181be4be.jpg" TargetMode="External"/><Relationship Id="rId2111" Type="http://schemas.openxmlformats.org/officeDocument/2006/relationships/hyperlink" Target="https://product.hstatic.net/200000428801/product/upload_13826a1102394510a091d0dbce288d74.jpg" TargetMode="External"/><Relationship Id="rId1877" Type="http://schemas.openxmlformats.org/officeDocument/2006/relationships/hyperlink" Target="https://product.hstatic.net/200000428801/product/upload_35a3a535545f4227b181fa721f414ca5.jpg" TargetMode="External"/><Relationship Id="rId2928" Type="http://schemas.openxmlformats.org/officeDocument/2006/relationships/hyperlink" Target="https://product.hstatic.net/200000428801/product/355_76b4944ed6b1426596f5abbe117bfaa1.png" TargetMode="External"/><Relationship Id="rId1737" Type="http://schemas.openxmlformats.org/officeDocument/2006/relationships/hyperlink" Target="https://product.hstatic.net/200000428801/product/upload_efb7d83840f741b5857e39528f4bb618.jpg" TargetMode="External"/><Relationship Id="rId1944" Type="http://schemas.openxmlformats.org/officeDocument/2006/relationships/hyperlink" Target="https://product.hstatic.net/200000428801/product/upload_f189ebacd4c9423c8da081b47de962a8.jpg" TargetMode="External"/><Relationship Id="rId3092" Type="http://schemas.openxmlformats.org/officeDocument/2006/relationships/hyperlink" Target="https://product.hstatic.net/200000428801/product/769a4f688ad043ceb95644d5a745dfcd_3139c167c3ae4c4a86a7afa4338864db.png" TargetMode="External"/><Relationship Id="rId29" Type="http://schemas.openxmlformats.org/officeDocument/2006/relationships/hyperlink" Target="https://cdn2-retail-images.kiotviet.vn/2025/11/29/giabaopharma/f6aabce6accb4db5b25b614faf31810d.jpg" TargetMode="External"/><Relationship Id="rId4003" Type="http://schemas.openxmlformats.org/officeDocument/2006/relationships/hyperlink" Target="https://product.hstatic.net/200000428801/product/515037f43e32ff6ca623_47577231d6524bc6922c67f7a9583d24.png" TargetMode="External"/><Relationship Id="rId1804" Type="http://schemas.openxmlformats.org/officeDocument/2006/relationships/hyperlink" Target="https://product.hstatic.net/200000428801/product/upload_53f5d19e90bc4b299e2c7485121e5b41.jpg" TargetMode="External"/><Relationship Id="rId3769" Type="http://schemas.openxmlformats.org/officeDocument/2006/relationships/hyperlink" Target="https://product.hstatic.net/200000428801/product/b0496491f40b25557c1a1_bcbe61ca68a7486792d09fe9534d308d.jpg" TargetMode="External"/><Relationship Id="rId3976" Type="http://schemas.openxmlformats.org/officeDocument/2006/relationships/hyperlink" Target="https://cdn2-retail-images.kiotviet.vn/2025/10/30/giabaopharma/56ea124b8c9e4bc9a243ddcb0ab931bc.jpg" TargetMode="External"/><Relationship Id="rId897" Type="http://schemas.openxmlformats.org/officeDocument/2006/relationships/hyperlink" Target="https://product.hstatic.net/200000428801/product/upload_3075ceb1732c46899e6d43c7b80961fe.jpg" TargetMode="External"/><Relationship Id="rId2578" Type="http://schemas.openxmlformats.org/officeDocument/2006/relationships/hyperlink" Target="https://product.hstatic.net/200000428801/product/upload_299bacc64444430392b365235569dbea.jpg" TargetMode="External"/><Relationship Id="rId2785" Type="http://schemas.openxmlformats.org/officeDocument/2006/relationships/hyperlink" Target="https://product.hstatic.net/200000428801/product/upload_173f58b2551f420f9aacae6f1251495f.jpg" TargetMode="External"/><Relationship Id="rId2992" Type="http://schemas.openxmlformats.org/officeDocument/2006/relationships/hyperlink" Target="https://product.hstatic.net/200000428801/product/upload_ee517ddc2d0c4d699e821f109748eba9.jpg" TargetMode="External"/><Relationship Id="rId3629" Type="http://schemas.openxmlformats.org/officeDocument/2006/relationships/hyperlink" Target="https://product.hstatic.net/200000428801/product/zalo_screenshot_19_11_2021_625721_451942953e58458d9438428239d026f8.png" TargetMode="External"/><Relationship Id="rId3836" Type="http://schemas.openxmlformats.org/officeDocument/2006/relationships/hyperlink" Target="https://product.hstatic.net/200000428801/product/genflu-n-10g-mac-dinh-3-1-700x467_51878aa323464bc0a1696443286d0aaf.jpg" TargetMode="External"/><Relationship Id="rId757" Type="http://schemas.openxmlformats.org/officeDocument/2006/relationships/hyperlink" Target="https://product.hstatic.net/200000428801/product/upload_75010c434c644230bf4b11db785827a9.jpg" TargetMode="External"/><Relationship Id="rId964" Type="http://schemas.openxmlformats.org/officeDocument/2006/relationships/hyperlink" Target="https://product.hstatic.net/200000428801/product/upload_6f073eaddaf2461195f11debfe5e8eea.jpg" TargetMode="External"/><Relationship Id="rId1387" Type="http://schemas.openxmlformats.org/officeDocument/2006/relationships/hyperlink" Target="https://product.hstatic.net/200000428801/product/upload_ff629346de4b4037926913e82f3fa110.jpg" TargetMode="External"/><Relationship Id="rId1594" Type="http://schemas.openxmlformats.org/officeDocument/2006/relationships/hyperlink" Target="https://product.hstatic.net/200000428801/product/upload_afb8e9786dea4d11a2fcc4739975c990.jpg" TargetMode="External"/><Relationship Id="rId2438" Type="http://schemas.openxmlformats.org/officeDocument/2006/relationships/hyperlink" Target="https://product.hstatic.net/200000428801/product/426_c569b73932694522b854014541e6e266.png" TargetMode="External"/><Relationship Id="rId2645" Type="http://schemas.openxmlformats.org/officeDocument/2006/relationships/hyperlink" Target="https://product.hstatic.net/200000428801/product/upload_e68dd1266085403a8aafa39a05044881.jpg" TargetMode="External"/><Relationship Id="rId2852" Type="http://schemas.openxmlformats.org/officeDocument/2006/relationships/hyperlink" Target="https://product.hstatic.net/200000428801/product/upload_222e268b6f8b4f07ac4ba65029329454.jpg" TargetMode="External"/><Relationship Id="rId3903" Type="http://schemas.openxmlformats.org/officeDocument/2006/relationships/hyperlink" Target="https://product.hstatic.net/200000428801/product/4a373f266bbca4e2fdad_d346702e9c4f4cafb09f7f8628a3bd9a.jpg" TargetMode="External"/><Relationship Id="rId93" Type="http://schemas.openxmlformats.org/officeDocument/2006/relationships/hyperlink" Target="https://cdn2-retail-images.kiotviet.vn/2025/05/28/giabaopharma/2f07070fbf3e4638ad7665fb447554eb.jpg,https:/cdn-images.kiotviet.vn/2025/05/28/giabaopharma/5973e769e7154a3bb7e254f7b3baa3f6.jpg" TargetMode="External"/><Relationship Id="rId617" Type="http://schemas.openxmlformats.org/officeDocument/2006/relationships/hyperlink" Target="https://product.hstatic.net/200000428801/product/upload_47bfcdfb1f40443aa72a2383516f04ef.jpg" TargetMode="External"/><Relationship Id="rId824" Type="http://schemas.openxmlformats.org/officeDocument/2006/relationships/hyperlink" Target="https://product.hstatic.net/200000428801/product/upload_c43098a2e6794df6ad20ee166fb2fb5b.jpg" TargetMode="External"/><Relationship Id="rId1247" Type="http://schemas.openxmlformats.org/officeDocument/2006/relationships/hyperlink" Target="https://product.hstatic.net/200000428801/product/bioamicus-complete_efc3885bfc3740a9a3ab637140dee320.jpg" TargetMode="External"/><Relationship Id="rId1454" Type="http://schemas.openxmlformats.org/officeDocument/2006/relationships/hyperlink" Target="https://product.hstatic.net/200000428801/product/upload_d60c97d2aa134e0a831dbafb268d9a77.jpg" TargetMode="External"/><Relationship Id="rId1661" Type="http://schemas.openxmlformats.org/officeDocument/2006/relationships/hyperlink" Target="https://product.hstatic.net/200000428801/product/15_3e9070435b4b48d388d249ffe7a5ffe7.png" TargetMode="External"/><Relationship Id="rId2505" Type="http://schemas.openxmlformats.org/officeDocument/2006/relationships/hyperlink" Target="https://product.hstatic.net/200000428801/product/upload_1b06c9aca6be4e86afe600e8660d744c.jpg" TargetMode="External"/><Relationship Id="rId2712" Type="http://schemas.openxmlformats.org/officeDocument/2006/relationships/hyperlink" Target="https://product.hstatic.net/200000428801/product/upload_b1c1034a005b43adbc7287f38679d2f6.jpg" TargetMode="External"/><Relationship Id="rId1107" Type="http://schemas.openxmlformats.org/officeDocument/2006/relationships/hyperlink" Target="https://product.hstatic.net/200000428801/product/upload_91cc0d7daf2c4f9b8cc156707a9c1d8e.jpg" TargetMode="External"/><Relationship Id="rId1314" Type="http://schemas.openxmlformats.org/officeDocument/2006/relationships/hyperlink" Target="https://product.hstatic.net/200000428801/product/upload_43a760622f4d4d90aaf894d3e6ae3a9d.jpg" TargetMode="External"/><Relationship Id="rId1521" Type="http://schemas.openxmlformats.org/officeDocument/2006/relationships/hyperlink" Target="https://product.hstatic.net/200000428801/product/upload_caf84beccc7640cea9d3b1c39999fc7e.jpg" TargetMode="External"/><Relationship Id="rId3279" Type="http://schemas.openxmlformats.org/officeDocument/2006/relationships/hyperlink" Target="https://product.hstatic.net/200000428801/product/4e9ff3901cf747c387aefcf061fda814_554dc5e537834670a3b19863e47ca2d6.png" TargetMode="External"/><Relationship Id="rId3486" Type="http://schemas.openxmlformats.org/officeDocument/2006/relationships/hyperlink" Target="https://product.hstatic.net/200000428801/product/37176b5028e049a49f23c09290fca871_d5a4047cf69c4e7e97976fc63d836592.png" TargetMode="External"/><Relationship Id="rId3693" Type="http://schemas.openxmlformats.org/officeDocument/2006/relationships/hyperlink" Target="https://cdn1-retail-images.kiotviet.vn/2026/01/15/giabaopharma/2349c757f04047c183cdaa9648a96b7c.jpg" TargetMode="External"/><Relationship Id="rId20" Type="http://schemas.openxmlformats.org/officeDocument/2006/relationships/hyperlink" Target="https://cdn1-retail-images.kiotviet.vn/2026/01/05/giabaopharma/ff5dece954de423ea8d774cc36ce056f.jpg" TargetMode="External"/><Relationship Id="rId2088" Type="http://schemas.openxmlformats.org/officeDocument/2006/relationships/hyperlink" Target="https://product.hstatic.net/200000428801/product/upload_db77741ed38548a8a99cc3bfe067dd2c.jpg" TargetMode="External"/><Relationship Id="rId2295" Type="http://schemas.openxmlformats.org/officeDocument/2006/relationships/hyperlink" Target="https://product.hstatic.net/200000428801/product/b06c027e479f444ab16a55a888c4132f_a92aa200d4634bae9bda3b941238c8e4.png" TargetMode="External"/><Relationship Id="rId3139" Type="http://schemas.openxmlformats.org/officeDocument/2006/relationships/hyperlink" Target="https://product.hstatic.net/200000428801/product/35a1d38549b24d85923168d75a0ea948_63fcb31c172f43758555fbb8ccfd90b3.jpg" TargetMode="External"/><Relationship Id="rId3346" Type="http://schemas.openxmlformats.org/officeDocument/2006/relationships/hyperlink" Target="https://product.hstatic.net/200000428801/product/a4e343c6a1a9402089779f66e74037bd_586f4ed1bd5240d6bcc4b90a67e033f5.png" TargetMode="External"/><Relationship Id="rId267" Type="http://schemas.openxmlformats.org/officeDocument/2006/relationships/hyperlink" Target="https://cdn-images.kiotviet.vn/giabaopharma/adc3a78e7e5b4503976f173429370b31.png,https:/cdn-images.kiotviet.vn/giabaopharma/9fa484bdd1664c56868d678e86154c67.png,https:/cdn-images.kiotviet.vn/giabaopharma/fcc49c655b8e4fd5b065b16bc7266db9.png,https:/cdn-images.kiotviet.vn/giabaopharma/e7f3520f986940ae8ced32d7cef84778.png,https:/cdn-images.kiotviet.vn/giabaopharma/8d5b7067fd704aa4b81e4520bd76f95a.png" TargetMode="External"/><Relationship Id="rId474" Type="http://schemas.openxmlformats.org/officeDocument/2006/relationships/hyperlink" Target="https://product.hstatic.net/200000428801/product/21d1f6fe1b0a44eba6c1fc32364864d2_8a0aba7b18de48cc975e496a5ab311e5.jpg" TargetMode="External"/><Relationship Id="rId2155" Type="http://schemas.openxmlformats.org/officeDocument/2006/relationships/hyperlink" Target="https://product.hstatic.net/200000428801/product/491_d92ebd2541374ab0a4c896cdc7efbb9f.png" TargetMode="External"/><Relationship Id="rId3553" Type="http://schemas.openxmlformats.org/officeDocument/2006/relationships/hyperlink" Target="https://product.hstatic.net/200000428801/product/3db811ad4c4a8714de5b_ae50f92707c24e54ac61856c16cea4ef.jpg" TargetMode="External"/><Relationship Id="rId3760" Type="http://schemas.openxmlformats.org/officeDocument/2006/relationships/hyperlink" Target="https://product.hstatic.net/200000428801/product/7a_f028857b9b18443398abf003e81c41bd.jpg" TargetMode="External"/><Relationship Id="rId127" Type="http://schemas.openxmlformats.org/officeDocument/2006/relationships/hyperlink" Target="https://cdn2-retail-images.kiotviet.vn/2025/03/13/giabaopharma/272a74ff8c154d3496fd93f6c4a5a11e.png" TargetMode="External"/><Relationship Id="rId681" Type="http://schemas.openxmlformats.org/officeDocument/2006/relationships/hyperlink" Target="https://product.hstatic.net/200000428801/product/upload_5914ffbef9504128bb7d4f78a86a16d2.jpg" TargetMode="External"/><Relationship Id="rId2362" Type="http://schemas.openxmlformats.org/officeDocument/2006/relationships/hyperlink" Target="https://product.hstatic.net/200000428801/product/7be52b4eb8bc4d9d9c0f4f2c157602ca_389f267816594ce6952b2987ec9b006c.png" TargetMode="External"/><Relationship Id="rId3206" Type="http://schemas.openxmlformats.org/officeDocument/2006/relationships/hyperlink" Target="https://product.hstatic.net/200000428801/product/d6cba725093b4a5ca2ba5665896b6622_004ede519eb243759de87e4d13ebb69b.png" TargetMode="External"/><Relationship Id="rId3413" Type="http://schemas.openxmlformats.org/officeDocument/2006/relationships/hyperlink" Target="https://product.hstatic.net/200000428801/product/3d50c443930746b184a28daaff40a901_e8a913057da24a808149b43918f4e241.png" TargetMode="External"/><Relationship Id="rId3620" Type="http://schemas.openxmlformats.org/officeDocument/2006/relationships/hyperlink" Target="https://cdn2-retail-images.kiotviet.vn/2025/10/30/giabaopharma/291ca938fe604af8b0c243f729e73010.jpg" TargetMode="External"/><Relationship Id="rId334" Type="http://schemas.openxmlformats.org/officeDocument/2006/relationships/hyperlink" Target="https://product.hstatic.net/200000428801/product/508_808ba050cb374e2695a6e64a6e5c8a90.png" TargetMode="External"/><Relationship Id="rId541" Type="http://schemas.openxmlformats.org/officeDocument/2006/relationships/hyperlink" Target="https://product.hstatic.net/200000428801/product/upload_41ff3451372a4d058203830ecb0b65ac.jpg" TargetMode="External"/><Relationship Id="rId1171" Type="http://schemas.openxmlformats.org/officeDocument/2006/relationships/hyperlink" Target="https://product.hstatic.net/200000428801/product/upload_55e45a5d81ba4921b1b612f9644fcf6e.jpg" TargetMode="External"/><Relationship Id="rId2015" Type="http://schemas.openxmlformats.org/officeDocument/2006/relationships/hyperlink" Target="https://product.hstatic.net/200000428801/product/upload_00dc3cd092634cc38b18877c688f825a.jpg" TargetMode="External"/><Relationship Id="rId2222" Type="http://schemas.openxmlformats.org/officeDocument/2006/relationships/hyperlink" Target="https://product.hstatic.net/200000428801/product/upload_bddd1575de4b4413abdca0418223631b.jpg" TargetMode="External"/><Relationship Id="rId401" Type="http://schemas.openxmlformats.org/officeDocument/2006/relationships/hyperlink" Target="https://product.hstatic.net/200000428801/product/328a1bd0ecd74549880f5b01f4cb5bda_a0594918487b4e928ea56158502f8f9e.png" TargetMode="External"/><Relationship Id="rId1031" Type="http://schemas.openxmlformats.org/officeDocument/2006/relationships/hyperlink" Target="https://product.hstatic.net/200000428801/product/upload_f9ad716556184ab78f75a8ed4c29eac8.jpg" TargetMode="External"/><Relationship Id="rId1988" Type="http://schemas.openxmlformats.org/officeDocument/2006/relationships/hyperlink" Target="https://product.hstatic.net/200000428801/product/upload_9bc76109d5e24336b78f95908aabc3c3.jpg" TargetMode="External"/><Relationship Id="rId4047" Type="http://schemas.openxmlformats.org/officeDocument/2006/relationships/hyperlink" Target="https://cdn-images.kiotviet.vn/2025/09/22/giabaopharma/bb94eca27dc24cfda53494c0d0dce3ba.jpg" TargetMode="External"/><Relationship Id="rId1848" Type="http://schemas.openxmlformats.org/officeDocument/2006/relationships/hyperlink" Target="https://product.hstatic.net/200000428801/product/upload_346f06b492434798ae5d7732ad324e10.jpg" TargetMode="External"/><Relationship Id="rId3063" Type="http://schemas.openxmlformats.org/officeDocument/2006/relationships/hyperlink" Target="https://product.hstatic.net/200000428801/product/f50e4f40c80915574c18_00998a168df746bbb8c71565ecaa022d.jpg" TargetMode="External"/><Relationship Id="rId3270" Type="http://schemas.openxmlformats.org/officeDocument/2006/relationships/hyperlink" Target="https://product.hstatic.net/200000428801/product/2bd4e932e4b64a3f838630c14e62f14a_51deda5489574da1aa9b763e3fe435a7.png" TargetMode="External"/><Relationship Id="rId191" Type="http://schemas.openxmlformats.org/officeDocument/2006/relationships/hyperlink" Target="https://cdn2-retail-images.kiotviet.vn/2024/11/06/giabaopharma/a45ef103d1c74279ae938cadcfc8af80.jpg" TargetMode="External"/><Relationship Id="rId1708" Type="http://schemas.openxmlformats.org/officeDocument/2006/relationships/hyperlink" Target="https://product.hstatic.net/200000428801/product/upload_2735b6b234274f9d97911193827837cd.jpg" TargetMode="External"/><Relationship Id="rId1915" Type="http://schemas.openxmlformats.org/officeDocument/2006/relationships/hyperlink" Target="https://product.hstatic.net/200000428801/product/upload_27fd7bb83c9e42b2b365619626ef8417.jpg" TargetMode="External"/><Relationship Id="rId3130" Type="http://schemas.openxmlformats.org/officeDocument/2006/relationships/hyperlink" Target="https://product.hstatic.net/200000428801/product/a7abed418ab64dd59c7900c084e169be_1e72eda8531e47f7a2534449e570fc36.png" TargetMode="External"/><Relationship Id="rId2689" Type="http://schemas.openxmlformats.org/officeDocument/2006/relationships/hyperlink" Target="https://product.hstatic.net/200000428801/product/upload_e40e8a50747a4597adc8cdbcdeab1b39.jpg" TargetMode="External"/><Relationship Id="rId2896" Type="http://schemas.openxmlformats.org/officeDocument/2006/relationships/hyperlink" Target="https://product.hstatic.net/200000428801/product/upload_190710a8f6c544fcba1c8f1d72487d5e.jpg" TargetMode="External"/><Relationship Id="rId3947" Type="http://schemas.openxmlformats.org/officeDocument/2006/relationships/hyperlink" Target="https://cdn2-retail-images.kiotviet.vn/2025/10/30/giabaopharma/680a16a7c5254e18b94ed2086d225328.png" TargetMode="External"/><Relationship Id="rId868" Type="http://schemas.openxmlformats.org/officeDocument/2006/relationships/hyperlink" Target="https://product.hstatic.net/200000428801/product/upload_a5ee8bdc3b094f8e847a6295313a670f.jpg" TargetMode="External"/><Relationship Id="rId1498" Type="http://schemas.openxmlformats.org/officeDocument/2006/relationships/hyperlink" Target="https://product.hstatic.net/200000428801/product/05f05c7ffa43261d7f52_2707e4b5da244f9b9d0d7270f5455f75.jpg" TargetMode="External"/><Relationship Id="rId2549" Type="http://schemas.openxmlformats.org/officeDocument/2006/relationships/hyperlink" Target="https://product.hstatic.net/200000428801/product/upload_5a5614cd68c044cb8bf3f2fcc07f140d.jpg" TargetMode="External"/><Relationship Id="rId2756" Type="http://schemas.openxmlformats.org/officeDocument/2006/relationships/hyperlink" Target="https://product.hstatic.net/200000428801/product/4e0e8100f58c46cf815e44359d52378e_073e47a54008487c9977ed521391a519.png" TargetMode="External"/><Relationship Id="rId2963" Type="http://schemas.openxmlformats.org/officeDocument/2006/relationships/hyperlink" Target="https://product.hstatic.net/200000428801/product/upload_220bb76ff7a447b2acb47dd4b4e6e25d.jpg" TargetMode="External"/><Relationship Id="rId3807" Type="http://schemas.openxmlformats.org/officeDocument/2006/relationships/hyperlink" Target="https://product.hstatic.net/200000428801/product/0435946d06c7c7999ed6_57ea68405c264499ba4258b97a74df47.jpg" TargetMode="External"/><Relationship Id="rId728" Type="http://schemas.openxmlformats.org/officeDocument/2006/relationships/hyperlink" Target="https://product.hstatic.net/200000428801/product/upload_522e107b213b426caa95c64b3d9c1c84.jpg" TargetMode="External"/><Relationship Id="rId935" Type="http://schemas.openxmlformats.org/officeDocument/2006/relationships/hyperlink" Target="https://product.hstatic.net/200000428801/product/upload_02f4c015b2874e69ab210503ddcab5bb.jpg" TargetMode="External"/><Relationship Id="rId1358" Type="http://schemas.openxmlformats.org/officeDocument/2006/relationships/hyperlink" Target="https://product.hstatic.net/200000428801/product/upload_71afab5a411a46b8b696bf30d14eed39.jpg" TargetMode="External"/><Relationship Id="rId1565" Type="http://schemas.openxmlformats.org/officeDocument/2006/relationships/hyperlink" Target="https://product.hstatic.net/200000428801/product/e93b42b0858b59d5009a_36d36dc7a90b4c5f9eb96eeeef5175f9.jpg" TargetMode="External"/><Relationship Id="rId1772" Type="http://schemas.openxmlformats.org/officeDocument/2006/relationships/hyperlink" Target="https://product.hstatic.net/200000428801/product/upload_b74e68f214f94492950fbe07bc4a44a2.jpg" TargetMode="External"/><Relationship Id="rId2409" Type="http://schemas.openxmlformats.org/officeDocument/2006/relationships/hyperlink" Target="https://cdn2-retail-images.kiotviet.vn/giabaopharma/7b29e31085a847309c1f906c8920a20d.jpg" TargetMode="External"/><Relationship Id="rId2616" Type="http://schemas.openxmlformats.org/officeDocument/2006/relationships/hyperlink" Target="https://product.hstatic.net/200000428801/product/upload_32b0e9553b3d40439b2d7e0b85a3a7c6.jpg" TargetMode="External"/><Relationship Id="rId64" Type="http://schemas.openxmlformats.org/officeDocument/2006/relationships/hyperlink" Target="https://i.postimg.cc/5NXF9Md4/e140beacb60c4b0695b84e6710c87c9b.jpg" TargetMode="External"/><Relationship Id="rId1218" Type="http://schemas.openxmlformats.org/officeDocument/2006/relationships/hyperlink" Target="https://product.hstatic.net/200000428801/product/upload_5b7332d828f54188bf778dffec150944.jpg" TargetMode="External"/><Relationship Id="rId1425" Type="http://schemas.openxmlformats.org/officeDocument/2006/relationships/hyperlink" Target="https://product.hstatic.net/200000428801/product/upload_38e48a9df9da41a09abedc427b8549a3.jpg" TargetMode="External"/><Relationship Id="rId2823" Type="http://schemas.openxmlformats.org/officeDocument/2006/relationships/hyperlink" Target="https://product.hstatic.net/200000428801/product/upload_c58016257d6044259a0a77af870535bf.jpg" TargetMode="External"/><Relationship Id="rId1632" Type="http://schemas.openxmlformats.org/officeDocument/2006/relationships/hyperlink" Target="https://product.hstatic.net/200000428801/product/88a156eb57564cbda30b8107d57f1ba6_81008854887542d6b1a670acd7120142.jpg" TargetMode="External"/><Relationship Id="rId2199" Type="http://schemas.openxmlformats.org/officeDocument/2006/relationships/hyperlink" Target="https://product.hstatic.net/200000428801/product/upload_19fe6200978a49cfaae1b6c0780b47d8.jpg" TargetMode="External"/><Relationship Id="rId3597" Type="http://schemas.openxmlformats.org/officeDocument/2006/relationships/hyperlink" Target="https://product.hstatic.net/200000428801/product/d1e61973eda32cfd75b2_d051311fa6584cb2a24ee86dbc5e0db9.jpg" TargetMode="External"/><Relationship Id="rId3457" Type="http://schemas.openxmlformats.org/officeDocument/2006/relationships/hyperlink" Target="https://product.hstatic.net/200000428801/product/8d891e6ca97642ddb00f5a2e5af7fc6e_d92f04be86bc4418ac146435ff88e74c.png" TargetMode="External"/><Relationship Id="rId3664" Type="http://schemas.openxmlformats.org/officeDocument/2006/relationships/hyperlink" Target="https://product.hstatic.net/200000428801/product/d872afbbe25926077f48_22d6b9a0b65742278a69f8e6892369cb.jpg" TargetMode="External"/><Relationship Id="rId3871" Type="http://schemas.openxmlformats.org/officeDocument/2006/relationships/hyperlink" Target="https://product.hstatic.net/200000428801/product/74a1ef40869e49c0108f_4b5ea4f417ef4bbcb05edf745c00703a.jpg" TargetMode="External"/><Relationship Id="rId378" Type="http://schemas.openxmlformats.org/officeDocument/2006/relationships/hyperlink" Target="https://cdn2-retail-images.kiotviet.vn/giabaopharma/45d2933a759b4a1298f78b27aec29f62.png" TargetMode="External"/><Relationship Id="rId585" Type="http://schemas.openxmlformats.org/officeDocument/2006/relationships/hyperlink" Target="https://product.hstatic.net/200000428801/product/upload_102064a6b3af46dead0be06efb1c073f.jpg" TargetMode="External"/><Relationship Id="rId792" Type="http://schemas.openxmlformats.org/officeDocument/2006/relationships/hyperlink" Target="https://product.hstatic.net/200000428801/product/upload_c06fcbf869b248b781a688bafe69196e.jpg" TargetMode="External"/><Relationship Id="rId2059" Type="http://schemas.openxmlformats.org/officeDocument/2006/relationships/hyperlink" Target="https://product.hstatic.net/200000428801/product/upload_04f24ebc69b34af9addb0ef6cd9b1c92.jpg" TargetMode="External"/><Relationship Id="rId2266" Type="http://schemas.openxmlformats.org/officeDocument/2006/relationships/hyperlink" Target="https://product.hstatic.net/200000428801/product/32b864e082604f6f8f6a8933227dba8f_c7b89b93318b4469a996b3a212436537.png" TargetMode="External"/><Relationship Id="rId2473" Type="http://schemas.openxmlformats.org/officeDocument/2006/relationships/hyperlink" Target="https://product.hstatic.net/200000428801/product/upload_1bbc824d1e8d49baafcfd650356029ca.jpg" TargetMode="External"/><Relationship Id="rId2680" Type="http://schemas.openxmlformats.org/officeDocument/2006/relationships/hyperlink" Target="https://product.hstatic.net/200000428801/product/383_45e32895481049f2a5ba6506e2364f90.png" TargetMode="External"/><Relationship Id="rId3317" Type="http://schemas.openxmlformats.org/officeDocument/2006/relationships/hyperlink" Target="https://product.hstatic.net/200000428801/product/e76da1ce3b0f42af8f48343f326a7b8b_545652753963479189a9a1d0ce45a9c9.png" TargetMode="External"/><Relationship Id="rId3524" Type="http://schemas.openxmlformats.org/officeDocument/2006/relationships/hyperlink" Target="https://product.hstatic.net/200000428801/product/94cc2a39c1640f3a5675_142a2c9634c3440ba33908cc07c93781.png" TargetMode="External"/><Relationship Id="rId3731" Type="http://schemas.openxmlformats.org/officeDocument/2006/relationships/hyperlink" Target="https://cdn-images.kiotviet.vn/2025/05/24/giabaopharma/fc446ab1e7bf474d8ce4847e10c71e6b.jpg" TargetMode="External"/><Relationship Id="rId238" Type="http://schemas.openxmlformats.org/officeDocument/2006/relationships/hyperlink" Target="https://cdn-images.kiotviet.vn/giabaopharma/61a75fa49a6d484fb123c253393af570.jpg" TargetMode="External"/><Relationship Id="rId445" Type="http://schemas.openxmlformats.org/officeDocument/2006/relationships/hyperlink" Target="https://cdn1-retail-images.kiotviet.vn/2026/01/15/giabaopharma/10e3df53674143898f191ec5b1e74cc9.jpg" TargetMode="External"/><Relationship Id="rId652" Type="http://schemas.openxmlformats.org/officeDocument/2006/relationships/hyperlink" Target="https://product.hstatic.net/200000428801/product/upload_ffcc27e705a44a649fc0e2901df66513.jpg" TargetMode="External"/><Relationship Id="rId1075" Type="http://schemas.openxmlformats.org/officeDocument/2006/relationships/hyperlink" Target="https://product.hstatic.net/200000428801/product/upload_9f158231522e46cb9859f2d9b2b7d0aa.jpg" TargetMode="External"/><Relationship Id="rId1282" Type="http://schemas.openxmlformats.org/officeDocument/2006/relationships/hyperlink" Target="https://product.hstatic.net/200000428801/product/upload_f5fb49c914e94910babd8c09e0c3e998.jpg" TargetMode="External"/><Relationship Id="rId2126" Type="http://schemas.openxmlformats.org/officeDocument/2006/relationships/hyperlink" Target="https://product.hstatic.net/200000428801/product/2e607893a7247a7a2335_28fbf93a3473470ab744b667ea14ca06.jpg" TargetMode="External"/><Relationship Id="rId2333" Type="http://schemas.openxmlformats.org/officeDocument/2006/relationships/hyperlink" Target="https://product.hstatic.net/200000428801/product/433_726d7d3d94d043189fca4d5fc2b63363.png" TargetMode="External"/><Relationship Id="rId2540" Type="http://schemas.openxmlformats.org/officeDocument/2006/relationships/hyperlink" Target="https://product.hstatic.net/200000428801/product/upload_ed005d66905749d19d2cfe074bc386db.jpg" TargetMode="External"/><Relationship Id="rId305" Type="http://schemas.openxmlformats.org/officeDocument/2006/relationships/hyperlink" Target="https://product.hstatic.net/200000428801/product/upload_dbd0d92f444a46b5ae39d841804c4e8c.jpg" TargetMode="External"/><Relationship Id="rId512" Type="http://schemas.openxmlformats.org/officeDocument/2006/relationships/hyperlink" Target="https://product.hstatic.net/200000428801/product/upload_84bddffee7904c4da6a1f176319bdda4.jpg" TargetMode="External"/><Relationship Id="rId1142" Type="http://schemas.openxmlformats.org/officeDocument/2006/relationships/hyperlink" Target="https://product.hstatic.net/200000428801/product/upload_631d90364e634f6da88595372ffad190.jpg" TargetMode="External"/><Relationship Id="rId2400" Type="http://schemas.openxmlformats.org/officeDocument/2006/relationships/hyperlink" Target="https://product.hstatic.net/200000428801/product/upload_d9973ac4904041b8a34dae079709124a.jpg" TargetMode="External"/><Relationship Id="rId1002" Type="http://schemas.openxmlformats.org/officeDocument/2006/relationships/hyperlink" Target="https://product.hstatic.net/200000428801/product/upload_d0d886dccd134357aeddfdd8de305085.jpg" TargetMode="External"/><Relationship Id="rId1959" Type="http://schemas.openxmlformats.org/officeDocument/2006/relationships/hyperlink" Target="https://product.hstatic.net/200000428801/product/upload_c361d179e83e42988e0444b82d5280b0.jpg" TargetMode="External"/><Relationship Id="rId3174" Type="http://schemas.openxmlformats.org/officeDocument/2006/relationships/hyperlink" Target="https://product.hstatic.net/200000428801/product/9094a073d2aa48ea89f1805d921f3b8c_5de0314c16dc4b048236c9d9335cb047.jpg" TargetMode="External"/><Relationship Id="rId4018" Type="http://schemas.openxmlformats.org/officeDocument/2006/relationships/hyperlink" Target="https://product.hstatic.net/200000428801/product/71866600f1d1348f6dc0_fe7a8524c5634f20937188524bb2ffcf.jpg" TargetMode="External"/><Relationship Id="rId1819" Type="http://schemas.openxmlformats.org/officeDocument/2006/relationships/hyperlink" Target="https://product.hstatic.net/200000428801/product/upload_34d8a754a97e4f03bd978a3689a8151b.jpg" TargetMode="External"/><Relationship Id="rId3381" Type="http://schemas.openxmlformats.org/officeDocument/2006/relationships/hyperlink" Target="https://product.hstatic.net/200000428801/product/860d9ed756084d5c9cae47e99dddd837_ab7260f96f37476ab837b4fdf0f10fbd.png" TargetMode="External"/><Relationship Id="rId2190" Type="http://schemas.openxmlformats.org/officeDocument/2006/relationships/hyperlink" Target="https://product.hstatic.net/200000428801/product/490_25b06f0f8b214433b3b8abb196b8e93f.png" TargetMode="External"/><Relationship Id="rId3034" Type="http://schemas.openxmlformats.org/officeDocument/2006/relationships/hyperlink" Target="https://product.hstatic.net/200000428801/product/upload_06b52c63105a436097655e325fca2e81.jpg" TargetMode="External"/><Relationship Id="rId3241" Type="http://schemas.openxmlformats.org/officeDocument/2006/relationships/hyperlink" Target="https://product.hstatic.net/200000428801/product/00fac9d3043a4c169e71cfeccff406f4_cfb1552f4c204518a3a8dfd7ac37f020.png" TargetMode="External"/><Relationship Id="rId162" Type="http://schemas.openxmlformats.org/officeDocument/2006/relationships/hyperlink" Target="https://cdn2-retail-images.kiotviet.vn/2025/01/24/giabaopharma/98e2eace2b5c4717b62856948d9fe977.jpg" TargetMode="External"/><Relationship Id="rId2050" Type="http://schemas.openxmlformats.org/officeDocument/2006/relationships/hyperlink" Target="https://product.hstatic.net/200000428801/product/upload_64a0b8000c0145ad989f7afb7d6ff764.jpg" TargetMode="External"/><Relationship Id="rId3101" Type="http://schemas.openxmlformats.org/officeDocument/2006/relationships/hyperlink" Target="https://product.hstatic.net/200000428801/product/f205bc04821144bc921d5e0ffe432c50_3c2e7d41d77d4e878690e4150209ba9f.png" TargetMode="External"/><Relationship Id="rId979" Type="http://schemas.openxmlformats.org/officeDocument/2006/relationships/hyperlink" Target="https://product.hstatic.net/200000428801/product/upload_f1b77ac13050451b9235d4ed26c5b1f0.jpg" TargetMode="External"/><Relationship Id="rId839" Type="http://schemas.openxmlformats.org/officeDocument/2006/relationships/hyperlink" Target="https://product.hstatic.net/200000428801/product/upload_500f502d345f4e0e86bdaf72c8f89e19.jpg" TargetMode="External"/><Relationship Id="rId1469" Type="http://schemas.openxmlformats.org/officeDocument/2006/relationships/hyperlink" Target="https://product.hstatic.net/200000428801/product/upload_971689d7bfc340578e52df7e62e3e2df.jpg" TargetMode="External"/><Relationship Id="rId2867" Type="http://schemas.openxmlformats.org/officeDocument/2006/relationships/hyperlink" Target="https://product.hstatic.net/200000428801/product/upload_6fefecca4c3d4322b670333f86f15501.jpg" TargetMode="External"/><Relationship Id="rId3918" Type="http://schemas.openxmlformats.org/officeDocument/2006/relationships/hyperlink" Target="https://product.hstatic.net/200000428801/product/44_3ef2d20365d344ea915d0bed7e22febd.png" TargetMode="External"/><Relationship Id="rId1676" Type="http://schemas.openxmlformats.org/officeDocument/2006/relationships/hyperlink" Target="https://product.hstatic.net/200000428801/product/upload_57ef000e380b47f2b9df7d4b4c164c1a.jpg" TargetMode="External"/><Relationship Id="rId1883" Type="http://schemas.openxmlformats.org/officeDocument/2006/relationships/hyperlink" Target="https://product.hstatic.net/200000428801/product/upload_1ec58e4a0d804172856f0e10fdc4ab0c.jpg" TargetMode="External"/><Relationship Id="rId2727" Type="http://schemas.openxmlformats.org/officeDocument/2006/relationships/hyperlink" Target="https://product.hstatic.net/200000428801/product/upload_7e74b6aebc7b4c04b6a46599a5240e81.jpg" TargetMode="External"/><Relationship Id="rId2934" Type="http://schemas.openxmlformats.org/officeDocument/2006/relationships/hyperlink" Target="https://product.hstatic.net/200000428801/product/upload_8fcf64015de747198294dfeb992fc940.jpg" TargetMode="External"/><Relationship Id="rId906" Type="http://schemas.openxmlformats.org/officeDocument/2006/relationships/hyperlink" Target="https://product.hstatic.net/200000428801/product/upload_24e5f041da5d44f2887c7efe4a322e72.jpg" TargetMode="External"/><Relationship Id="rId1329" Type="http://schemas.openxmlformats.org/officeDocument/2006/relationships/hyperlink" Target="https://product.hstatic.net/200000428801/product/upload_167916dd784b43a383f41087ee5d069a.jpg" TargetMode="External"/><Relationship Id="rId1536" Type="http://schemas.openxmlformats.org/officeDocument/2006/relationships/hyperlink" Target="https://product.hstatic.net/200000428801/product/upload_caeea999ca044294b506cb487bef5854.jpg" TargetMode="External"/><Relationship Id="rId1743" Type="http://schemas.openxmlformats.org/officeDocument/2006/relationships/hyperlink" Target="https://product.hstatic.net/200000428801/product/upload_09b9673fe34345c088f09382310ac8fe.jpg" TargetMode="External"/><Relationship Id="rId1950" Type="http://schemas.openxmlformats.org/officeDocument/2006/relationships/hyperlink" Target="https://product.hstatic.net/200000428801/product/upload_bdc63fb057a1494f826d903b8a993231.jpg" TargetMode="External"/><Relationship Id="rId35" Type="http://schemas.openxmlformats.org/officeDocument/2006/relationships/hyperlink" Target="https://cdn2-retail-images.kiotviet.vn/2025/10/03/giabaopharma/195753db42a44ac293c2d3dd2ce2741b.jpg" TargetMode="External"/><Relationship Id="rId1603" Type="http://schemas.openxmlformats.org/officeDocument/2006/relationships/hyperlink" Target="https://product.hstatic.net/200000428801/product/upload_e57dca248e104a8b8c32e22399324ad6.jpg" TargetMode="External"/><Relationship Id="rId1810" Type="http://schemas.openxmlformats.org/officeDocument/2006/relationships/hyperlink" Target="https://product.hstatic.net/200000428801/product/560_63db3d2ce24548c6b3491cd039c70a25.png" TargetMode="External"/><Relationship Id="rId3568" Type="http://schemas.openxmlformats.org/officeDocument/2006/relationships/hyperlink" Target="https://product.hstatic.net/200000428801/product/52_c78dcd32980b43b7a51c5ff0d69b6079.png" TargetMode="External"/><Relationship Id="rId3775" Type="http://schemas.openxmlformats.org/officeDocument/2006/relationships/hyperlink" Target="https://product.hstatic.net/200000428801/product/ki_16136614ca2d4794a41cd4efe1699160.jpg" TargetMode="External"/><Relationship Id="rId3982" Type="http://schemas.openxmlformats.org/officeDocument/2006/relationships/hyperlink" Target="https://product.hstatic.net/200000428801/product/clotrimazol__1__a78577230a034be496721fa3944eea22.png" TargetMode="External"/><Relationship Id="rId489" Type="http://schemas.openxmlformats.org/officeDocument/2006/relationships/hyperlink" Target="https://product.hstatic.net/200000428801/product/upload_adebc28b32c545e9862cc533c798bb33.jpg" TargetMode="External"/><Relationship Id="rId696" Type="http://schemas.openxmlformats.org/officeDocument/2006/relationships/hyperlink" Target="https://product.hstatic.net/200000428801/product/upload_70974d24c4bf4fbb8a809f907f95ae17.jpg" TargetMode="External"/><Relationship Id="rId2377" Type="http://schemas.openxmlformats.org/officeDocument/2006/relationships/hyperlink" Target="https://product.hstatic.net/200000428801/product/upload_e90be3a0d48a4fd49a1fd0b57c70a74a.jpg" TargetMode="External"/><Relationship Id="rId2584" Type="http://schemas.openxmlformats.org/officeDocument/2006/relationships/hyperlink" Target="https://product.hstatic.net/200000428801/product/upload_dd30306538704deb94c3ad34b92ffd47.jpg" TargetMode="External"/><Relationship Id="rId2791" Type="http://schemas.openxmlformats.org/officeDocument/2006/relationships/hyperlink" Target="https://product.hstatic.net/200000428801/product/upload_3d80ccf08bf14a4d97b36d538a4ae110.jpg" TargetMode="External"/><Relationship Id="rId3428" Type="http://schemas.openxmlformats.org/officeDocument/2006/relationships/hyperlink" Target="https://product.hstatic.net/200000428801/product/290929aaf20c4298a390219dd663a391_6a70729ba95e4246be3dde20c16b44a9.png" TargetMode="External"/><Relationship Id="rId3635" Type="http://schemas.openxmlformats.org/officeDocument/2006/relationships/hyperlink" Target="https://product.hstatic.net/200000428801/product/163_52d38aa6415e4091958b5cbd2d1c914d.png" TargetMode="External"/><Relationship Id="rId349" Type="http://schemas.openxmlformats.org/officeDocument/2006/relationships/hyperlink" Target="https://product.hstatic.net/200000428801/product/upload_aa9a7aad61ce4bd792e7c91b57828b99.jpg" TargetMode="External"/><Relationship Id="rId556" Type="http://schemas.openxmlformats.org/officeDocument/2006/relationships/hyperlink" Target="https://product.hstatic.net/200000428801/product/upload_c152f03e76464337ba986b96ee0db538.jpg" TargetMode="External"/><Relationship Id="rId763" Type="http://schemas.openxmlformats.org/officeDocument/2006/relationships/hyperlink" Target="https://product.hstatic.net/200000428801/product/106_0849d31bd603461faaca655ff33e533f.png" TargetMode="External"/><Relationship Id="rId1186" Type="http://schemas.openxmlformats.org/officeDocument/2006/relationships/hyperlink" Target="https://product.hstatic.net/200000428801/product/upload_bfd2112dea274fa5b65f7b19bccf4382.jpg" TargetMode="External"/><Relationship Id="rId1393" Type="http://schemas.openxmlformats.org/officeDocument/2006/relationships/hyperlink" Target="https://product.hstatic.net/200000428801/product/upload_2f6a08861fcf437abc51dc36ed7c1259.jpg" TargetMode="External"/><Relationship Id="rId2237" Type="http://schemas.openxmlformats.org/officeDocument/2006/relationships/hyperlink" Target="https://product.hstatic.net/200000428801/product/upload_a958db2a7afb4b8c9be074a626d08da8.jpg" TargetMode="External"/><Relationship Id="rId2444" Type="http://schemas.openxmlformats.org/officeDocument/2006/relationships/hyperlink" Target="https://product.hstatic.net/200000428801/product/upload_a0e6f80aed7344f882144eea5a855940.jpg" TargetMode="External"/><Relationship Id="rId3842" Type="http://schemas.openxmlformats.org/officeDocument/2006/relationships/hyperlink" Target="https://product.hstatic.net/200000428801/product/thiet_ke_khong_ten__69__f101dd99ffa7479cb7eec3df5abf6d6f.png" TargetMode="External"/><Relationship Id="rId209" Type="http://schemas.openxmlformats.org/officeDocument/2006/relationships/hyperlink" Target="https://cdn-images.kiotviet.vn/giabaopharma/d9611b36c8df49f984d978f32e777971.jpg" TargetMode="External"/><Relationship Id="rId416" Type="http://schemas.openxmlformats.org/officeDocument/2006/relationships/hyperlink" Target="https://product.hstatic.net/200000428801/product/upload_799a21df0f7242ad9c827acea9cf9d40.jpg" TargetMode="External"/><Relationship Id="rId970" Type="http://schemas.openxmlformats.org/officeDocument/2006/relationships/hyperlink" Target="https://product.hstatic.net/200000428801/product/upload_d80ffbd388154728aa03b051fd90f0b9.jpg" TargetMode="External"/><Relationship Id="rId1046" Type="http://schemas.openxmlformats.org/officeDocument/2006/relationships/hyperlink" Target="https://product.hstatic.net/200000428801/product/upload_55a2c69f72af4766abbc2455d9f75ff9.jpg" TargetMode="External"/><Relationship Id="rId1253" Type="http://schemas.openxmlformats.org/officeDocument/2006/relationships/hyperlink" Target="https://product.hstatic.net/200000428801/product/upload_60dc2787f97e46fb88a89acf9ce3c31a.jpg" TargetMode="External"/><Relationship Id="rId2651" Type="http://schemas.openxmlformats.org/officeDocument/2006/relationships/hyperlink" Target="https://product.hstatic.net/200000428801/product/upload_517019e0d02843a7878abadcfc08bfce.jpg" TargetMode="External"/><Relationship Id="rId3702" Type="http://schemas.openxmlformats.org/officeDocument/2006/relationships/hyperlink" Target="https://cdn-images.kiotviet.vn/giabaopharma/07de3b5e50434ae0b550dac6064e6bc0.jpg" TargetMode="External"/><Relationship Id="rId623" Type="http://schemas.openxmlformats.org/officeDocument/2006/relationships/hyperlink" Target="https://product.hstatic.net/200000428801/product/upload_1b12ff7d7344486695129a0b02f35675.jpg" TargetMode="External"/><Relationship Id="rId830" Type="http://schemas.openxmlformats.org/officeDocument/2006/relationships/hyperlink" Target="https://product.hstatic.net/200000428801/product/upload_244217bd96ad46bcafedbccd2e991a31.jpg" TargetMode="External"/><Relationship Id="rId1460" Type="http://schemas.openxmlformats.org/officeDocument/2006/relationships/hyperlink" Target="https://product.hstatic.net/200000428801/product/b15b8c5f1f63c33d9a72_2e2ad7d361624e99b11b23c2f582faf2.jpg" TargetMode="External"/><Relationship Id="rId2304" Type="http://schemas.openxmlformats.org/officeDocument/2006/relationships/hyperlink" Target="https://product.hstatic.net/200000428801/product/9852f689794d49379cf16a42c59b4270_a0b47061c71d42afb6cf735897986b31.png" TargetMode="External"/><Relationship Id="rId2511" Type="http://schemas.openxmlformats.org/officeDocument/2006/relationships/hyperlink" Target="https://product.hstatic.net/200000428801/product/391_0c416dbf53ba43fda64b06c31af56a4a.png" TargetMode="External"/><Relationship Id="rId1113" Type="http://schemas.openxmlformats.org/officeDocument/2006/relationships/hyperlink" Target="https://product.hstatic.net/200000428801/product/upload_709374fd92d9467cb862005c8e3d7e1f.jpg" TargetMode="External"/><Relationship Id="rId1320" Type="http://schemas.openxmlformats.org/officeDocument/2006/relationships/hyperlink" Target="https://product.hstatic.net/200000428801/product/upload_2b745a4902c74a7aa7f229c1d1fd7af9.jpg" TargetMode="External"/><Relationship Id="rId3078" Type="http://schemas.openxmlformats.org/officeDocument/2006/relationships/hyperlink" Target="https://product.hstatic.net/200000428801/product/e7ecfda76beeb6b0efff_9513951a12b64c7f8636b8d4e4f041f4.jpg" TargetMode="External"/><Relationship Id="rId3285" Type="http://schemas.openxmlformats.org/officeDocument/2006/relationships/hyperlink" Target="https://product.hstatic.net/200000428801/product/c5d5dcb03aff4d4d92e6105670af3d31_2e31f19984284a7595bb7ec694d51cc9.png" TargetMode="External"/><Relationship Id="rId3492" Type="http://schemas.openxmlformats.org/officeDocument/2006/relationships/hyperlink" Target="https://product.hstatic.net/200000428801/product/e7450c608de34779bd07f4bb508356d0_b952e9378f244214a686c1dc1a7a344c.png" TargetMode="External"/><Relationship Id="rId2094" Type="http://schemas.openxmlformats.org/officeDocument/2006/relationships/hyperlink" Target="https://product.hstatic.net/200000428801/product/upload_fec2bb3d2d384001b35c69d2ad185ab1.jpg" TargetMode="External"/><Relationship Id="rId3145" Type="http://schemas.openxmlformats.org/officeDocument/2006/relationships/hyperlink" Target="https://product.hstatic.net/200000428801/product/16e6f7a76fc04ff19355c74e30638063_3406d19782a9425e979f905c452f0cc4.png" TargetMode="External"/><Relationship Id="rId3352" Type="http://schemas.openxmlformats.org/officeDocument/2006/relationships/hyperlink" Target="https://product.hstatic.net/200000428801/product/6575d6ef42cb42fdb9734f941a242c8b_2c336baa97db4c0cb22a28fee47050c2.png" TargetMode="External"/><Relationship Id="rId273" Type="http://schemas.openxmlformats.org/officeDocument/2006/relationships/hyperlink" Target="https://cdn2-retail-images.kiotviet.vn/2025/03/15/giabaopharma/dea53fc15dc24f1fb0327e9d5ce6d353.jpg" TargetMode="External"/><Relationship Id="rId480" Type="http://schemas.openxmlformats.org/officeDocument/2006/relationships/hyperlink" Target="https://product.hstatic.net/200000428801/product/upload_81831fd57e9f4dea9653db3f3d35134e.jpg" TargetMode="External"/><Relationship Id="rId2161" Type="http://schemas.openxmlformats.org/officeDocument/2006/relationships/hyperlink" Target="https://product.hstatic.net/200000428801/product/500_c3fc139b8ead4c7789ac351d8c12ab4f.png" TargetMode="External"/><Relationship Id="rId3005" Type="http://schemas.openxmlformats.org/officeDocument/2006/relationships/hyperlink" Target="https://product.hstatic.net/200000428801/product/upload_c1dd6d1ffb6747d78264ff40ef790877.jpg" TargetMode="External"/><Relationship Id="rId3212" Type="http://schemas.openxmlformats.org/officeDocument/2006/relationships/hyperlink" Target="https://product.hstatic.net/200000428801/product/8676dc93719a4bd0a0378b188d632486_8339e6aa6c714767b0074b111026c44f.png" TargetMode="External"/><Relationship Id="rId133" Type="http://schemas.openxmlformats.org/officeDocument/2006/relationships/hyperlink" Target="https://cdn2-retail-images.kiotviet.vn/2025/03/12/giabaopharma/09e3a293838748bfa22e7a4302f20312.jpg,https:/cdn2-retail-images.kiotviet.vn/2025/03/12/giabaopharma/88cfd380e4c9487baa012cee07be5e59.jpg" TargetMode="External"/><Relationship Id="rId340" Type="http://schemas.openxmlformats.org/officeDocument/2006/relationships/hyperlink" Target="https://product.hstatic.net/200000428801/product/45_435862a02a0b42f3b61f0f7c78423068.png" TargetMode="External"/><Relationship Id="rId2021" Type="http://schemas.openxmlformats.org/officeDocument/2006/relationships/hyperlink" Target="https://product.hstatic.net/200000428801/product/511_54845da2f67943bea40c467b2e7fd004.png" TargetMode="External"/><Relationship Id="rId200" Type="http://schemas.openxmlformats.org/officeDocument/2006/relationships/hyperlink" Target="https://cdn2-retail-images.kiotviet.vn/2025/02/25/giabaopharma/a86faeefd85a43a0832d5eddf100f8cc.jpg" TargetMode="External"/><Relationship Id="rId2978" Type="http://schemas.openxmlformats.org/officeDocument/2006/relationships/hyperlink" Target="https://product.hstatic.net/200000428801/product/46_33274fac21b948c4bfb1afcd25bb16f8.png" TargetMode="External"/><Relationship Id="rId1787" Type="http://schemas.openxmlformats.org/officeDocument/2006/relationships/hyperlink" Target="https://product.hstatic.net/200000428801/product/eed30b6572b041cc953d80f3467006c2_076834d094484027ba735abe6dd4d1e4.jpg" TargetMode="External"/><Relationship Id="rId1994" Type="http://schemas.openxmlformats.org/officeDocument/2006/relationships/hyperlink" Target="https://product.hstatic.net/200000428801/product/upload_ed399039d2c745819c56ace0561e0317.jpg" TargetMode="External"/><Relationship Id="rId2838" Type="http://schemas.openxmlformats.org/officeDocument/2006/relationships/hyperlink" Target="https://product.hstatic.net/200000428801/product/upload_f895ebe659d043fb82ed74dcf5b10cdb.jpg" TargetMode="External"/><Relationship Id="rId79" Type="http://schemas.openxmlformats.org/officeDocument/2006/relationships/hyperlink" Target="https://i.postimg.cc/Bvpvch9y/22c5725cd6fa43588cfbcfa4ea23b351.jpg" TargetMode="External"/><Relationship Id="rId1647" Type="http://schemas.openxmlformats.org/officeDocument/2006/relationships/hyperlink" Target="https://product.hstatic.net/200000428801/product/upload_64714f733f0b47ffab3d28dd8138fff6.jpg" TargetMode="External"/><Relationship Id="rId1854" Type="http://schemas.openxmlformats.org/officeDocument/2006/relationships/hyperlink" Target="https://product.hstatic.net/200000428801/product/upload_934512a921af4bccabc917d59561e0e7.jpg" TargetMode="External"/><Relationship Id="rId2905" Type="http://schemas.openxmlformats.org/officeDocument/2006/relationships/hyperlink" Target="https://product.hstatic.net/200000428801/product/upload_8012b5f63b974dab864db2b9048f9bf1.jpg" TargetMode="External"/><Relationship Id="rId4053" Type="http://schemas.openxmlformats.org/officeDocument/2006/relationships/hyperlink" Target="https://cdn2-retail-images.kiotviet.vn/2026/03/07/giabaopharma/10731d2a6d704a23ba345438a52ae007.jpg" TargetMode="External"/><Relationship Id="rId1507" Type="http://schemas.openxmlformats.org/officeDocument/2006/relationships/hyperlink" Target="https://product.hstatic.net/200000428801/product/upload_8532590571ab4d70974677279be80a3f.jpg" TargetMode="External"/><Relationship Id="rId1714" Type="http://schemas.openxmlformats.org/officeDocument/2006/relationships/hyperlink" Target="https://product.hstatic.net/200000428801/product/upload_ca80fa89d1b14320a7e7808eefdd806c.jpg" TargetMode="External"/><Relationship Id="rId1921" Type="http://schemas.openxmlformats.org/officeDocument/2006/relationships/hyperlink" Target="https://product.hstatic.net/200000428801/product/upload_9fb2f13e23be4b2aade057bf23182996.jpg" TargetMode="External"/><Relationship Id="rId3679" Type="http://schemas.openxmlformats.org/officeDocument/2006/relationships/hyperlink" Target="https://product.hstatic.net/200000428801/product/zalo_screenshot_18_11_2021_9150_230d4e75048c42f38c4739fcbf23c7b5.png" TargetMode="External"/><Relationship Id="rId2488" Type="http://schemas.openxmlformats.org/officeDocument/2006/relationships/hyperlink" Target="https://product.hstatic.net/200000428801/product/397_f2685a1c3d4748ddbb32a27cb430cfbf.png" TargetMode="External"/><Relationship Id="rId3886" Type="http://schemas.openxmlformats.org/officeDocument/2006/relationships/hyperlink" Target="https://product.hstatic.net/200000428801/product/zalo_screenshot_18_11_2021_742201_bf3adef12d9049bfbe94ea16f953b2d5.png" TargetMode="External"/><Relationship Id="rId1297" Type="http://schemas.openxmlformats.org/officeDocument/2006/relationships/hyperlink" Target="https://product.hstatic.net/200000428801/product/upload_7dbe90bbc5334952b4f9647cd110e291.jpg" TargetMode="External"/><Relationship Id="rId2695" Type="http://schemas.openxmlformats.org/officeDocument/2006/relationships/hyperlink" Target="https://product.hstatic.net/200000428801/product/upload_fe593266521245f58e4d17fa75af3411.jpg" TargetMode="External"/><Relationship Id="rId3539" Type="http://schemas.openxmlformats.org/officeDocument/2006/relationships/hyperlink" Target="https://cdn-images.kiotviet.vn/2025/08/15/giabaopharma/1a07f083eb9f40f79780ec41609d8b98.jpg" TargetMode="External"/><Relationship Id="rId3746" Type="http://schemas.openxmlformats.org/officeDocument/2006/relationships/hyperlink" Target="https://product.hstatic.net/200000428801/product/300388db7dbbb7e5eeaa_df960ace41674526a3c309ef36291224.jpg" TargetMode="External"/><Relationship Id="rId3953" Type="http://schemas.openxmlformats.org/officeDocument/2006/relationships/hyperlink" Target="https://product.hstatic.net/200000428801/product/thiet_ke_khong_ten__54__c41d62cdbfd9423ea238db897d04ea1c.png" TargetMode="External"/><Relationship Id="rId667" Type="http://schemas.openxmlformats.org/officeDocument/2006/relationships/hyperlink" Target="https://product.hstatic.net/200000428801/product/upload_07a80b19d1164fe292082b50c2654a7c.jpg" TargetMode="External"/><Relationship Id="rId874" Type="http://schemas.openxmlformats.org/officeDocument/2006/relationships/hyperlink" Target="https://product.hstatic.net/200000428801/product/upload_c7b8853653124d6eb79a259b9a540344.jpg" TargetMode="External"/><Relationship Id="rId2348" Type="http://schemas.openxmlformats.org/officeDocument/2006/relationships/hyperlink" Target="https://product.hstatic.net/200000428801/product/473_3a6b348705d74a45a00ab33d3026a9bf.png" TargetMode="External"/><Relationship Id="rId2555" Type="http://schemas.openxmlformats.org/officeDocument/2006/relationships/hyperlink" Target="https://product.hstatic.net/200000428801/product/upload_ef2fc5531ecd4a59b69dc13987f5f36c.jpg" TargetMode="External"/><Relationship Id="rId2762" Type="http://schemas.openxmlformats.org/officeDocument/2006/relationships/hyperlink" Target="https://product.hstatic.net/200000428801/product/upload_2f88fcaf6a1a419da1911ec4f8e9bc52.jpg" TargetMode="External"/><Relationship Id="rId3606" Type="http://schemas.openxmlformats.org/officeDocument/2006/relationships/hyperlink" Target="https://product.hstatic.net/200000428801/product/zalo_screenshot_20_11_2021_718723_8e6f70816da64ae5960db5a273c5f8f8.png" TargetMode="External"/><Relationship Id="rId3813" Type="http://schemas.openxmlformats.org/officeDocument/2006/relationships/hyperlink" Target="https://product.hstatic.net/200000428801/product/af1d6e8e0e93cccd9582_993a3c4f62da410cb1f8ff219497c389.jpg" TargetMode="External"/><Relationship Id="rId527" Type="http://schemas.openxmlformats.org/officeDocument/2006/relationships/hyperlink" Target="https://product.hstatic.net/200000428801/product/upload_f7efb5027f9746b9ae656a921a5ef86f.jpg" TargetMode="External"/><Relationship Id="rId734" Type="http://schemas.openxmlformats.org/officeDocument/2006/relationships/hyperlink" Target="https://product.hstatic.net/200000428801/product/upload_3371b53062574e3a8368a2882b4a7a96.jpg" TargetMode="External"/><Relationship Id="rId941" Type="http://schemas.openxmlformats.org/officeDocument/2006/relationships/hyperlink" Target="https://product.hstatic.net/200000428801/product/upload_1f6736f9ef0642588013bfab634f4581.jpg" TargetMode="External"/><Relationship Id="rId1157" Type="http://schemas.openxmlformats.org/officeDocument/2006/relationships/hyperlink" Target="https://product.hstatic.net/200000428801/product/upload_97dc92e91b1b4846bbcf86e605287043.jpg" TargetMode="External"/><Relationship Id="rId1364" Type="http://schemas.openxmlformats.org/officeDocument/2006/relationships/hyperlink" Target="https://product.hstatic.net/200000428801/product/upload_50ff4ef52d804e889592dcc6b1cf9960.jpg" TargetMode="External"/><Relationship Id="rId1571" Type="http://schemas.openxmlformats.org/officeDocument/2006/relationships/hyperlink" Target="https://product.hstatic.net/200000428801/product/upload_95d0e2973e4a4173ae37abe92a7b8100.jpg" TargetMode="External"/><Relationship Id="rId2208" Type="http://schemas.openxmlformats.org/officeDocument/2006/relationships/hyperlink" Target="https://product.hstatic.net/200000428801/product/upload_ebf85d447060460ea8114db56a8d06b0.jpg" TargetMode="External"/><Relationship Id="rId2415" Type="http://schemas.openxmlformats.org/officeDocument/2006/relationships/hyperlink" Target="https://product.hstatic.net/200000428801/product/410_ba4241c75ce44622a17bdd71b7d99687.png" TargetMode="External"/><Relationship Id="rId2622" Type="http://schemas.openxmlformats.org/officeDocument/2006/relationships/hyperlink" Target="https://product.hstatic.net/200000428801/product/upload_54391f8cb88448bc83e0cb390376802a.jpg" TargetMode="External"/><Relationship Id="rId70" Type="http://schemas.openxmlformats.org/officeDocument/2006/relationships/hyperlink" Target="https://i.postimg.cc/9fh4BR42/cb56253e5556490894e7afe8f4fc6b6d.jpg" TargetMode="External"/><Relationship Id="rId801" Type="http://schemas.openxmlformats.org/officeDocument/2006/relationships/hyperlink" Target="https://product.hstatic.net/200000428801/product/upload_d1a3b1dd2b42480e8c4e58123f915710.jpg" TargetMode="External"/><Relationship Id="rId1017" Type="http://schemas.openxmlformats.org/officeDocument/2006/relationships/hyperlink" Target="https://product.hstatic.net/200000428801/product/upload_228a9391956f4c8db43b0f2f4fa2a3d0.jpg" TargetMode="External"/><Relationship Id="rId1224" Type="http://schemas.openxmlformats.org/officeDocument/2006/relationships/hyperlink" Target="https://product.hstatic.net/200000428801/product/upload_dfc87c4b4c16453cae1c85ef28ea81e8.jpg" TargetMode="External"/><Relationship Id="rId1431" Type="http://schemas.openxmlformats.org/officeDocument/2006/relationships/hyperlink" Target="https://product.hstatic.net/200000428801/product/upload_4524e2c8a8774429a30a40f55e8c5f7a.jpg" TargetMode="External"/><Relationship Id="rId3189" Type="http://schemas.openxmlformats.org/officeDocument/2006/relationships/hyperlink" Target="https://product.hstatic.net/200000428801/product/3ac74f3ba43c4e3286cd60c311e97201_5dbfb3e821fe4e69b81a17c7eecaa8eb.png" TargetMode="External"/><Relationship Id="rId3396" Type="http://schemas.openxmlformats.org/officeDocument/2006/relationships/hyperlink" Target="https://product.hstatic.net/200000428801/product/8290ea1066c7422da53211554d585b67_2c16e161efd34a4abe084b3b77dfd675.png" TargetMode="External"/><Relationship Id="rId3049" Type="http://schemas.openxmlformats.org/officeDocument/2006/relationships/hyperlink" Target="https://product.hstatic.net/200000428801/product/upload_4af03afefce6483399b4a6849a1cf58c.jpg" TargetMode="External"/><Relationship Id="rId3256" Type="http://schemas.openxmlformats.org/officeDocument/2006/relationships/hyperlink" Target="https://cdn2-retail-images.kiotviet.vn/2025/12/11/giabaopharma/c34757fda6bc4580a837eb2790276f9a.jpg" TargetMode="External"/><Relationship Id="rId3463" Type="http://schemas.openxmlformats.org/officeDocument/2006/relationships/hyperlink" Target="https://product.hstatic.net/200000428801/product/7684f3abf7f348c2949632e532efd833_61bbfbf1ab3f404b9a75560bda1497ec.png" TargetMode="External"/><Relationship Id="rId177" Type="http://schemas.openxmlformats.org/officeDocument/2006/relationships/hyperlink" Target="https://cdn-images.kiotviet.vn/2024/12/17/giabaopharma/e355fcf8ab4848ed94cf766d1858f3c8.jpg" TargetMode="External"/><Relationship Id="rId384" Type="http://schemas.openxmlformats.org/officeDocument/2006/relationships/hyperlink" Target="https://product.hstatic.net/200000428801/product/a5aab60cde4819164059_042e2c97aafa4c28b52ebb4846f49d9d.jpg" TargetMode="External"/><Relationship Id="rId591" Type="http://schemas.openxmlformats.org/officeDocument/2006/relationships/hyperlink" Target="https://product.hstatic.net/200000428801/product/upload_ab946f618dcc481188246c44b0998ce9.jpg" TargetMode="External"/><Relationship Id="rId2065" Type="http://schemas.openxmlformats.org/officeDocument/2006/relationships/hyperlink" Target="https://product.hstatic.net/200000428801/product/upload_ce3edc79a5284d3cb02bab0430aeb995.jpg" TargetMode="External"/><Relationship Id="rId2272" Type="http://schemas.openxmlformats.org/officeDocument/2006/relationships/hyperlink" Target="https://product.hstatic.net/200000428801/product/upload_427bbaee071a4485ac79e346ac40dcdd.jpg" TargetMode="External"/><Relationship Id="rId3116" Type="http://schemas.openxmlformats.org/officeDocument/2006/relationships/hyperlink" Target="https://product.hstatic.net/200000428801/product/5633c5678e7742a593d3c2f18aa2a21c_2c310f203f124fc1b8c7c9f96d9c7ba3.png" TargetMode="External"/><Relationship Id="rId3670" Type="http://schemas.openxmlformats.org/officeDocument/2006/relationships/hyperlink" Target="https://cdn2-retail-images.kiotviet.vn/2026/03/07/giabaopharma/d0010d06c0584bd5ac5b4e6eeb41aadc.jpg" TargetMode="External"/><Relationship Id="rId244" Type="http://schemas.openxmlformats.org/officeDocument/2006/relationships/hyperlink" Target="https://cdn2-retail-images.kiotviet.vn/giabaopharma/1d0e0b050dc34fa48a1b155537bb6ca6.jpg" TargetMode="External"/><Relationship Id="rId1081" Type="http://schemas.openxmlformats.org/officeDocument/2006/relationships/hyperlink" Target="https://product.hstatic.net/200000428801/product/upload_f04d14dd3853483fb404d225280d9726.jpg" TargetMode="External"/><Relationship Id="rId3323" Type="http://schemas.openxmlformats.org/officeDocument/2006/relationships/hyperlink" Target="https://product.hstatic.net/200000428801/product/f7c7948e3c154dda9350aa8539c1a761_caf63fddf4784686986d5ddcda04711a.png" TargetMode="External"/><Relationship Id="rId3530" Type="http://schemas.openxmlformats.org/officeDocument/2006/relationships/hyperlink" Target="https://product.hstatic.net/200000428801/product/f38723184faa83f4dabb_c589f6c6d5854ceaa3a627ab55292c5e.jpg" TargetMode="External"/><Relationship Id="rId451" Type="http://schemas.openxmlformats.org/officeDocument/2006/relationships/hyperlink" Target="https://product.hstatic.net/200000428801/product/05a39f64fb97428fbdba2dbc91177c2a_f3c27adb8cba4592ad1bfc07a9e216e3.jpg" TargetMode="External"/><Relationship Id="rId2132" Type="http://schemas.openxmlformats.org/officeDocument/2006/relationships/hyperlink" Target="https://product.hstatic.net/200000428801/product/upload_a90b05968000409a9970bc2894e6b94a.jpg" TargetMode="External"/><Relationship Id="rId104" Type="http://schemas.openxmlformats.org/officeDocument/2006/relationships/hyperlink" Target="https://cdn2-retail-images.kiotviet.vn/2025/04/05/giabaopharma/93ebcb1067794141bd1d9c89a5d35eb1.jpg" TargetMode="External"/><Relationship Id="rId311" Type="http://schemas.openxmlformats.org/officeDocument/2006/relationships/hyperlink" Target="https://product.hstatic.net/200000428801/product/upload_e8a822c33ae04d6184c84ec78398a91e.jpg" TargetMode="External"/><Relationship Id="rId1898" Type="http://schemas.openxmlformats.org/officeDocument/2006/relationships/hyperlink" Target="https://product.hstatic.net/200000428801/product/547_487ee1e9429e416b805e941df17521ae.png" TargetMode="External"/><Relationship Id="rId2949" Type="http://schemas.openxmlformats.org/officeDocument/2006/relationships/hyperlink" Target="https://product.hstatic.net/200000428801/product/upload_9d8acf25bda549b09169949c6800e321.jpg" TargetMode="External"/><Relationship Id="rId1758" Type="http://schemas.openxmlformats.org/officeDocument/2006/relationships/hyperlink" Target="https://product.hstatic.net/200000428801/product/upload_cd355a34778a4af3921bea6562d31b8d.jpg" TargetMode="External"/><Relationship Id="rId2809" Type="http://schemas.openxmlformats.org/officeDocument/2006/relationships/hyperlink" Target="https://product.hstatic.net/200000428801/product/366_44ce13c002cb455384bce62d746477c1.png" TargetMode="External"/><Relationship Id="rId1965" Type="http://schemas.openxmlformats.org/officeDocument/2006/relationships/hyperlink" Target="https://product.hstatic.net/200000428801/product/upload_7479bbb1231849b5a73fe584dab230fa.jpg" TargetMode="External"/><Relationship Id="rId3180" Type="http://schemas.openxmlformats.org/officeDocument/2006/relationships/hyperlink" Target="https://product.hstatic.net/200000428801/product/07647a58666f44779ea1514ce98a8a4e_0b4b871f35fc44cbbcb4b6fb1ae957e6.jpg" TargetMode="External"/><Relationship Id="rId4024" Type="http://schemas.openxmlformats.org/officeDocument/2006/relationships/hyperlink" Target="https://product.hstatic.net/200000428801/product/3e6dcc85afb76ce935a6_80799a24da9f4a9b82a8fe34c185b0aa.jpg" TargetMode="External"/><Relationship Id="rId1618" Type="http://schemas.openxmlformats.org/officeDocument/2006/relationships/hyperlink" Target="https://product.hstatic.net/200000428801/product/upload_26347b64a0214d3fbb6e78e44c9f9af9.jpg" TargetMode="External"/><Relationship Id="rId1825" Type="http://schemas.openxmlformats.org/officeDocument/2006/relationships/hyperlink" Target="https://product.hstatic.net/200000428801/product/upload_f18640e090994c45ab8db6936e3e945d.jpg" TargetMode="External"/><Relationship Id="rId3040" Type="http://schemas.openxmlformats.org/officeDocument/2006/relationships/hyperlink" Target="https://product.hstatic.net/200000428801/product/upload_8a375f8b3b6d4380a7cb7e62901569cb.jpg" TargetMode="External"/><Relationship Id="rId3997" Type="http://schemas.openxmlformats.org/officeDocument/2006/relationships/hyperlink" Target="https://product.hstatic.net/200000428801/product/zalo_screenshot_20_11_2021_636423_52d6c269177544d2b10dd22ad6ee9109.png" TargetMode="External"/><Relationship Id="rId2599" Type="http://schemas.openxmlformats.org/officeDocument/2006/relationships/hyperlink" Target="https://product.hstatic.net/200000428801/product/upload_b9317e79ed42405391d694e9b2e18f2b.jpg" TargetMode="External"/><Relationship Id="rId3857" Type="http://schemas.openxmlformats.org/officeDocument/2006/relationships/hyperlink" Target="https://product.hstatic.net/200000428801/product/59df3acf233eed60b42f_b5e95f3b5d344500aa0e21c10256131b.jpg" TargetMode="External"/><Relationship Id="rId778" Type="http://schemas.openxmlformats.org/officeDocument/2006/relationships/hyperlink" Target="https://product.hstatic.net/200000428801/product/upload_e03f94fbf08741998f5bf3ce256373d9.jpg" TargetMode="External"/><Relationship Id="rId985" Type="http://schemas.openxmlformats.org/officeDocument/2006/relationships/hyperlink" Target="https://product.hstatic.net/200000428801/product/97_d83a39bfbf5d4f83bfe7e7a8022ccca9.png" TargetMode="External"/><Relationship Id="rId2459" Type="http://schemas.openxmlformats.org/officeDocument/2006/relationships/hyperlink" Target="https://product.hstatic.net/200000428801/product/upload_7eafe769236b4544b7f46138cfb245e5.jpg" TargetMode="External"/><Relationship Id="rId2666" Type="http://schemas.openxmlformats.org/officeDocument/2006/relationships/hyperlink" Target="https://product.hstatic.net/200000428801/product/upload_8deab2dcbaa04121a587031984d32dc9.jpg" TargetMode="External"/><Relationship Id="rId2873" Type="http://schemas.openxmlformats.org/officeDocument/2006/relationships/hyperlink" Target="https://product.hstatic.net/200000428801/product/upload_a3f74bac78d34d80aeaf564a085858e2.jpg" TargetMode="External"/><Relationship Id="rId3717" Type="http://schemas.openxmlformats.org/officeDocument/2006/relationships/hyperlink" Target="https://cdn-images.kiotviet.vn/2025/09/17/giabaopharma/022b09921000485b835be65c29270c91.jpg" TargetMode="External"/><Relationship Id="rId3924" Type="http://schemas.openxmlformats.org/officeDocument/2006/relationships/hyperlink" Target="https://product.hstatic.net/200000428801/product/5_c979d0a8fb074208a741e45d1cd645a5.png" TargetMode="External"/><Relationship Id="rId638" Type="http://schemas.openxmlformats.org/officeDocument/2006/relationships/hyperlink" Target="https://product.hstatic.net/200000428801/product/upload_6605fc6cbdf448d39fac53b6d732aaad.jpg" TargetMode="External"/><Relationship Id="rId845" Type="http://schemas.openxmlformats.org/officeDocument/2006/relationships/hyperlink" Target="https://product.hstatic.net/200000428801/product/upload_edbccd8a5bf24cd48daabf406dbd6a33.jpg" TargetMode="External"/><Relationship Id="rId1268" Type="http://schemas.openxmlformats.org/officeDocument/2006/relationships/hyperlink" Target="https://product.hstatic.net/200000428801/product/upload_3ac4c3c2eac640278adf8f1bab650855.jpg" TargetMode="External"/><Relationship Id="rId1475" Type="http://schemas.openxmlformats.org/officeDocument/2006/relationships/hyperlink" Target="https://product.hstatic.net/200000428801/product/upload_2ab2dfa70e4240b4b57345532623e2b2.jpg" TargetMode="External"/><Relationship Id="rId1682" Type="http://schemas.openxmlformats.org/officeDocument/2006/relationships/hyperlink" Target="https://product.hstatic.net/200000428801/product/upload_90d3bde7d2504d158fc9037091a864dc.jpg" TargetMode="External"/><Relationship Id="rId2319" Type="http://schemas.openxmlformats.org/officeDocument/2006/relationships/hyperlink" Target="https://product.hstatic.net/200000428801/product/upload_e6494e12a56742b3b85423e90972d4bb.jpg" TargetMode="External"/><Relationship Id="rId2526" Type="http://schemas.openxmlformats.org/officeDocument/2006/relationships/hyperlink" Target="https://product.hstatic.net/200000428801/product/upload_e901615b4ad94939ba2676afa67602c8.jpg" TargetMode="External"/><Relationship Id="rId2733" Type="http://schemas.openxmlformats.org/officeDocument/2006/relationships/hyperlink" Target="https://product.hstatic.net/200000428801/product/372_6db1ddfae06848a785fac9e7ad642fb4.png" TargetMode="External"/><Relationship Id="rId705" Type="http://schemas.openxmlformats.org/officeDocument/2006/relationships/hyperlink" Target="https://product.hstatic.net/200000428801/product/upload_8f27ae20d2e04484839dde01629e4a06.jpg" TargetMode="External"/><Relationship Id="rId1128" Type="http://schemas.openxmlformats.org/officeDocument/2006/relationships/hyperlink" Target="https://cdn-images.kiotviet.vn/giabaopharma/6913d3469dbc48f7b7e5d312ccd82f01.jpg" TargetMode="External"/><Relationship Id="rId1335" Type="http://schemas.openxmlformats.org/officeDocument/2006/relationships/hyperlink" Target="https://product.hstatic.net/200000428801/product/upload_624b674b1b8b49aea4784d44ebccd0f8.jpg" TargetMode="External"/><Relationship Id="rId1542" Type="http://schemas.openxmlformats.org/officeDocument/2006/relationships/hyperlink" Target="https://product.hstatic.net/200000428801/product/upload_6df58768533240d4bda9e4bf7f7c7168.jpg" TargetMode="External"/><Relationship Id="rId2940" Type="http://schemas.openxmlformats.org/officeDocument/2006/relationships/hyperlink" Target="https://product.hstatic.net/200000428801/product/upload_278fc0db88f44d0aab168f0958c6c66c.jpg" TargetMode="External"/><Relationship Id="rId912" Type="http://schemas.openxmlformats.org/officeDocument/2006/relationships/hyperlink" Target="https://product.hstatic.net/200000428801/product/99_778225475cc14dd1b671b5172da25410.png" TargetMode="External"/><Relationship Id="rId2800" Type="http://schemas.openxmlformats.org/officeDocument/2006/relationships/hyperlink" Target="https://product.hstatic.net/200000428801/product/upload_4179265bb10042108814959617fd638d.jpg" TargetMode="External"/><Relationship Id="rId41" Type="http://schemas.openxmlformats.org/officeDocument/2006/relationships/hyperlink" Target="https://cdn2-retail-images.kiotviet.vn/2025/10/22/giabaopharma/61b76708db6a49188a22a86ec7050aa6.png" TargetMode="External"/><Relationship Id="rId1402" Type="http://schemas.openxmlformats.org/officeDocument/2006/relationships/hyperlink" Target="https://product.hstatic.net/200000428801/product/upload_a88f3369e8164f98815256fee1c0cc3e.jpg" TargetMode="External"/><Relationship Id="rId288" Type="http://schemas.openxmlformats.org/officeDocument/2006/relationships/hyperlink" Target="https://cdn2-retail-images.kiotviet.vn/2025/11/03/giabaopharma/a22fac05093646a688a45dca8ab653c6.png" TargetMode="External"/><Relationship Id="rId3367" Type="http://schemas.openxmlformats.org/officeDocument/2006/relationships/hyperlink" Target="https://product.hstatic.net/200000428801/product/dc57f9f9ff87479cae25bbffabfbc835_acb365673e434103a262649c9d226414.png" TargetMode="External"/><Relationship Id="rId3574" Type="http://schemas.openxmlformats.org/officeDocument/2006/relationships/hyperlink" Target="https://product.hstatic.net/200000428801/product/964544e9bcf478aa21e5_e57df4bd23a646d28d009655f4ed5985.jpg" TargetMode="External"/><Relationship Id="rId3781" Type="http://schemas.openxmlformats.org/officeDocument/2006/relationships/hyperlink" Target="https://product.hstatic.net/200000428801/product/_1000x1000__eucatol_new_5514850c25704a25805ec38ae0024b3b.jpg" TargetMode="External"/><Relationship Id="rId495" Type="http://schemas.openxmlformats.org/officeDocument/2006/relationships/hyperlink" Target="https://product.hstatic.net/200000428801/product/upload_252a5db40eb04502839a2caf35ad5517.jpg" TargetMode="External"/><Relationship Id="rId2176" Type="http://schemas.openxmlformats.org/officeDocument/2006/relationships/hyperlink" Target="https://product.hstatic.net/200000428801/product/upload_fb995c2a0c604002af39e17dd8e59cc0.jpg" TargetMode="External"/><Relationship Id="rId2383" Type="http://schemas.openxmlformats.org/officeDocument/2006/relationships/hyperlink" Target="https://product.hstatic.net/200000428801/product/upload_7717c3740b14484da42b124e1d598368.jpg" TargetMode="External"/><Relationship Id="rId2590" Type="http://schemas.openxmlformats.org/officeDocument/2006/relationships/hyperlink" Target="https://product.hstatic.net/200000428801/product/upload_736e3da8b3ce4f61a99268ce91c620c0.jpg" TargetMode="External"/><Relationship Id="rId3227" Type="http://schemas.openxmlformats.org/officeDocument/2006/relationships/hyperlink" Target="https://product.hstatic.net/200000428801/product/8394315770d34eec8ef825b113691610_2a2195eff62248a0aafa54fab5eca3f9.png" TargetMode="External"/><Relationship Id="rId3434" Type="http://schemas.openxmlformats.org/officeDocument/2006/relationships/hyperlink" Target="https://product.hstatic.net/200000428801/product/9f7f5414ecf24643a5ad169a248bb530_86b1fdbf62d0447abeb26fe4422407a9.png" TargetMode="External"/><Relationship Id="rId3641" Type="http://schemas.openxmlformats.org/officeDocument/2006/relationships/hyperlink" Target="https://product.hstatic.net/200000428801/product/zalo_screenshot_18_11_2021_95223_41f85a6eba194b12b9707cecdc4ed2c9.png" TargetMode="External"/><Relationship Id="rId148" Type="http://schemas.openxmlformats.org/officeDocument/2006/relationships/hyperlink" Target="https://cdn2-retail-images.kiotviet.vn/2025/02/17/giabaopharma/4747349907184b45aad2a5275616c9b4.jpg" TargetMode="External"/><Relationship Id="rId355" Type="http://schemas.openxmlformats.org/officeDocument/2006/relationships/hyperlink" Target="https://product.hstatic.net/200000428801/product/upload_5cb4aedcb27c4ca7bcaa8f5d117a0c0b.jpg" TargetMode="External"/><Relationship Id="rId562" Type="http://schemas.openxmlformats.org/officeDocument/2006/relationships/hyperlink" Target="https://product.hstatic.net/200000428801/product/upload_8aaea976596e4687ac5ae1366914d258.jpg" TargetMode="External"/><Relationship Id="rId1192" Type="http://schemas.openxmlformats.org/officeDocument/2006/relationships/hyperlink" Target="https://product.hstatic.net/200000428801/product/upload_e2525ae17a894e2092f592c763ead61e.jpg" TargetMode="External"/><Relationship Id="rId2036" Type="http://schemas.openxmlformats.org/officeDocument/2006/relationships/hyperlink" Target="https://product.hstatic.net/200000428801/product/upload_023fc5482e8b4182bd7b8841179d70eb.jpg" TargetMode="External"/><Relationship Id="rId2243" Type="http://schemas.openxmlformats.org/officeDocument/2006/relationships/hyperlink" Target="https://product.hstatic.net/200000428801/product/upload_7d31019e2ac34003957e8c6f1a4c5123.jpg" TargetMode="External"/><Relationship Id="rId2450" Type="http://schemas.openxmlformats.org/officeDocument/2006/relationships/hyperlink" Target="https://product.hstatic.net/200000428801/product/419_0201c0d50ebf40e29ab17fb0dc27a4f5.png" TargetMode="External"/><Relationship Id="rId3501" Type="http://schemas.openxmlformats.org/officeDocument/2006/relationships/hyperlink" Target="https://product.hstatic.net/200000428801/product/a1c59da971e84bd781c0be31b5baf7d9_fc5ff31a32494fe9af634a553ef0049f.png" TargetMode="External"/><Relationship Id="rId215" Type="http://schemas.openxmlformats.org/officeDocument/2006/relationships/hyperlink" Target="https://cdn2-retail-images.kiotviet.vn/giabaopharma/9396f41a42924c9584aab00ed9fd5e06.jpg,https:/cdn2-retail-images.kiotviet.vn/giabaopharma/8a22d5a8dfcb49b5bcf2a60b734d4df3.jpg,https:/cdn2-retail-images.kiotviet.vn/giabaopharma/2039b4d9d3b74c9a9271e6f788fb230e.jpg,https:/cdn2-retail-images.kiotviet.vn/giabaopharma/861314a749ce47b4be2d2d48596b2931.jpg,https:/cdn2-retail-images.kiotviet.vn/giabaopharma/fb3653dfa2bd44008cc9c564e8ae8254.jpg" TargetMode="External"/><Relationship Id="rId422" Type="http://schemas.openxmlformats.org/officeDocument/2006/relationships/hyperlink" Target="https://product.hstatic.net/200000428801/product/upload_36c80c56df6e4f9594cecb82009c56a2.jpg" TargetMode="External"/><Relationship Id="rId1052" Type="http://schemas.openxmlformats.org/officeDocument/2006/relationships/hyperlink" Target="https://product.hstatic.net/200000428801/product/upload_bc76f5dda67c4257b0b3d70978039d12.jpg" TargetMode="External"/><Relationship Id="rId2103" Type="http://schemas.openxmlformats.org/officeDocument/2006/relationships/hyperlink" Target="https://product.hstatic.net/200000428801/product/upload_ca45523e358345dda00305c3ae2b40c8.jpg" TargetMode="External"/><Relationship Id="rId2310" Type="http://schemas.openxmlformats.org/officeDocument/2006/relationships/hyperlink" Target="https://product.hstatic.net/200000428801/product/upload_54159622d76d4c35b2e746027ebfe655.jpg" TargetMode="External"/><Relationship Id="rId1869" Type="http://schemas.openxmlformats.org/officeDocument/2006/relationships/hyperlink" Target="https://product.hstatic.net/200000428801/product/upload_d86d8018fea14330bf0646eec0c03aa2.jpg" TargetMode="External"/><Relationship Id="rId3084" Type="http://schemas.openxmlformats.org/officeDocument/2006/relationships/hyperlink" Target="https://product.hstatic.net/200000428801/product/03bd8e4306e047c3bca399a266634ca1_f3aee668b5904d328172056c03cfd156.png" TargetMode="External"/><Relationship Id="rId3291" Type="http://schemas.openxmlformats.org/officeDocument/2006/relationships/hyperlink" Target="https://product.hstatic.net/200000428801/product/9112263e8a8e4524b2b5bb44a21302dd_fe778f508dc84264933469b2ae68ba3a.png" TargetMode="External"/><Relationship Id="rId1729" Type="http://schemas.openxmlformats.org/officeDocument/2006/relationships/hyperlink" Target="https://product.hstatic.net/200000428801/product/upload_3d451898380b47fcb4ff5b0bea440e0e.jpg" TargetMode="External"/><Relationship Id="rId1936" Type="http://schemas.openxmlformats.org/officeDocument/2006/relationships/hyperlink" Target="https://product.hstatic.net/200000428801/product/upload_6fde7223df3f46bc82717d7de5fae533.jpg" TargetMode="External"/><Relationship Id="rId3151" Type="http://schemas.openxmlformats.org/officeDocument/2006/relationships/hyperlink" Target="https://product.hstatic.net/200000428801/product/4ffcae4b39a54e83b8bc614beb302e9d_db5ffb73bbd14dd99f471406aace9529.jpg" TargetMode="External"/><Relationship Id="rId3011" Type="http://schemas.openxmlformats.org/officeDocument/2006/relationships/hyperlink" Target="https://product.hstatic.net/200000428801/product/upload_dbb33ff85b3f4fee90881b45102f05dc.jpg" TargetMode="External"/><Relationship Id="rId3968" Type="http://schemas.openxmlformats.org/officeDocument/2006/relationships/hyperlink" Target="https://product.hstatic.net/200000428801/product/20211211_140031_9829b0d063ea4b29bab39950c59e2afd.png" TargetMode="External"/><Relationship Id="rId5" Type="http://schemas.openxmlformats.org/officeDocument/2006/relationships/hyperlink" Target="https://cdn2-retail-images.kiotviet.vn/2026/03/31/giabaopharma/ff7c164d962d4cbdb36dcb336d1ad0ea.jpg" TargetMode="External"/><Relationship Id="rId889" Type="http://schemas.openxmlformats.org/officeDocument/2006/relationships/hyperlink" Target="https://product.hstatic.net/200000428801/product/upload_0dcc062d2fd64145815286778e1f9c87.jpg" TargetMode="External"/><Relationship Id="rId2777" Type="http://schemas.openxmlformats.org/officeDocument/2006/relationships/hyperlink" Target="https://product.hstatic.net/200000428801/product/upload_5d0088d7c105448fb2285a347a0eeece.jpg" TargetMode="External"/><Relationship Id="rId749" Type="http://schemas.openxmlformats.org/officeDocument/2006/relationships/hyperlink" Target="https://product.hstatic.net/200000428801/product/upload_9a3cf5bc20514019a8711349a404be7e.jpg" TargetMode="External"/><Relationship Id="rId1379" Type="http://schemas.openxmlformats.org/officeDocument/2006/relationships/hyperlink" Target="https://product.hstatic.net/200000428801/product/upload_0025e243e76e477b9bd574466d7326f8.jpg" TargetMode="External"/><Relationship Id="rId1586" Type="http://schemas.openxmlformats.org/officeDocument/2006/relationships/hyperlink" Target="https://product.hstatic.net/200000428801/product/upload_b502a1d101eb43efbf3ead6b51d3f50a.jpg" TargetMode="External"/><Relationship Id="rId2984" Type="http://schemas.openxmlformats.org/officeDocument/2006/relationships/hyperlink" Target="https://product.hstatic.net/200000428801/product/upload_0b16b6d045724966aab4d432c2ba47b4.jpg" TargetMode="External"/><Relationship Id="rId3828" Type="http://schemas.openxmlformats.org/officeDocument/2006/relationships/hyperlink" Target="https://product.hstatic.net/200000428801/product/zalo_screenshot_18_11_2021_75685_fe4d073cb8aa4b50a6ac1ef0c170700a.png" TargetMode="External"/><Relationship Id="rId609" Type="http://schemas.openxmlformats.org/officeDocument/2006/relationships/hyperlink" Target="https://product.hstatic.net/200000428801/product/111_53e224bc358d4620b0a616403725f6cf.png" TargetMode="External"/><Relationship Id="rId956" Type="http://schemas.openxmlformats.org/officeDocument/2006/relationships/hyperlink" Target="https://product.hstatic.net/200000428801/product/89_99dd54ddd82447799a70a65ee3e671fd.png" TargetMode="External"/><Relationship Id="rId1239" Type="http://schemas.openxmlformats.org/officeDocument/2006/relationships/hyperlink" Target="https://product.hstatic.net/200000428801/product/upload_695224a602454930af8f8247ed0b2eea.jpg" TargetMode="External"/><Relationship Id="rId1793" Type="http://schemas.openxmlformats.org/officeDocument/2006/relationships/hyperlink" Target="https://product.hstatic.net/200000428801/product/upload_4eacae51fc5841f2befdcc1a231cf388.jpg" TargetMode="External"/><Relationship Id="rId2637" Type="http://schemas.openxmlformats.org/officeDocument/2006/relationships/hyperlink" Target="https://product.hstatic.net/200000428801/product/upload_73b39954f2ad46539b77256c5d962ba1.jpg" TargetMode="External"/><Relationship Id="rId2844" Type="http://schemas.openxmlformats.org/officeDocument/2006/relationships/hyperlink" Target="https://product.hstatic.net/200000428801/product/upload_c5de6dd84b54475aa4c76bb490f1ef42.jpg" TargetMode="External"/><Relationship Id="rId85" Type="http://schemas.openxmlformats.org/officeDocument/2006/relationships/hyperlink" Target="https://i.postimg.cc/qBSvLhY2/86141edfe2ae4711b031392ed84f54f8.jpg" TargetMode="External"/><Relationship Id="rId816" Type="http://schemas.openxmlformats.org/officeDocument/2006/relationships/hyperlink" Target="https://product.hstatic.net/200000428801/product/upload_d0fe8e0b30e74f31bbff0e8a3eca4943.jpg" TargetMode="External"/><Relationship Id="rId1446" Type="http://schemas.openxmlformats.org/officeDocument/2006/relationships/hyperlink" Target="https://product.hstatic.net/200000428801/product/10177539cf05135b4a14_5241df58ebf549e38a97b62896e018a2.jpg" TargetMode="External"/><Relationship Id="rId1653" Type="http://schemas.openxmlformats.org/officeDocument/2006/relationships/hyperlink" Target="https://product.hstatic.net/200000428801/product/upload_dd42fdebbac94198b1909b19fa63b7ac.jpg" TargetMode="External"/><Relationship Id="rId1860" Type="http://schemas.openxmlformats.org/officeDocument/2006/relationships/hyperlink" Target="https://product.hstatic.net/200000428801/product/upload_433a6d5e555945c7a919eee70e2f022c.jpg" TargetMode="External"/><Relationship Id="rId2704" Type="http://schemas.openxmlformats.org/officeDocument/2006/relationships/hyperlink" Target="https://product.hstatic.net/200000428801/product/upload_4c7f41ff57054981bf2988141d0c647c.jpg" TargetMode="External"/><Relationship Id="rId2911" Type="http://schemas.openxmlformats.org/officeDocument/2006/relationships/hyperlink" Target="https://product.hstatic.net/200000428801/product/upload_5c5abca07793488190ba4c6c6a6644de.jpg" TargetMode="External"/><Relationship Id="rId1306" Type="http://schemas.openxmlformats.org/officeDocument/2006/relationships/hyperlink" Target="https://product.hstatic.net/200000428801/product/upload_e75e169668b8492298862f808f6f2349.jpg" TargetMode="External"/><Relationship Id="rId1513" Type="http://schemas.openxmlformats.org/officeDocument/2006/relationships/hyperlink" Target="https://product.hstatic.net/200000428801/product/upload_0fbfa29a3c8d4970ab5282f904eabd48.jpg" TargetMode="External"/><Relationship Id="rId1720" Type="http://schemas.openxmlformats.org/officeDocument/2006/relationships/hyperlink" Target="https://product.hstatic.net/200000428801/product/upload_80a02d9c2c06471eb80f6248dec9600f.jpg" TargetMode="External"/><Relationship Id="rId12" Type="http://schemas.openxmlformats.org/officeDocument/2006/relationships/hyperlink" Target="https://cdn2-retail-images.kiotviet.vn/2026/03/02/giabaopharma/ec81c3e1e2524a45ada28d99b31145ba.jpg" TargetMode="External"/><Relationship Id="rId3478" Type="http://schemas.openxmlformats.org/officeDocument/2006/relationships/hyperlink" Target="https://cdn2-retail-images.kiotviet.vn/2025/03/14/giabaopharma/31cbf63f09724c7aa23e7d691b6b1141.jpg" TargetMode="External"/><Relationship Id="rId3685" Type="http://schemas.openxmlformats.org/officeDocument/2006/relationships/hyperlink" Target="https://cdn2-retail-images.kiotviet.vn/2025/10/02/giabaopharma/2bf48e507e6a4834a56fbf92f86fb268.jpg" TargetMode="External"/><Relationship Id="rId3892" Type="http://schemas.openxmlformats.org/officeDocument/2006/relationships/hyperlink" Target="https://cdn2-retail-images.kiotviet.vn/2025/11/20/giabaopharma/9866d4f41f5c49f1846a5e147a7c422d.png" TargetMode="External"/><Relationship Id="rId399" Type="http://schemas.openxmlformats.org/officeDocument/2006/relationships/hyperlink" Target="https://product.hstatic.net/200000428801/product/69aacf317a2c4b2cbee9e929daf05c65_9852d54719a646aabe5e4f2073aae5c9.png" TargetMode="External"/><Relationship Id="rId2287" Type="http://schemas.openxmlformats.org/officeDocument/2006/relationships/hyperlink" Target="https://product.hstatic.net/200000428801/product/732b024fa6f145309bda34ace5cb15d5_4dad2bda58874fea87d02a9e885bdb84.png" TargetMode="External"/><Relationship Id="rId2494" Type="http://schemas.openxmlformats.org/officeDocument/2006/relationships/hyperlink" Target="https://product.hstatic.net/200000428801/product/upload_5f60c74115fa4d6bb9cad8fdb17469eb.jpg" TargetMode="External"/><Relationship Id="rId3338" Type="http://schemas.openxmlformats.org/officeDocument/2006/relationships/hyperlink" Target="https://product.hstatic.net/200000428801/product/028f043c98f44ccc9ca3e09e05a9a651_f6501346f2d3418a8fbd67045591924d.png" TargetMode="External"/><Relationship Id="rId3545" Type="http://schemas.openxmlformats.org/officeDocument/2006/relationships/hyperlink" Target="https://product.hstatic.net/200000428801/product/00b29837efbb23e57aaa_fc401a20c56e426fb95aed96cbdc6fe5.jpg" TargetMode="External"/><Relationship Id="rId3752" Type="http://schemas.openxmlformats.org/officeDocument/2006/relationships/hyperlink" Target="https://cdn1-retail-images.kiotviet.vn/2026/01/09/giabaopharma/d7d40996717c40969188ecd746f314b8.jpg" TargetMode="External"/><Relationship Id="rId259" Type="http://schemas.openxmlformats.org/officeDocument/2006/relationships/hyperlink" Target="https://cdn2-retail-images.kiotviet.vn/giabaopharma/2dd9b14f4da54dd18ffd48b82399fcba.jpg" TargetMode="External"/><Relationship Id="rId466" Type="http://schemas.openxmlformats.org/officeDocument/2006/relationships/hyperlink" Target="https://product.hstatic.net/200000428801/product/05c4a991bfb148eaaf842a3d1917ef25_11429232e6c44ded9080c3863fee7f87.png" TargetMode="External"/><Relationship Id="rId673" Type="http://schemas.openxmlformats.org/officeDocument/2006/relationships/hyperlink" Target="https://product.hstatic.net/200000428801/product/upload_22a4cf9c2add4ce7bc75b83a7773abef.jpg" TargetMode="External"/><Relationship Id="rId880" Type="http://schemas.openxmlformats.org/officeDocument/2006/relationships/hyperlink" Target="https://product.hstatic.net/200000428801/product/upload_0d629cca7d704ae5b1bd06c90d755134.jpg" TargetMode="External"/><Relationship Id="rId1096" Type="http://schemas.openxmlformats.org/officeDocument/2006/relationships/hyperlink" Target="https://product.hstatic.net/200000428801/product/upload_7601d0512b964fc28faa2500251273ce.jpg" TargetMode="External"/><Relationship Id="rId2147" Type="http://schemas.openxmlformats.org/officeDocument/2006/relationships/hyperlink" Target="https://product.hstatic.net/200000428801/product/b6eeaed3c4034c9e98e9192569540cf8_bd32c566b03c4595bfe119dd1856c056.png" TargetMode="External"/><Relationship Id="rId2354" Type="http://schemas.openxmlformats.org/officeDocument/2006/relationships/hyperlink" Target="https://product.hstatic.net/200000428801/product/upload_49474f5c0ca04429bc5f4b38e48c6c41.jpg" TargetMode="External"/><Relationship Id="rId2561" Type="http://schemas.openxmlformats.org/officeDocument/2006/relationships/hyperlink" Target="https://product.hstatic.net/200000428801/product/upload_534ba94569c94ea3b71eac159bf499bc.jpg" TargetMode="External"/><Relationship Id="rId3405" Type="http://schemas.openxmlformats.org/officeDocument/2006/relationships/hyperlink" Target="https://product.hstatic.net/200000428801/product/d81fbcaa8df44c4bbd20ef9ece0a90a1_0a128a1d9b0145899e189223b97978d8.png" TargetMode="External"/><Relationship Id="rId119" Type="http://schemas.openxmlformats.org/officeDocument/2006/relationships/hyperlink" Target="https://cdn2-retail-images.kiotviet.vn/2025/03/22/giabaopharma/ab9ddcb4ce5e44d4b5d7525eca23c9e5.jpg" TargetMode="External"/><Relationship Id="rId326" Type="http://schemas.openxmlformats.org/officeDocument/2006/relationships/hyperlink" Target="https://product.hstatic.net/200000428801/product/upload_d87b334f96cd4e9ba9cba8e5a09bfab8.jpg" TargetMode="External"/><Relationship Id="rId533" Type="http://schemas.openxmlformats.org/officeDocument/2006/relationships/hyperlink" Target="https://product.hstatic.net/200000428801/product/upload_70b05830ea334ac594a060d6fe466946.jpg" TargetMode="External"/><Relationship Id="rId1163" Type="http://schemas.openxmlformats.org/officeDocument/2006/relationships/hyperlink" Target="https://product.hstatic.net/200000428801/product/upload_6ac4064cf65b4cd28ef983049bcabaf7.jpg" TargetMode="External"/><Relationship Id="rId1370" Type="http://schemas.openxmlformats.org/officeDocument/2006/relationships/hyperlink" Target="https://product.hstatic.net/200000428801/product/upload_e17c3e11817741de971c722b6feea216.jpg" TargetMode="External"/><Relationship Id="rId2007" Type="http://schemas.openxmlformats.org/officeDocument/2006/relationships/hyperlink" Target="https://product.hstatic.net/200000428801/product/upload_db1d4fe5477d4bdbb7591f33c80fd10a.jpg" TargetMode="External"/><Relationship Id="rId2214" Type="http://schemas.openxmlformats.org/officeDocument/2006/relationships/hyperlink" Target="https://product.hstatic.net/200000428801/product/upload_a05103ff12554dfbbb9227600ba1021c.jpg" TargetMode="External"/><Relationship Id="rId3612" Type="http://schemas.openxmlformats.org/officeDocument/2006/relationships/hyperlink" Target="https://product.hstatic.net/200000428801/product/zalo_screenshot_20_11_2021_633282_a803fa604d7d413285bb3f5e6dfc44c6.png" TargetMode="External"/><Relationship Id="rId740" Type="http://schemas.openxmlformats.org/officeDocument/2006/relationships/hyperlink" Target="https://product.hstatic.net/200000428801/product/upload_6360963539644db9a77339455e740add.jpg" TargetMode="External"/><Relationship Id="rId1023" Type="http://schemas.openxmlformats.org/officeDocument/2006/relationships/hyperlink" Target="https://product.hstatic.net/200000428801/product/upload_13a5b3dd1a484421b6169bf6fd205c74.jpg" TargetMode="External"/><Relationship Id="rId2421" Type="http://schemas.openxmlformats.org/officeDocument/2006/relationships/hyperlink" Target="https://product.hstatic.net/200000428801/product/upload_176468c9a7814916a785e5c8d94ed12f.jpg" TargetMode="External"/><Relationship Id="rId600" Type="http://schemas.openxmlformats.org/officeDocument/2006/relationships/hyperlink" Target="https://product.hstatic.net/200000428801/product/upload_0798e162b8e346fda5b60f0020bd91b6.jpg" TargetMode="External"/><Relationship Id="rId1230" Type="http://schemas.openxmlformats.org/officeDocument/2006/relationships/hyperlink" Target="https://product.hstatic.net/200000428801/product/upload_975b0170d48f4af79aa8538b936a0dd5.jpg" TargetMode="External"/><Relationship Id="rId3195" Type="http://schemas.openxmlformats.org/officeDocument/2006/relationships/hyperlink" Target="https://product.hstatic.net/200000428801/product/5b1e62e4c4754457aa9a5fcd532e2ae5_5db48fe1a90147dfaf1091cb85fb46b0.png" TargetMode="External"/><Relationship Id="rId4039" Type="http://schemas.openxmlformats.org/officeDocument/2006/relationships/hyperlink" Target="https://product.hstatic.net/200000428801/product/thiet_ke_khong_ten__44__fbe6376928a446d3bc36d708004fd6ee.png" TargetMode="External"/><Relationship Id="rId3055" Type="http://schemas.openxmlformats.org/officeDocument/2006/relationships/hyperlink" Target="https://cdn-images.kiotviet.vn/giabaopharma/a19f72c2701e456ca3472eb9b59c3e0f.jpg" TargetMode="External"/><Relationship Id="rId3262" Type="http://schemas.openxmlformats.org/officeDocument/2006/relationships/hyperlink" Target="https://product.hstatic.net/200000428801/product/166dd30e0e7549f0b104cf9410516f37_4566799b012d424da71ac5a20c45ebac.png" TargetMode="External"/><Relationship Id="rId183" Type="http://schemas.openxmlformats.org/officeDocument/2006/relationships/hyperlink" Target="https://cdn-images.kiotviet.vn/2024/11/29/giabaopharma/409f9efd9e9149e2a7a07f40bf97c261.jpg" TargetMode="External"/><Relationship Id="rId390" Type="http://schemas.openxmlformats.org/officeDocument/2006/relationships/hyperlink" Target="https://product.hstatic.net/200000428801/product/8290ea1066c7422da53211554d585b67_2c16e161efd34a4abe084b3b77dfd675.png" TargetMode="External"/><Relationship Id="rId1907" Type="http://schemas.openxmlformats.org/officeDocument/2006/relationships/hyperlink" Target="https://product.hstatic.net/200000428801/product/551_834ce0fd2e6d4f3bbe479a9f3506a6ae.png" TargetMode="External"/><Relationship Id="rId2071" Type="http://schemas.openxmlformats.org/officeDocument/2006/relationships/hyperlink" Target="https://product.hstatic.net/200000428801/product/upload_5419e6a78b82489ca80ae6084246be49.jpg" TargetMode="External"/><Relationship Id="rId3122" Type="http://schemas.openxmlformats.org/officeDocument/2006/relationships/hyperlink" Target="https://product.hstatic.net/200000428801/product/4ee5184ae4f1403891c5a3fbce94db39_fed21ac46669432fb80d3bc79bfc25fe.png" TargetMode="External"/><Relationship Id="rId250" Type="http://schemas.openxmlformats.org/officeDocument/2006/relationships/hyperlink" Target="https://cdn2-retail-images.kiotviet.vn/giabaopharma/ff6f02d7c03047ac9564727f146bdaec.jpg,https:/cdn2-retail-images.kiotviet.vn/giabaopharma/c7af6faf624b4da1839d145eac9c91ab.jpg,https:/cdn2-retail-images.kiotviet.vn/giabaopharma/9e5d7ac30c8644a899fb43255b758d78.jpg" TargetMode="External"/><Relationship Id="rId110" Type="http://schemas.openxmlformats.org/officeDocument/2006/relationships/hyperlink" Target="https://cdn2-retail-images.kiotviet.vn/2025/03/28/giabaopharma/b7befa3c0ef84a75ad3e82ab488b999c.jpg" TargetMode="External"/><Relationship Id="rId2888" Type="http://schemas.openxmlformats.org/officeDocument/2006/relationships/hyperlink" Target="https://product.hstatic.net/200000428801/product/upload_7d0f60105da44e30b59711929e414f90.jpg" TargetMode="External"/><Relationship Id="rId3939" Type="http://schemas.openxmlformats.org/officeDocument/2006/relationships/hyperlink" Target="https://product.hstatic.net/200000428801/product/55b56ba92f2ce572bc3d_bba0aaf610ac47c891a02f3fe6ccd95f.jpg" TargetMode="External"/><Relationship Id="rId1697" Type="http://schemas.openxmlformats.org/officeDocument/2006/relationships/hyperlink" Target="https://product.hstatic.net/200000428801/product/upload_6b3d587862c3475f8e602309a7561cd8.jpg" TargetMode="External"/><Relationship Id="rId2748" Type="http://schemas.openxmlformats.org/officeDocument/2006/relationships/hyperlink" Target="https://product.hstatic.net/200000428801/product/370_58dd24979bb94351bbd0d1cc3b6846bd.png" TargetMode="External"/><Relationship Id="rId2955" Type="http://schemas.openxmlformats.org/officeDocument/2006/relationships/hyperlink" Target="https://product.hstatic.net/200000428801/product/upload_50657799023b40e59a6c3afed64d006e.jpg" TargetMode="External"/><Relationship Id="rId927" Type="http://schemas.openxmlformats.org/officeDocument/2006/relationships/hyperlink" Target="https://product.hstatic.net/200000428801/product/96_e57c59e006614841b061328c49038634.png" TargetMode="External"/><Relationship Id="rId1557" Type="http://schemas.openxmlformats.org/officeDocument/2006/relationships/hyperlink" Target="https://product.hstatic.net/200000428801/product/upload_880726fb20074f2782ef8b75d17ae9d1.jpg" TargetMode="External"/><Relationship Id="rId1764" Type="http://schemas.openxmlformats.org/officeDocument/2006/relationships/hyperlink" Target="https://product.hstatic.net/200000428801/product/upload_46f28539e9ce43ed8eb8c83d43fcb89b.jpg" TargetMode="External"/><Relationship Id="rId1971" Type="http://schemas.openxmlformats.org/officeDocument/2006/relationships/hyperlink" Target="https://product.hstatic.net/200000428801/product/d5bf3d78295e402b816a32ef301d5b3d_b57b19d96ebc44218e29e242e92c38cd.png" TargetMode="External"/><Relationship Id="rId2608" Type="http://schemas.openxmlformats.org/officeDocument/2006/relationships/hyperlink" Target="https://product.hstatic.net/200000428801/product/upload_6c78c44bd7a94bd5b4b620a78098d786.jpg" TargetMode="External"/><Relationship Id="rId2815" Type="http://schemas.openxmlformats.org/officeDocument/2006/relationships/hyperlink" Target="https://product.hstatic.net/200000428801/product/365_da55523097ab4125929a2a2c99fd52be.png" TargetMode="External"/><Relationship Id="rId56" Type="http://schemas.openxmlformats.org/officeDocument/2006/relationships/hyperlink" Target="https://i.postimg.cc/nrz9QyXF/b285f413682548c29cc4f6e2b4316e88.jpg" TargetMode="External"/><Relationship Id="rId1417" Type="http://schemas.openxmlformats.org/officeDocument/2006/relationships/hyperlink" Target="https://product.hstatic.net/200000428801/product/upload_c7672faf10d44f3c9daeeba64e938c4b.jpg" TargetMode="External"/><Relationship Id="rId1624" Type="http://schemas.openxmlformats.org/officeDocument/2006/relationships/hyperlink" Target="https://product.hstatic.net/200000428801/product/upload_e0bd98da71804cd2875e0995fae751d4.jpg" TargetMode="External"/><Relationship Id="rId1831" Type="http://schemas.openxmlformats.org/officeDocument/2006/relationships/hyperlink" Target="https://product.hstatic.net/200000428801/product/upload_ca4b862088d54a0ebddc7be5c90bc2c8.jpg" TargetMode="External"/><Relationship Id="rId4030" Type="http://schemas.openxmlformats.org/officeDocument/2006/relationships/hyperlink" Target="https://product.hstatic.net/200000428801/product/zalo_screenshot_18_11_2021_67999_b2a2e248cb3c42f88ccbcbcaae774e50.png" TargetMode="External"/><Relationship Id="rId3589" Type="http://schemas.openxmlformats.org/officeDocument/2006/relationships/hyperlink" Target="https://product.hstatic.net/200000428801/product/a5aab60cde4819164059_042e2c97aafa4c28b52ebb4846f49d9d.jpg" TargetMode="External"/><Relationship Id="rId3796" Type="http://schemas.openxmlformats.org/officeDocument/2006/relationships/hyperlink" Target="https://product.hstatic.net/200000428801/product/0402a157c8130f4d5602_914d464fd133481badba8e79526fa663.jpg" TargetMode="External"/><Relationship Id="rId2398" Type="http://schemas.openxmlformats.org/officeDocument/2006/relationships/hyperlink" Target="https://product.hstatic.net/200000428801/product/425_b939f1558af64391af3bfd71b7ed67cf.png" TargetMode="External"/><Relationship Id="rId3449" Type="http://schemas.openxmlformats.org/officeDocument/2006/relationships/hyperlink" Target="https://product.hstatic.net/200000428801/product/45f0124713a044eaa3805719d49c27cc_19739756d8f0479e83afe1bb9d19869c.png" TargetMode="External"/><Relationship Id="rId577" Type="http://schemas.openxmlformats.org/officeDocument/2006/relationships/hyperlink" Target="https://product.hstatic.net/200000428801/product/upload_d1ddf7f9664944daabb6dc4b81356198.jpg" TargetMode="External"/><Relationship Id="rId2258" Type="http://schemas.openxmlformats.org/officeDocument/2006/relationships/hyperlink" Target="https://product.hstatic.net/200000428801/product/upload_eb5f9d4b342f4b3fb68040cd339ff147.jpg" TargetMode="External"/><Relationship Id="rId3656" Type="http://schemas.openxmlformats.org/officeDocument/2006/relationships/hyperlink" Target="https://product.hstatic.net/200000428801/product/zalo_screenshot_18_11_2021_93927_6bf5bf81ec464933a0b930742628aab3.png" TargetMode="External"/><Relationship Id="rId3863" Type="http://schemas.openxmlformats.org/officeDocument/2006/relationships/hyperlink" Target="https://product.hstatic.net/200000428801/product/bc5104d65931926fcb20_a0d9a8212d2e4e3589d5f9544b1fa980.jpg" TargetMode="External"/><Relationship Id="rId784" Type="http://schemas.openxmlformats.org/officeDocument/2006/relationships/hyperlink" Target="https://product.hstatic.net/200000428801/product/upload_060ef243c0b84f2bb7779bfd13bf1ffd.jpg" TargetMode="External"/><Relationship Id="rId991" Type="http://schemas.openxmlformats.org/officeDocument/2006/relationships/hyperlink" Target="https://product.hstatic.net/200000428801/product/upload_a821d9ae13a54abb917823bfa7a2b39a.jpg" TargetMode="External"/><Relationship Id="rId1067" Type="http://schemas.openxmlformats.org/officeDocument/2006/relationships/hyperlink" Target="https://product.hstatic.net/200000428801/product/upload_7c176e309c724882a912a09b28fcebf1.jpg" TargetMode="External"/><Relationship Id="rId2465" Type="http://schemas.openxmlformats.org/officeDocument/2006/relationships/hyperlink" Target="https://product.hstatic.net/200000428801/product/upload_952a2ebbc5344555b05bc49cf98a3ae0.jpg" TargetMode="External"/><Relationship Id="rId2672" Type="http://schemas.openxmlformats.org/officeDocument/2006/relationships/hyperlink" Target="https://product.hstatic.net/200000428801/product/upload_313c65e10f7e47f287a40737c02fa30e.jpg" TargetMode="External"/><Relationship Id="rId3309" Type="http://schemas.openxmlformats.org/officeDocument/2006/relationships/hyperlink" Target="https://product.hstatic.net/200000428801/product/2915ede2857c4cb8a99ab955ff486b5d_34627d620af049da8b28e99cec60bb96.png" TargetMode="External"/><Relationship Id="rId3516" Type="http://schemas.openxmlformats.org/officeDocument/2006/relationships/hyperlink" Target="https://product.hstatic.net/200000428801/product/7ea538bf3e15f94ba004_e0f10e9a7ed04663927409620df5ac1f.jpg" TargetMode="External"/><Relationship Id="rId3723" Type="http://schemas.openxmlformats.org/officeDocument/2006/relationships/hyperlink" Target="https://product.hstatic.net/200000428801/product/4504482e6e40ae1ef751_ab124baf9fab4b02868a8b838c470d0a.jpg" TargetMode="External"/><Relationship Id="rId3930" Type="http://schemas.openxmlformats.org/officeDocument/2006/relationships/hyperlink" Target="https://product.hstatic.net/200000428801/product/ae1df6a945dd8f83d6cc_23c045bcb84c499fa41d769c6829f9b7.jpg" TargetMode="External"/><Relationship Id="rId437" Type="http://schemas.openxmlformats.org/officeDocument/2006/relationships/hyperlink" Target="https://cdn2-retail-images.kiotviet.vn/giabaopharma/8f553df001db436bb074ac7dd7e22a70.jpg" TargetMode="External"/><Relationship Id="rId644" Type="http://schemas.openxmlformats.org/officeDocument/2006/relationships/hyperlink" Target="https://product.hstatic.net/200000428801/product/upload_93dd6c6bce0f495cb7335c83d3b77d1d.jpg" TargetMode="External"/><Relationship Id="rId851" Type="http://schemas.openxmlformats.org/officeDocument/2006/relationships/hyperlink" Target="https://product.hstatic.net/200000428801/product/upload_17f4ba97aebc4c59aa656f36eae70c45.jpg" TargetMode="External"/><Relationship Id="rId1274" Type="http://schemas.openxmlformats.org/officeDocument/2006/relationships/hyperlink" Target="https://product.hstatic.net/200000428801/product/upload_9f7f6e42ba224689aa4c63b4159fb9f7.jpg" TargetMode="External"/><Relationship Id="rId1481" Type="http://schemas.openxmlformats.org/officeDocument/2006/relationships/hyperlink" Target="https://product.hstatic.net/200000428801/product/upload_f15dd2467658444ebec92e8fd9372232.jpg" TargetMode="External"/><Relationship Id="rId2118" Type="http://schemas.openxmlformats.org/officeDocument/2006/relationships/hyperlink" Target="https://product.hstatic.net/200000428801/product/upload_6a6e913617c04e3584459550e0ef88af.jpg" TargetMode="External"/><Relationship Id="rId2325" Type="http://schemas.openxmlformats.org/officeDocument/2006/relationships/hyperlink" Target="https://product.hstatic.net/200000428801/product/upload_e312f12025ea4ccc8488164cfe3ab25a.jpg" TargetMode="External"/><Relationship Id="rId2532" Type="http://schemas.openxmlformats.org/officeDocument/2006/relationships/hyperlink" Target="https://product.hstatic.net/200000428801/product/upload_087ae57a555a495bb1d77904f1456ade.jpg" TargetMode="External"/><Relationship Id="rId504" Type="http://schemas.openxmlformats.org/officeDocument/2006/relationships/hyperlink" Target="https://product.hstatic.net/200000428801/product/upload_2ec9c4daa5f0469fac0c8e63fd565c92.jpg" TargetMode="External"/><Relationship Id="rId711" Type="http://schemas.openxmlformats.org/officeDocument/2006/relationships/hyperlink" Target="https://product.hstatic.net/200000428801/product/upload_f3bb5e9651b44ab2b9f09c1d581d6d4c.jpg" TargetMode="External"/><Relationship Id="rId1134" Type="http://schemas.openxmlformats.org/officeDocument/2006/relationships/hyperlink" Target="https://product.hstatic.net/200000428801/product/upload_48e6dc83164c49468f1e273c0e019d01.jpg" TargetMode="External"/><Relationship Id="rId1341" Type="http://schemas.openxmlformats.org/officeDocument/2006/relationships/hyperlink" Target="https://cdn-images.kiotviet.vn/giabaopharma/f0c398e988c34fe2973c1156edd97626.png" TargetMode="External"/><Relationship Id="rId1201" Type="http://schemas.openxmlformats.org/officeDocument/2006/relationships/hyperlink" Target="https://product.hstatic.net/200000428801/product/upload_3047def4c872404e8dd08712acf5a884.jpg" TargetMode="External"/><Relationship Id="rId3099" Type="http://schemas.openxmlformats.org/officeDocument/2006/relationships/hyperlink" Target="https://product.hstatic.net/200000428801/product/9586719cdc5e441391451f472c5c2368_35632f0f92aa42d0b7337900c74153ef.png" TargetMode="External"/><Relationship Id="rId3166" Type="http://schemas.openxmlformats.org/officeDocument/2006/relationships/hyperlink" Target="https://product.hstatic.net/200000428801/product/35bbed48581942ee97998163d6cf3b00_a80a44bb7e51410db2bf11a759389777.jpg" TargetMode="External"/><Relationship Id="rId3373" Type="http://schemas.openxmlformats.org/officeDocument/2006/relationships/hyperlink" Target="https://product.hstatic.net/200000428801/product/ab79f3bf4c884b58ae4bf1d43494ba12_f7e026ba6f134da8984c75bdb947b2e0.png" TargetMode="External"/><Relationship Id="rId3580" Type="http://schemas.openxmlformats.org/officeDocument/2006/relationships/hyperlink" Target="https://product.hstatic.net/200000428801/product/zalo_screenshot_19_11_2021_638969_0c389b3739a8445a968d1d1280db140c.png" TargetMode="External"/><Relationship Id="rId294" Type="http://schemas.openxmlformats.org/officeDocument/2006/relationships/hyperlink" Target="https://product.hstatic.net/200000428801/product/688760108f184622a636d129dc2a720e_7ab404b798b645fa949cc59cf4669ffb.png" TargetMode="External"/><Relationship Id="rId2182" Type="http://schemas.openxmlformats.org/officeDocument/2006/relationships/hyperlink" Target="https://product.hstatic.net/200000428801/product/506_07df0acbc1ee4233ba17e115f506e02e.png" TargetMode="External"/><Relationship Id="rId3026" Type="http://schemas.openxmlformats.org/officeDocument/2006/relationships/hyperlink" Target="https://product.hstatic.net/200000428801/product/upload_268a38675b9847818315d0f3ef51c181.jpg" TargetMode="External"/><Relationship Id="rId3233" Type="http://schemas.openxmlformats.org/officeDocument/2006/relationships/hyperlink" Target="https://product.hstatic.net/200000428801/product/ee526acdfe804099b3b8b30f3908c26a_0e045b0c204246f19c0ae99ed68a80f3.png" TargetMode="External"/><Relationship Id="rId154" Type="http://schemas.openxmlformats.org/officeDocument/2006/relationships/hyperlink" Target="https://cdn2-retail-images.kiotviet.vn/2025/02/12/giabaopharma/a6b9e3267e6442e3a6782a36e67bc1c5.jpg" TargetMode="External"/><Relationship Id="rId361" Type="http://schemas.openxmlformats.org/officeDocument/2006/relationships/hyperlink" Target="https://product.hstatic.net/200000428801/product/upload_700d630227f34423b2f126bd3ed0b9f7.jpg" TargetMode="External"/><Relationship Id="rId2042" Type="http://schemas.openxmlformats.org/officeDocument/2006/relationships/hyperlink" Target="https://product.hstatic.net/200000428801/product/upload_b2a9c416e5114c85ac0624e537201503.jpg" TargetMode="External"/><Relationship Id="rId3440" Type="http://schemas.openxmlformats.org/officeDocument/2006/relationships/hyperlink" Target="https://product.hstatic.net/200000428801/product/a53eaa721cb8406fa0e2a378572f0460_b542805d0a464fcf86319891969ed57b.png" TargetMode="External"/><Relationship Id="rId2999" Type="http://schemas.openxmlformats.org/officeDocument/2006/relationships/hyperlink" Target="https://product.hstatic.net/200000428801/product/upload_adb2b41958ec44bda2ee312f816a8e36.jpg" TargetMode="External"/><Relationship Id="rId3300" Type="http://schemas.openxmlformats.org/officeDocument/2006/relationships/hyperlink" Target="https://product.hstatic.net/200000428801/product/aa3fc04082f94b089f54ae055fac0cbf_62d6b5e875684c0e8c91d442c3d0264d.png" TargetMode="External"/><Relationship Id="rId221" Type="http://schemas.openxmlformats.org/officeDocument/2006/relationships/hyperlink" Target="https://cdn2-retail-images.kiotviet.vn/giabaopharma/1801bb0c2ea54428a64ea9c40b58c51a.jpg" TargetMode="External"/><Relationship Id="rId2859" Type="http://schemas.openxmlformats.org/officeDocument/2006/relationships/hyperlink" Target="https://product.hstatic.net/200000428801/product/357_5ffa725b84d542f48baca63a4de1725d.png" TargetMode="External"/><Relationship Id="rId1668" Type="http://schemas.openxmlformats.org/officeDocument/2006/relationships/hyperlink" Target="https://product.hstatic.net/200000428801/product/upload_afe095abf6634f67819a455d5258e2ef.jpg" TargetMode="External"/><Relationship Id="rId1875" Type="http://schemas.openxmlformats.org/officeDocument/2006/relationships/hyperlink" Target="https://product.hstatic.net/200000428801/product/upload_b7ddaf466500465786b0923fd663be87.jpg" TargetMode="External"/><Relationship Id="rId2719" Type="http://schemas.openxmlformats.org/officeDocument/2006/relationships/hyperlink" Target="https://product.hstatic.net/200000428801/product/upload_699ddd74f6074c19aa6617750e4b88df.jpg" TargetMode="External"/><Relationship Id="rId1528" Type="http://schemas.openxmlformats.org/officeDocument/2006/relationships/hyperlink" Target="https://product.hstatic.net/200000428801/product/upload_24a3627af16a4e04a62d1c46c94938ec.jpg" TargetMode="External"/><Relationship Id="rId2926" Type="http://schemas.openxmlformats.org/officeDocument/2006/relationships/hyperlink" Target="https://product.hstatic.net/200000428801/product/upload_799a21df0f7242ad9c827acea9cf9d40.jpg" TargetMode="External"/><Relationship Id="rId3090" Type="http://schemas.openxmlformats.org/officeDocument/2006/relationships/hyperlink" Target="https://product.hstatic.net/200000428801/product/c8c8f74e70ae478b90889c857946dd94_569bd4f890bd4f20a2d24716fe1eab84.png" TargetMode="External"/><Relationship Id="rId1735" Type="http://schemas.openxmlformats.org/officeDocument/2006/relationships/hyperlink" Target="https://product.hstatic.net/200000428801/product/upload_83f1ac93ed304270aa15c2b5b60dcb85.jpg" TargetMode="External"/><Relationship Id="rId1942" Type="http://schemas.openxmlformats.org/officeDocument/2006/relationships/hyperlink" Target="https://product.hstatic.net/200000428801/product/upload_7b9e5973cb1c4e009f3d1a9e001c4685.jpg" TargetMode="External"/><Relationship Id="rId4001" Type="http://schemas.openxmlformats.org/officeDocument/2006/relationships/hyperlink" Target="https://cdn2-retail-images.kiotviet.vn/giabaopharma/fb2b244d91a247b0af7c32d8e7badc57.png" TargetMode="External"/><Relationship Id="rId27" Type="http://schemas.openxmlformats.org/officeDocument/2006/relationships/hyperlink" Target="https://cdn2-retail-images.kiotviet.vn/2025/12/17/giabaopharma/0352bf5dcab4461f96a9b1123cd6bc70.jpg" TargetMode="External"/><Relationship Id="rId1802" Type="http://schemas.openxmlformats.org/officeDocument/2006/relationships/hyperlink" Target="https://product.hstatic.net/200000428801/product/557_72e40d9c98054eafb8d34443d28cf801.png" TargetMode="External"/><Relationship Id="rId3767" Type="http://schemas.openxmlformats.org/officeDocument/2006/relationships/hyperlink" Target="https://product.hstatic.net/200000428801/product/ac1178ec1618d2468b09_997b4cdf2df44a3188b709543fa45910.jpg" TargetMode="External"/><Relationship Id="rId3974" Type="http://schemas.openxmlformats.org/officeDocument/2006/relationships/hyperlink" Target="https://product.hstatic.net/200000428801/product/zalo_screenshot_18_11_2021_642509_b71ea6653f3c421abf332a0ba71510c6.png" TargetMode="External"/><Relationship Id="rId688" Type="http://schemas.openxmlformats.org/officeDocument/2006/relationships/hyperlink" Target="https://product.hstatic.net/200000428801/product/114_7844c3cbc51343319c6033bd9826a942.png" TargetMode="External"/><Relationship Id="rId895" Type="http://schemas.openxmlformats.org/officeDocument/2006/relationships/hyperlink" Target="https://product.hstatic.net/200000428801/product/upload_97507a39c9ea4455b9d2df9403c99af9.jpg" TargetMode="External"/><Relationship Id="rId2369" Type="http://schemas.openxmlformats.org/officeDocument/2006/relationships/hyperlink" Target="https://product.hstatic.net/200000428801/product/upload_ef0b224457fb4f9f98c6e4df86cd5e61.jpg" TargetMode="External"/><Relationship Id="rId2576" Type="http://schemas.openxmlformats.org/officeDocument/2006/relationships/hyperlink" Target="https://product.hstatic.net/200000428801/product/upload_752f82b05f1d4675ae2c107afc460d36.jpg" TargetMode="External"/><Relationship Id="rId2783" Type="http://schemas.openxmlformats.org/officeDocument/2006/relationships/hyperlink" Target="https://product.hstatic.net/200000428801/product/upload_f2af190ae7364f70ae6959edca2a41e9.jpg" TargetMode="External"/><Relationship Id="rId2990" Type="http://schemas.openxmlformats.org/officeDocument/2006/relationships/hyperlink" Target="https://product.hstatic.net/200000428801/product/upload_3b739f85cd5e4236b05f8c790676c6fa.jpg" TargetMode="External"/><Relationship Id="rId3627" Type="http://schemas.openxmlformats.org/officeDocument/2006/relationships/hyperlink" Target="https://product.hstatic.net/200000428801/product/zalo_screenshot_19_11_2021_625948_c90bd1d9f1b04779a1cdad11ac79d126.png" TargetMode="External"/><Relationship Id="rId3834" Type="http://schemas.openxmlformats.org/officeDocument/2006/relationships/hyperlink" Target="https://product.hstatic.net/200000428801/product/f44c89a6f15630086947_b58546a998be439a971d25b0105ffcf8.jpg" TargetMode="External"/><Relationship Id="rId548" Type="http://schemas.openxmlformats.org/officeDocument/2006/relationships/hyperlink" Target="https://product.hstatic.net/200000428801/product/upload_1cb5201fe61d4e68b09e5af1fdf09c70.jpg" TargetMode="External"/><Relationship Id="rId755" Type="http://schemas.openxmlformats.org/officeDocument/2006/relationships/hyperlink" Target="https://product.hstatic.net/200000428801/product/upload_c7bab0c6496f4267949d06425511a6a0.jpg" TargetMode="External"/><Relationship Id="rId962" Type="http://schemas.openxmlformats.org/officeDocument/2006/relationships/hyperlink" Target="https://product.hstatic.net/200000428801/product/93_0e277a53f65247af8458f2381431520c.png" TargetMode="External"/><Relationship Id="rId1178" Type="http://schemas.openxmlformats.org/officeDocument/2006/relationships/hyperlink" Target="https://product.hstatic.net/200000428801/product/upload_667ccc999fdf44358c911982c98408bf.jpg" TargetMode="External"/><Relationship Id="rId1385" Type="http://schemas.openxmlformats.org/officeDocument/2006/relationships/hyperlink" Target="https://product.hstatic.net/200000428801/product/upload_742f8d9b0880488c9573511694103324.jpg" TargetMode="External"/><Relationship Id="rId1592" Type="http://schemas.openxmlformats.org/officeDocument/2006/relationships/hyperlink" Target="https://product.hstatic.net/200000428801/product/upload_46bf2b8cda1f404dabc4e28c1d34499e.jpg" TargetMode="External"/><Relationship Id="rId2229" Type="http://schemas.openxmlformats.org/officeDocument/2006/relationships/hyperlink" Target="https://product.hstatic.net/200000428801/product/upload_61a1aab882a74a539545245f88d997b2.jpg" TargetMode="External"/><Relationship Id="rId2436" Type="http://schemas.openxmlformats.org/officeDocument/2006/relationships/hyperlink" Target="https://product.hstatic.net/200000428801/product/upload_19b8fa0c83614f209c5346bb62dac457.jpg" TargetMode="External"/><Relationship Id="rId2643" Type="http://schemas.openxmlformats.org/officeDocument/2006/relationships/hyperlink" Target="https://product.hstatic.net/200000428801/product/upload_d90086c90b0a472a9385a24d26eaad14.jpg" TargetMode="External"/><Relationship Id="rId2850" Type="http://schemas.openxmlformats.org/officeDocument/2006/relationships/hyperlink" Target="https://product.hstatic.net/200000428801/product/upload_0c3f1523820f4766a6379147d97528fe.jpg" TargetMode="External"/><Relationship Id="rId91" Type="http://schemas.openxmlformats.org/officeDocument/2006/relationships/hyperlink" Target="https://cdn2-retail-images.kiotviet.vn/2025/05/29/giabaopharma/9d3b23ef31724c25a43bfabe62e9d907.jpg,https:/cdn2-retail-images.kiotviet.vn/2025/05/29/giabaopharma/6692911268974d26ad92832ac75bded9.jpg,https:/cdn2-retail-images.kiotviet.vn/2025/05/29/giabaopharma/b094682acc364fa4b685b4b4876c76be.jpg,https:/cdn2-retail-images.kiotviet.vn/2025/05/29/giabaopharma/478b62cfbc494591a02a31c8004d737d.jpg" TargetMode="External"/><Relationship Id="rId408" Type="http://schemas.openxmlformats.org/officeDocument/2006/relationships/hyperlink" Target="https://product.hstatic.net/200000428801/product/upload_b141eb486bf545deac700d7efa063d39.jpg" TargetMode="External"/><Relationship Id="rId615" Type="http://schemas.openxmlformats.org/officeDocument/2006/relationships/hyperlink" Target="https://product.hstatic.net/200000428801/product/upload_1446c9ad88d84828ba7f59a4e14d288e.jpg" TargetMode="External"/><Relationship Id="rId822" Type="http://schemas.openxmlformats.org/officeDocument/2006/relationships/hyperlink" Target="https://product.hstatic.net/200000428801/product/upload_168f681093ff4c079e8260780838c311.jpg" TargetMode="External"/><Relationship Id="rId1038" Type="http://schemas.openxmlformats.org/officeDocument/2006/relationships/hyperlink" Target="https://cdn2-retail-images.kiotviet.vn/2026/03/07/giabaopharma/e893c78a7fe140f6b7251c8606c74dfd.jpg" TargetMode="External"/><Relationship Id="rId1245" Type="http://schemas.openxmlformats.org/officeDocument/2006/relationships/hyperlink" Target="https://product.hstatic.net/200000428801/product/upload_93ab81a864bd4ffd94b3cdf58c96a0fc.jpg" TargetMode="External"/><Relationship Id="rId1452" Type="http://schemas.openxmlformats.org/officeDocument/2006/relationships/hyperlink" Target="https://cdn2-retail-images.kiotviet.vn/2026/03/07/giabaopharma/389de65924544912871a22cacef773eb.jpg" TargetMode="External"/><Relationship Id="rId2503" Type="http://schemas.openxmlformats.org/officeDocument/2006/relationships/hyperlink" Target="https://product.hstatic.net/200000428801/product/upload_64f3c4112f0a4b7cbce88879ee68dd6c.jpg" TargetMode="External"/><Relationship Id="rId3901" Type="http://schemas.openxmlformats.org/officeDocument/2006/relationships/hyperlink" Target="https://product.hstatic.net/200000428801/product/584fc2107456b408ed47_f9741db6c9ac44e180e23c918320d5fc.jpg" TargetMode="External"/><Relationship Id="rId1105" Type="http://schemas.openxmlformats.org/officeDocument/2006/relationships/hyperlink" Target="https://product.hstatic.net/200000428801/product/upload_5a91bde2184b4157966aa5f9b603a57f.jpg" TargetMode="External"/><Relationship Id="rId1312" Type="http://schemas.openxmlformats.org/officeDocument/2006/relationships/hyperlink" Target="https://product.hstatic.net/200000428801/product/upload_a3643d7f4c274b00bd4613e65852f013.jpg" TargetMode="External"/><Relationship Id="rId2710" Type="http://schemas.openxmlformats.org/officeDocument/2006/relationships/hyperlink" Target="https://product.hstatic.net/200000428801/product/upload_de6fd3533bda4ee688ac1e5e3baa6a00.jpg" TargetMode="External"/><Relationship Id="rId3277" Type="http://schemas.openxmlformats.org/officeDocument/2006/relationships/hyperlink" Target="https://product.hstatic.net/200000428801/product/66319700b7244c929fd66600a978eda8_af5ae45c24a042b489849c1bc6086a02.png" TargetMode="External"/><Relationship Id="rId198" Type="http://schemas.openxmlformats.org/officeDocument/2006/relationships/hyperlink" Target="https://cdn2-retail-images.kiotviet.vn/2025/02/25/giabaopharma/fec53d8c89804b949f9027a7613eb52b.jpg" TargetMode="External"/><Relationship Id="rId2086" Type="http://schemas.openxmlformats.org/officeDocument/2006/relationships/hyperlink" Target="https://product.hstatic.net/200000428801/product/upload_41a7ea59e6ba4aa39fc18ddb5ff467fd.jpg" TargetMode="External"/><Relationship Id="rId3484" Type="http://schemas.openxmlformats.org/officeDocument/2006/relationships/hyperlink" Target="https://product.hstatic.net/200000428801/product/7be2b37fe01d491b865d46b320069eea_5979548310b34228b64675e45a31506d.png" TargetMode="External"/><Relationship Id="rId3691" Type="http://schemas.openxmlformats.org/officeDocument/2006/relationships/hyperlink" Target="https://product.hstatic.net/200000428801/product/9cb80d4a24baeee4b7ab_e5251ae655f14811856c87a00e493460.jpg" TargetMode="External"/><Relationship Id="rId2293" Type="http://schemas.openxmlformats.org/officeDocument/2006/relationships/hyperlink" Target="https://product.hstatic.net/200000428801/product/cc793cec0d3f40cb82c80c8460bbbef0_964b03af536d42d7b492c8e28c2c7ff0.png" TargetMode="External"/><Relationship Id="rId3137" Type="http://schemas.openxmlformats.org/officeDocument/2006/relationships/hyperlink" Target="https://product.hstatic.net/200000428801/product/9d56b7b004224f9da34da44f778d4271_316ea3c317fa416aa5f66137c90202d6.png" TargetMode="External"/><Relationship Id="rId3344" Type="http://schemas.openxmlformats.org/officeDocument/2006/relationships/hyperlink" Target="https://product.hstatic.net/200000428801/product/708a71d3cc894fc59790ba8fdf689346_651c8b4129dd4fd982bb99318a8f582d.png" TargetMode="External"/><Relationship Id="rId3551" Type="http://schemas.openxmlformats.org/officeDocument/2006/relationships/hyperlink" Target="https://cdn2-retail-images.kiotviet.vn/2025/10/30/giabaopharma/5474f720e6c841aab84bb2ce160a9cab.png" TargetMode="External"/><Relationship Id="rId265" Type="http://schemas.openxmlformats.org/officeDocument/2006/relationships/hyperlink" Target="https://cdn-images.kiotviet.vn/giabaopharma/b387aa7be30b455a86b345f15b1d4250.png,https:/cdn-images.kiotviet.vn/giabaopharma/3dc862f7774e4063a43188a321566eb9.png,https:/cdn-images.kiotviet.vn/giabaopharma/c52918c37c614d75b34e090c3eabea60.png,https:/cdn-images.kiotviet.vn/giabaopharma/6439ab8b7e6c4d31a978f77fa54b098f.png,https:/cdn-images.kiotviet.vn/giabaopharma/49f1dfe874ee441fabbc9b2eb2da9f4f.png" TargetMode="External"/><Relationship Id="rId472" Type="http://schemas.openxmlformats.org/officeDocument/2006/relationships/hyperlink" Target="https://product.hstatic.net/200000428801/product/14_eb9030f42bb447608915b96a0c5209fc.png" TargetMode="External"/><Relationship Id="rId2153" Type="http://schemas.openxmlformats.org/officeDocument/2006/relationships/hyperlink" Target="https://product.hstatic.net/200000428801/product/81cb4b3ffd6f49dc9c1e247bf98e742d_fdb9eab119014ba4a378c0d857d1f3e3.png" TargetMode="External"/><Relationship Id="rId2360" Type="http://schemas.openxmlformats.org/officeDocument/2006/relationships/hyperlink" Target="https://cdn2-retail-images.kiotviet.vn/giabaopharma/0d6b454860e1496892e15af44dbec6ed.jpg" TargetMode="External"/><Relationship Id="rId3204" Type="http://schemas.openxmlformats.org/officeDocument/2006/relationships/hyperlink" Target="https://product.hstatic.net/200000428801/product/9797d2794bde42debc6312209b21acbe_be34a297b191442b8b2dcea5dbe79e49.png" TargetMode="External"/><Relationship Id="rId3411" Type="http://schemas.openxmlformats.org/officeDocument/2006/relationships/hyperlink" Target="https://product.hstatic.net/200000428801/product/7383fd38e72a4297b176a556fc9903a3_77fb3ed9bc28401fba1d1da1a0a8b94a.png" TargetMode="External"/><Relationship Id="rId125" Type="http://schemas.openxmlformats.org/officeDocument/2006/relationships/hyperlink" Target="https://cdn2-retail-images.kiotviet.vn/2025/03/20/giabaopharma/4153e67b0c0b48c2beb798009d7ec23c.jpg" TargetMode="External"/><Relationship Id="rId332" Type="http://schemas.openxmlformats.org/officeDocument/2006/relationships/hyperlink" Target="https://product.hstatic.net/200000428801/product/514_a85d9c04ffa743b1824a3cf65620698b.png" TargetMode="External"/><Relationship Id="rId2013" Type="http://schemas.openxmlformats.org/officeDocument/2006/relationships/hyperlink" Target="https://product.hstatic.net/200000428801/product/upload_c3c270c59d2943faa0c776cf37137146.jpg" TargetMode="External"/><Relationship Id="rId2220" Type="http://schemas.openxmlformats.org/officeDocument/2006/relationships/hyperlink" Target="https://product.hstatic.net/200000428801/product/upload_e5435eebd46649dd9d63ec33d3a96bef.jpg" TargetMode="External"/><Relationship Id="rId1779" Type="http://schemas.openxmlformats.org/officeDocument/2006/relationships/hyperlink" Target="https://product.hstatic.net/200000428801/product/upload_dcd3224672d24d2ab9283240ec934edc.jpg" TargetMode="External"/><Relationship Id="rId1986" Type="http://schemas.openxmlformats.org/officeDocument/2006/relationships/hyperlink" Target="https://product.hstatic.net/200000428801/product/upload_45537e812a584af599e4feb719a5ebf4.jpg" TargetMode="External"/><Relationship Id="rId4045" Type="http://schemas.openxmlformats.org/officeDocument/2006/relationships/hyperlink" Target="https://i.postimg.cc/ZYQs1vgK/Alpha-tex.png" TargetMode="External"/><Relationship Id="rId1639" Type="http://schemas.openxmlformats.org/officeDocument/2006/relationships/hyperlink" Target="https://product.hstatic.net/200000428801/product/upload_29aad60b989543389babd9655e5179ac.jpg" TargetMode="External"/><Relationship Id="rId1846" Type="http://schemas.openxmlformats.org/officeDocument/2006/relationships/hyperlink" Target="https://product.hstatic.net/200000428801/product/545_f572fa625b864ca19da6150319c18e8e.png" TargetMode="External"/><Relationship Id="rId3061" Type="http://schemas.openxmlformats.org/officeDocument/2006/relationships/hyperlink" Target="https://product.hstatic.net/200000428801/product/upload_75a6187c793a4c6ba986d22235f4a65d.jpg" TargetMode="External"/><Relationship Id="rId1706" Type="http://schemas.openxmlformats.org/officeDocument/2006/relationships/hyperlink" Target="https://product.hstatic.net/200000428801/product/upload_9ea980b1cf26476cb565a2f9c3b07233.jpg" TargetMode="External"/><Relationship Id="rId1913" Type="http://schemas.openxmlformats.org/officeDocument/2006/relationships/hyperlink" Target="https://product.hstatic.net/200000428801/product/upload_20d5db362bea42b999c9dab94e0d8be4.jpg" TargetMode="External"/><Relationship Id="rId3878" Type="http://schemas.openxmlformats.org/officeDocument/2006/relationships/hyperlink" Target="https://product.hstatic.net/200000428801/product/thiet_ke_khong_ten__2__413ddcdb2c004affa1873035e8c6a872.png" TargetMode="External"/><Relationship Id="rId799" Type="http://schemas.openxmlformats.org/officeDocument/2006/relationships/hyperlink" Target="https://product.hstatic.net/200000428801/product/upload_97516aec3ab54dc398e7092b54480a48.jpg" TargetMode="External"/><Relationship Id="rId2687" Type="http://schemas.openxmlformats.org/officeDocument/2006/relationships/hyperlink" Target="https://product.hstatic.net/200000428801/product/upload_12f85f2958f64a82979611b1bba20d28.jpg" TargetMode="External"/><Relationship Id="rId2894" Type="http://schemas.openxmlformats.org/officeDocument/2006/relationships/hyperlink" Target="https://product.hstatic.net/200000428801/product/upload_405836e76b9c4a02838b654a8a93a799.jpg" TargetMode="External"/><Relationship Id="rId3738" Type="http://schemas.openxmlformats.org/officeDocument/2006/relationships/hyperlink" Target="https://product.hstatic.net/200000428801/product/c684ffa2eac8299670d9_4c0a7bfd97344ee18845871623cb96cf.jpg" TargetMode="External"/><Relationship Id="rId659" Type="http://schemas.openxmlformats.org/officeDocument/2006/relationships/hyperlink" Target="https://product.hstatic.net/200000428801/product/upload_9db9896f0f1140a589e4b8634134e589.jpg" TargetMode="External"/><Relationship Id="rId866" Type="http://schemas.openxmlformats.org/officeDocument/2006/relationships/hyperlink" Target="https://product.hstatic.net/200000428801/product/upload_e94fbe68b37a4f419f2262035aac4b08.jpg" TargetMode="External"/><Relationship Id="rId1289" Type="http://schemas.openxmlformats.org/officeDocument/2006/relationships/hyperlink" Target="https://product.hstatic.net/200000428801/product/upload_a427b896fa38460892b4299af7e0b116.jpg" TargetMode="External"/><Relationship Id="rId1496" Type="http://schemas.openxmlformats.org/officeDocument/2006/relationships/hyperlink" Target="https://product.hstatic.net/200000428801/product/upload_e7028e1f27ce4688a29b9cb9759dd0b8.jpg" TargetMode="External"/><Relationship Id="rId2547" Type="http://schemas.openxmlformats.org/officeDocument/2006/relationships/hyperlink" Target="https://product.hstatic.net/200000428801/product/upload_1e8f9fa1ab53434cb894fad7bfa72e93.jpg" TargetMode="External"/><Relationship Id="rId3945" Type="http://schemas.openxmlformats.org/officeDocument/2006/relationships/hyperlink" Target="https://cdn2-retail-images.kiotviet.vn/2025/10/30/giabaopharma/91949ed11fe741d582e7747a49be4419.png" TargetMode="External"/><Relationship Id="rId519" Type="http://schemas.openxmlformats.org/officeDocument/2006/relationships/hyperlink" Target="https://product.hstatic.net/200000428801/product/upload_8afb3336af1149b1ad206d4ad05536e0.jpg" TargetMode="External"/><Relationship Id="rId1149" Type="http://schemas.openxmlformats.org/officeDocument/2006/relationships/hyperlink" Target="https://product.hstatic.net/200000428801/product/upload_909cd01ded054698820c5c2ead6901f2.jpg" TargetMode="External"/><Relationship Id="rId1356" Type="http://schemas.openxmlformats.org/officeDocument/2006/relationships/hyperlink" Target="https://product.hstatic.net/200000428801/product/upload_6d2488403602446c9a2350ec07f93d54.jpg" TargetMode="External"/><Relationship Id="rId2754" Type="http://schemas.openxmlformats.org/officeDocument/2006/relationships/hyperlink" Target="https://product.hstatic.net/200000428801/product/upload_aa6d8ccc31514ee6b7bd4e81f5fd8454.jpg" TargetMode="External"/><Relationship Id="rId2961" Type="http://schemas.openxmlformats.org/officeDocument/2006/relationships/hyperlink" Target="https://product.hstatic.net/200000428801/product/upload_b7f912440ee0480590d53f3075003013.jpg" TargetMode="External"/><Relationship Id="rId3805" Type="http://schemas.openxmlformats.org/officeDocument/2006/relationships/hyperlink" Target="https://product.hstatic.net/200000428801/product/zalo_screenshot_18_11_2021_759825_aff8b4a2941d430083b4f386824cb7cb.png" TargetMode="External"/><Relationship Id="rId726" Type="http://schemas.openxmlformats.org/officeDocument/2006/relationships/hyperlink" Target="https://product.hstatic.net/200000428801/product/upload_e1c5bf94815447bba07b573a31bd8b48.jpg" TargetMode="External"/><Relationship Id="rId933" Type="http://schemas.openxmlformats.org/officeDocument/2006/relationships/hyperlink" Target="https://product.hstatic.net/200000428801/product/upload_5db51c0219904b6d8ab3b8d57ee40222.jpg" TargetMode="External"/><Relationship Id="rId1009" Type="http://schemas.openxmlformats.org/officeDocument/2006/relationships/hyperlink" Target="https://product.hstatic.net/200000428801/product/101_21f1b2c6c7c94f34ba6a4a9d0c5c083c.png" TargetMode="External"/><Relationship Id="rId1563" Type="http://schemas.openxmlformats.org/officeDocument/2006/relationships/hyperlink" Target="https://product.hstatic.net/200000428801/product/upload_d4940b31545940bbb03c65da3a83c9f6.jpg" TargetMode="External"/><Relationship Id="rId1770" Type="http://schemas.openxmlformats.org/officeDocument/2006/relationships/hyperlink" Target="https://product.hstatic.net/200000428801/product/upload_3501059b01294a39954388895184ba02.jpg" TargetMode="External"/><Relationship Id="rId2407" Type="http://schemas.openxmlformats.org/officeDocument/2006/relationships/hyperlink" Target="https://product.hstatic.net/200000428801/product/upload_1308c9edea3544e78dd917b281baf70f.jpg" TargetMode="External"/><Relationship Id="rId2614" Type="http://schemas.openxmlformats.org/officeDocument/2006/relationships/hyperlink" Target="https://product.hstatic.net/200000428801/product/upload_e8a822c33ae04d6184c84ec78398a91e.jpg" TargetMode="External"/><Relationship Id="rId2821" Type="http://schemas.openxmlformats.org/officeDocument/2006/relationships/hyperlink" Target="https://product.hstatic.net/200000428801/product/upload_e7944af4e513444dab873ea6497690c7.jpg" TargetMode="External"/><Relationship Id="rId62" Type="http://schemas.openxmlformats.org/officeDocument/2006/relationships/hyperlink" Target="https://i.postimg.cc/J76kWzFd/3b04461ee3704f0f966214df4bdcbb21.jpg" TargetMode="External"/><Relationship Id="rId1216" Type="http://schemas.openxmlformats.org/officeDocument/2006/relationships/hyperlink" Target="https://product.hstatic.net/200000428801/product/upload_9df8432736a447719f35814db9b01547.jpg" TargetMode="External"/><Relationship Id="rId1423" Type="http://schemas.openxmlformats.org/officeDocument/2006/relationships/hyperlink" Target="https://product.hstatic.net/200000428801/product/upload_cf1b105b54074afca8c94e6e2f512118.jpg" TargetMode="External"/><Relationship Id="rId1630" Type="http://schemas.openxmlformats.org/officeDocument/2006/relationships/hyperlink" Target="https://product.hstatic.net/200000428801/product/upload_c0b05dfb4c3a4903a4cf2e10b774b2b1.jpg" TargetMode="External"/><Relationship Id="rId3388" Type="http://schemas.openxmlformats.org/officeDocument/2006/relationships/hyperlink" Target="https://product.hstatic.net/200000428801/product/18ec37dfb0844845920316726149b42d_d54afd7f1ff24416acd1c88941eceb73.png" TargetMode="External"/><Relationship Id="rId3595" Type="http://schemas.openxmlformats.org/officeDocument/2006/relationships/hyperlink" Target="https://cdn2-retail-images.kiotviet.vn/2025/10/30/giabaopharma/aed8b96e4e50427897f1a68143410699.png" TargetMode="External"/><Relationship Id="rId2197" Type="http://schemas.openxmlformats.org/officeDocument/2006/relationships/hyperlink" Target="https://product.hstatic.net/200000428801/product/497_113967ebc86f41c6a46f88fe8e30cb89.png" TargetMode="External"/><Relationship Id="rId3248" Type="http://schemas.openxmlformats.org/officeDocument/2006/relationships/hyperlink" Target="https://product.hstatic.net/200000428801/product/2ada15b8b2814fda8ac09c148e51bd16_250de9c9aa724f1abb03d7f9f761c75c.png" TargetMode="External"/><Relationship Id="rId3455" Type="http://schemas.openxmlformats.org/officeDocument/2006/relationships/hyperlink" Target="https://product.hstatic.net/200000428801/product/9afe2e46995543a8b79fb2c07b529b63_ada61aadd270457b8aba424e59bfafb6.png" TargetMode="External"/><Relationship Id="rId3662" Type="http://schemas.openxmlformats.org/officeDocument/2006/relationships/hyperlink" Target="https://product.hstatic.net/200000428801/product/d915d580a22e63703a3f_4c4f4341883e429d82781bfeb7d3f1da.jpg" TargetMode="External"/><Relationship Id="rId169" Type="http://schemas.openxmlformats.org/officeDocument/2006/relationships/hyperlink" Target="https://cdn2-retail-images.kiotviet.vn/2024/12/23/giabaopharma/11741e09b18749d69c9797f51e7ca0ec.jpg" TargetMode="External"/><Relationship Id="rId376" Type="http://schemas.openxmlformats.org/officeDocument/2006/relationships/hyperlink" Target="https://product.hstatic.net/200000428801/product/upload_a6135e03f59e49cf96ad22363e0e6ffe.jpg" TargetMode="External"/><Relationship Id="rId583" Type="http://schemas.openxmlformats.org/officeDocument/2006/relationships/hyperlink" Target="https://product.hstatic.net/200000428801/product/upload_1bb7632418f5466f837741bd18c9a287.jpg" TargetMode="External"/><Relationship Id="rId790" Type="http://schemas.openxmlformats.org/officeDocument/2006/relationships/hyperlink" Target="https://product.hstatic.net/200000428801/product/upload_7b2298c9725d4ab6b0067975a92f74a5.jpg" TargetMode="External"/><Relationship Id="rId2057" Type="http://schemas.openxmlformats.org/officeDocument/2006/relationships/hyperlink" Target="https://product.hstatic.net/200000428801/product/upload_6e733016ced2475f8ee9970cba30a9ff.jpg" TargetMode="External"/><Relationship Id="rId2264" Type="http://schemas.openxmlformats.org/officeDocument/2006/relationships/hyperlink" Target="https://product.hstatic.net/200000428801/product/upload_65da0ae607134dc2b3bc8fb6e54655b8.jpg" TargetMode="External"/><Relationship Id="rId2471" Type="http://schemas.openxmlformats.org/officeDocument/2006/relationships/hyperlink" Target="https://product.hstatic.net/200000428801/product/upload_280f9a2d63994e949a74540f583386fb.jpg" TargetMode="External"/><Relationship Id="rId3108" Type="http://schemas.openxmlformats.org/officeDocument/2006/relationships/hyperlink" Target="https://cdn2-retail-images.kiotviet.vn/2025/11/17/giabaopharma/f65d80d60e9d48b68344c25b5701fd77.jpg" TargetMode="External"/><Relationship Id="rId3315" Type="http://schemas.openxmlformats.org/officeDocument/2006/relationships/hyperlink" Target="https://product.hstatic.net/200000428801/product/23879dd5f8e34510a1b4c593e959c0bc_62d794cdfae543e6bb37dacdd7627764.png" TargetMode="External"/><Relationship Id="rId3522" Type="http://schemas.openxmlformats.org/officeDocument/2006/relationships/hyperlink" Target="https://product.hstatic.net/200000428801/product/945b3b7f5354970ace45_84401b508d72441dac8befbf2ff2e4e8.jpg" TargetMode="External"/><Relationship Id="rId236" Type="http://schemas.openxmlformats.org/officeDocument/2006/relationships/hyperlink" Target="https://cdn2-retail-images.kiotviet.vn/2025/04/22/giabaopharma/524b219775f745d990b0f09a40648e57.jpg,https:/cdn2-retail-images.kiotviet.vn/2025/05/29/giabaopharma/ed43fbc42d284f0d81ead90c29c1a52f.jpg,https:/cdn2-retail-images.kiotviet.vn/2025/05/29/giabaopharma/f0b81e4ce6c744b896f4fb2f934f94de.jpg" TargetMode="External"/><Relationship Id="rId443" Type="http://schemas.openxmlformats.org/officeDocument/2006/relationships/hyperlink" Target="https://cdn2-retail-images.kiotviet.vn/2025/12/23/giabaopharma/7cb6586ad5304089af8714a53ac83322.png" TargetMode="External"/><Relationship Id="rId650" Type="http://schemas.openxmlformats.org/officeDocument/2006/relationships/hyperlink" Target="https://product.hstatic.net/200000428801/product/1eb9d649b5134803afb97708817b3eba_dd842b3684dc4aa6921ab1941e0bb51a.png" TargetMode="External"/><Relationship Id="rId1073" Type="http://schemas.openxmlformats.org/officeDocument/2006/relationships/hyperlink" Target="https://product.hstatic.net/200000428801/product/upload_185300f04c854ae59bf348cbe142edb8.jpg" TargetMode="External"/><Relationship Id="rId1280" Type="http://schemas.openxmlformats.org/officeDocument/2006/relationships/hyperlink" Target="https://product.hstatic.net/200000428801/product/66_36c37cbd33d24a8eb48b0e0a36a0fa13.png" TargetMode="External"/><Relationship Id="rId2124" Type="http://schemas.openxmlformats.org/officeDocument/2006/relationships/hyperlink" Target="https://product.hstatic.net/200000428801/product/upload_fb78747839944b5d8030f83734ca808b.jpg" TargetMode="External"/><Relationship Id="rId2331" Type="http://schemas.openxmlformats.org/officeDocument/2006/relationships/hyperlink" Target="https://product.hstatic.net/200000428801/product/upload_b24896f93edf456aa0979aba33e9bc28.jpg" TargetMode="External"/><Relationship Id="rId303" Type="http://schemas.openxmlformats.org/officeDocument/2006/relationships/hyperlink" Target="https://product.hstatic.net/200000428801/product/upload_fc60b38759d94c7c8f8ee9912b293296.jpg" TargetMode="External"/><Relationship Id="rId1140" Type="http://schemas.openxmlformats.org/officeDocument/2006/relationships/hyperlink" Target="https://product.hstatic.net/200000428801/product/upload_fecfb2e2d7a24c2280323b5d01a004fd.jpg" TargetMode="External"/><Relationship Id="rId510" Type="http://schemas.openxmlformats.org/officeDocument/2006/relationships/hyperlink" Target="https://product.hstatic.net/200000428801/product/upload_fe775aab89344c89b9ad235129aa9bf9.jpg" TargetMode="External"/><Relationship Id="rId1000" Type="http://schemas.openxmlformats.org/officeDocument/2006/relationships/hyperlink" Target="https://product.hstatic.net/200000428801/product/95_131c7b31a3e44c11aed005011086f1d7.png" TargetMode="External"/><Relationship Id="rId1957" Type="http://schemas.openxmlformats.org/officeDocument/2006/relationships/hyperlink" Target="https://product.hstatic.net/200000428801/product/528_3bc27e1b20dc4c5e9e43843f47972e19.png" TargetMode="External"/><Relationship Id="rId1817" Type="http://schemas.openxmlformats.org/officeDocument/2006/relationships/hyperlink" Target="https://product.hstatic.net/200000428801/product/upload_b1c243cdd090472b8153e6feecf52f5d.jpg" TargetMode="External"/><Relationship Id="rId3172" Type="http://schemas.openxmlformats.org/officeDocument/2006/relationships/hyperlink" Target="https://cdn2-retail-images.kiotviet.vn/2025/03/14/giabaopharma/b37dc3054b444026906e004f82984541.jpg" TargetMode="External"/><Relationship Id="rId4016" Type="http://schemas.openxmlformats.org/officeDocument/2006/relationships/hyperlink" Target="https://product.hstatic.net/200000428801/product/97724da82d78ec26b569_0f70677074d046dda6f495576f7accda.jpg" TargetMode="External"/><Relationship Id="rId3032" Type="http://schemas.openxmlformats.org/officeDocument/2006/relationships/hyperlink" Target="https://product.hstatic.net/200000428801/product/upload_a85299f5b6574a58a04677dc4d83e5a3.jpg" TargetMode="External"/><Relationship Id="rId160" Type="http://schemas.openxmlformats.org/officeDocument/2006/relationships/hyperlink" Target="https://cdn2-retail-images.kiotviet.vn/2025/02/05/giabaopharma/c50429ab5d9d4c43ba5fd5cbac848a2c.jpg" TargetMode="External"/><Relationship Id="rId3989" Type="http://schemas.openxmlformats.org/officeDocument/2006/relationships/hyperlink" Target="https://cdn-images.kiotviet.vn/2025/05/24/giabaopharma/5e43971057474bc09470b0487b8cd485.jpg" TargetMode="External"/><Relationship Id="rId2798" Type="http://schemas.openxmlformats.org/officeDocument/2006/relationships/hyperlink" Target="https://product.hstatic.net/200000428801/product/upload_cb515c10595f455b8ce3bf72913def2f.jpg" TargetMode="External"/><Relationship Id="rId3849" Type="http://schemas.openxmlformats.org/officeDocument/2006/relationships/hyperlink" Target="https://product.hstatic.net/200000428801/product/e4f11c358e9f4fc1168e_90d923d6132c42369ed978cba9686016.jpg" TargetMode="External"/><Relationship Id="rId977" Type="http://schemas.openxmlformats.org/officeDocument/2006/relationships/hyperlink" Target="https://product.hstatic.net/200000428801/product/upload_ee2537d754234d489e3d52640dde6e7d.jpg" TargetMode="External"/><Relationship Id="rId2658" Type="http://schemas.openxmlformats.org/officeDocument/2006/relationships/hyperlink" Target="https://product.hstatic.net/200000428801/product/upload_84ec74eff51e405db60b1a76b0b434a6.jpg" TargetMode="External"/><Relationship Id="rId2865" Type="http://schemas.openxmlformats.org/officeDocument/2006/relationships/hyperlink" Target="https://product.hstatic.net/200000428801/product/upload_6e5710b454ab458eb93c54bba14803b6.jpg" TargetMode="External"/><Relationship Id="rId3709" Type="http://schemas.openxmlformats.org/officeDocument/2006/relationships/hyperlink" Target="https://product.hstatic.net/200000428801/product/e2abae4cae156e4b3704_1834253ecc35415f8977d487ad7f7e47.jpg" TargetMode="External"/><Relationship Id="rId3916" Type="http://schemas.openxmlformats.org/officeDocument/2006/relationships/hyperlink" Target="https://product.hstatic.net/200000428801/product/c95ab8c31e8ddbd3829c_068bed7279c241f2a0f62278d80aba8c.jpg" TargetMode="External"/><Relationship Id="rId837" Type="http://schemas.openxmlformats.org/officeDocument/2006/relationships/hyperlink" Target="https://product.hstatic.net/200000428801/product/upload_7cb38218dc174403bb7548ce6ac92625.jpg" TargetMode="External"/><Relationship Id="rId1467" Type="http://schemas.openxmlformats.org/officeDocument/2006/relationships/hyperlink" Target="https://cdn2-retail-images.kiotviet.vn/2026/02/07/giabaopharma/2d4e09a287e54792aec184c3d810a338.jpg" TargetMode="External"/><Relationship Id="rId1674" Type="http://schemas.openxmlformats.org/officeDocument/2006/relationships/hyperlink" Target="https://product.hstatic.net/200000428801/product/upload_f7e7ed3442f54b8dbfc4f0be963f88fa.jpg" TargetMode="External"/><Relationship Id="rId1881" Type="http://schemas.openxmlformats.org/officeDocument/2006/relationships/hyperlink" Target="https://product.hstatic.net/200000428801/product/upload_e2dbd2dab3834016ad2175d2651138e7.jpg" TargetMode="External"/><Relationship Id="rId2518" Type="http://schemas.openxmlformats.org/officeDocument/2006/relationships/hyperlink" Target="https://product.hstatic.net/200000428801/product/0ae9a139131f49e0a20878444b362f2d_9aafc1e8aad24eedb4b95adc29021be2.png" TargetMode="External"/><Relationship Id="rId2725" Type="http://schemas.openxmlformats.org/officeDocument/2006/relationships/hyperlink" Target="https://product.hstatic.net/200000428801/product/upload_f5ceb781d58a41d4a383dd641f7b99b9.jpg" TargetMode="External"/><Relationship Id="rId2932" Type="http://schemas.openxmlformats.org/officeDocument/2006/relationships/hyperlink" Target="https://product.hstatic.net/200000428801/product/upload_7d29aafd05684099aecde4029123d684.jpg" TargetMode="External"/><Relationship Id="rId904" Type="http://schemas.openxmlformats.org/officeDocument/2006/relationships/hyperlink" Target="https://product.hstatic.net/200000428801/product/upload_e67f1c9c150c4f52868ff5e2e21d34a9.jpg" TargetMode="External"/><Relationship Id="rId1327" Type="http://schemas.openxmlformats.org/officeDocument/2006/relationships/hyperlink" Target="https://product.hstatic.net/200000428801/product/upload_0af13eb2771e4342952e39b78af71cf8.jpg" TargetMode="External"/><Relationship Id="rId1534" Type="http://schemas.openxmlformats.org/officeDocument/2006/relationships/hyperlink" Target="https://product.hstatic.net/200000428801/product/upload_77df13e008a94624b7f3ed230ae58446.jpg" TargetMode="External"/><Relationship Id="rId1741" Type="http://schemas.openxmlformats.org/officeDocument/2006/relationships/hyperlink" Target="https://product.hstatic.net/200000428801/product/upload_f7edb70522c64e20971f792d2b2f90f8.jpg" TargetMode="External"/><Relationship Id="rId33" Type="http://schemas.openxmlformats.org/officeDocument/2006/relationships/hyperlink" Target="https://cdn2-retail-images.kiotviet.vn/2025/10/29/giabaopharma/dfb0317260d6493cb2e27041cd4d1f16.jpg" TargetMode="External"/><Relationship Id="rId1601" Type="http://schemas.openxmlformats.org/officeDocument/2006/relationships/hyperlink" Target="https://product.hstatic.net/200000428801/product/upload_9d31c0b91b2747e6a5a7e2d5aef6503a.jpg" TargetMode="External"/><Relationship Id="rId3499" Type="http://schemas.openxmlformats.org/officeDocument/2006/relationships/hyperlink" Target="https://product.hstatic.net/200000428801/product/2a2912b61bc14ff288a0d3ce837acc43_0351431e7c9f4d2d8ccf2ebc3f40c377.png" TargetMode="External"/><Relationship Id="rId3359" Type="http://schemas.openxmlformats.org/officeDocument/2006/relationships/hyperlink" Target="https://product.hstatic.net/200000428801/product/b08977db5fc14307926cec4827de53d2_ba8569e7a9c24289a42b7ce79c635580.png" TargetMode="External"/><Relationship Id="rId3566" Type="http://schemas.openxmlformats.org/officeDocument/2006/relationships/hyperlink" Target="https://product.hstatic.net/200000428801/product/f3bdd563e01f2141780e_d1ae612069714992b2c000199ebad989.jpg" TargetMode="External"/><Relationship Id="rId487" Type="http://schemas.openxmlformats.org/officeDocument/2006/relationships/hyperlink" Target="https://product.hstatic.net/200000428801/product/upload_1480991655fc4b59bb38056d58363004.jpg" TargetMode="External"/><Relationship Id="rId694" Type="http://schemas.openxmlformats.org/officeDocument/2006/relationships/hyperlink" Target="https://product.hstatic.net/200000428801/product/upload_56631c29a24d413b9cf1adb8ed1b2ccd.jpg" TargetMode="External"/><Relationship Id="rId2168" Type="http://schemas.openxmlformats.org/officeDocument/2006/relationships/hyperlink" Target="https://product.hstatic.net/200000428801/product/upload_c32f7606ca194393b42023d2a8b10ffe.jpg" TargetMode="External"/><Relationship Id="rId2375" Type="http://schemas.openxmlformats.org/officeDocument/2006/relationships/hyperlink" Target="https://product.hstatic.net/200000428801/product/upload_89434353504b4b17b7deb60cf20ca324.jpg" TargetMode="External"/><Relationship Id="rId3219" Type="http://schemas.openxmlformats.org/officeDocument/2006/relationships/hyperlink" Target="https://product.hstatic.net/200000428801/product/70ef57da2a99451dbfd0e7e719b9f572_bbca3e67a355405db532d248e12d95a3.png" TargetMode="External"/><Relationship Id="rId3773" Type="http://schemas.openxmlformats.org/officeDocument/2006/relationships/hyperlink" Target="https://product.hstatic.net/200000428801/product/1da7e9fc3966fb38a277_a4d1eb4f6da34795bb08c4dc35f24b5c.jpg" TargetMode="External"/><Relationship Id="rId3980" Type="http://schemas.openxmlformats.org/officeDocument/2006/relationships/hyperlink" Target="https://product.hstatic.net/200000428801/product/bb7e2e7054279279cb36_390b3cffebae4ed49130ab94ba181f31.jpg" TargetMode="External"/><Relationship Id="rId347" Type="http://schemas.openxmlformats.org/officeDocument/2006/relationships/hyperlink" Target="https://product.hstatic.net/200000428801/product/57_77c0d79c40584d4c835607f6435d7336.png" TargetMode="External"/><Relationship Id="rId1184" Type="http://schemas.openxmlformats.org/officeDocument/2006/relationships/hyperlink" Target="https://product.hstatic.net/200000428801/product/upload_841c0697c69246b090b69424b02a7931.jpg" TargetMode="External"/><Relationship Id="rId2028" Type="http://schemas.openxmlformats.org/officeDocument/2006/relationships/hyperlink" Target="https://product.hstatic.net/200000428801/product/upload_c516cff843294474909bb26eceafeb78.jpg" TargetMode="External"/><Relationship Id="rId2582" Type="http://schemas.openxmlformats.org/officeDocument/2006/relationships/hyperlink" Target="https://product.hstatic.net/200000428801/product/upload_3c59f12ab0fb4fbdaa2d2520ac88dae5.jpg" TargetMode="External"/><Relationship Id="rId3426" Type="http://schemas.openxmlformats.org/officeDocument/2006/relationships/hyperlink" Target="https://product.hstatic.net/200000428801/product/54233a2e8057445a89364bd26e96814c_d55aac4a78874aef902686bb29c57999.png" TargetMode="External"/><Relationship Id="rId3633" Type="http://schemas.openxmlformats.org/officeDocument/2006/relationships/hyperlink" Target="https://product.hstatic.net/200000428801/product/thiet_ke_khong_ten__20__a15f16264b6e4a569543e568bf456cb7.png" TargetMode="External"/><Relationship Id="rId3840" Type="http://schemas.openxmlformats.org/officeDocument/2006/relationships/hyperlink" Target="https://cdn1-retail-images.kiotviet.vn/2026/01/10/giabaopharma/d9b70fe888144c13aa913c1f1f9f21ed.jpg" TargetMode="External"/><Relationship Id="rId554" Type="http://schemas.openxmlformats.org/officeDocument/2006/relationships/hyperlink" Target="https://product.hstatic.net/200000428801/product/upload_5dab3849d91b4acd894472b1ed1541ff.jpg" TargetMode="External"/><Relationship Id="rId761" Type="http://schemas.openxmlformats.org/officeDocument/2006/relationships/hyperlink" Target="https://product.hstatic.net/200000428801/product/upload_2e28c3dd50c84c929bacef1a3f23fac5.jpg" TargetMode="External"/><Relationship Id="rId1391" Type="http://schemas.openxmlformats.org/officeDocument/2006/relationships/hyperlink" Target="https://product.hstatic.net/200000428801/product/upload_885c97ed740947c9af712c1e2042b916.jpg" TargetMode="External"/><Relationship Id="rId2235" Type="http://schemas.openxmlformats.org/officeDocument/2006/relationships/hyperlink" Target="https://product.hstatic.net/200000428801/product/upload_626ecc8b5f024600ad94cd7c0a806f8e.jpg" TargetMode="External"/><Relationship Id="rId2442" Type="http://schemas.openxmlformats.org/officeDocument/2006/relationships/hyperlink" Target="https://product.hstatic.net/200000428801/product/upload_d0e6fcb7c34e41f183fb4c56a3f33fde.jpg" TargetMode="External"/><Relationship Id="rId3700" Type="http://schemas.openxmlformats.org/officeDocument/2006/relationships/hyperlink" Target="https://cdn2-retail-images.kiotviet.vn/2026/04/01/giabaopharma/804788cb858e4bf0b5be3aedd786912e.jpg" TargetMode="External"/><Relationship Id="rId207" Type="http://schemas.openxmlformats.org/officeDocument/2006/relationships/hyperlink" Target="https://cdn-images.kiotviet.vn/giabaopharma/364e934e75744019a5152b611ee879fe.png" TargetMode="External"/><Relationship Id="rId414" Type="http://schemas.openxmlformats.org/officeDocument/2006/relationships/hyperlink" Target="https://product.hstatic.net/200000428801/product/upload_7e464caeebc147858000eb4970ed011f.jpg" TargetMode="External"/><Relationship Id="rId621" Type="http://schemas.openxmlformats.org/officeDocument/2006/relationships/hyperlink" Target="https://product.hstatic.net/200000428801/product/upload_cd0a50aec4e44be18e67083027c81ae4.jpg" TargetMode="External"/><Relationship Id="rId1044" Type="http://schemas.openxmlformats.org/officeDocument/2006/relationships/hyperlink" Target="https://product.hstatic.net/200000428801/product/upload_f79fa94c82bd4daf9eeb80b5d018793a.jpg" TargetMode="External"/><Relationship Id="rId1251" Type="http://schemas.openxmlformats.org/officeDocument/2006/relationships/hyperlink" Target="https://product.hstatic.net/200000428801/product/upload_5c1f5a7a66ac456aa9a858e81caa5317.jpg" TargetMode="External"/><Relationship Id="rId2302" Type="http://schemas.openxmlformats.org/officeDocument/2006/relationships/hyperlink" Target="https://product.hstatic.net/200000428801/product/1257cad6c36049b0824dccf6a7b67488_dc78874a0ecd42b3afcef97ce6d6969d.png" TargetMode="External"/><Relationship Id="rId1111" Type="http://schemas.openxmlformats.org/officeDocument/2006/relationships/hyperlink" Target="https://product.hstatic.net/200000428801/product/upload_53a9b36cb7ee4229a58fa53a2bbe48bc.jpg" TargetMode="External"/><Relationship Id="rId3076" Type="http://schemas.openxmlformats.org/officeDocument/2006/relationships/hyperlink" Target="https://product.hstatic.net/200000428801/product/upload_8df6b2126c1849848c839fefa228ea04.jpg" TargetMode="External"/><Relationship Id="rId3283" Type="http://schemas.openxmlformats.org/officeDocument/2006/relationships/hyperlink" Target="https://product.hstatic.net/200000428801/product/4767685b8be7433181c6856fd22bfd4d_c3dca2f2265d420fb9a2523b0d514645.png" TargetMode="External"/><Relationship Id="rId3490" Type="http://schemas.openxmlformats.org/officeDocument/2006/relationships/hyperlink" Target="https://product.hstatic.net/200000428801/product/13_bb3a2c652b97486d88644789b02c068b.png" TargetMode="External"/><Relationship Id="rId1928" Type="http://schemas.openxmlformats.org/officeDocument/2006/relationships/hyperlink" Target="https://product.hstatic.net/200000428801/product/upload_ef38fa329e544fd8a9e73c5a4aee1509.jpg" TargetMode="External"/><Relationship Id="rId2092" Type="http://schemas.openxmlformats.org/officeDocument/2006/relationships/hyperlink" Target="https://product.hstatic.net/200000428801/product/upload_a249d65446204dacaeae6bfb566160a0.jpg" TargetMode="External"/><Relationship Id="rId3143" Type="http://schemas.openxmlformats.org/officeDocument/2006/relationships/hyperlink" Target="https://product.hstatic.net/200000428801/product/753ee97cb2c145deaf857339fec38ad9_fa6814d9844344deb0bf80d64c7eb7e2.jpg" TargetMode="External"/><Relationship Id="rId3350" Type="http://schemas.openxmlformats.org/officeDocument/2006/relationships/hyperlink" Target="https://product.hstatic.net/200000428801/product/94f132bde20345ab856663375f5ace3d_ffe3e16b725442938d433cab94749e46.png" TargetMode="External"/><Relationship Id="rId271" Type="http://schemas.openxmlformats.org/officeDocument/2006/relationships/hyperlink" Target="https://cdn-images.kiotviet.vn/giabaopharma/efa61bfd75a14893a5f5b98e3b4e7d1f.png,https:/cdn-images.kiotviet.vn/giabaopharma/d6f72640015b43d3b8fb1460ee2f7a68.png,https:/cdn-images.kiotviet.vn/giabaopharma/518d85c2c8c74734b2869877cf951ea0.png,https:/cdn-images.kiotviet.vn/giabaopharma/f335cbc050d7454891e52682d2015e28.png,https:/cdn-images.kiotviet.vn/giabaopharma/b59d053f83d942009754e3b24885f780.png" TargetMode="External"/><Relationship Id="rId3003" Type="http://schemas.openxmlformats.org/officeDocument/2006/relationships/hyperlink" Target="https://product.hstatic.net/200000428801/product/upload_7f0285235eb84a79a8a5cb98a3c85313.jpg" TargetMode="External"/><Relationship Id="rId131" Type="http://schemas.openxmlformats.org/officeDocument/2006/relationships/hyperlink" Target="https://cdn2-retail-images.kiotviet.vn/2025/03/12/giabaopharma/6117512b892d42869632b53f314d69dd.jpg,https:/cdn2-retail-images.kiotviet.vn/2025/03/12/giabaopharma/9bf8ec1fc3854d32999fee47c89638b1.jpg" TargetMode="External"/><Relationship Id="rId3210" Type="http://schemas.openxmlformats.org/officeDocument/2006/relationships/hyperlink" Target="https://product.hstatic.net/200000428801/product/e92cc17e07d44888ad4cee2bdf928d13_1fd24b61628f440089d365d0bc8b3559.png" TargetMode="External"/><Relationship Id="rId2769" Type="http://schemas.openxmlformats.org/officeDocument/2006/relationships/hyperlink" Target="https://product.hstatic.net/200000428801/product/upload_36c80c56df6e4f9594cecb82009c56a2.jpg" TargetMode="External"/><Relationship Id="rId2976" Type="http://schemas.openxmlformats.org/officeDocument/2006/relationships/hyperlink" Target="https://product.hstatic.net/200000428801/product/upload_a6b0410681024f4abbdf9cc603b90fac.jpg" TargetMode="External"/><Relationship Id="rId948" Type="http://schemas.openxmlformats.org/officeDocument/2006/relationships/hyperlink" Target="https://product.hstatic.net/200000428801/product/upload_53f9549e0d164685817e3a554a74c5df.jpg" TargetMode="External"/><Relationship Id="rId1578" Type="http://schemas.openxmlformats.org/officeDocument/2006/relationships/hyperlink" Target="https://product.hstatic.net/200000428801/product/upload_a1bd1b9403ef43f3a32431db21640f7c.jpg" TargetMode="External"/><Relationship Id="rId1785" Type="http://schemas.openxmlformats.org/officeDocument/2006/relationships/hyperlink" Target="https://product.hstatic.net/200000428801/product/upload_5b6177bda7c34f9f9a9a0bc10a6b1ba9.jpg" TargetMode="External"/><Relationship Id="rId1992" Type="http://schemas.openxmlformats.org/officeDocument/2006/relationships/hyperlink" Target="https://product.hstatic.net/200000428801/product/upload_102c7ad0af94473bb23e878ac771e663.jpg" TargetMode="External"/><Relationship Id="rId2629" Type="http://schemas.openxmlformats.org/officeDocument/2006/relationships/hyperlink" Target="https://product.hstatic.net/200000428801/product/upload_b938776793ef452ba8050d44a4c5c445.jpg" TargetMode="External"/><Relationship Id="rId2836" Type="http://schemas.openxmlformats.org/officeDocument/2006/relationships/hyperlink" Target="https://product.hstatic.net/200000428801/product/upload_98cc548d8b6f4bf3b07108c1c7997734.jpg" TargetMode="External"/><Relationship Id="rId77" Type="http://schemas.openxmlformats.org/officeDocument/2006/relationships/hyperlink" Target="https://i.postimg.cc/Dwq0mvxr/94e98065103548efbdbdf2399009e343.jpg" TargetMode="External"/><Relationship Id="rId808" Type="http://schemas.openxmlformats.org/officeDocument/2006/relationships/hyperlink" Target="https://product.hstatic.net/200000428801/product/upload_73b0a762ea2b4b7f8a0e7a4edca78c37.jpg" TargetMode="External"/><Relationship Id="rId1438" Type="http://schemas.openxmlformats.org/officeDocument/2006/relationships/hyperlink" Target="https://product.hstatic.net/200000428801/product/upload_0cc532e07f0f4dc1a0ccade0d29a5ee7.jpg" TargetMode="External"/><Relationship Id="rId1645" Type="http://schemas.openxmlformats.org/officeDocument/2006/relationships/hyperlink" Target="https://product.hstatic.net/200000428801/product/upload_10d33cfca13d4240bf41d67c3127bcef.jpg" TargetMode="External"/><Relationship Id="rId4051" Type="http://schemas.openxmlformats.org/officeDocument/2006/relationships/hyperlink" Target="https://product.hstatic.net/200000428801/product/zalo_screenshot_17_11_2021_937604_437f449fcfd1484296f71db060d96f0c.png" TargetMode="External"/><Relationship Id="rId1852" Type="http://schemas.openxmlformats.org/officeDocument/2006/relationships/hyperlink" Target="https://product.hstatic.net/200000428801/product/upload_dee0f1a9854b40b5b8c91589f98aa8a1.jpg" TargetMode="External"/><Relationship Id="rId2903" Type="http://schemas.openxmlformats.org/officeDocument/2006/relationships/hyperlink" Target="https://product.hstatic.net/200000428801/product/upload_215db54313ed43609183c8978f09b48b.jpg" TargetMode="External"/><Relationship Id="rId1505" Type="http://schemas.openxmlformats.org/officeDocument/2006/relationships/hyperlink" Target="https://product.hstatic.net/200000428801/product/upload_e69276db4ad840e9988311e68f168ddb.jpg" TargetMode="External"/><Relationship Id="rId1712" Type="http://schemas.openxmlformats.org/officeDocument/2006/relationships/hyperlink" Target="https://product.hstatic.net/200000428801/product/upload_e1f31ba3819444369a1bc166df26ecff.jpg" TargetMode="External"/><Relationship Id="rId3677" Type="http://schemas.openxmlformats.org/officeDocument/2006/relationships/hyperlink" Target="https://product.hstatic.net/200000428801/product/20211211_145447_5e2d590df28e4bf2b4939542f1e104cd.png" TargetMode="External"/><Relationship Id="rId3884" Type="http://schemas.openxmlformats.org/officeDocument/2006/relationships/hyperlink" Target="https://product.hstatic.net/200000428801/product/9a026ebaa2b761e938a6_b3f21e3bd1004a3db0315f98464f093a.jpg" TargetMode="External"/><Relationship Id="rId598" Type="http://schemas.openxmlformats.org/officeDocument/2006/relationships/hyperlink" Target="https://product.hstatic.net/200000428801/product/upload_902c23190ea44431b7e4db1c6700f891.jpg" TargetMode="External"/><Relationship Id="rId2279" Type="http://schemas.openxmlformats.org/officeDocument/2006/relationships/hyperlink" Target="https://product.hstatic.net/200000428801/product/upload_3f680614853a479bbd1982728624232c.jpg" TargetMode="External"/><Relationship Id="rId2486" Type="http://schemas.openxmlformats.org/officeDocument/2006/relationships/hyperlink" Target="https://product.hstatic.net/200000428801/product/upload_89936eaaae3f4d9f94df9daf4ee4e5a1.jpg" TargetMode="External"/><Relationship Id="rId2693" Type="http://schemas.openxmlformats.org/officeDocument/2006/relationships/hyperlink" Target="https://product.hstatic.net/200000428801/product/upload_37984dccd11c4c31ac9b5dba39040697.jpg" TargetMode="External"/><Relationship Id="rId3537" Type="http://schemas.openxmlformats.org/officeDocument/2006/relationships/hyperlink" Target="https://product.hstatic.net/200000428801/product/zalo_screenshot_20_11_2021_717328_fd45fa9746894f7e9624359e3bd0ea85.png" TargetMode="External"/><Relationship Id="rId3744" Type="http://schemas.openxmlformats.org/officeDocument/2006/relationships/hyperlink" Target="https://product.hstatic.net/200000428801/product/1_5b04e191ec664b2cad358fc960e4daa3.png" TargetMode="External"/><Relationship Id="rId3951" Type="http://schemas.openxmlformats.org/officeDocument/2006/relationships/hyperlink" Target="https://cdn1-retail-images.kiotviet.vn/2026/03/26/giabaopharma/5b7e16b05186440ab5985b54402ad197.jpg" TargetMode="External"/><Relationship Id="rId458" Type="http://schemas.openxmlformats.org/officeDocument/2006/relationships/hyperlink" Target="https://cdn2-retail-images.kiotviet.vn/2025/10/30/giabaopharma/007865b5a0eb426184f4cf818e39a1ca.png" TargetMode="External"/><Relationship Id="rId665" Type="http://schemas.openxmlformats.org/officeDocument/2006/relationships/hyperlink" Target="https://product.hstatic.net/200000428801/product/upload_28d5b87ae39c480280d6b0c4d82714d4.jpg" TargetMode="External"/><Relationship Id="rId872" Type="http://schemas.openxmlformats.org/officeDocument/2006/relationships/hyperlink" Target="https://product.hstatic.net/200000428801/product/upload_f6008c70140e4e9f90637f6db7b0e94e.jpg" TargetMode="External"/><Relationship Id="rId1088" Type="http://schemas.openxmlformats.org/officeDocument/2006/relationships/hyperlink" Target="https://product.hstatic.net/200000428801/product/upload_5eacf773ee23451a87d6e0efbb2a0af6.jpg" TargetMode="External"/><Relationship Id="rId1295" Type="http://schemas.openxmlformats.org/officeDocument/2006/relationships/hyperlink" Target="https://product.hstatic.net/200000428801/product/64_b565bcd74acb436588f2b7b53bf71b08.png" TargetMode="External"/><Relationship Id="rId2139" Type="http://schemas.openxmlformats.org/officeDocument/2006/relationships/hyperlink" Target="https://product.hstatic.net/200000428801/product/upload_eeef6fbf9a80419a8ac9a9c4d50e5e1f.jpg" TargetMode="External"/><Relationship Id="rId2346" Type="http://schemas.openxmlformats.org/officeDocument/2006/relationships/hyperlink" Target="https://product.hstatic.net/200000428801/product/upload_ee608bd433744fd98dd8f8a05600a656.jpg" TargetMode="External"/><Relationship Id="rId2553" Type="http://schemas.openxmlformats.org/officeDocument/2006/relationships/hyperlink" Target="https://product.hstatic.net/200000428801/product/upload_43a25ac8b9b14e66b82b1d72d53e9b58.jpg" TargetMode="External"/><Relationship Id="rId2760" Type="http://schemas.openxmlformats.org/officeDocument/2006/relationships/hyperlink" Target="https://product.hstatic.net/200000428801/product/upload_b77f53486097465f8e2d90634f77844b.jpg" TargetMode="External"/><Relationship Id="rId3604" Type="http://schemas.openxmlformats.org/officeDocument/2006/relationships/hyperlink" Target="https://product.hstatic.net/200000428801/product/89a5edbb8c3f4f61162e25_fe207a340ecf46a6a0aa33f71300a5ae.jpg" TargetMode="External"/><Relationship Id="rId3811" Type="http://schemas.openxmlformats.org/officeDocument/2006/relationships/hyperlink" Target="https://product.hstatic.net/200000428801/product/zalo_screenshot_20_11_2021_719481_7de2d21adb684478a075357562323526.png" TargetMode="External"/><Relationship Id="rId318" Type="http://schemas.openxmlformats.org/officeDocument/2006/relationships/hyperlink" Target="https://product.hstatic.net/200000428801/product/397_f2685a1c3d4748ddbb32a27cb430cfbf.png" TargetMode="External"/><Relationship Id="rId525" Type="http://schemas.openxmlformats.org/officeDocument/2006/relationships/hyperlink" Target="https://product.hstatic.net/200000428801/product/upload_5d0fa6bdf4ca43819fbe03010009732d.jpg" TargetMode="External"/><Relationship Id="rId732" Type="http://schemas.openxmlformats.org/officeDocument/2006/relationships/hyperlink" Target="https://product.hstatic.net/200000428801/product/upload_11cfbbc272244f398450fe1035d51290.jpg" TargetMode="External"/><Relationship Id="rId1155" Type="http://schemas.openxmlformats.org/officeDocument/2006/relationships/hyperlink" Target="https://product.hstatic.net/200000428801/product/upload_9e627c2504154493aa91fc8983aa165d.jpg" TargetMode="External"/><Relationship Id="rId1362" Type="http://schemas.openxmlformats.org/officeDocument/2006/relationships/hyperlink" Target="https://product.hstatic.net/200000428801/product/upload_0bf10f0f998441d79e85e03dfab9fe26.jpg" TargetMode="External"/><Relationship Id="rId2206" Type="http://schemas.openxmlformats.org/officeDocument/2006/relationships/hyperlink" Target="https://product.hstatic.net/200000428801/product/upload_2ee5f1998b9c4ddc90837462d977b838.jpg" TargetMode="External"/><Relationship Id="rId2413" Type="http://schemas.openxmlformats.org/officeDocument/2006/relationships/hyperlink" Target="https://product.hstatic.net/200000428801/product/407_cf8c6ba8f8494f90b5fb5dcab384f56a.png" TargetMode="External"/><Relationship Id="rId2620" Type="http://schemas.openxmlformats.org/officeDocument/2006/relationships/hyperlink" Target="https://product.hstatic.net/200000428801/product/upload_5ff5f475f0054e7097c5b405b15936fa.jpg" TargetMode="External"/><Relationship Id="rId1015" Type="http://schemas.openxmlformats.org/officeDocument/2006/relationships/hyperlink" Target="https://product.hstatic.net/200000428801/product/upload_a9031ea167284b0a86252cb589290f5b.jpg" TargetMode="External"/><Relationship Id="rId1222" Type="http://schemas.openxmlformats.org/officeDocument/2006/relationships/hyperlink" Target="https://product.hstatic.net/200000428801/product/upload_15788398b759403d96e8a389aeb9b754.jpg" TargetMode="External"/><Relationship Id="rId3187" Type="http://schemas.openxmlformats.org/officeDocument/2006/relationships/hyperlink" Target="https://product.hstatic.net/200000428801/product/d7a3f32bae114f808e063f7085012de0_a80f522c7a1947af9473d66b18abed73.jpg" TargetMode="External"/><Relationship Id="rId3394" Type="http://schemas.openxmlformats.org/officeDocument/2006/relationships/hyperlink" Target="https://product.hstatic.net/200000428801/product/ad7899f094fb42679efd6ace11163e28_2a96bec2c82b469b9a86946a36446d3e.png" TargetMode="External"/><Relationship Id="rId3047" Type="http://schemas.openxmlformats.org/officeDocument/2006/relationships/hyperlink" Target="https://product.hstatic.net/200000428801/product/upload_88d4482e08c54afebe5d99f80d130806.jpg" TargetMode="External"/><Relationship Id="rId175" Type="http://schemas.openxmlformats.org/officeDocument/2006/relationships/hyperlink" Target="https://cdn-images.kiotviet.vn/2024/12/17/giabaopharma/6ac0031fff2643cbbca8ecc97fbb9066.jpg" TargetMode="External"/><Relationship Id="rId3254" Type="http://schemas.openxmlformats.org/officeDocument/2006/relationships/hyperlink" Target="https://product.hstatic.net/200000428801/product/bdbb9c6f353847b08aaf3654404837c8_3f3dbbe826f44eae8093f79b5a34c865.png" TargetMode="External"/><Relationship Id="rId3461" Type="http://schemas.openxmlformats.org/officeDocument/2006/relationships/hyperlink" Target="https://product.hstatic.net/200000428801/product/a56ab5471c9d43e9a9cea61cc0659846_1463f86b9e9b4bdf937ffeb065d9898d.png" TargetMode="External"/><Relationship Id="rId382" Type="http://schemas.openxmlformats.org/officeDocument/2006/relationships/hyperlink" Target="https://product.hstatic.net/200000428801/product/7_3faf86bf81d0466d85bc463af73eda41.png" TargetMode="External"/><Relationship Id="rId2063" Type="http://schemas.openxmlformats.org/officeDocument/2006/relationships/hyperlink" Target="https://product.hstatic.net/200000428801/product/upload_a658c8843f314115b42b8f40fa76bc13.jpg" TargetMode="External"/><Relationship Id="rId2270" Type="http://schemas.openxmlformats.org/officeDocument/2006/relationships/hyperlink" Target="https://product.hstatic.net/200000428801/product/464_bb5d807718df46949cb267a508a5817d.png" TargetMode="External"/><Relationship Id="rId3114" Type="http://schemas.openxmlformats.org/officeDocument/2006/relationships/hyperlink" Target="https://product.hstatic.net/200000428801/product/55a390b092d845a6a321172bf1ed87ee_336ab85eccca418c812106c652a600b5.png" TargetMode="External"/><Relationship Id="rId3321" Type="http://schemas.openxmlformats.org/officeDocument/2006/relationships/hyperlink" Target="https://product.hstatic.net/200000428801/product/0ff19b62322a4ccd86f4cb9ee9653991_56f5c33117044f398d6fab1467b45bc1.png" TargetMode="External"/><Relationship Id="rId242" Type="http://schemas.openxmlformats.org/officeDocument/2006/relationships/hyperlink" Target="https://cdn2-retail-images.kiotviet.vn/giabaopharma/50f849df07f2496ca12de3efe68a4f40.jpg" TargetMode="External"/><Relationship Id="rId2130" Type="http://schemas.openxmlformats.org/officeDocument/2006/relationships/hyperlink" Target="https://product.hstatic.net/200000428801/product/upload_fac4b7155b3946e78c62c534adb9d5d8.jpg" TargetMode="External"/><Relationship Id="rId102" Type="http://schemas.openxmlformats.org/officeDocument/2006/relationships/hyperlink" Target="https://cdn2-retail-images.kiotviet.vn/2025/04/12/giabaopharma/a9cec9db5e9248e7911cfe532374c8c3.jpg,https:/cdn2-retail-images.kiotviet.vn/2025/04/15/giabaopharma/df379efbdcd24bc08ac495da99aa0fcf.jpg,https:/cdn2-retail-images.kiotviet.vn/2025/04/15/giabaopharma/873c1e835d024dff9f8696767fb5b2d7.jpg,https:/cdn2-retail-images.kiotviet.vn/2025/04/18/giabaopharma/b1eafadabbe5414ab0031d4c077d0a21.png" TargetMode="External"/><Relationship Id="rId1689" Type="http://schemas.openxmlformats.org/officeDocument/2006/relationships/hyperlink" Target="https://product.hstatic.net/200000428801/product/upload_5cb79f74c70a4716992bdb736110d744.jpg" TargetMode="External"/><Relationship Id="rId1896" Type="http://schemas.openxmlformats.org/officeDocument/2006/relationships/hyperlink" Target="https://product.hstatic.net/200000428801/product/upload_76fbf7dcddf74f98b8373e92178d1eaa.jpg" TargetMode="External"/><Relationship Id="rId2947" Type="http://schemas.openxmlformats.org/officeDocument/2006/relationships/hyperlink" Target="https://cdn2-retail-images.kiotviet.vn/2025/11/04/giabaopharma/398e0de72ddc4e699c7c39a6581e80f1.jpg" TargetMode="External"/><Relationship Id="rId919" Type="http://schemas.openxmlformats.org/officeDocument/2006/relationships/hyperlink" Target="https://product.hstatic.net/200000428801/product/upload_9a95f6bc297b4450b0e0013174346ab7.jpg" TargetMode="External"/><Relationship Id="rId1549" Type="http://schemas.openxmlformats.org/officeDocument/2006/relationships/hyperlink" Target="https://product.hstatic.net/200000428801/product/upload_2dbc6ee11eb6434493c0852e57191ed9.jpg" TargetMode="External"/><Relationship Id="rId1756" Type="http://schemas.openxmlformats.org/officeDocument/2006/relationships/hyperlink" Target="https://product.hstatic.net/200000428801/product/upload_c5a87d6c11054ca5b49eba817b590059.jpg" TargetMode="External"/><Relationship Id="rId1963" Type="http://schemas.openxmlformats.org/officeDocument/2006/relationships/hyperlink" Target="https://product.hstatic.net/200000428801/product/upload_75d1e1d5aad84e42876ef5a729b20af1.jpg" TargetMode="External"/><Relationship Id="rId2807" Type="http://schemas.openxmlformats.org/officeDocument/2006/relationships/hyperlink" Target="https://product.hstatic.net/200000428801/product/upload_5f8973f2b521402bbca915f8de383aa1.jpg" TargetMode="External"/><Relationship Id="rId4022" Type="http://schemas.openxmlformats.org/officeDocument/2006/relationships/hyperlink" Target="https://product.hstatic.net/200000428801/product/zalo_screenshot_20_11_2021_633496_4ca569ebbc8d444988c039d2942e7880.png" TargetMode="External"/><Relationship Id="rId48" Type="http://schemas.openxmlformats.org/officeDocument/2006/relationships/hyperlink" Target="https://i.postimg.cc/ZnY82bRx/Vi-n-u-ng-d-d-y-Kingphar-h-tr-gi-m-nguy-c-vi-m-lo-t-d-d-y-t-tr-ng-1-L-40-vi-n-5.png" TargetMode="External"/><Relationship Id="rId1409" Type="http://schemas.openxmlformats.org/officeDocument/2006/relationships/hyperlink" Target="https://product.hstatic.net/200000428801/product/upload_263df627927c4de2877998db0ea305c7.jpg" TargetMode="External"/><Relationship Id="rId1616" Type="http://schemas.openxmlformats.org/officeDocument/2006/relationships/hyperlink" Target="https://product.hstatic.net/200000428801/product/upload_984424c2cc6343149e01a2fa77394075.jpg" TargetMode="External"/><Relationship Id="rId1823" Type="http://schemas.openxmlformats.org/officeDocument/2006/relationships/hyperlink" Target="https://product.hstatic.net/200000428801/product/upload_368784eb9ad0437a8773de8836f27f6c.jpg" TargetMode="External"/><Relationship Id="rId3788" Type="http://schemas.openxmlformats.org/officeDocument/2006/relationships/hyperlink" Target="https://product.hstatic.net/200000428801/product/zalo_screenshot_18_11_2021_826401_8de4e51b9f084e878929f0580ac581fa.png" TargetMode="External"/><Relationship Id="rId3995" Type="http://schemas.openxmlformats.org/officeDocument/2006/relationships/hyperlink" Target="https://cdn2-retail-images.kiotviet.vn/2025/12/22/giabaopharma/6898ba2f72cb41e19b6d2a545c3a63e1.jpg" TargetMode="External"/><Relationship Id="rId2597" Type="http://schemas.openxmlformats.org/officeDocument/2006/relationships/hyperlink" Target="https://product.hstatic.net/200000428801/product/upload_294b365ac76c4ed38f29ce8c9912e00f.jpg" TargetMode="External"/><Relationship Id="rId3648" Type="http://schemas.openxmlformats.org/officeDocument/2006/relationships/hyperlink" Target="https://product.hstatic.net/200000428801/product/0486ba51fdd4378a6ec5_01ac175c6853417f933959506b15eb8c.jpg" TargetMode="External"/><Relationship Id="rId3855" Type="http://schemas.openxmlformats.org/officeDocument/2006/relationships/hyperlink" Target="https://cdn2-retail-images.kiotviet.vn/2025/12/06/giabaopharma/33b93fef8a6d41b2873a3691107dfd25.png" TargetMode="External"/><Relationship Id="rId569" Type="http://schemas.openxmlformats.org/officeDocument/2006/relationships/hyperlink" Target="https://product.hstatic.net/200000428801/product/3fde41e8770aa954f01b_f2b29ae29ed04aff988ad43d4a84209c.jpg" TargetMode="External"/><Relationship Id="rId776" Type="http://schemas.openxmlformats.org/officeDocument/2006/relationships/hyperlink" Target="https://product.hstatic.net/200000428801/product/upload_b3db363d04784a88b55d47476e3d6df7.jpg" TargetMode="External"/><Relationship Id="rId983" Type="http://schemas.openxmlformats.org/officeDocument/2006/relationships/hyperlink" Target="https://product.hstatic.net/200000428801/product/upload_dd34d81dbd1643ecbe2f15fef5da63e9.jpg" TargetMode="External"/><Relationship Id="rId1199" Type="http://schemas.openxmlformats.org/officeDocument/2006/relationships/hyperlink" Target="https://product.hstatic.net/200000428801/product/upload_8ede641c0c6548a18fc373f3fb2dafa5.jpg" TargetMode="External"/><Relationship Id="rId2457" Type="http://schemas.openxmlformats.org/officeDocument/2006/relationships/hyperlink" Target="https://product.hstatic.net/200000428801/product/upload_8ea11a8d1c2f49218c78c6fc9e1857fa.jpg" TargetMode="External"/><Relationship Id="rId2664" Type="http://schemas.openxmlformats.org/officeDocument/2006/relationships/hyperlink" Target="https://product.hstatic.net/200000428801/product/upload_7035adf0defd4d37a30d91d3f46a9930.jpg" TargetMode="External"/><Relationship Id="rId3508" Type="http://schemas.openxmlformats.org/officeDocument/2006/relationships/hyperlink" Target="https://product.hstatic.net/200000428801/product/4_d37122b073334333a576257bbee41d4d.png" TargetMode="External"/><Relationship Id="rId429" Type="http://schemas.openxmlformats.org/officeDocument/2006/relationships/hyperlink" Target="https://product.hstatic.net/200000428801/product/49_1809f65487904719bba79724539436f1.png" TargetMode="External"/><Relationship Id="rId636" Type="http://schemas.openxmlformats.org/officeDocument/2006/relationships/hyperlink" Target="https://product.hstatic.net/200000428801/product/upload_6fb74dd5073b44c09e19d2930f43e0e7.jpg" TargetMode="External"/><Relationship Id="rId1059" Type="http://schemas.openxmlformats.org/officeDocument/2006/relationships/hyperlink" Target="https://product.hstatic.net/200000428801/product/upload_df5294216a1747e38abdde668b5a7fcb.jpg" TargetMode="External"/><Relationship Id="rId1266" Type="http://schemas.openxmlformats.org/officeDocument/2006/relationships/hyperlink" Target="https://product.hstatic.net/200000428801/product/upload_3a2197eaa20b45bd8be5cddfa149b729.jpg" TargetMode="External"/><Relationship Id="rId1473" Type="http://schemas.openxmlformats.org/officeDocument/2006/relationships/hyperlink" Target="https://product.hstatic.net/200000428801/product/upload_2ad39ad21f67411d80a66e9e520d5151.jpg" TargetMode="External"/><Relationship Id="rId2317" Type="http://schemas.openxmlformats.org/officeDocument/2006/relationships/hyperlink" Target="https://product.hstatic.net/200000428801/product/434_0e08b822c03b4f1c95e91edbb4bd24d3.png" TargetMode="External"/><Relationship Id="rId2871" Type="http://schemas.openxmlformats.org/officeDocument/2006/relationships/hyperlink" Target="https://product.hstatic.net/200000428801/product/upload_1609ca3651b243ebacb5e90c705295ed.jpg" TargetMode="External"/><Relationship Id="rId3715" Type="http://schemas.openxmlformats.org/officeDocument/2006/relationships/hyperlink" Target="https://product.hstatic.net/200000428801/product/0528ff949b6e5e30077f_e7a748ee1721417abf59cb2050ab097e.jpg" TargetMode="External"/><Relationship Id="rId3922" Type="http://schemas.openxmlformats.org/officeDocument/2006/relationships/hyperlink" Target="https://cdn2-retail-images.kiotviet.vn/2025/10/30/giabaopharma/33ac9ffb5d46469f9e2c4770fa058cf9.png" TargetMode="External"/><Relationship Id="rId843" Type="http://schemas.openxmlformats.org/officeDocument/2006/relationships/hyperlink" Target="https://product.hstatic.net/200000428801/product/upload_9e370928da054f9ebf3b9506696c6d1c.jpg" TargetMode="External"/><Relationship Id="rId1126" Type="http://schemas.openxmlformats.org/officeDocument/2006/relationships/hyperlink" Target="https://product.hstatic.net/200000428801/product/upload_8617a6791aef4967a7dec64ac71b1dd6.jpg" TargetMode="External"/><Relationship Id="rId1680" Type="http://schemas.openxmlformats.org/officeDocument/2006/relationships/hyperlink" Target="https://product.hstatic.net/200000428801/product/upload_8dd58a779d254bbd9e65b06cc4211d0d.jpg" TargetMode="External"/><Relationship Id="rId2524" Type="http://schemas.openxmlformats.org/officeDocument/2006/relationships/hyperlink" Target="https://product.hstatic.net/200000428801/product/upload_d20be45347af4684b3abedc1f2745f3a.jpg" TargetMode="External"/><Relationship Id="rId2731" Type="http://schemas.openxmlformats.org/officeDocument/2006/relationships/hyperlink" Target="https://cdn2-retail-images.kiotviet.vn/2025/11/17/giabaopharma/2f8e56c4c5e548ef9ce63999586b2c67.jpg" TargetMode="External"/><Relationship Id="rId703" Type="http://schemas.openxmlformats.org/officeDocument/2006/relationships/hyperlink" Target="https://product.hstatic.net/200000428801/product/3d40ef00fdda23847acb_0b7829f060674f5c94615302853ff7d1.jpg" TargetMode="External"/><Relationship Id="rId910" Type="http://schemas.openxmlformats.org/officeDocument/2006/relationships/hyperlink" Target="https://product.hstatic.net/200000428801/product/upload_22d27695ea0849319f48441327bdde78.jpg" TargetMode="External"/><Relationship Id="rId1333" Type="http://schemas.openxmlformats.org/officeDocument/2006/relationships/hyperlink" Target="https://product.hstatic.net/200000428801/product/56_06ac8cb62883477595f32cbb377ded29.png" TargetMode="External"/><Relationship Id="rId1540" Type="http://schemas.openxmlformats.org/officeDocument/2006/relationships/hyperlink" Target="https://product.hstatic.net/200000428801/product/upload_4036f005888c44d7a5519552e3ffa094.jpg" TargetMode="External"/><Relationship Id="rId1400" Type="http://schemas.openxmlformats.org/officeDocument/2006/relationships/hyperlink" Target="https://product.hstatic.net/200000428801/product/upload_347f40f5acbd4045b4a1e15ae7224b82.jpg" TargetMode="External"/><Relationship Id="rId3298" Type="http://schemas.openxmlformats.org/officeDocument/2006/relationships/hyperlink" Target="https://product.hstatic.net/200000428801/product/515782fe8a15418894d19471bf1e38eb_ed05b01e3cba4dd4bf9b6e5e30450f13.png" TargetMode="External"/><Relationship Id="rId3158" Type="http://schemas.openxmlformats.org/officeDocument/2006/relationships/hyperlink" Target="https://product.hstatic.net/200000428801/product/a88ddcd5d49f45a599a07243e04341af_e43be6e1144c4ab6898a0d80442a3e2d.jpg" TargetMode="External"/><Relationship Id="rId3365" Type="http://schemas.openxmlformats.org/officeDocument/2006/relationships/hyperlink" Target="https://product.hstatic.net/200000428801/product/3fbc52390c144ce58f5b377260be34a4_4ab8b51cd1e745fbb165093d920b7da1.png" TargetMode="External"/><Relationship Id="rId3572" Type="http://schemas.openxmlformats.org/officeDocument/2006/relationships/hyperlink" Target="https://cdn2-retail-images.kiotviet.vn/2026/03/10/giabaopharma/0d2d03ee2cf043988132977f7c91f190.jpg" TargetMode="External"/><Relationship Id="rId286" Type="http://schemas.openxmlformats.org/officeDocument/2006/relationships/hyperlink" Target="https://cdn2-retail-images.kiotviet.vn/giabaopharma/2aa038e914d94cc0a359e38d73f89a36.jpg" TargetMode="External"/><Relationship Id="rId493" Type="http://schemas.openxmlformats.org/officeDocument/2006/relationships/hyperlink" Target="https://product.hstatic.net/200000428801/product/upload_94575c0805a74352b4db026bc75e5cce.jpg" TargetMode="External"/><Relationship Id="rId2174" Type="http://schemas.openxmlformats.org/officeDocument/2006/relationships/hyperlink" Target="https://product.hstatic.net/200000428801/product/upload_8b52b283181241eeb25d05fec7a97062.jpg" TargetMode="External"/><Relationship Id="rId2381" Type="http://schemas.openxmlformats.org/officeDocument/2006/relationships/hyperlink" Target="https://product.hstatic.net/200000428801/product/upload_7dbccf2b97934b3e9c3e1fd5c6a9c546.jpg" TargetMode="External"/><Relationship Id="rId3018" Type="http://schemas.openxmlformats.org/officeDocument/2006/relationships/hyperlink" Target="https://product.hstatic.net/200000428801/product/upload_79553a9c58d840158441f169ada609cc.jpg" TargetMode="External"/><Relationship Id="rId3225" Type="http://schemas.openxmlformats.org/officeDocument/2006/relationships/hyperlink" Target="https://product.hstatic.net/200000428801/product/9c51b8ec021b4ad7b9096df4a78fbf3e_9c7aa9ddd94142de8a968625e679b742.png" TargetMode="External"/><Relationship Id="rId3432" Type="http://schemas.openxmlformats.org/officeDocument/2006/relationships/hyperlink" Target="https://product.hstatic.net/200000428801/product/f324434efb2d44baac7fe84434ed6716_1b1ca7b5b99d4e4696de14c681ba13e4.png" TargetMode="External"/><Relationship Id="rId146" Type="http://schemas.openxmlformats.org/officeDocument/2006/relationships/hyperlink" Target="https://cdn2-retail-images.kiotviet.vn/2025/02/25/giabaopharma/06600dfcd215486aa0802276f5156a87.jpg" TargetMode="External"/><Relationship Id="rId353" Type="http://schemas.openxmlformats.org/officeDocument/2006/relationships/hyperlink" Target="https://product.hstatic.net/200000428801/product/upload_360ad1b0a62c426cb2e9491e369136dd.jpg" TargetMode="External"/><Relationship Id="rId560" Type="http://schemas.openxmlformats.org/officeDocument/2006/relationships/hyperlink" Target="https://product.hstatic.net/200000428801/product/upload_791d974b295240cfbfb084d6176940df.jpg" TargetMode="External"/><Relationship Id="rId1190" Type="http://schemas.openxmlformats.org/officeDocument/2006/relationships/hyperlink" Target="https://product.hstatic.net/200000428801/product/upload_9d5a8083b1b242b49ddba2f065597ece.jpg" TargetMode="External"/><Relationship Id="rId2034" Type="http://schemas.openxmlformats.org/officeDocument/2006/relationships/hyperlink" Target="https://product.hstatic.net/200000428801/product/upload_bc8f034dd491406da7791c7eee41e038.jpg" TargetMode="External"/><Relationship Id="rId2241" Type="http://schemas.openxmlformats.org/officeDocument/2006/relationships/hyperlink" Target="https://product.hstatic.net/200000428801/product/upload_b7f152bf1cfd4be5862308ad37f46c68.jpg" TargetMode="External"/><Relationship Id="rId213" Type="http://schemas.openxmlformats.org/officeDocument/2006/relationships/hyperlink" Target="https://cdn2-retail-images.kiotviet.vn/giabaopharma/50219a256da64076a54c1fffd1bb8da7.jpg" TargetMode="External"/><Relationship Id="rId420" Type="http://schemas.openxmlformats.org/officeDocument/2006/relationships/hyperlink" Target="https://product.hstatic.net/200000428801/product/f2a6f4a3262446ba9ad44151106f7456_e9dafbb5af2e4bd583a36f3e317812d6.png" TargetMode="External"/><Relationship Id="rId1050" Type="http://schemas.openxmlformats.org/officeDocument/2006/relationships/hyperlink" Target="https://product.hstatic.net/200000428801/product/upload_be77b92380ce421c85a74cb58a945163.jpg" TargetMode="External"/><Relationship Id="rId2101" Type="http://schemas.openxmlformats.org/officeDocument/2006/relationships/hyperlink" Target="https://product.hstatic.net/200000428801/product/upload_53d5084d2412496fa34899f3d9442ce2.jpg" TargetMode="External"/><Relationship Id="rId1867" Type="http://schemas.openxmlformats.org/officeDocument/2006/relationships/hyperlink" Target="https://product.hstatic.net/200000428801/product/upload_85da718df7354b35bbd0f2399f1a4b77.jpg" TargetMode="External"/><Relationship Id="rId2918" Type="http://schemas.openxmlformats.org/officeDocument/2006/relationships/hyperlink" Target="https://product.hstatic.net/200000428801/product/upload_97c252a67c4b489faeeb55b9507bf48e.jpg" TargetMode="External"/><Relationship Id="rId1727" Type="http://schemas.openxmlformats.org/officeDocument/2006/relationships/hyperlink" Target="https://product.hstatic.net/200000428801/product/upload_60b5847f2d2247fda00b49fb8250cea7.jpg" TargetMode="External"/><Relationship Id="rId1934" Type="http://schemas.openxmlformats.org/officeDocument/2006/relationships/hyperlink" Target="https://product.hstatic.net/200000428801/product/upload_9779bcfc6faf4f7daccdc2cdc0dd5ac8.jpg" TargetMode="External"/><Relationship Id="rId3082" Type="http://schemas.openxmlformats.org/officeDocument/2006/relationships/hyperlink" Target="https://product.hstatic.net/200000428801/product/94a052393c1e4a12ac5d3732cb01613b_725392f2a0ac4f089a48015750709ff1.png" TargetMode="External"/><Relationship Id="rId19" Type="http://schemas.openxmlformats.org/officeDocument/2006/relationships/hyperlink" Target="https://cdn1-retail-images.kiotviet.vn/2026/01/06/giabaopharma/b062c71a01794839b809654c34c24d25.jpg" TargetMode="External"/><Relationship Id="rId3899" Type="http://schemas.openxmlformats.org/officeDocument/2006/relationships/hyperlink" Target="https://product.hstatic.net/200000428801/product/zalo_screenshot_20_11_2021_63467_8686d407657c49a99ac7fefe2bbbef18.png" TargetMode="External"/><Relationship Id="rId3759" Type="http://schemas.openxmlformats.org/officeDocument/2006/relationships/hyperlink" Target="https://product.hstatic.net/200000428801/product/zalo_screenshot_18_11_2021_828108_54d465562f4145da8b746ca66f2a6498.png" TargetMode="External"/><Relationship Id="rId3966" Type="http://schemas.openxmlformats.org/officeDocument/2006/relationships/hyperlink" Target="https://product.hstatic.net/200000428801/product/2022-01-07_104105_186224f215224045a291f7993a37f270.jpg" TargetMode="External"/><Relationship Id="rId3" Type="http://schemas.openxmlformats.org/officeDocument/2006/relationships/hyperlink" Target="https://cdn2-retail-images.kiotviet.vn/2026/03/31/giabaopharma/9e84645c0b3943138abebeab4de07e6a.jpeg,https:/cdn2-retail-images.kiotviet.vn/2026/03/31/giabaopharma/bff85634b6644da3b37dca1f28951814.jpeg,https:/cdn2-retail-images.kiotviet.vn/2026/03/31/giabaopharma/5120623e656749a3a50c17527b517d1c.jpeg" TargetMode="External"/><Relationship Id="rId887" Type="http://schemas.openxmlformats.org/officeDocument/2006/relationships/hyperlink" Target="https://product.hstatic.net/200000428801/product/upload_3bf5f2974e4b418bb2582a864d304ea9.jpg" TargetMode="External"/><Relationship Id="rId2568" Type="http://schemas.openxmlformats.org/officeDocument/2006/relationships/hyperlink" Target="https://product.hstatic.net/200000428801/product/upload_cc71bf7a3ea7432cbfde257f816f694e.jpg" TargetMode="External"/><Relationship Id="rId2775" Type="http://schemas.openxmlformats.org/officeDocument/2006/relationships/hyperlink" Target="https://product.hstatic.net/200000428801/product/upload_232fb3515baa4dd78f9616b7c3b58127.jpg" TargetMode="External"/><Relationship Id="rId2982" Type="http://schemas.openxmlformats.org/officeDocument/2006/relationships/hyperlink" Target="https://product.hstatic.net/200000428801/product/upload_cd62c7d2b2c345cdb9f0f1296306867f.jpg" TargetMode="External"/><Relationship Id="rId3619" Type="http://schemas.openxmlformats.org/officeDocument/2006/relationships/hyperlink" Target="https://product.hstatic.net/200000428801/product/5a73fbbbf25636086f47_70b6afb7d8c24a30b66dce543ac5ee95.jpg" TargetMode="External"/><Relationship Id="rId3826" Type="http://schemas.openxmlformats.org/officeDocument/2006/relationships/hyperlink" Target="https://product.hstatic.net/200000428801/product/e7eb15ac74b1b6efefa0_0ab40d8894fc4a4594b3874ee1a32bd1.jpg" TargetMode="External"/><Relationship Id="rId747" Type="http://schemas.openxmlformats.org/officeDocument/2006/relationships/hyperlink" Target="https://product.hstatic.net/200000428801/product/upload_02f43fd6fb1347388a91ce8908e33414.jpg" TargetMode="External"/><Relationship Id="rId954" Type="http://schemas.openxmlformats.org/officeDocument/2006/relationships/hyperlink" Target="https://product.hstatic.net/200000428801/product/upload_f38faed4b76e4a07a9114be4a8fba3e5.jpg" TargetMode="External"/><Relationship Id="rId1377" Type="http://schemas.openxmlformats.org/officeDocument/2006/relationships/hyperlink" Target="https://product.hstatic.net/200000428801/product/upload_e481c114d82c42ccb7dbc41ce3964893.jpg" TargetMode="External"/><Relationship Id="rId1584" Type="http://schemas.openxmlformats.org/officeDocument/2006/relationships/hyperlink" Target="https://product.hstatic.net/200000428801/product/upload_cb2c088379ab44c9bf77c3f3998c7530.jpg" TargetMode="External"/><Relationship Id="rId1791" Type="http://schemas.openxmlformats.org/officeDocument/2006/relationships/hyperlink" Target="https://product.hstatic.net/200000428801/product/upload_55d9f64697184b67a83b2cf35e852b3d.jpg" TargetMode="External"/><Relationship Id="rId2428" Type="http://schemas.openxmlformats.org/officeDocument/2006/relationships/hyperlink" Target="https://product.hstatic.net/200000428801/product/upload_894d0715e6ce466e8c66c74420a033ba.jpg" TargetMode="External"/><Relationship Id="rId2635" Type="http://schemas.openxmlformats.org/officeDocument/2006/relationships/hyperlink" Target="https://cdn2-retail-images.kiotviet.vn/2026/02/07/giabaopharma/a1be5757177a4c3a9dc2dfb5ff5b7027.png" TargetMode="External"/><Relationship Id="rId2842" Type="http://schemas.openxmlformats.org/officeDocument/2006/relationships/hyperlink" Target="https://product.hstatic.net/200000428801/product/upload_87b370b05e114a34966348da3ccd855d.jpg" TargetMode="External"/><Relationship Id="rId83" Type="http://schemas.openxmlformats.org/officeDocument/2006/relationships/hyperlink" Target="https://cdn2-retail-images.kiotviet.vn/2025/06/14/giabaopharma/6f47fb206d51497f8908690b539ab23a.jpg" TargetMode="External"/><Relationship Id="rId607" Type="http://schemas.openxmlformats.org/officeDocument/2006/relationships/hyperlink" Target="https://product.hstatic.net/200000428801/product/upload_fc0c0386cad84be8a3ce5000f503a29f.jpg" TargetMode="External"/><Relationship Id="rId814" Type="http://schemas.openxmlformats.org/officeDocument/2006/relationships/hyperlink" Target="https://product.hstatic.net/200000428801/product/upload_dcc5edf538ba45deaf2480e7e10de627.jpg" TargetMode="External"/><Relationship Id="rId1237" Type="http://schemas.openxmlformats.org/officeDocument/2006/relationships/hyperlink" Target="https://product.hstatic.net/200000428801/product/upload_011d95e1b9ad451892c140d0c9549b39.jpg" TargetMode="External"/><Relationship Id="rId1444" Type="http://schemas.openxmlformats.org/officeDocument/2006/relationships/hyperlink" Target="https://product.hstatic.net/200000428801/product/upload_0f89d246aeed4ffebbae5ca180e1d718.jpg" TargetMode="External"/><Relationship Id="rId1651" Type="http://schemas.openxmlformats.org/officeDocument/2006/relationships/hyperlink" Target="https://product.hstatic.net/200000428801/product/upload_e34994dbe1c4406b9cf516789a1ddb5e.jpg" TargetMode="External"/><Relationship Id="rId2702" Type="http://schemas.openxmlformats.org/officeDocument/2006/relationships/hyperlink" Target="https://product.hstatic.net/200000428801/product/upload_47adcbd079fe47918b31639e436a498d.jpg" TargetMode="External"/><Relationship Id="rId1304" Type="http://schemas.openxmlformats.org/officeDocument/2006/relationships/hyperlink" Target="https://product.hstatic.net/200000428801/product/upload_350ff723bb3c4d38bf48e60934c6c880.jpg" TargetMode="External"/><Relationship Id="rId1511" Type="http://schemas.openxmlformats.org/officeDocument/2006/relationships/hyperlink" Target="https://product.hstatic.net/200000428801/product/upload_efac7d4c9a5041388c27f8e530f3bab9.jpg" TargetMode="External"/><Relationship Id="rId3269" Type="http://schemas.openxmlformats.org/officeDocument/2006/relationships/hyperlink" Target="https://product.hstatic.net/200000428801/product/724993d57047495bb25f33ae7a0b1a07_87129fbe73e3462a95e36c6d480a1b3e.png" TargetMode="External"/><Relationship Id="rId3476" Type="http://schemas.openxmlformats.org/officeDocument/2006/relationships/hyperlink" Target="https://product.hstatic.net/200000428801/product/0f89b76882424a0e8f27af64ee079566_95ebe527835d4e518cabacc58dea2dd6.jpg" TargetMode="External"/><Relationship Id="rId3683" Type="http://schemas.openxmlformats.org/officeDocument/2006/relationships/hyperlink" Target="https://product.hstatic.net/200000428801/product/155f7935b5677b392276_67317524035446999445cd054d1b8f7b.png" TargetMode="External"/><Relationship Id="rId10" Type="http://schemas.openxmlformats.org/officeDocument/2006/relationships/hyperlink" Target="https://cdn2-retail-images.kiotviet.vn/2026/03/05/giabaopharma/cdf424f0d2314a88be85b9f8b27a9b1c.jpg" TargetMode="External"/><Relationship Id="rId397" Type="http://schemas.openxmlformats.org/officeDocument/2006/relationships/hyperlink" Target="https://product.hstatic.net/200000428801/product/4a4fd52664ac4899879a2c9530c627ac_bc809be6052048699c86c7abc67ddbb5.jpg" TargetMode="External"/><Relationship Id="rId2078" Type="http://schemas.openxmlformats.org/officeDocument/2006/relationships/hyperlink" Target="https://product.hstatic.net/200000428801/product/upload_73f576dc65fc42c78e6189d930c155e3.jpg" TargetMode="External"/><Relationship Id="rId2285" Type="http://schemas.openxmlformats.org/officeDocument/2006/relationships/hyperlink" Target="https://product.hstatic.net/200000428801/product/a692f961576e486e8f3d47c57b2a6cb3_1b240ac5c39144f6a6e5c7fc1240035f.png" TargetMode="External"/><Relationship Id="rId2492" Type="http://schemas.openxmlformats.org/officeDocument/2006/relationships/hyperlink" Target="https://product.hstatic.net/200000428801/product/upload_a499652ad4cb4319b7e64737716187d7.jpg" TargetMode="External"/><Relationship Id="rId3129" Type="http://schemas.openxmlformats.org/officeDocument/2006/relationships/hyperlink" Target="https://product.hstatic.net/200000428801/product/a2b6175a4f414917b941e676d4d37cc3_33cd63992bb844ebb95fd1d191343e89.png" TargetMode="External"/><Relationship Id="rId3336" Type="http://schemas.openxmlformats.org/officeDocument/2006/relationships/hyperlink" Target="https://product.hstatic.net/200000428801/product/f804fbdbe8344659a1c2085a63051b19_429eb5ba8e8e43dcae0470abf15224b7.png" TargetMode="External"/><Relationship Id="rId3890" Type="http://schemas.openxmlformats.org/officeDocument/2006/relationships/hyperlink" Target="https://product.hstatic.net/200000428801/product/zalo_screenshot_18_11_2021_741801_2722a6b3ec56432d821da2590a3000a1.png" TargetMode="External"/><Relationship Id="rId257" Type="http://schemas.openxmlformats.org/officeDocument/2006/relationships/hyperlink" Target="https://cdn-images.kiotviet.vn/giabaopharma/c18cb484b31e45aa88b48b16d10c1cc7.png,https:/cdn-images.kiotviet.vn/giabaopharma/c890e43f66434cc6971900bca0fc930b.png,https:/cdn-images.kiotviet.vn/giabaopharma/011d66c264f843648a10c1c68bac9015.png,https:/cdn-images.kiotviet.vn/giabaopharma/f04d19e8c1364d28a1a87bdd8093c81f.png,https:/cdn-images.kiotviet.vn/giabaopharma/f0a69ca85bec430d8a7800a0571ff94b.png" TargetMode="External"/><Relationship Id="rId464" Type="http://schemas.openxmlformats.org/officeDocument/2006/relationships/hyperlink" Target="https://product.hstatic.net/200000428801/product/514f9a891eb345e9868866a7503b83ee_70640e93ea444cd082692241cbbad1d8.png" TargetMode="External"/><Relationship Id="rId1094" Type="http://schemas.openxmlformats.org/officeDocument/2006/relationships/hyperlink" Target="https://product.hstatic.net/200000428801/product/upload_44ea8e6c9c2942b3a37d417d066d2c3c.jpg" TargetMode="External"/><Relationship Id="rId2145" Type="http://schemas.openxmlformats.org/officeDocument/2006/relationships/hyperlink" Target="https://product.hstatic.net/200000428801/product/7e8d0768db574abcbeeb6e25b541a8cd_b761b783f63a41e68ff35d52222f1c42.png" TargetMode="External"/><Relationship Id="rId3543" Type="http://schemas.openxmlformats.org/officeDocument/2006/relationships/hyperlink" Target="https://product.hstatic.net/200000428801/product/zalo_screenshot_19_11_2021_640676_044f8ce45f344b6aa2add308f1f1bb11.png" TargetMode="External"/><Relationship Id="rId3750" Type="http://schemas.openxmlformats.org/officeDocument/2006/relationships/hyperlink" Target="https://cdn2-retail-images.kiotviet.vn/2025/10/30/giabaopharma/eb17c7d95f034df8b8495a2124e9d0f9.png" TargetMode="External"/><Relationship Id="rId117" Type="http://schemas.openxmlformats.org/officeDocument/2006/relationships/hyperlink" Target="https://cdn2-retail-images.kiotviet.vn/2025/03/24/giabaopharma/83f9c726c74d41a6bae033e8dcf64d57.jpg" TargetMode="External"/><Relationship Id="rId671" Type="http://schemas.openxmlformats.org/officeDocument/2006/relationships/hyperlink" Target="https://product.hstatic.net/200000428801/product/upload_3ffc082cd26a43558e7de06892bfc9a6.jpg" TargetMode="External"/><Relationship Id="rId2352" Type="http://schemas.openxmlformats.org/officeDocument/2006/relationships/hyperlink" Target="https://product.hstatic.net/200000428801/product/upload_9b617b009d55472a84aaacfca5883657.jpg" TargetMode="External"/><Relationship Id="rId3403" Type="http://schemas.openxmlformats.org/officeDocument/2006/relationships/hyperlink" Target="https://product.hstatic.net/200000428801/product/5b72e268d9ac41dab319c4cb6df549e7_1c8d442008fc4944a1b7748c6eedd2c4.png" TargetMode="External"/><Relationship Id="rId3610" Type="http://schemas.openxmlformats.org/officeDocument/2006/relationships/hyperlink" Target="https://product.hstatic.net/200000428801/product/7d8466c751299577cc38_b8d1d71d4ad249dd88301e5c578d6456.jpg" TargetMode="External"/><Relationship Id="rId324" Type="http://schemas.openxmlformats.org/officeDocument/2006/relationships/hyperlink" Target="https://product.hstatic.net/200000428801/product/upload_1308c9edea3544e78dd917b281baf70f.jpg" TargetMode="External"/><Relationship Id="rId531" Type="http://schemas.openxmlformats.org/officeDocument/2006/relationships/hyperlink" Target="https://product.hstatic.net/200000428801/product/upload_fb05bc9ac3ee4b7abff2516cf31cf999.jpg" TargetMode="External"/><Relationship Id="rId1161" Type="http://schemas.openxmlformats.org/officeDocument/2006/relationships/hyperlink" Target="https://product.hstatic.net/200000428801/product/upload_d9df009579c84b928c666de12d938b3c.jpg" TargetMode="External"/><Relationship Id="rId2005" Type="http://schemas.openxmlformats.org/officeDocument/2006/relationships/hyperlink" Target="https://product.hstatic.net/200000428801/product/upload_e2f06c1681014b5a946908244ffb893d.jpg" TargetMode="External"/><Relationship Id="rId2212" Type="http://schemas.openxmlformats.org/officeDocument/2006/relationships/hyperlink" Target="https://product.hstatic.net/200000428801/product/upload_387f507f3b6b42228fcdbf34fb795d9f.jpg" TargetMode="External"/><Relationship Id="rId1021" Type="http://schemas.openxmlformats.org/officeDocument/2006/relationships/hyperlink" Target="https://product.hstatic.net/200000428801/product/upload_d4477530ca084cd28342eb5d9df33dcc.jpg" TargetMode="External"/><Relationship Id="rId1978" Type="http://schemas.openxmlformats.org/officeDocument/2006/relationships/hyperlink" Target="https://product.hstatic.net/200000428801/product/upload_7b10ace2767241ca920695c649cc7333.jpg" TargetMode="External"/><Relationship Id="rId3193" Type="http://schemas.openxmlformats.org/officeDocument/2006/relationships/hyperlink" Target="https://product.hstatic.net/200000428801/product/62b7aced78f94b889cb0eb61c9282819_2fe3ce4806324ce9b0d447dc43f86095.png" TargetMode="External"/><Relationship Id="rId4037" Type="http://schemas.openxmlformats.org/officeDocument/2006/relationships/hyperlink" Target="https://product.hstatic.net/200000428801/product/581ee4cd2668e236bb79_d29f34269e014d38b356aaab51f46c32.jpg" TargetMode="External"/><Relationship Id="rId1838" Type="http://schemas.openxmlformats.org/officeDocument/2006/relationships/hyperlink" Target="https://product.hstatic.net/200000428801/product/upload_2ec21c72386f4c05b4f5b26d088453e2.jpg" TargetMode="External"/><Relationship Id="rId3053" Type="http://schemas.openxmlformats.org/officeDocument/2006/relationships/hyperlink" Target="https://product.hstatic.net/200000428801/product/upload_5f51af662e1c43df8750bbc8c7416940.jpg" TargetMode="External"/><Relationship Id="rId3260" Type="http://schemas.openxmlformats.org/officeDocument/2006/relationships/hyperlink" Target="https://product.hstatic.net/200000428801/product/938eeb4b38614b3caec2febbf17a9b7a_c15299e14adc49f9adcded7ed2279890.png" TargetMode="External"/><Relationship Id="rId181" Type="http://schemas.openxmlformats.org/officeDocument/2006/relationships/hyperlink" Target="https://cdn-images.kiotviet.vn/2024/12/09/giabaopharma/c1985ec35740467b8847f48b18e89c86.jpg" TargetMode="External"/><Relationship Id="rId1905" Type="http://schemas.openxmlformats.org/officeDocument/2006/relationships/hyperlink" Target="https://product.hstatic.net/200000428801/product/553_263a95e6d5db40e685118e944983e87f.png" TargetMode="External"/><Relationship Id="rId3120" Type="http://schemas.openxmlformats.org/officeDocument/2006/relationships/hyperlink" Target="https://product.hstatic.net/200000428801/product/d12e4cb10a524e4cb7b4a9e5dfef05e5_a025607006544b4b890d6a16d725a5e9.png" TargetMode="External"/><Relationship Id="rId998" Type="http://schemas.openxmlformats.org/officeDocument/2006/relationships/hyperlink" Target="https://product.hstatic.net/200000428801/product/upload_76ecdf6dbf8b40dd9d47f6f68ee686c1.jpg" TargetMode="External"/><Relationship Id="rId2679" Type="http://schemas.openxmlformats.org/officeDocument/2006/relationships/hyperlink" Target="https://product.hstatic.net/200000428801/product/upload_285beba08ef143048a13ffb955cdb1d8.jpg" TargetMode="External"/><Relationship Id="rId2886" Type="http://schemas.openxmlformats.org/officeDocument/2006/relationships/hyperlink" Target="https://product.hstatic.net/200000428801/product/upload_ead6050060904c9daced0cb347692848.jpg" TargetMode="External"/><Relationship Id="rId3937" Type="http://schemas.openxmlformats.org/officeDocument/2006/relationships/hyperlink" Target="https://product.hstatic.net/200000428801/product/celeco_70760320e2d74242ab583015ae6e1ae0.png" TargetMode="External"/><Relationship Id="rId858" Type="http://schemas.openxmlformats.org/officeDocument/2006/relationships/hyperlink" Target="https://product.hstatic.net/200000428801/product/upload_a0a547c0b7a54f96aaa8289a2220be32.jpg" TargetMode="External"/><Relationship Id="rId1488" Type="http://schemas.openxmlformats.org/officeDocument/2006/relationships/hyperlink" Target="https://product.hstatic.net/200000428801/product/upload_7d7c50ccef7d4e73ac82fc7b52db67a8.jpg" TargetMode="External"/><Relationship Id="rId1695" Type="http://schemas.openxmlformats.org/officeDocument/2006/relationships/hyperlink" Target="https://product.hstatic.net/200000428801/product/upload_0bd37de3813a4927b37e1db41fa7e05d.jpg" TargetMode="External"/><Relationship Id="rId2539" Type="http://schemas.openxmlformats.org/officeDocument/2006/relationships/hyperlink" Target="https://product.hstatic.net/200000428801/product/upload_1c13bc454bb142b18778f8dac1f69a38.jpg" TargetMode="External"/><Relationship Id="rId2746" Type="http://schemas.openxmlformats.org/officeDocument/2006/relationships/hyperlink" Target="https://product.hstatic.net/200000428801/product/upload_c67ec30a55294472ae93e9ab289a136e.jpg" TargetMode="External"/><Relationship Id="rId2953" Type="http://schemas.openxmlformats.org/officeDocument/2006/relationships/hyperlink" Target="https://product.hstatic.net/200000428801/product/upload_6a281a3e21eb482aa5d5c3e1c7c5fa70.jpg" TargetMode="External"/><Relationship Id="rId718" Type="http://schemas.openxmlformats.org/officeDocument/2006/relationships/hyperlink" Target="https://product.hstatic.net/200000428801/product/upload_575d427507a34e2a96c18b4cb2075324.jpg" TargetMode="External"/><Relationship Id="rId925" Type="http://schemas.openxmlformats.org/officeDocument/2006/relationships/hyperlink" Target="https://product.hstatic.net/200000428801/product/upload_53aebb53d053472ca3158e1e600023f8.jpg" TargetMode="External"/><Relationship Id="rId1348" Type="http://schemas.openxmlformats.org/officeDocument/2006/relationships/hyperlink" Target="https://product.hstatic.net/200000428801/product/upload_c2da5d376dfe4ee3883e088920a68bcd.jpg" TargetMode="External"/><Relationship Id="rId1555" Type="http://schemas.openxmlformats.org/officeDocument/2006/relationships/hyperlink" Target="https://product.hstatic.net/200000428801/product/upload_7d3434e7d62944dbac22a8e43fa85f2f.jpg" TargetMode="External"/><Relationship Id="rId1762" Type="http://schemas.openxmlformats.org/officeDocument/2006/relationships/hyperlink" Target="https://product.hstatic.net/200000428801/product/5_795d352806474532890ada01de0d4104.png" TargetMode="External"/><Relationship Id="rId2606" Type="http://schemas.openxmlformats.org/officeDocument/2006/relationships/hyperlink" Target="https://product.hstatic.net/200000428801/product/upload_b60d1f429bd148f4b4dea0d81bd9102f.jpg" TargetMode="External"/><Relationship Id="rId1208" Type="http://schemas.openxmlformats.org/officeDocument/2006/relationships/hyperlink" Target="https://product.hstatic.net/200000428801/product/upload_47fabbe1b39341f2adb81ecc77a65630.jpg" TargetMode="External"/><Relationship Id="rId1415" Type="http://schemas.openxmlformats.org/officeDocument/2006/relationships/hyperlink" Target="https://product.hstatic.net/200000428801/product/50_d487ce74f9bc45da8daecb5afea76f04.png" TargetMode="External"/><Relationship Id="rId2813" Type="http://schemas.openxmlformats.org/officeDocument/2006/relationships/hyperlink" Target="https://product.hstatic.net/200000428801/product/upload_a01af4f275d34d02934b157dde3fb5c7.jpg" TargetMode="External"/><Relationship Id="rId54" Type="http://schemas.openxmlformats.org/officeDocument/2006/relationships/hyperlink" Target="https://i.postimg.cc/MTtjH6KP/8572ba3c0a1b428aafd2e5d7108d174e.jpg" TargetMode="External"/><Relationship Id="rId1622" Type="http://schemas.openxmlformats.org/officeDocument/2006/relationships/hyperlink" Target="https://product.hstatic.net/200000428801/product/upload_efbb5fa028244f7789435332f9319e5c.jpg" TargetMode="External"/><Relationship Id="rId2189" Type="http://schemas.openxmlformats.org/officeDocument/2006/relationships/hyperlink" Target="https://product.hstatic.net/200000428801/product/upload_4ebdc6249f2549e29485b31b48241642.jpg" TargetMode="External"/><Relationship Id="rId3587" Type="http://schemas.openxmlformats.org/officeDocument/2006/relationships/hyperlink" Target="https://product.hstatic.net/200000428801/product/03da654171b0bfeee6a1_6ec71839913846d9baf1317bc905a5b2.png" TargetMode="External"/><Relationship Id="rId3794" Type="http://schemas.openxmlformats.org/officeDocument/2006/relationships/hyperlink" Target="https://product.hstatic.net/200000428801/product/thiet_ke_chua_co_ten__2__3e361f8cd689445d83b9720c97228aa6.png" TargetMode="External"/><Relationship Id="rId2396" Type="http://schemas.openxmlformats.org/officeDocument/2006/relationships/hyperlink" Target="https://product.hstatic.net/200000428801/product/411_365a4b0ac8b24065b1a0795da128290c.png" TargetMode="External"/><Relationship Id="rId3447" Type="http://schemas.openxmlformats.org/officeDocument/2006/relationships/hyperlink" Target="https://product.hstatic.net/200000428801/product/f08df34b56a841ecb63b6b8c7db40630_5d5c81bae9204429bff00628391f9571.png" TargetMode="External"/><Relationship Id="rId3654" Type="http://schemas.openxmlformats.org/officeDocument/2006/relationships/hyperlink" Target="https://product.hstatic.net/200000428801/product/b221b7071fafd0f189be_23390d1a7fe9423f80b8e3a5c6c48821.png" TargetMode="External"/><Relationship Id="rId3861" Type="http://schemas.openxmlformats.org/officeDocument/2006/relationships/hyperlink" Target="https://product.hstatic.net/200000428801/product/cb4a859dd4ef19b140fe5_5e8c115826034d5f814350bb0bb90784.jpg" TargetMode="External"/><Relationship Id="rId368" Type="http://schemas.openxmlformats.org/officeDocument/2006/relationships/hyperlink" Target="https://product.hstatic.net/200000428801/product/upload_34cfc00fc9ac41f597b9397539314cd0.jpg" TargetMode="External"/><Relationship Id="rId575" Type="http://schemas.openxmlformats.org/officeDocument/2006/relationships/hyperlink" Target="https://product.hstatic.net/200000428801/product/upload_69d159cc09604980a5435ab33e6724d3.jpg" TargetMode="External"/><Relationship Id="rId782" Type="http://schemas.openxmlformats.org/officeDocument/2006/relationships/hyperlink" Target="https://product.hstatic.net/200000428801/product/upload_dc3f073738684787acfd87a0fa815a0d.jpg" TargetMode="External"/><Relationship Id="rId2049" Type="http://schemas.openxmlformats.org/officeDocument/2006/relationships/hyperlink" Target="https://product.hstatic.net/200000428801/product/upload_6e9fb589ca5d4b73bde557fba707f826.jpg" TargetMode="External"/><Relationship Id="rId2256" Type="http://schemas.openxmlformats.org/officeDocument/2006/relationships/hyperlink" Target="https://product.hstatic.net/200000428801/product/upload_f4fd3f47c584475fb38a6ece90571847.jpg" TargetMode="External"/><Relationship Id="rId2463" Type="http://schemas.openxmlformats.org/officeDocument/2006/relationships/hyperlink" Target="https://product.hstatic.net/200000428801/product/upload_630b3007440d456aa2651173498d981f.jpg" TargetMode="External"/><Relationship Id="rId2670" Type="http://schemas.openxmlformats.org/officeDocument/2006/relationships/hyperlink" Target="https://product.hstatic.net/200000428801/product/upload_2f887c34f51c46a7994968e517a6a44b.jpg" TargetMode="External"/><Relationship Id="rId3307" Type="http://schemas.openxmlformats.org/officeDocument/2006/relationships/hyperlink" Target="https://product.hstatic.net/200000428801/product/d7268cb96932437cb1516179be3af730_8299f620de0a4627a08dce82853a11b0.png" TargetMode="External"/><Relationship Id="rId3514" Type="http://schemas.openxmlformats.org/officeDocument/2006/relationships/hyperlink" Target="https://cdn2-retail-images.kiotviet.vn/giabaopharma/9f7932045934460cae43aa6556b9e131.png" TargetMode="External"/><Relationship Id="rId3721" Type="http://schemas.openxmlformats.org/officeDocument/2006/relationships/hyperlink" Target="https://cdn2-retail-images.kiotviet.vn/2026/03/07/giabaopharma/8c190e826250467d8bed17515b3aae3c.jpg" TargetMode="External"/><Relationship Id="rId228" Type="http://schemas.openxmlformats.org/officeDocument/2006/relationships/hyperlink" Target="https://cdn2-retail-images.kiotviet.vn/giabaopharma/62824fbd8dee4bb8976511b0af6da67d.png" TargetMode="External"/><Relationship Id="rId435" Type="http://schemas.openxmlformats.org/officeDocument/2006/relationships/hyperlink" Target="https://product.hstatic.net/200000428801/product/upload_03fcde2391614fc2860d9058c5b9c2f7.jpg" TargetMode="External"/><Relationship Id="rId642" Type="http://schemas.openxmlformats.org/officeDocument/2006/relationships/hyperlink" Target="https://product.hstatic.net/200000428801/product/upload_01265dd5d1be40f9a67e2306306f7df0.jpg" TargetMode="External"/><Relationship Id="rId1065" Type="http://schemas.openxmlformats.org/officeDocument/2006/relationships/hyperlink" Target="https://product.hstatic.net/200000428801/product/upload_efaac80ab6ca4b8ea532e1cd74c2489c.jpg" TargetMode="External"/><Relationship Id="rId1272" Type="http://schemas.openxmlformats.org/officeDocument/2006/relationships/hyperlink" Target="https://product.hstatic.net/200000428801/product/upload_1c04c360803c43ba8439f9a49c432e10.jpg" TargetMode="External"/><Relationship Id="rId2116" Type="http://schemas.openxmlformats.org/officeDocument/2006/relationships/hyperlink" Target="https://product.hstatic.net/200000428801/product/upload_75c5b109985c4f1fb77d0470e2ad9675.jpg" TargetMode="External"/><Relationship Id="rId2323" Type="http://schemas.openxmlformats.org/officeDocument/2006/relationships/hyperlink" Target="https://product.hstatic.net/200000428801/product/427_e5946d56da3c48e49c0ff6fb33371a1f.png" TargetMode="External"/><Relationship Id="rId2530" Type="http://schemas.openxmlformats.org/officeDocument/2006/relationships/hyperlink" Target="https://product.hstatic.net/200000428801/product/upload_f6c46859c18a4f289dfa1934cbe9fba6.jpg" TargetMode="External"/><Relationship Id="rId502" Type="http://schemas.openxmlformats.org/officeDocument/2006/relationships/hyperlink" Target="https://product.hstatic.net/200000428801/product/upload_3b1ac1dbd5b14721b10f78525249d438.jpg" TargetMode="External"/><Relationship Id="rId1132" Type="http://schemas.openxmlformats.org/officeDocument/2006/relationships/hyperlink" Target="https://product.hstatic.net/200000428801/product/upload_ef15550b57344865aa91eb6a29744aa2.jpg" TargetMode="External"/><Relationship Id="rId3097" Type="http://schemas.openxmlformats.org/officeDocument/2006/relationships/hyperlink" Target="https://product.hstatic.net/200000428801/product/38f68c561a4b490d92297e1bfb607f91_5dac331abe6348699ff5a6b72e68b07c.png" TargetMode="External"/><Relationship Id="rId1949" Type="http://schemas.openxmlformats.org/officeDocument/2006/relationships/hyperlink" Target="https://product.hstatic.net/200000428801/product/upload_0f1f8f1103c74592b1b2d4e81c845777.jpg" TargetMode="External"/><Relationship Id="rId3164" Type="http://schemas.openxmlformats.org/officeDocument/2006/relationships/hyperlink" Target="https://product.hstatic.net/200000428801/product/2941885dd6174b1e99240694e2694c6b_d3a2ee0f01ee4df5b274dcbd783fe48d.jpg" TargetMode="External"/><Relationship Id="rId4008" Type="http://schemas.openxmlformats.org/officeDocument/2006/relationships/hyperlink" Target="https://product.hstatic.net/200000428801/product/zalo_screenshot_18_11_2021_621734_765b2933b12f41ccbab9c589a1bfea04.png" TargetMode="External"/><Relationship Id="rId292" Type="http://schemas.openxmlformats.org/officeDocument/2006/relationships/hyperlink" Target="https://product.hstatic.net/200000428801/product/c047d7cfb98e4983b810be90d50c1375_c2901c21db134555b2f84536219b799c.png" TargetMode="External"/><Relationship Id="rId1809" Type="http://schemas.openxmlformats.org/officeDocument/2006/relationships/hyperlink" Target="https://product.hstatic.net/200000428801/product/upload_cba1ff1a5ad14242ad2d88dde96f2f8c.jpg" TargetMode="External"/><Relationship Id="rId3371" Type="http://schemas.openxmlformats.org/officeDocument/2006/relationships/hyperlink" Target="https://product.hstatic.net/200000428801/product/4a4fd52664ac4899879a2c9530c627ac_bc809be6052048699c86c7abc67ddbb5.jpg" TargetMode="External"/><Relationship Id="rId2180" Type="http://schemas.openxmlformats.org/officeDocument/2006/relationships/hyperlink" Target="https://product.hstatic.net/200000428801/product/upload_266fa519137b408c9f7b6754a94da390.jpg" TargetMode="External"/><Relationship Id="rId3024" Type="http://schemas.openxmlformats.org/officeDocument/2006/relationships/hyperlink" Target="https://cdn-images.kiotviet.vn/2025/09/16/giabaopharma/c6d823162b1a4d1b8ae94fe16b445498.jpg" TargetMode="External"/><Relationship Id="rId3231" Type="http://schemas.openxmlformats.org/officeDocument/2006/relationships/hyperlink" Target="https://product.hstatic.net/200000428801/product/ae369604978d4d44a5d681e249486201_38fc212e217b4fe9ac17f0de8ed937e7.png" TargetMode="External"/><Relationship Id="rId152" Type="http://schemas.openxmlformats.org/officeDocument/2006/relationships/hyperlink" Target="https://cdn2-retail-images.kiotviet.vn/2025/02/12/giabaopharma/602141bb0054419fb822649fed2965ed.jpg" TargetMode="External"/><Relationship Id="rId2040" Type="http://schemas.openxmlformats.org/officeDocument/2006/relationships/hyperlink" Target="https://product.hstatic.net/200000428801/product/upload_5aabec414f604c278e9b8a8533a66922.jpg" TargetMode="External"/><Relationship Id="rId2997" Type="http://schemas.openxmlformats.org/officeDocument/2006/relationships/hyperlink" Target="https://product.hstatic.net/200000428801/product/upload_dba3afc15aab43a18cfeca812257f653.jpg" TargetMode="External"/><Relationship Id="rId969" Type="http://schemas.openxmlformats.org/officeDocument/2006/relationships/hyperlink" Target="https://product.hstatic.net/200000428801/product/upload_cc8a2f621f654175a501f66cf983053a.jpg" TargetMode="External"/><Relationship Id="rId1599" Type="http://schemas.openxmlformats.org/officeDocument/2006/relationships/hyperlink" Target="https://product.hstatic.net/200000428801/product/upload_4edc22ec1eb64dec8a15720556ecef91.jpg" TargetMode="External"/><Relationship Id="rId1459" Type="http://schemas.openxmlformats.org/officeDocument/2006/relationships/hyperlink" Target="https://product.hstatic.net/200000428801/product/upload_b4f207080ecd4d70a81ac04ead32db62.jpg" TargetMode="External"/><Relationship Id="rId2857" Type="http://schemas.openxmlformats.org/officeDocument/2006/relationships/hyperlink" Target="https://product.hstatic.net/200000428801/product/upload_d89e44740a8c4b0698b1685cbf1e6bbc.jpg" TargetMode="External"/><Relationship Id="rId3908" Type="http://schemas.openxmlformats.org/officeDocument/2006/relationships/hyperlink" Target="https://product.hstatic.net/200000428801/product/thiet_ke_khong_ten__84__1d400c2db94f4ee39317280ad90cb2e7.png" TargetMode="External"/><Relationship Id="rId98" Type="http://schemas.openxmlformats.org/officeDocument/2006/relationships/hyperlink" Target="https://cdn-images.kiotviet.vn/2025/05/20/giabaopharma/ce82bcd26cce45cd9c172bba89629182.jpg,https:/cdn-images.kiotviet.vn/2025/05/20/giabaopharma/d68e93c09c82447f90c15a59accb9db0.jpg" TargetMode="External"/><Relationship Id="rId829" Type="http://schemas.openxmlformats.org/officeDocument/2006/relationships/hyperlink" Target="https://product.hstatic.net/200000428801/product/upload_e6ff104d80544c238dac8da25496b70c.jpg" TargetMode="External"/><Relationship Id="rId1666" Type="http://schemas.openxmlformats.org/officeDocument/2006/relationships/hyperlink" Target="https://product.hstatic.net/200000428801/product/2_0e09a743bf1d418eac2ba66175fe9dc6.png" TargetMode="External"/><Relationship Id="rId1873" Type="http://schemas.openxmlformats.org/officeDocument/2006/relationships/hyperlink" Target="https://product.hstatic.net/200000428801/product/upload_6d4199bef6394376aa6f18f056289526.jpg" TargetMode="External"/><Relationship Id="rId2717" Type="http://schemas.openxmlformats.org/officeDocument/2006/relationships/hyperlink" Target="https://product.hstatic.net/200000428801/product/373_260c38e904354c40850855855c5bc9a1.png" TargetMode="External"/><Relationship Id="rId2924" Type="http://schemas.openxmlformats.org/officeDocument/2006/relationships/hyperlink" Target="https://product.hstatic.net/200000428801/product/350_2ae6df82dd23456e96cbea57e60eba9e.png" TargetMode="External"/><Relationship Id="rId1319" Type="http://schemas.openxmlformats.org/officeDocument/2006/relationships/hyperlink" Target="https://product.hstatic.net/200000428801/product/upload_e21489be086e4478bf109af9b71b6286.jpg" TargetMode="External"/><Relationship Id="rId1526" Type="http://schemas.openxmlformats.org/officeDocument/2006/relationships/hyperlink" Target="https://product.hstatic.net/200000428801/product/upload_50feae489a874c388e80f3dbed795587.jpg" TargetMode="External"/><Relationship Id="rId1733" Type="http://schemas.openxmlformats.org/officeDocument/2006/relationships/hyperlink" Target="https://product.hstatic.net/200000428801/product/upload_43e18d6aa8d64b4088d132195b02db4f.jpg" TargetMode="External"/><Relationship Id="rId1940" Type="http://schemas.openxmlformats.org/officeDocument/2006/relationships/hyperlink" Target="https://product.hstatic.net/200000428801/product/upload_59059a40fe1c4bb3821df3b8e3e208a3.jpg" TargetMode="External"/><Relationship Id="rId25" Type="http://schemas.openxmlformats.org/officeDocument/2006/relationships/hyperlink" Target="https://cdn2-retail-images.kiotviet.vn/2025/12/30/giabaopharma/64ad9b3568844108a8dd210788de0c9d.png,https:/cdn2-retail-images.kiotviet.vn/2025/12/30/giabaopharma/45eb4a16dc0f4c1d9e90070eff14be7e.png,https:/cdn2-retail-images.kiotviet.vn/2025/12/30/giabaopharma/4b51d629b22d4fdea37f57a183a7ab43.png,https:/cdn2-retail-images.kiotviet.vn/2025/12/30/giabaopharma/ab97e39781ee4ef3987d9ab8ef33b31c.png" TargetMode="External"/><Relationship Id="rId1800" Type="http://schemas.openxmlformats.org/officeDocument/2006/relationships/hyperlink" Target="https://product.hstatic.net/200000428801/product/upload_79a45ae9f2c4482ea27d68dcae719f88.jpg" TargetMode="External"/><Relationship Id="rId3698" Type="http://schemas.openxmlformats.org/officeDocument/2006/relationships/hyperlink" Target="https://cdn2-retail-images.kiotviet.vn/2026/03/07/giabaopharma/e5238a7c42404e52abd9c94b994b0a6f.jpg" TargetMode="External"/><Relationship Id="rId3558" Type="http://schemas.openxmlformats.org/officeDocument/2006/relationships/hyperlink" Target="https://cdn2-retail-images.kiotviet.vn/2025/06/10/giabaopharma/4020c8a5a1a246099990d35098fceda3.jpg" TargetMode="External"/><Relationship Id="rId3765" Type="http://schemas.openxmlformats.org/officeDocument/2006/relationships/hyperlink" Target="https://cdn2-retail-images.kiotviet.vn/2025/10/30/giabaopharma/dc65aeefa20844eab25d703b946c49d2.png" TargetMode="External"/><Relationship Id="rId3972" Type="http://schemas.openxmlformats.org/officeDocument/2006/relationships/hyperlink" Target="https://cdn1-retail-images.kiotviet.vn/2026/01/10/giabaopharma/1fcc90603d314f349194e69e94e6c46a.jpg" TargetMode="External"/><Relationship Id="rId479" Type="http://schemas.openxmlformats.org/officeDocument/2006/relationships/hyperlink" Target="https://product.hstatic.net/200000428801/product/0a27fb92024e4b8eb00b5eebe49450d6_966fac5c320349c9bad0afde6efc6275.png" TargetMode="External"/><Relationship Id="rId686" Type="http://schemas.openxmlformats.org/officeDocument/2006/relationships/hyperlink" Target="https://product.hstatic.net/200000428801/product/112_b544016457284b02a65d139fe75e3ca1.png" TargetMode="External"/><Relationship Id="rId893" Type="http://schemas.openxmlformats.org/officeDocument/2006/relationships/hyperlink" Target="https://product.hstatic.net/200000428801/product/upload_afafa457779e4c0babb1c3c95131b185.jpg" TargetMode="External"/><Relationship Id="rId2367" Type="http://schemas.openxmlformats.org/officeDocument/2006/relationships/hyperlink" Target="https://product.hstatic.net/200000428801/product/upload_f5a5ea8249fe407cb348d1e48ab53ba6.jpg" TargetMode="External"/><Relationship Id="rId2574" Type="http://schemas.openxmlformats.org/officeDocument/2006/relationships/hyperlink" Target="https://product.hstatic.net/200000428801/product/upload_9b13cf00f3c34319988828aba53fc086.jpg" TargetMode="External"/><Relationship Id="rId2781" Type="http://schemas.openxmlformats.org/officeDocument/2006/relationships/hyperlink" Target="https://product.hstatic.net/200000428801/product/upload_9fb4980d28994d68bbe0f7280e768828.jpg" TargetMode="External"/><Relationship Id="rId3418" Type="http://schemas.openxmlformats.org/officeDocument/2006/relationships/hyperlink" Target="https://product.hstatic.net/200000428801/product/d0c20ac1663340e09cde8196f31146d5_d7f4856bbd8443a9b649a1320e95ac9d.png" TargetMode="External"/><Relationship Id="rId3625" Type="http://schemas.openxmlformats.org/officeDocument/2006/relationships/hyperlink" Target="https://cdn2-retail-images.kiotviet.vn/2025/10/30/giabaopharma/db95428f125a4a5fb56aa47565b82853.png" TargetMode="External"/><Relationship Id="rId339" Type="http://schemas.openxmlformats.org/officeDocument/2006/relationships/hyperlink" Target="https://product.hstatic.net/200000428801/product/upload_a482d5334b5c449383cd716f697431ec.jpg" TargetMode="External"/><Relationship Id="rId546" Type="http://schemas.openxmlformats.org/officeDocument/2006/relationships/hyperlink" Target="https://product.hstatic.net/200000428801/product/upload_5f9540c2759c4b4ea90f3ee5c11c086c.jpg" TargetMode="External"/><Relationship Id="rId753" Type="http://schemas.openxmlformats.org/officeDocument/2006/relationships/hyperlink" Target="https://product.hstatic.net/200000428801/product/upload_e7a81544a5424367aa05965ebfe1ab57.jpg" TargetMode="External"/><Relationship Id="rId1176" Type="http://schemas.openxmlformats.org/officeDocument/2006/relationships/hyperlink" Target="https://product.hstatic.net/200000428801/product/upload_360ad1b0a62c426cb2e9491e369136dd.jpg" TargetMode="External"/><Relationship Id="rId1383" Type="http://schemas.openxmlformats.org/officeDocument/2006/relationships/hyperlink" Target="https://product.hstatic.net/200000428801/product/upload_4c346cd193d842939a1e2d44c7249f73.jpg" TargetMode="External"/><Relationship Id="rId2227" Type="http://schemas.openxmlformats.org/officeDocument/2006/relationships/hyperlink" Target="https://product.hstatic.net/200000428801/product/495_b1b7ebe45ca243e0a78bb651a8320e97.png" TargetMode="External"/><Relationship Id="rId2434" Type="http://schemas.openxmlformats.org/officeDocument/2006/relationships/hyperlink" Target="https://product.hstatic.net/200000428801/product/upload_3e9067f8dd594b5fa5c68e360d49640d.jpg" TargetMode="External"/><Relationship Id="rId3832" Type="http://schemas.openxmlformats.org/officeDocument/2006/relationships/hyperlink" Target="https://cdn2-retail-images.kiotviet.vn/2025/10/30/giabaopharma/d3f83a7060cf4a808ab6b444a66fd3b0.png" TargetMode="External"/><Relationship Id="rId406" Type="http://schemas.openxmlformats.org/officeDocument/2006/relationships/hyperlink" Target="https://product.hstatic.net/200000428801/product/b6c36f1a069d43d9837538cb7495c801_f9e19004fb39476bb814af4b17f4a9cc.png" TargetMode="External"/><Relationship Id="rId960" Type="http://schemas.openxmlformats.org/officeDocument/2006/relationships/hyperlink" Target="https://product.hstatic.net/200000428801/product/upload_64907fa45e124a6aa09ac511d483bbe2.jpg" TargetMode="External"/><Relationship Id="rId1036" Type="http://schemas.openxmlformats.org/officeDocument/2006/relationships/hyperlink" Target="https://product.hstatic.net/200000428801/product/upload_e2b6c3f7c4cd4f7fb1b7f19a5ab4b5e8.jpg" TargetMode="External"/><Relationship Id="rId1243" Type="http://schemas.openxmlformats.org/officeDocument/2006/relationships/hyperlink" Target="https://product.hstatic.net/200000428801/product/upload_f56cf793269e4c7aa6332267b25d7b3f.jpg" TargetMode="External"/><Relationship Id="rId1590" Type="http://schemas.openxmlformats.org/officeDocument/2006/relationships/hyperlink" Target="https://product.hstatic.net/200000428801/product/32_de5e2dca4e484d299af4a8d8e9d17b44.png" TargetMode="External"/><Relationship Id="rId2641" Type="http://schemas.openxmlformats.org/officeDocument/2006/relationships/hyperlink" Target="https://product.hstatic.net/200000428801/product/upload_95e9df55bc4b40e595bf7ea5b46f0242.jpg" TargetMode="External"/><Relationship Id="rId613" Type="http://schemas.openxmlformats.org/officeDocument/2006/relationships/hyperlink" Target="https://product.hstatic.net/200000428801/product/upload_5815e41bd1e2472c83bae4802bb39128.jpg" TargetMode="External"/><Relationship Id="rId820" Type="http://schemas.openxmlformats.org/officeDocument/2006/relationships/hyperlink" Target="https://product.hstatic.net/200000428801/product/upload_0e96a8db411e40cd9a8e7bafbf1df92c.jpg" TargetMode="External"/><Relationship Id="rId1450" Type="http://schemas.openxmlformats.org/officeDocument/2006/relationships/hyperlink" Target="https://product.hstatic.net/200000428801/product/upload_4bdfdf86d5fe4aca94f02d3641302a3d.jpg" TargetMode="External"/><Relationship Id="rId2501" Type="http://schemas.openxmlformats.org/officeDocument/2006/relationships/hyperlink" Target="https://product.hstatic.net/200000428801/product/upload_4dcf79a42e6b484a85f9571ec7e4cd16.jpg" TargetMode="External"/><Relationship Id="rId1103" Type="http://schemas.openxmlformats.org/officeDocument/2006/relationships/hyperlink" Target="https://product.hstatic.net/200000428801/product/upload_09606cf6fed8499587fded3b5b4e9b18.jpg" TargetMode="External"/><Relationship Id="rId1310" Type="http://schemas.openxmlformats.org/officeDocument/2006/relationships/hyperlink" Target="https://product.hstatic.net/200000428801/product/upload_8608239e246f49f2a6c6826bcda71711.jpg" TargetMode="External"/><Relationship Id="rId3068" Type="http://schemas.openxmlformats.org/officeDocument/2006/relationships/hyperlink" Target="https://product.hstatic.net/200000428801/product/upload_09c2401858a2425fb10a447e985ba97b.jpg" TargetMode="External"/><Relationship Id="rId3275" Type="http://schemas.openxmlformats.org/officeDocument/2006/relationships/hyperlink" Target="https://product.hstatic.net/200000428801/product/9611638618ab4e67b3dabbd6865b1aea_b2a412a170b14341a5a65e643f52481d.png" TargetMode="External"/><Relationship Id="rId3482" Type="http://schemas.openxmlformats.org/officeDocument/2006/relationships/hyperlink" Target="https://product.hstatic.net/200000428801/product/1f7a32717bda4b9e8b47619e8d6104dd_f8a08b8d6fd04503abdae06ce1cbf1cd.png" TargetMode="External"/><Relationship Id="rId196" Type="http://schemas.openxmlformats.org/officeDocument/2006/relationships/hyperlink" Target="https://cdn2-retail-images.kiotviet.vn/2025/02/18/giabaopharma/fe41572708804163950971fa8ca8f8e2.jpg" TargetMode="External"/><Relationship Id="rId2084" Type="http://schemas.openxmlformats.org/officeDocument/2006/relationships/hyperlink" Target="https://product.hstatic.net/200000428801/product/upload_a5b22eb4afa74a86ad80f73db46fb143.jpg" TargetMode="External"/><Relationship Id="rId2291" Type="http://schemas.openxmlformats.org/officeDocument/2006/relationships/hyperlink" Target="https://product.hstatic.net/200000428801/product/a4202bc20a194d4aa7d8bb6c98baa665_f5bb9e804f6d451ba6ad454bcc26a2d0.png" TargetMode="External"/><Relationship Id="rId3135" Type="http://schemas.openxmlformats.org/officeDocument/2006/relationships/hyperlink" Target="https://product.hstatic.net/200000428801/product/42cd65587c1447e788c491fc0c818807_18ce129ab65941df9d39854d0bc648d6.png" TargetMode="External"/><Relationship Id="rId3342" Type="http://schemas.openxmlformats.org/officeDocument/2006/relationships/hyperlink" Target="https://product.hstatic.net/200000428801/product/1710eb5b6e2d4188826da15a88a7fe24_d7d116f87c5142b69680ff914bc7c751.png" TargetMode="External"/><Relationship Id="rId263" Type="http://schemas.openxmlformats.org/officeDocument/2006/relationships/hyperlink" Target="https://cdn2-retail-images.kiotviet.vn/giabaopharma/710386f08e11437c8f0c0bf661b8ed5d.jpg" TargetMode="External"/><Relationship Id="rId470" Type="http://schemas.openxmlformats.org/officeDocument/2006/relationships/hyperlink" Target="https://product.hstatic.net/200000428801/product/6f26750291cd4f8d8f3bd22dece4f4c7_08d5fe3bcb094595bcad16f8d69d29dc.png" TargetMode="External"/><Relationship Id="rId2151" Type="http://schemas.openxmlformats.org/officeDocument/2006/relationships/hyperlink" Target="https://product.hstatic.net/200000428801/product/4a9089aa46644c4ca2167f1053e61fdc_7dc4569d8b484c89a38aa4424de0e4ae.png" TargetMode="External"/><Relationship Id="rId3202" Type="http://schemas.openxmlformats.org/officeDocument/2006/relationships/hyperlink" Target="https://product.hstatic.net/200000428801/product/7ca8d581f8374748b0fc8e95a81fe93f_514bee3375474a1692ade179525a1933.png" TargetMode="External"/><Relationship Id="rId123" Type="http://schemas.openxmlformats.org/officeDocument/2006/relationships/hyperlink" Target="https://cdn-images.kiotviet.vn/giabaopharma/cd86235ebe96488a86a72980bacea4ad.png" TargetMode="External"/><Relationship Id="rId330" Type="http://schemas.openxmlformats.org/officeDocument/2006/relationships/hyperlink" Target="https://product.hstatic.net/200000428801/product/471_50efb7c04a7e49f59e00feefa9fb89f0.png" TargetMode="External"/><Relationship Id="rId2011" Type="http://schemas.openxmlformats.org/officeDocument/2006/relationships/hyperlink" Target="https://product.hstatic.net/200000428801/product/upload_188dee7b7da844a0aa32f32c10f250c8.jpg" TargetMode="External"/><Relationship Id="rId2968" Type="http://schemas.openxmlformats.org/officeDocument/2006/relationships/hyperlink" Target="https://product.hstatic.net/200000428801/product/upload_7b6c19f1e1424061a5744aedeb2dd6dc.jpg" TargetMode="External"/><Relationship Id="rId1777" Type="http://schemas.openxmlformats.org/officeDocument/2006/relationships/hyperlink" Target="https://product.hstatic.net/200000428801/product/upload_219553ab03f540e7878f36be6781a64c.jpg" TargetMode="External"/><Relationship Id="rId1984" Type="http://schemas.openxmlformats.org/officeDocument/2006/relationships/hyperlink" Target="https://product.hstatic.net/200000428801/product/upload_368dd0e6f85e4121861ca4bd62a896a9.jpg" TargetMode="External"/><Relationship Id="rId2828" Type="http://schemas.openxmlformats.org/officeDocument/2006/relationships/hyperlink" Target="https://product.hstatic.net/200000428801/product/upload_08bf68ac6cd8451bb9932cd32d3d132c.jpg" TargetMode="External"/><Relationship Id="rId69" Type="http://schemas.openxmlformats.org/officeDocument/2006/relationships/hyperlink" Target="https://cdn2-retail-images.kiotviet.vn/2025/08/05/giabaopharma/91d336b2ceb04a36985e2f50de55229c.jpg" TargetMode="External"/><Relationship Id="rId1637" Type="http://schemas.openxmlformats.org/officeDocument/2006/relationships/hyperlink" Target="https://product.hstatic.net/200000428801/product/upload_ae34eb65696849a49299d49ecdeb34a7.jpg" TargetMode="External"/><Relationship Id="rId1844" Type="http://schemas.openxmlformats.org/officeDocument/2006/relationships/hyperlink" Target="https://product.hstatic.net/200000428801/product/upload_7a023cdef8884facaf601babfd943bf9.jpg" TargetMode="External"/><Relationship Id="rId4043" Type="http://schemas.openxmlformats.org/officeDocument/2006/relationships/hyperlink" Target="https://cdn2-retail-images.kiotviet.vn/2026/03/26/giabaopharma/e769cdd9d955452c829bcd14ac37e3ee.jpg" TargetMode="External"/><Relationship Id="rId1704" Type="http://schemas.openxmlformats.org/officeDocument/2006/relationships/hyperlink" Target="https://product.hstatic.net/200000428801/product/upload_8250c11bf69e452eb9d0b6bb95a2d89e.jpg" TargetMode="External"/><Relationship Id="rId1911" Type="http://schemas.openxmlformats.org/officeDocument/2006/relationships/hyperlink" Target="https://product.hstatic.net/200000428801/product/25d34fc0203b49acb4bd7de44c50641b_7d8960cbaf574f389b29b2ae0e456bc2.png" TargetMode="External"/><Relationship Id="rId3669" Type="http://schemas.openxmlformats.org/officeDocument/2006/relationships/hyperlink" Target="https://product.hstatic.net/200000428801/product/uu_77b58019d2574e48b063b64c9414b86b.jpg" TargetMode="External"/><Relationship Id="rId797" Type="http://schemas.openxmlformats.org/officeDocument/2006/relationships/hyperlink" Target="https://product.hstatic.net/200000428801/product/upload_d3d9e1324b9841d3a3cb20fffe1805f4.jpg" TargetMode="External"/><Relationship Id="rId2478" Type="http://schemas.openxmlformats.org/officeDocument/2006/relationships/hyperlink" Target="https://cdn-images.kiotviet.vn/giabaopharma/84ec855540d84853b0cd7801ad716706.png" TargetMode="External"/><Relationship Id="rId3876" Type="http://schemas.openxmlformats.org/officeDocument/2006/relationships/hyperlink" Target="https://product.hstatic.net/200000428801/product/ef_ad7e4bdb1cf542c7ab01957ea146d1b7.jpg" TargetMode="External"/><Relationship Id="rId1287" Type="http://schemas.openxmlformats.org/officeDocument/2006/relationships/hyperlink" Target="https://product.hstatic.net/200000428801/product/upload_22355523d7a849529704751f1aaf8296.jpg" TargetMode="External"/><Relationship Id="rId2685" Type="http://schemas.openxmlformats.org/officeDocument/2006/relationships/hyperlink" Target="https://product.hstatic.net/200000428801/product/upload_e71b2196062b4973b75111b7bd1194d6.jpg" TargetMode="External"/><Relationship Id="rId2892" Type="http://schemas.openxmlformats.org/officeDocument/2006/relationships/hyperlink" Target="https://product.hstatic.net/200000428801/product/359_899be96f2710476cb4818b4faeefce66.png" TargetMode="External"/><Relationship Id="rId3529" Type="http://schemas.openxmlformats.org/officeDocument/2006/relationships/hyperlink" Target="https://cdn2-retail-images.kiotviet.vn/giabaopharma/20ffdea8b8884afab13e92daee1ee683.jpg" TargetMode="External"/><Relationship Id="rId3736" Type="http://schemas.openxmlformats.org/officeDocument/2006/relationships/hyperlink" Target="https://product.hstatic.net/200000428801/product/c9fea168b69f76c12f8e_a73396370dfb4fd2bf3d2610335394a9.jpg" TargetMode="External"/><Relationship Id="rId3943" Type="http://schemas.openxmlformats.org/officeDocument/2006/relationships/hyperlink" Target="https://cdn2-retail-images.kiotviet.vn/2025/10/25/giabaopharma/616541a9567340a289c29ab4051c1e6a.jpg" TargetMode="External"/><Relationship Id="rId657" Type="http://schemas.openxmlformats.org/officeDocument/2006/relationships/hyperlink" Target="https://product.hstatic.net/200000428801/product/upload_4c346dd72abc45a09cfc2028489f0dee.jpg" TargetMode="External"/><Relationship Id="rId864" Type="http://schemas.openxmlformats.org/officeDocument/2006/relationships/hyperlink" Target="https://product.hstatic.net/200000428801/product/upload_1f3409182b754cb990834dd2b8a80b8b.jpg" TargetMode="External"/><Relationship Id="rId1494" Type="http://schemas.openxmlformats.org/officeDocument/2006/relationships/hyperlink" Target="https://product.hstatic.net/200000428801/product/upload_948e20286a6a4a1eb522ade24b218fb1.jpg" TargetMode="External"/><Relationship Id="rId2338" Type="http://schemas.openxmlformats.org/officeDocument/2006/relationships/hyperlink" Target="https://product.hstatic.net/200000428801/product/upload_be4c7459b0624786bc6cc50a5e77a3d2.jpg" TargetMode="External"/><Relationship Id="rId2545" Type="http://schemas.openxmlformats.org/officeDocument/2006/relationships/hyperlink" Target="https://product.hstatic.net/200000428801/product/upload_e712318f68214cf09a2a01c7f7577302.jpg" TargetMode="External"/><Relationship Id="rId2752" Type="http://schemas.openxmlformats.org/officeDocument/2006/relationships/hyperlink" Target="https://product.hstatic.net/200000428801/product/upload_94853373e7d84a50a7f88317f94d2914.jpg" TargetMode="External"/><Relationship Id="rId3803" Type="http://schemas.openxmlformats.org/officeDocument/2006/relationships/hyperlink" Target="https://product.hstatic.net/200000428801/product/7c64659261e8a2b6fbf9_d28797bf57da445b9ca7feffb0202be7.jpg" TargetMode="External"/><Relationship Id="rId517" Type="http://schemas.openxmlformats.org/officeDocument/2006/relationships/hyperlink" Target="https://product.hstatic.net/200000428801/product/upload_17f2c20e4fe0403d838404a637249415.jpg" TargetMode="External"/><Relationship Id="rId724" Type="http://schemas.openxmlformats.org/officeDocument/2006/relationships/hyperlink" Target="https://product.hstatic.net/200000428801/product/upload_b5a0b210b62c407ba5e4bde7ba068164.jpg" TargetMode="External"/><Relationship Id="rId931" Type="http://schemas.openxmlformats.org/officeDocument/2006/relationships/hyperlink" Target="https://product.hstatic.net/200000428801/product/upload_44f21885973c4039a9b9f7751994b42f.jpg" TargetMode="External"/><Relationship Id="rId1147" Type="http://schemas.openxmlformats.org/officeDocument/2006/relationships/hyperlink" Target="https://product.hstatic.net/200000428801/product/upload_72371af631034fa6a4a20a9a2cfd5607.jpg" TargetMode="External"/><Relationship Id="rId1354" Type="http://schemas.openxmlformats.org/officeDocument/2006/relationships/hyperlink" Target="https://product.hstatic.net/200000428801/product/upload_bf717fc993854153a406d880d63e5bc4.jpg" TargetMode="External"/><Relationship Id="rId1561" Type="http://schemas.openxmlformats.org/officeDocument/2006/relationships/hyperlink" Target="https://product.hstatic.net/200000428801/product/upload_d4a242c035fd41b79aef103606339dc2.jpg" TargetMode="External"/><Relationship Id="rId2405" Type="http://schemas.openxmlformats.org/officeDocument/2006/relationships/hyperlink" Target="https://product.hstatic.net/200000428801/product/upload_d87b334f96cd4e9ba9cba8e5a09bfab8.jpg" TargetMode="External"/><Relationship Id="rId2612" Type="http://schemas.openxmlformats.org/officeDocument/2006/relationships/hyperlink" Target="https://product.hstatic.net/200000428801/product/upload_7026f278db384ea7a5afd085d95b9cb7.jpg" TargetMode="External"/><Relationship Id="rId60" Type="http://schemas.openxmlformats.org/officeDocument/2006/relationships/hyperlink" Target="https://cdn2-retail-images.kiotviet.vn/2025/08/08/giabaopharma/a30242bca16b429784de498fb316e0cb.jpg" TargetMode="External"/><Relationship Id="rId1007" Type="http://schemas.openxmlformats.org/officeDocument/2006/relationships/hyperlink" Target="https://product.hstatic.net/200000428801/product/upload_6ac031a3ee5c4ca7977f298ae73e6fe9.jpg" TargetMode="External"/><Relationship Id="rId1214" Type="http://schemas.openxmlformats.org/officeDocument/2006/relationships/hyperlink" Target="https://product.hstatic.net/200000428801/product/upload_02b1fe444cb84192983353c88242bbd9.jpg" TargetMode="External"/><Relationship Id="rId1421" Type="http://schemas.openxmlformats.org/officeDocument/2006/relationships/hyperlink" Target="https://product.hstatic.net/200000428801/product/upload_d71114f7c0634e33902214bfddfb9e22.jpg" TargetMode="External"/><Relationship Id="rId3179" Type="http://schemas.openxmlformats.org/officeDocument/2006/relationships/hyperlink" Target="https://product.hstatic.net/200000428801/product/8610730533f345c3871c70cc3db89770_011b03b9ba1841a199fd70e989120b6b.jpg" TargetMode="External"/><Relationship Id="rId3386" Type="http://schemas.openxmlformats.org/officeDocument/2006/relationships/hyperlink" Target="https://product.hstatic.net/200000428801/product/19c7802ad2b4410686328ddc2e88bb9c_5391afc310dd430f976c03811a52f233.png" TargetMode="External"/><Relationship Id="rId3593" Type="http://schemas.openxmlformats.org/officeDocument/2006/relationships/hyperlink" Target="https://cdn1-retail-images.kiotviet.vn/2026/01/15/giabaopharma/3c2584a8377748e780e09dfe281893b7.jpg" TargetMode="External"/><Relationship Id="rId2195" Type="http://schemas.openxmlformats.org/officeDocument/2006/relationships/hyperlink" Target="https://product.hstatic.net/200000428801/product/upload_f9422285c6ef4c258aa6ba1200b00754.jpg" TargetMode="External"/><Relationship Id="rId3039" Type="http://schemas.openxmlformats.org/officeDocument/2006/relationships/hyperlink" Target="https://product.hstatic.net/200000428801/product/upload_eb0a9f18cd2244bca604250f6d4485ad.jpg" TargetMode="External"/><Relationship Id="rId3246" Type="http://schemas.openxmlformats.org/officeDocument/2006/relationships/hyperlink" Target="https://product.hstatic.net/200000428801/product/05270859da4b4e649f1b498a21f76d16_21a04914202d4a0abce420b3aa0d393b.png" TargetMode="External"/><Relationship Id="rId3453" Type="http://schemas.openxmlformats.org/officeDocument/2006/relationships/hyperlink" Target="https://product.hstatic.net/200000428801/product/687ead6725d041efb93464cbe933c26e_77ea700972334ef3996538c5cc8275d2.png" TargetMode="External"/><Relationship Id="rId167" Type="http://schemas.openxmlformats.org/officeDocument/2006/relationships/hyperlink" Target="https://cdn2-retail-images.kiotviet.vn/2024/12/28/giabaopharma/c56b8dd057104bceb1d29ea5275221f9.jpg" TargetMode="External"/><Relationship Id="rId374" Type="http://schemas.openxmlformats.org/officeDocument/2006/relationships/hyperlink" Target="https://product.hstatic.net/200000428801/product/upload_6c3e6341a2e645b7bf9f04a3de54ce08.jpg" TargetMode="External"/><Relationship Id="rId581" Type="http://schemas.openxmlformats.org/officeDocument/2006/relationships/hyperlink" Target="https://product.hstatic.net/200000428801/product/upload_2799b352c47945558732eb1b2d6eecae.jpg" TargetMode="External"/><Relationship Id="rId2055" Type="http://schemas.openxmlformats.org/officeDocument/2006/relationships/hyperlink" Target="https://product.hstatic.net/200000428801/product/upload_249ea7144bb64d6692a0809cf687f4b2.jpg" TargetMode="External"/><Relationship Id="rId2262" Type="http://schemas.openxmlformats.org/officeDocument/2006/relationships/hyperlink" Target="https://product.hstatic.net/200000428801/product/502_1c9e372b31524fac9108be3c70b1ab8d.png" TargetMode="External"/><Relationship Id="rId3106" Type="http://schemas.openxmlformats.org/officeDocument/2006/relationships/hyperlink" Target="https://product.hstatic.net/200000428801/product/f99878d4a59b4f098c9d922fc6d269a6_42bf4af0949c4952bd9bf1b09bd219be.png" TargetMode="External"/><Relationship Id="rId3660" Type="http://schemas.openxmlformats.org/officeDocument/2006/relationships/hyperlink" Target="https://product.hstatic.net/200000428801/product/456b372dd94c1912405d_1d03fbf9a62445588008d40f6ae11b78.jpg" TargetMode="External"/><Relationship Id="rId234" Type="http://schemas.openxmlformats.org/officeDocument/2006/relationships/hyperlink" Target="https://cdn-images.kiotviet.vn/giabaopharma/de009112a6044b4e8c4dd91c32a21c41.jpg,https:/cdn2-retail-images.kiotviet.vn/giabaopharma/b0be9c5e65b147988e8b5918a7ea33d3.jpg,https:/cdn-images.kiotviet.vn/giabaopharma/313a468c311f405198387a25d9d3b3cc.jpg,https:/cdn2-retail-images.kiotviet.vn/giabaopharma/e638b1f3207c488d9ddfac570de067ff.jpg,https:/cdn2-retail-images.kiotviet.vn/giabaopharma/14433434a7be4482a0e02bb9d653e579.jpg" TargetMode="External"/><Relationship Id="rId3313" Type="http://schemas.openxmlformats.org/officeDocument/2006/relationships/hyperlink" Target="https://product.hstatic.net/200000428801/product/0e3e3c7c64c54f9d884d24f25a1ca14d_d8aaeac93a404f3589f45abe362dab19.png" TargetMode="External"/><Relationship Id="rId3520" Type="http://schemas.openxmlformats.org/officeDocument/2006/relationships/hyperlink" Target="https://cdn2-retail-images.kiotviet.vn/2025/10/23/giabaopharma/5e58d27b64a041e48abaa8077377bd91.png" TargetMode="External"/><Relationship Id="rId441" Type="http://schemas.openxmlformats.org/officeDocument/2006/relationships/hyperlink" Target="https://cdn2-retail-images.kiotviet.vn/giabaopharma/7d76dd46daaf42398f6bec550c499a5b.png,https:/cdn2-retail-images.kiotviet.vn/giabaopharma/14f6fb847de345698d720760e435defc.png" TargetMode="External"/><Relationship Id="rId1071" Type="http://schemas.openxmlformats.org/officeDocument/2006/relationships/hyperlink" Target="https://product.hstatic.net/200000428801/product/upload_169f834c8285466b8aba10ecc4a6d1f6.jpg" TargetMode="External"/><Relationship Id="rId2122" Type="http://schemas.openxmlformats.org/officeDocument/2006/relationships/hyperlink" Target="https://product.hstatic.net/200000428801/product/3ea1b0a5720baf55f61a_a2376adf93b147b984870e109b240b3d.jpg" TargetMode="External"/><Relationship Id="rId301" Type="http://schemas.openxmlformats.org/officeDocument/2006/relationships/hyperlink" Target="https://product.hstatic.net/200000428801/product/03cd6055bdf041acb1e3e7644f864763_d39b77067252446d93915ed9f8882cb4.jpg" TargetMode="External"/><Relationship Id="rId1888" Type="http://schemas.openxmlformats.org/officeDocument/2006/relationships/hyperlink" Target="https://product.hstatic.net/200000428801/product/552_00be56f2226f438db5261a1a05951c6d.png" TargetMode="External"/><Relationship Id="rId2939" Type="http://schemas.openxmlformats.org/officeDocument/2006/relationships/hyperlink" Target="https://product.hstatic.net/200000428801/product/upload_26f4447f51014ae49e0871724687dcfe.jpg" TargetMode="External"/><Relationship Id="rId1748" Type="http://schemas.openxmlformats.org/officeDocument/2006/relationships/hyperlink" Target="https://product.hstatic.net/200000428801/product/9_d4d15c0e15c441909559c659fed9f61c.png" TargetMode="External"/><Relationship Id="rId1955" Type="http://schemas.openxmlformats.org/officeDocument/2006/relationships/hyperlink" Target="https://product.hstatic.net/200000428801/product/526_41427cb94ca34a358547677c645e052c.png" TargetMode="External"/><Relationship Id="rId3170" Type="http://schemas.openxmlformats.org/officeDocument/2006/relationships/hyperlink" Target="https://product.hstatic.net/200000428801/product/12b799936798412a80ac88cf8ffe7b08_dcc5cc51ce064eeba28bfd2e0f22db84.jpg" TargetMode="External"/><Relationship Id="rId4014" Type="http://schemas.openxmlformats.org/officeDocument/2006/relationships/hyperlink" Target="https://product.hstatic.net/200000428801/product/auti_0d857fc3bfea4ecfb1e8d1881470ff98.jpg" TargetMode="External"/><Relationship Id="rId1608" Type="http://schemas.openxmlformats.org/officeDocument/2006/relationships/hyperlink" Target="https://product.hstatic.net/200000428801/product/36_62d070fd74d3486b9921ad98e8fb3810.png" TargetMode="External"/><Relationship Id="rId1815" Type="http://schemas.openxmlformats.org/officeDocument/2006/relationships/hyperlink" Target="https://product.hstatic.net/200000428801/product/upload_c9149ff868014754a928fabdb3c8eaf9.jpg" TargetMode="External"/><Relationship Id="rId3030" Type="http://schemas.openxmlformats.org/officeDocument/2006/relationships/hyperlink" Target="https://product.hstatic.net/200000428801/product/upload_52808acf844e40d680878d68fe8a1ba4.jpg" TargetMode="External"/><Relationship Id="rId3987" Type="http://schemas.openxmlformats.org/officeDocument/2006/relationships/hyperlink" Target="https://product.hstatic.net/200000428801/product/cong_dung_2d2574b635234308af99344c34089bf0.png" TargetMode="External"/><Relationship Id="rId2589" Type="http://schemas.openxmlformats.org/officeDocument/2006/relationships/hyperlink" Target="https://product.hstatic.net/200000428801/product/upload_b76a5f77dd414259b62fdb83013d9cc9.jpg" TargetMode="External"/><Relationship Id="rId2796" Type="http://schemas.openxmlformats.org/officeDocument/2006/relationships/hyperlink" Target="https://product.hstatic.net/200000428801/product/upload_2733f611f26d4c97a1904c06f01f61b6.jpg" TargetMode="External"/><Relationship Id="rId3847" Type="http://schemas.openxmlformats.org/officeDocument/2006/relationships/hyperlink" Target="https://product.hstatic.net/200000428801/product/pp_751635a766d449e08ab40a9110278d74.png" TargetMode="External"/><Relationship Id="rId768" Type="http://schemas.openxmlformats.org/officeDocument/2006/relationships/hyperlink" Target="https://product.hstatic.net/200000428801/product/upload_dbe936a91c7b4a1d8b77688d77da5fae.jpg" TargetMode="External"/><Relationship Id="rId975" Type="http://schemas.openxmlformats.org/officeDocument/2006/relationships/hyperlink" Target="https://product.hstatic.net/200000428801/product/upload_6272736efa5c4ea3b9018af86b177b49.jpg" TargetMode="External"/><Relationship Id="rId1398" Type="http://schemas.openxmlformats.org/officeDocument/2006/relationships/hyperlink" Target="https://product.hstatic.net/200000428801/product/upload_9b1169e26bcc4ad7ad0ab6f2a42dd896.jpg" TargetMode="External"/><Relationship Id="rId2449" Type="http://schemas.openxmlformats.org/officeDocument/2006/relationships/hyperlink" Target="https://product.hstatic.net/200000428801/product/upload_259418de0fef4d5886cdce326fd99ee4.jpg" TargetMode="External"/><Relationship Id="rId2656" Type="http://schemas.openxmlformats.org/officeDocument/2006/relationships/hyperlink" Target="https://product.hstatic.net/200000428801/product/upload_7de886a209ae4e8f991202b1d85354ff.jpg" TargetMode="External"/><Relationship Id="rId2863" Type="http://schemas.openxmlformats.org/officeDocument/2006/relationships/hyperlink" Target="https://product.hstatic.net/200000428801/product/upload_2e347bb8cda54f47b4d53d377f15a146.jpg" TargetMode="External"/><Relationship Id="rId3707" Type="http://schemas.openxmlformats.org/officeDocument/2006/relationships/hyperlink" Target="https://product.hstatic.net/200000428801/product/zalo_screenshot_18_11_2021_859859_7fe9af076f45484ab1ad4b64fe24e10f.png" TargetMode="External"/><Relationship Id="rId3914" Type="http://schemas.openxmlformats.org/officeDocument/2006/relationships/hyperlink" Target="https://product.hstatic.net/200000428801/product/zalo_screenshot_20_11_2021_638476_fb7e60bfe87546229563e2b82d714a60.png" TargetMode="External"/><Relationship Id="rId628" Type="http://schemas.openxmlformats.org/officeDocument/2006/relationships/hyperlink" Target="https://product.hstatic.net/200000428801/product/upload_4cc6d1d9a09c4ec4a13bd780b20faaaf.jpg" TargetMode="External"/><Relationship Id="rId835" Type="http://schemas.openxmlformats.org/officeDocument/2006/relationships/hyperlink" Target="https://product.hstatic.net/200000428801/product/upload_d6ce29c623de4e0dbdd67307556cab3a.jpg" TargetMode="External"/><Relationship Id="rId1258" Type="http://schemas.openxmlformats.org/officeDocument/2006/relationships/hyperlink" Target="https://product.hstatic.net/200000428801/product/upload_fd362ffceeb04256a3e0f6948b48f2b9.jpg" TargetMode="External"/><Relationship Id="rId1465" Type="http://schemas.openxmlformats.org/officeDocument/2006/relationships/hyperlink" Target="https://product.hstatic.net/200000428801/product/upload_186b919735714d2c872596c7548099bd.jpg" TargetMode="External"/><Relationship Id="rId1672" Type="http://schemas.openxmlformats.org/officeDocument/2006/relationships/hyperlink" Target="https://product.hstatic.net/200000428801/product/upload_6d830c8a7e154a9fa91e52f246f06f45.jpg" TargetMode="External"/><Relationship Id="rId2309" Type="http://schemas.openxmlformats.org/officeDocument/2006/relationships/hyperlink" Target="https://product.hstatic.net/200000428801/product/upload_261a689c4cce46dabf460af653e22986.jpg" TargetMode="External"/><Relationship Id="rId2516" Type="http://schemas.openxmlformats.org/officeDocument/2006/relationships/hyperlink" Target="https://product.hstatic.net/200000428801/product/upload_d0944c22cc42430baaa25c7b73e250cd.jpg" TargetMode="External"/><Relationship Id="rId2723" Type="http://schemas.openxmlformats.org/officeDocument/2006/relationships/hyperlink" Target="https://product.hstatic.net/200000428801/product/upload_d3fde0f9a9864d6cba96f71ecd9c35f1.jpg" TargetMode="External"/><Relationship Id="rId1118" Type="http://schemas.openxmlformats.org/officeDocument/2006/relationships/hyperlink" Target="https://product.hstatic.net/200000428801/product/upload_38f4873dfeab4d4bb853dc7f278895cd.jpg" TargetMode="External"/><Relationship Id="rId1325" Type="http://schemas.openxmlformats.org/officeDocument/2006/relationships/hyperlink" Target="https://product.hstatic.net/200000428801/product/upload_405988eadb5e4edd99c177a4b37deb39.jpg" TargetMode="External"/><Relationship Id="rId1532" Type="http://schemas.openxmlformats.org/officeDocument/2006/relationships/hyperlink" Target="https://product.hstatic.net/200000428801/product/upload_c8c0b6debd894852826cf0b856660999.jpg" TargetMode="External"/><Relationship Id="rId2930" Type="http://schemas.openxmlformats.org/officeDocument/2006/relationships/hyperlink" Target="https://product.hstatic.net/200000428801/product/upload_693a008eee014d44bdaeac872a6a0c28.jpg" TargetMode="External"/><Relationship Id="rId902" Type="http://schemas.openxmlformats.org/officeDocument/2006/relationships/hyperlink" Target="https://product.hstatic.net/200000428801/product/upload_442c5dc0a1374c43969e67c3066dd3e5.jpg" TargetMode="External"/><Relationship Id="rId3497" Type="http://schemas.openxmlformats.org/officeDocument/2006/relationships/hyperlink" Target="https://product.hstatic.net/200000428801/product/9729768a1834482481b613442c8e7733_7054d3ca5ed143fe94c169ba666f3794.png" TargetMode="External"/><Relationship Id="rId31" Type="http://schemas.openxmlformats.org/officeDocument/2006/relationships/hyperlink" Target="https://cdn2-retail-images.kiotviet.vn/2025/11/15/giabaopharma/5ad8e0f43f5c4a6693fb529ebd77f958.jpg" TargetMode="External"/><Relationship Id="rId2099" Type="http://schemas.openxmlformats.org/officeDocument/2006/relationships/hyperlink" Target="https://product.hstatic.net/200000428801/product/upload_420f058787014d6ba29347babf8c045e.jpg" TargetMode="External"/><Relationship Id="rId278" Type="http://schemas.openxmlformats.org/officeDocument/2006/relationships/hyperlink" Target="https://cdn-images.kiotviet.vn/giabaopharma/c87c68d194a34ba6b73b57f5e9c6a11f.jpg" TargetMode="External"/><Relationship Id="rId3357" Type="http://schemas.openxmlformats.org/officeDocument/2006/relationships/hyperlink" Target="https://product.hstatic.net/200000428801/product/1c8b6e5d1b3243c594fd7ed3c865af40_5b24f34c06ca48b8ab0b1cf31a83e10f.png" TargetMode="External"/><Relationship Id="rId3564" Type="http://schemas.openxmlformats.org/officeDocument/2006/relationships/hyperlink" Target="https://product.hstatic.net/200000428801/product/zalo_screenshot_20_11_2021_721173_5afbdd4e73914e35b02cc5c26a09c904.png" TargetMode="External"/><Relationship Id="rId3771" Type="http://schemas.openxmlformats.org/officeDocument/2006/relationships/hyperlink" Target="https://cdn1-retail-images.kiotviet.vn/2026/01/26/giabaopharma/7517b0fa89db465495b95053dc06b73a.jpg" TargetMode="External"/><Relationship Id="rId485" Type="http://schemas.openxmlformats.org/officeDocument/2006/relationships/hyperlink" Target="https://product.hstatic.net/200000428801/product/upload_da5d6c8bf8b6464ca1696029633b5c19.jpg" TargetMode="External"/><Relationship Id="rId692" Type="http://schemas.openxmlformats.org/officeDocument/2006/relationships/hyperlink" Target="https://product.hstatic.net/200000428801/product/upload_19e929f2b67a457caf55c98eff6d4b80.jpg" TargetMode="External"/><Relationship Id="rId2166" Type="http://schemas.openxmlformats.org/officeDocument/2006/relationships/hyperlink" Target="https://product.hstatic.net/200000428801/product/upload_e118deb9a75d457291425f3c71407e15.jpg" TargetMode="External"/><Relationship Id="rId2373" Type="http://schemas.openxmlformats.org/officeDocument/2006/relationships/hyperlink" Target="https://product.hstatic.net/200000428801/product/422_b3a723fb314a46259d1da08a5fff35af.png" TargetMode="External"/><Relationship Id="rId2580" Type="http://schemas.openxmlformats.org/officeDocument/2006/relationships/hyperlink" Target="https://product.hstatic.net/200000428801/product/upload_eda6e319a3d242b59aac8dbac21b4fe8.jpg" TargetMode="External"/><Relationship Id="rId3217" Type="http://schemas.openxmlformats.org/officeDocument/2006/relationships/hyperlink" Target="https://product.hstatic.net/200000428801/product/e93a2afa7c164180bbd17a0f665692f1_00ff977dc3b543dd81ee3d3b2311ef7a.png" TargetMode="External"/><Relationship Id="rId3424" Type="http://schemas.openxmlformats.org/officeDocument/2006/relationships/hyperlink" Target="https://product.hstatic.net/200000428801/product/5d4df12a49504fd7a1c95f501cf4be88_551341fb623a4221a43681272d8bb1f4.png" TargetMode="External"/><Relationship Id="rId3631" Type="http://schemas.openxmlformats.org/officeDocument/2006/relationships/hyperlink" Target="https://product.hstatic.net/200000428801/product/r1_5df2bdad81914279973e3a13d87f5a7a.jpg" TargetMode="External"/><Relationship Id="rId138" Type="http://schemas.openxmlformats.org/officeDocument/2006/relationships/hyperlink" Target="https://cdn2-retail-images.kiotviet.vn/2025/03/07/giabaopharma/fec9d40410b74b11b6b9209dc3562457.jpg" TargetMode="External"/><Relationship Id="rId345" Type="http://schemas.openxmlformats.org/officeDocument/2006/relationships/hyperlink" Target="https://product.hstatic.net/200000428801/product/upload_df375f20a3794525be46ec1f974f1fa8.jpg" TargetMode="External"/><Relationship Id="rId552" Type="http://schemas.openxmlformats.org/officeDocument/2006/relationships/hyperlink" Target="https://product.hstatic.net/200000428801/product/upload_f60e24255216453c941002d55c442e7d.jpg" TargetMode="External"/><Relationship Id="rId1182" Type="http://schemas.openxmlformats.org/officeDocument/2006/relationships/hyperlink" Target="https://product.hstatic.net/200000428801/product/upload_31b880161f56492b84c825e23ccc9b6f.jpg" TargetMode="External"/><Relationship Id="rId2026" Type="http://schemas.openxmlformats.org/officeDocument/2006/relationships/hyperlink" Target="https://product.hstatic.net/200000428801/product/535_08bee5c6726b4f34a1720de132af0d2f.png" TargetMode="External"/><Relationship Id="rId2233" Type="http://schemas.openxmlformats.org/officeDocument/2006/relationships/hyperlink" Target="https://product.hstatic.net/200000428801/product/upload_3663b5695ef24a529f3aed4c6f6e6f5d.jpg" TargetMode="External"/><Relationship Id="rId2440" Type="http://schemas.openxmlformats.org/officeDocument/2006/relationships/hyperlink" Target="https://product.hstatic.net/200000428801/product/upload_e9930d823d3a4bec8baf370a33820144.jpg" TargetMode="External"/><Relationship Id="rId205" Type="http://schemas.openxmlformats.org/officeDocument/2006/relationships/hyperlink" Target="https://cdn-images.kiotviet.vn/giabaopharma/fbbebdff226547c1940ce169952f5e14.png" TargetMode="External"/><Relationship Id="rId412" Type="http://schemas.openxmlformats.org/officeDocument/2006/relationships/hyperlink" Target="https://product.hstatic.net/200000428801/product/346_0b18d2128ae24f80a4d1b23fa3b20241.png" TargetMode="External"/><Relationship Id="rId1042" Type="http://schemas.openxmlformats.org/officeDocument/2006/relationships/hyperlink" Target="https://product.hstatic.net/200000428801/product/upload_56513072aa144380b57ca024f10af2fd.jpg" TargetMode="External"/><Relationship Id="rId2300" Type="http://schemas.openxmlformats.org/officeDocument/2006/relationships/hyperlink" Target="https://product.hstatic.net/200000428801/product/6013a032b82c48f6a804043d07005b8a_f7b42253495349f19ca9c749c3fa8924.png" TargetMode="External"/><Relationship Id="rId1999" Type="http://schemas.openxmlformats.org/officeDocument/2006/relationships/hyperlink" Target="https://product.hstatic.net/200000428801/product/upload_3c6df4dc30594fccbe3254efe24757da.jpg" TargetMode="External"/><Relationship Id="rId1859" Type="http://schemas.openxmlformats.org/officeDocument/2006/relationships/hyperlink" Target="https://product.hstatic.net/200000428801/product/upload_4b7f0b935fc047968f9f0dcbc9527596.jpg" TargetMode="External"/><Relationship Id="rId3074" Type="http://schemas.openxmlformats.org/officeDocument/2006/relationships/hyperlink" Target="https://product.hstatic.net/200000428801/product/upload_a52055ea0a894ea7a44aba7ba2244f6c.jpg" TargetMode="External"/><Relationship Id="rId1719" Type="http://schemas.openxmlformats.org/officeDocument/2006/relationships/hyperlink" Target="https://product.hstatic.net/200000428801/product/upload_a84076e82f0b4553bf76243d0f694336.jpg" TargetMode="External"/><Relationship Id="rId1926" Type="http://schemas.openxmlformats.org/officeDocument/2006/relationships/hyperlink" Target="https://product.hstatic.net/200000428801/product/upload_c79343bb28724804ae1d63d9214b68bc.jpg" TargetMode="External"/><Relationship Id="rId3281" Type="http://schemas.openxmlformats.org/officeDocument/2006/relationships/hyperlink" Target="https://product.hstatic.net/200000428801/product/3d697e046a7c49f780678e409049bca2_84690674236c4487a0299d2f5263cf3b.png" TargetMode="External"/><Relationship Id="rId2090" Type="http://schemas.openxmlformats.org/officeDocument/2006/relationships/hyperlink" Target="https://product.hstatic.net/200000428801/product/upload_45dd9845bf274b4d8e5ca621ebc3e551.jpg" TargetMode="External"/><Relationship Id="rId3141" Type="http://schemas.openxmlformats.org/officeDocument/2006/relationships/hyperlink" Target="https://product.hstatic.net/200000428801/product/1e33958adf49494e8c642c0bf8df3f02_77873325467d469bb2d818f793960d72.jpg" TargetMode="External"/><Relationship Id="rId3001" Type="http://schemas.openxmlformats.org/officeDocument/2006/relationships/hyperlink" Target="https://product.hstatic.net/200000428801/product/upload_9ea7a0d9b55c4545b53bfe5fdab200bf.jpg" TargetMode="External"/><Relationship Id="rId3958" Type="http://schemas.openxmlformats.org/officeDocument/2006/relationships/hyperlink" Target="https://product.hstatic.net/200000428801/product/7c2a5c1a1e00d05e8911_1b9ebd1f6dec4d6b9cbb15f6179f3702.png" TargetMode="External"/><Relationship Id="rId879" Type="http://schemas.openxmlformats.org/officeDocument/2006/relationships/hyperlink" Target="https://product.hstatic.net/200000428801/product/upload_bf3a57390bd7481ca80aaa0838dfb3ab.jpg" TargetMode="External"/><Relationship Id="rId2767" Type="http://schemas.openxmlformats.org/officeDocument/2006/relationships/hyperlink" Target="https://product.hstatic.net/200000428801/product/upload_c9542d9abab44bce96c76708898bea28.jpg" TargetMode="External"/><Relationship Id="rId739" Type="http://schemas.openxmlformats.org/officeDocument/2006/relationships/hyperlink" Target="https://product.hstatic.net/200000428801/product/upload_cc6a381b77fe44ce8082e43674b27a99.jpg" TargetMode="External"/><Relationship Id="rId1369" Type="http://schemas.openxmlformats.org/officeDocument/2006/relationships/hyperlink" Target="https://product.hstatic.net/200000428801/product/upload_e1b75f09b7b745229127b2ea57bc7cff.jpg" TargetMode="External"/><Relationship Id="rId1576" Type="http://schemas.openxmlformats.org/officeDocument/2006/relationships/hyperlink" Target="https://product.hstatic.net/200000428801/product/upload_ac9da3c6859545eb90cdc4156216d01d.jpg" TargetMode="External"/><Relationship Id="rId2974" Type="http://schemas.openxmlformats.org/officeDocument/2006/relationships/hyperlink" Target="https://product.hstatic.net/200000428801/product/351_8a4c39a8d9cc4a75a0e08034f9bd05bb.png" TargetMode="External"/><Relationship Id="rId3818" Type="http://schemas.openxmlformats.org/officeDocument/2006/relationships/hyperlink" Target="https://product.hstatic.net/200000428801/product/b4abb255210fe151b81e_a61ae42e8deb4266a5eefb97c8e81941.jpg" TargetMode="External"/><Relationship Id="rId946" Type="http://schemas.openxmlformats.org/officeDocument/2006/relationships/hyperlink" Target="https://product.hstatic.net/200000428801/product/upload_ffec2c914330470ea37917d447a49759.jpg" TargetMode="External"/><Relationship Id="rId1229" Type="http://schemas.openxmlformats.org/officeDocument/2006/relationships/hyperlink" Target="https://product.hstatic.net/200000428801/product/upload_31f9dd020ceb4c1cb5b2b37eb0813828.jpg" TargetMode="External"/><Relationship Id="rId1783" Type="http://schemas.openxmlformats.org/officeDocument/2006/relationships/hyperlink" Target="https://product.hstatic.net/200000428801/product/upload_c79cefc96b14456985a31d53d47c1b65.jpg" TargetMode="External"/><Relationship Id="rId1990" Type="http://schemas.openxmlformats.org/officeDocument/2006/relationships/hyperlink" Target="https://product.hstatic.net/200000428801/product/upload_1a92b9c993674d05a8955ee817596a14.jpg" TargetMode="External"/><Relationship Id="rId2627" Type="http://schemas.openxmlformats.org/officeDocument/2006/relationships/hyperlink" Target="https://product.hstatic.net/200000428801/product/upload_520d600001ab43ca814b3177f9958ac9.jpg" TargetMode="External"/><Relationship Id="rId2834" Type="http://schemas.openxmlformats.org/officeDocument/2006/relationships/hyperlink" Target="https://product.hstatic.net/200000428801/product/upload_cd4d1f76f78e4589b9e9099889b10597.jpg" TargetMode="External"/><Relationship Id="rId75" Type="http://schemas.openxmlformats.org/officeDocument/2006/relationships/hyperlink" Target="https://i.postimg.cc/GtVtTH0Q/d601cb34777e401aae6a4b226a862d30.jpg" TargetMode="External"/><Relationship Id="rId806" Type="http://schemas.openxmlformats.org/officeDocument/2006/relationships/hyperlink" Target="https://cdn2-retail-images.kiotviet.vn/giabaopharma/e61e704c518a41c9bc288eb7cd8c0544.png" TargetMode="External"/><Relationship Id="rId1436" Type="http://schemas.openxmlformats.org/officeDocument/2006/relationships/hyperlink" Target="https://product.hstatic.net/200000428801/product/upload_de8f5483a6f84ac5b3ec839f17380f90.jpg" TargetMode="External"/><Relationship Id="rId1643" Type="http://schemas.openxmlformats.org/officeDocument/2006/relationships/hyperlink" Target="https://product.hstatic.net/200000428801/product/upload_4526a7ec622143d78189597d9fd2c1a4.jpg" TargetMode="External"/><Relationship Id="rId1850" Type="http://schemas.openxmlformats.org/officeDocument/2006/relationships/hyperlink" Target="https://product.hstatic.net/200000428801/product/upload_7f60287250d5497fb33d6c2df900085e.jpg" TargetMode="External"/><Relationship Id="rId2901" Type="http://schemas.openxmlformats.org/officeDocument/2006/relationships/hyperlink" Target="https://product.hstatic.net/200000428801/product/upload_b38f0e9f8def43549878cc7714bdca01.jpg" TargetMode="External"/><Relationship Id="rId1503" Type="http://schemas.openxmlformats.org/officeDocument/2006/relationships/hyperlink" Target="https://product.hstatic.net/200000428801/product/22eb10807741ab1ff250_6cc1f002109c4597b8077c4bfb4b5fea.jpg" TargetMode="External"/><Relationship Id="rId1710" Type="http://schemas.openxmlformats.org/officeDocument/2006/relationships/hyperlink" Target="https://product.hstatic.net/200000428801/product/upload_8b484b516a8a459982eafd2ba57a6c6f.jpg" TargetMode="External"/><Relationship Id="rId3468" Type="http://schemas.openxmlformats.org/officeDocument/2006/relationships/hyperlink" Target="https://product.hstatic.net/200000428801/product/85ff1b479f54447e8a93331865cde6e0_109945a2ec46468c88c2fe9dbcc18a06.png" TargetMode="External"/><Relationship Id="rId3675" Type="http://schemas.openxmlformats.org/officeDocument/2006/relationships/hyperlink" Target="https://product.hstatic.net/200000428801/product/76d00e3489df4c8115ce_d0a842bafcf2485aa3a3c74466933579.jpg" TargetMode="External"/><Relationship Id="rId3882" Type="http://schemas.openxmlformats.org/officeDocument/2006/relationships/hyperlink" Target="https://cdn2-retail-images.kiotviet.vn/2025/10/30/giabaopharma/8e12b31a855f4cd788e0cabaae553b7e.png" TargetMode="External"/><Relationship Id="rId389" Type="http://schemas.openxmlformats.org/officeDocument/2006/relationships/hyperlink" Target="https://product.hstatic.net/200000428801/product/7383fd38e72a4297b176a556fc9903a3_77fb3ed9bc28401fba1d1da1a0a8b94a.png" TargetMode="External"/><Relationship Id="rId596" Type="http://schemas.openxmlformats.org/officeDocument/2006/relationships/hyperlink" Target="https://product.hstatic.net/200000428801/product/upload_bdfbeee2d6834c39a1e10d84d789d0c5.jpg" TargetMode="External"/><Relationship Id="rId2277" Type="http://schemas.openxmlformats.org/officeDocument/2006/relationships/hyperlink" Target="https://product.hstatic.net/200000428801/product/upload_a9a838e0ddef4b3b8d7d0035e13fdc86.jpg" TargetMode="External"/><Relationship Id="rId2484" Type="http://schemas.openxmlformats.org/officeDocument/2006/relationships/hyperlink" Target="https://product.hstatic.net/200000428801/product/upload_ceb93d4d085f4cdca66cdb18f5393ff0.jpg" TargetMode="External"/><Relationship Id="rId2691" Type="http://schemas.openxmlformats.org/officeDocument/2006/relationships/hyperlink" Target="https://product.hstatic.net/200000428801/product/upload_94a6f750549e4a6bbcc5a057ecd6f812.jpg" TargetMode="External"/><Relationship Id="rId3328" Type="http://schemas.openxmlformats.org/officeDocument/2006/relationships/hyperlink" Target="https://product.hstatic.net/200000428801/product/f74aa0f7da97458583b28ac43139522c_d87177403d6c4371b2efadba706f584d.png" TargetMode="External"/><Relationship Id="rId3535" Type="http://schemas.openxmlformats.org/officeDocument/2006/relationships/hyperlink" Target="https://cdn2-retail-images.kiotviet.vn/2025/12/03/giabaopharma/f3bd8d51939c4971ad9c3ec56d822c4a.jpg" TargetMode="External"/><Relationship Id="rId3742" Type="http://schemas.openxmlformats.org/officeDocument/2006/relationships/hyperlink" Target="https://cdn2-retail-images.kiotviet.vn/2026/03/26/giabaopharma/cb7c032e6fe349afa0eda92489b4ad4c.jpg" TargetMode="External"/><Relationship Id="rId249" Type="http://schemas.openxmlformats.org/officeDocument/2006/relationships/hyperlink" Target="https://cdn2-retail-images.kiotviet.vn/giabaopharma/67854895995c4aa1bfb82ad0fa90d890.jpg,https:/cdn2-retail-images.kiotviet.vn/giabaopharma/0cdc0eccab424e2fb27696452c1fa08b.jpg,https:/cdn2-retail-images.kiotviet.vn/giabaopharma/628b19b633544b35977ced5c55a1cf1c.jpg,https:/cdn2-retail-images.kiotviet.vn/giabaopharma/faac8008c08841d387eed20c243c9d7c.jpg,https:/cdn2-retail-images.kiotviet.vn/giabaopharma/1fb0315296bc41d5b6c598477f72970d.jpg" TargetMode="External"/><Relationship Id="rId456" Type="http://schemas.openxmlformats.org/officeDocument/2006/relationships/hyperlink" Target="https://product.hstatic.net/200000428801/product/412a2e3b21dd4b73ae64832bfa38a147_df0f7b579f6a497ebfd58efcf488242a.png" TargetMode="External"/><Relationship Id="rId663" Type="http://schemas.openxmlformats.org/officeDocument/2006/relationships/hyperlink" Target="https://product.hstatic.net/200000428801/product/upload_783fb34c304d4daa81c5051976addc5b.jpg" TargetMode="External"/><Relationship Id="rId870" Type="http://schemas.openxmlformats.org/officeDocument/2006/relationships/hyperlink" Target="https://product.hstatic.net/200000428801/product/upload_3f4316caf5e648aa818456339de38e38.jpg" TargetMode="External"/><Relationship Id="rId1086" Type="http://schemas.openxmlformats.org/officeDocument/2006/relationships/hyperlink" Target="https://product.hstatic.net/200000428801/product/upload_bbc9954b3f314fe4b1592ba86f4e7534.jpg" TargetMode="External"/><Relationship Id="rId1293" Type="http://schemas.openxmlformats.org/officeDocument/2006/relationships/hyperlink" Target="https://product.hstatic.net/200000428801/product/upload_1f0cb03413cd43e49307958e2063c788.jpg" TargetMode="External"/><Relationship Id="rId2137" Type="http://schemas.openxmlformats.org/officeDocument/2006/relationships/hyperlink" Target="https://product.hstatic.net/200000428801/product/upload_bb1d03417e8847efa44ce49addc7e7d6.jpg" TargetMode="External"/><Relationship Id="rId2344" Type="http://schemas.openxmlformats.org/officeDocument/2006/relationships/hyperlink" Target="https://product.hstatic.net/200000428801/product/upload_5b847ff66a2f475a97fe1659172740fd.jpg" TargetMode="External"/><Relationship Id="rId2551" Type="http://schemas.openxmlformats.org/officeDocument/2006/relationships/hyperlink" Target="https://product.hstatic.net/200000428801/product/upload_81aa98de395b4962ab6bad59e558bb68.jpg" TargetMode="External"/><Relationship Id="rId109" Type="http://schemas.openxmlformats.org/officeDocument/2006/relationships/hyperlink" Target="https://cdn2-retail-images.kiotviet.vn/2025/03/31/giabaopharma/81fcfb96c2c748a680991c513c5dad3c.jpg" TargetMode="External"/><Relationship Id="rId316" Type="http://schemas.openxmlformats.org/officeDocument/2006/relationships/hyperlink" Target="https://product.hstatic.net/200000428801/product/upload_41c242bd3b9043ee9680a19a7959fd5a.jpg" TargetMode="External"/><Relationship Id="rId523" Type="http://schemas.openxmlformats.org/officeDocument/2006/relationships/hyperlink" Target="https://product.hstatic.net/200000428801/product/upload_cc79c8dfed37417f84d73e128124977a.jpg" TargetMode="External"/><Relationship Id="rId1153" Type="http://schemas.openxmlformats.org/officeDocument/2006/relationships/hyperlink" Target="https://product.hstatic.net/200000428801/product/upload_f614aa50ed5a41a7af312886a4e2f23c.jpg" TargetMode="External"/><Relationship Id="rId2204" Type="http://schemas.openxmlformats.org/officeDocument/2006/relationships/hyperlink" Target="https://product.hstatic.net/200000428801/product/upload_af5e25cf6a0343d1ac943f5800449382.jpg" TargetMode="External"/><Relationship Id="rId3602" Type="http://schemas.openxmlformats.org/officeDocument/2006/relationships/hyperlink" Target="https://cdn2-retail-images.kiotviet.vn/2025/12/12/giabaopharma/6dc260d9d1e74934b262cf932aa42254.jpg" TargetMode="External"/><Relationship Id="rId730" Type="http://schemas.openxmlformats.org/officeDocument/2006/relationships/hyperlink" Target="https://product.hstatic.net/200000428801/product/upload_1305213056354ca1b2ba88bc35383a1a.jpg" TargetMode="External"/><Relationship Id="rId1013" Type="http://schemas.openxmlformats.org/officeDocument/2006/relationships/hyperlink" Target="https://product.hstatic.net/200000428801/product/upload_2fbd0c44a24f4cdc8a64bd149d3cb9bb.jpg" TargetMode="External"/><Relationship Id="rId1360" Type="http://schemas.openxmlformats.org/officeDocument/2006/relationships/hyperlink" Target="https://product.hstatic.net/200000428801/product/upload_4ae2aef0242a4eed93f34c8de9c5a0a3.jpg" TargetMode="External"/><Relationship Id="rId2411" Type="http://schemas.openxmlformats.org/officeDocument/2006/relationships/hyperlink" Target="https://product.hstatic.net/200000428801/product/upload_e2feea5a028940859ca5706b010eec36.jpg" TargetMode="External"/><Relationship Id="rId1220" Type="http://schemas.openxmlformats.org/officeDocument/2006/relationships/hyperlink" Target="https://product.hstatic.net/200000428801/product/upload_3ba9b6a04a2c430c9992577317c25c9d.jpg" TargetMode="External"/><Relationship Id="rId3185" Type="http://schemas.openxmlformats.org/officeDocument/2006/relationships/hyperlink" Target="https://product.hstatic.net/200000428801/product/fd8ee04f0f084601a161234d92bf02a8_ec1a6200a6e14efc8eb6a5dab63d6941.jpg" TargetMode="External"/><Relationship Id="rId3392" Type="http://schemas.openxmlformats.org/officeDocument/2006/relationships/hyperlink" Target="https://product.hstatic.net/200000428801/product/e921050fca9f4ce9850109aab5665112_01be231fcb4b4c3eb392d7436f31bf29.png" TargetMode="External"/><Relationship Id="rId4029" Type="http://schemas.openxmlformats.org/officeDocument/2006/relationships/hyperlink" Target="https://product.hstatic.net/200000428801/product/zalo_screenshot_18_11_2021_611799_456220f03ef54517a122f773ed3b6281.png" TargetMode="External"/><Relationship Id="rId3045" Type="http://schemas.openxmlformats.org/officeDocument/2006/relationships/hyperlink" Target="https://product.hstatic.net/200000428801/product/upload_7efe9fd20c26458b834272fcfd3573bb.jpg" TargetMode="External"/><Relationship Id="rId3252" Type="http://schemas.openxmlformats.org/officeDocument/2006/relationships/hyperlink" Target="https://product.hstatic.net/200000428801/product/cd159b7e957f4ab7ac7945bccb0e198d_ef297376d593425c9a4fd489990d1ab7.png" TargetMode="External"/><Relationship Id="rId173" Type="http://schemas.openxmlformats.org/officeDocument/2006/relationships/hyperlink" Target="https://cdn-images.kiotviet.vn/2025/05/06/giabaopharma/475d6dc3c4ed4128bdd437bd12ff93b8.jpg" TargetMode="External"/><Relationship Id="rId380" Type="http://schemas.openxmlformats.org/officeDocument/2006/relationships/hyperlink" Target="https://product.hstatic.net/200000428801/product/9ac53e9b9bd2598c00c3_c7082ad52640463290bbdefc5f36bcf6.jpg" TargetMode="External"/><Relationship Id="rId2061" Type="http://schemas.openxmlformats.org/officeDocument/2006/relationships/hyperlink" Target="https://product.hstatic.net/200000428801/product/upload_3951262d263e4543ab5365c867ae7590.jpg" TargetMode="External"/><Relationship Id="rId3112" Type="http://schemas.openxmlformats.org/officeDocument/2006/relationships/hyperlink" Target="https://product.hstatic.net/200000428801/product/ccb5154158694d56bf9f9a7bdaca2a98_fdf924b2c3af4365afcf42ee5a456119.png" TargetMode="External"/><Relationship Id="rId240" Type="http://schemas.openxmlformats.org/officeDocument/2006/relationships/hyperlink" Target="https://cdn2-retail-images.kiotviet.vn/giabaopharma/eb182547dd8c44ccb7e13932d2496569.jpg" TargetMode="External"/><Relationship Id="rId100" Type="http://schemas.openxmlformats.org/officeDocument/2006/relationships/hyperlink" Target="https://cdn2-retail-images.kiotviet.vn/2025/11/22/giabaopharma/8347597feec84118b4013980fbf4ad2c.png" TargetMode="External"/><Relationship Id="rId2878" Type="http://schemas.openxmlformats.org/officeDocument/2006/relationships/hyperlink" Target="https://product.hstatic.net/200000428801/product/upload_cec297c88adb44eb912c58a2ddc09b50.jpg" TargetMode="External"/><Relationship Id="rId3929" Type="http://schemas.openxmlformats.org/officeDocument/2006/relationships/hyperlink" Target="https://product.hstatic.net/200000428801/product/7_b344af46060545d6aa4a8f1c477423d3.png" TargetMode="External"/><Relationship Id="rId1687" Type="http://schemas.openxmlformats.org/officeDocument/2006/relationships/hyperlink" Target="https://product.hstatic.net/200000428801/product/upload_2d2101bb14bd4cc1ae343cd04fed8d23.jpg" TargetMode="External"/><Relationship Id="rId1894" Type="http://schemas.openxmlformats.org/officeDocument/2006/relationships/hyperlink" Target="https://product.hstatic.net/200000428801/product/546_25ec2d5ec5df44aa8d17c8a6a39d6c3a.png" TargetMode="External"/><Relationship Id="rId2738" Type="http://schemas.openxmlformats.org/officeDocument/2006/relationships/hyperlink" Target="https://product.hstatic.net/200000428801/product/upload_b8af8aa071844c91a31c9d24d3e4fdde.jpg" TargetMode="External"/><Relationship Id="rId2945" Type="http://schemas.openxmlformats.org/officeDocument/2006/relationships/hyperlink" Target="https://product.hstatic.net/200000428801/product/349_e87c09f4aeeb4ace928462b01dc8a661.png" TargetMode="External"/><Relationship Id="rId917" Type="http://schemas.openxmlformats.org/officeDocument/2006/relationships/hyperlink" Target="https://product.hstatic.net/200000428801/product/upload_2573561153584e209a4d5549cacf1017.jpg" TargetMode="External"/><Relationship Id="rId1547" Type="http://schemas.openxmlformats.org/officeDocument/2006/relationships/hyperlink" Target="https://product.hstatic.net/200000428801/product/upload_1010fdf249b54d6da8357c0677e75e1b.jpg" TargetMode="External"/><Relationship Id="rId1754" Type="http://schemas.openxmlformats.org/officeDocument/2006/relationships/hyperlink" Target="https://product.hstatic.net/200000428801/product/upload_c4346ca7ae964f77ad3ef5e35e9d30c6.jpg" TargetMode="External"/><Relationship Id="rId1961" Type="http://schemas.openxmlformats.org/officeDocument/2006/relationships/hyperlink" Target="https://product.hstatic.net/200000428801/product/upload_ec40ce2ae3b7494787818dfcc72df5c7.jpg" TargetMode="External"/><Relationship Id="rId2805" Type="http://schemas.openxmlformats.org/officeDocument/2006/relationships/hyperlink" Target="https://product.hstatic.net/200000428801/product/upload_40cb47aaf3b44fe1b153569f8d9f655f.jpg" TargetMode="External"/><Relationship Id="rId46" Type="http://schemas.openxmlformats.org/officeDocument/2006/relationships/hyperlink" Target="https://i.postimg.cc/KvWBt8ry/6f9275f5f5a04ec98b26f8246d8f03d0.jpg" TargetMode="External"/><Relationship Id="rId1407" Type="http://schemas.openxmlformats.org/officeDocument/2006/relationships/hyperlink" Target="https://product.hstatic.net/200000428801/product/upload_df375f20a3794525be46ec1f974f1fa8.jpg" TargetMode="External"/><Relationship Id="rId1614" Type="http://schemas.openxmlformats.org/officeDocument/2006/relationships/hyperlink" Target="https://product.hstatic.net/200000428801/product/upload_0164f1456cff48c9bed2cdaf7d953986.jpg" TargetMode="External"/><Relationship Id="rId1821" Type="http://schemas.openxmlformats.org/officeDocument/2006/relationships/hyperlink" Target="https://product.hstatic.net/200000428801/product/upload_637c9d21921642f28a899aefcec2a30a.jpg" TargetMode="External"/><Relationship Id="rId4020" Type="http://schemas.openxmlformats.org/officeDocument/2006/relationships/hyperlink" Target="https://product.hstatic.net/200000428801/product/thiet_ke_khong_ten__47__8b5c90b4eb7b4240a9280a91d6187b96.png" TargetMode="External"/><Relationship Id="rId3579" Type="http://schemas.openxmlformats.org/officeDocument/2006/relationships/hyperlink" Target="https://product.hstatic.net/200000428801/product/ca0693311b61de3f8770_f736eca905b24ea98c1287f15710b8e8.jpg" TargetMode="External"/><Relationship Id="rId3786" Type="http://schemas.openxmlformats.org/officeDocument/2006/relationships/hyperlink" Target="https://product.hstatic.net/200000428801/product/9c8c108ba4cd64933ddc_0affdbac9ff34ff68c6cbfe6eeeac1c3.jpg" TargetMode="External"/><Relationship Id="rId2388" Type="http://schemas.openxmlformats.org/officeDocument/2006/relationships/hyperlink" Target="https://product.hstatic.net/200000428801/product/upload_5871934a24a84db2be959794afe9cc6b.jpg" TargetMode="External"/><Relationship Id="rId2595" Type="http://schemas.openxmlformats.org/officeDocument/2006/relationships/hyperlink" Target="https://product.hstatic.net/200000428801/product/upload_0cb9ea7d0756474cb6bf021fad72f590.jpg" TargetMode="External"/><Relationship Id="rId3439" Type="http://schemas.openxmlformats.org/officeDocument/2006/relationships/hyperlink" Target="https://product.hstatic.net/200000428801/product/0d3011763d974ef7874bcc0ed33ea5b2_be05a21039874358bb516cf2c4f7dbb3.png" TargetMode="External"/><Relationship Id="rId3993" Type="http://schemas.openxmlformats.org/officeDocument/2006/relationships/hyperlink" Target="https://product.hstatic.net/200000428801/product/zalo_screenshot_18_11_2021_636454_10d59e46ca2944849d9239fb47411edb.png" TargetMode="External"/><Relationship Id="rId567" Type="http://schemas.openxmlformats.org/officeDocument/2006/relationships/hyperlink" Target="https://product.hstatic.net/200000428801/product/upload_faba2f02f84d4b80b630814c196c5215.jpg" TargetMode="External"/><Relationship Id="rId1197" Type="http://schemas.openxmlformats.org/officeDocument/2006/relationships/hyperlink" Target="https://product.hstatic.net/200000428801/product/79_b35ae71769914a52aadd7818ab828d6f.png" TargetMode="External"/><Relationship Id="rId2248" Type="http://schemas.openxmlformats.org/officeDocument/2006/relationships/hyperlink" Target="https://product.hstatic.net/200000428801/product/upload_e8e0f8f89bc44be697b7e4e4f7ab1995.jpg" TargetMode="External"/><Relationship Id="rId3646" Type="http://schemas.openxmlformats.org/officeDocument/2006/relationships/hyperlink" Target="https://cdn2-retail-images.kiotviet.vn/2025/10/22/giabaopharma/7eaab12ab93f46d98b573f8d95058372.jpg" TargetMode="External"/><Relationship Id="rId3853" Type="http://schemas.openxmlformats.org/officeDocument/2006/relationships/hyperlink" Target="https://product.hstatic.net/200000428801/product/522cf5b2732ebd70e43f_925cbc0413544ce1814511ec167fde00.jpg" TargetMode="External"/><Relationship Id="rId774" Type="http://schemas.openxmlformats.org/officeDocument/2006/relationships/hyperlink" Target="https://product.hstatic.net/200000428801/product/upload_a138690299e24cbca15314bfcc427655.jpg" TargetMode="External"/><Relationship Id="rId981" Type="http://schemas.openxmlformats.org/officeDocument/2006/relationships/hyperlink" Target="https://product.hstatic.net/200000428801/product/upload_90a6df01c8be44079aa2bd805d6a3ff6.jpg" TargetMode="External"/><Relationship Id="rId1057" Type="http://schemas.openxmlformats.org/officeDocument/2006/relationships/hyperlink" Target="https://product.hstatic.net/200000428801/product/upload_51463744382e46479f7e460e9f631fc1.jpg" TargetMode="External"/><Relationship Id="rId2455" Type="http://schemas.openxmlformats.org/officeDocument/2006/relationships/hyperlink" Target="https://product.hstatic.net/200000428801/product/upload_b7e25aed93a54185af2d5b502168bfb8.jpg" TargetMode="External"/><Relationship Id="rId2662" Type="http://schemas.openxmlformats.org/officeDocument/2006/relationships/hyperlink" Target="https://product.hstatic.net/200000428801/product/upload_af87c34906934081992e460daa1ccf8c.jpg" TargetMode="External"/><Relationship Id="rId3506" Type="http://schemas.openxmlformats.org/officeDocument/2006/relationships/hyperlink" Target="https://product.hstatic.net/200000428801/product/182b7317ad784b8086e4056b2189114a_30576f92aa024d9a9bddbe6dc86396cc.png" TargetMode="External"/><Relationship Id="rId3713" Type="http://schemas.openxmlformats.org/officeDocument/2006/relationships/hyperlink" Target="https://cdn2-retail-images.kiotviet.vn/2025/10/23/giabaopharma/3b06bec375de4279b8951608dc440812.jpg" TargetMode="External"/><Relationship Id="rId3920" Type="http://schemas.openxmlformats.org/officeDocument/2006/relationships/hyperlink" Target="https://product.hstatic.net/200000428801/product/cccc_3fec4336b2ae4185b5d3dd21ae77c36e.jpg" TargetMode="External"/><Relationship Id="rId427" Type="http://schemas.openxmlformats.org/officeDocument/2006/relationships/hyperlink" Target="https://product.hstatic.net/200000428801/product/upload_e50cc05c202a48cb9ea3d6872aff4a35.jpg" TargetMode="External"/><Relationship Id="rId634" Type="http://schemas.openxmlformats.org/officeDocument/2006/relationships/hyperlink" Target="https://product.hstatic.net/200000428801/product/upload_d9d4aa9f1cdb47ef845ca06b88e80610.jpg" TargetMode="External"/><Relationship Id="rId841" Type="http://schemas.openxmlformats.org/officeDocument/2006/relationships/hyperlink" Target="https://product.hstatic.net/200000428801/product/upload_431e7e7f8f734f308a2a84012075ae7e.jpg" TargetMode="External"/><Relationship Id="rId1264" Type="http://schemas.openxmlformats.org/officeDocument/2006/relationships/hyperlink" Target="https://product.hstatic.net/200000428801/product/upload_f5b98fa122ee4951a6418c8c30dd25e2.jpg" TargetMode="External"/><Relationship Id="rId1471" Type="http://schemas.openxmlformats.org/officeDocument/2006/relationships/hyperlink" Target="https://product.hstatic.net/200000428801/product/upload_fabc4455bc6046bf95a9a1c89122eed4.jpg" TargetMode="External"/><Relationship Id="rId2108" Type="http://schemas.openxmlformats.org/officeDocument/2006/relationships/hyperlink" Target="https://product.hstatic.net/200000428801/product/upload_123f2308e302485fb96dd364d709755b.jpg" TargetMode="External"/><Relationship Id="rId2315" Type="http://schemas.openxmlformats.org/officeDocument/2006/relationships/hyperlink" Target="https://product.hstatic.net/200000428801/product/475_912beb8fc7fe4c82bb294dc1c969e97a.png" TargetMode="External"/><Relationship Id="rId2522" Type="http://schemas.openxmlformats.org/officeDocument/2006/relationships/hyperlink" Target="https://product.hstatic.net/200000428801/product/upload_0af77396cc02461e9d8c342c4da8f8d9.jpg" TargetMode="External"/><Relationship Id="rId701" Type="http://schemas.openxmlformats.org/officeDocument/2006/relationships/hyperlink" Target="https://product.hstatic.net/200000428801/product/upload_d25d5ebde65c4274b83bee3c72a509b1.jpg" TargetMode="External"/><Relationship Id="rId1124" Type="http://schemas.openxmlformats.org/officeDocument/2006/relationships/hyperlink" Target="https://product.hstatic.net/200000428801/product/upload_b60e1dfd54e246f0b6cddb1b9dc568de.jpg" TargetMode="External"/><Relationship Id="rId1331" Type="http://schemas.openxmlformats.org/officeDocument/2006/relationships/hyperlink" Target="https://product.hstatic.net/200000428801/product/upload_6203689c01fc48368624f024059bafb2.jpg" TargetMode="External"/><Relationship Id="rId3089" Type="http://schemas.openxmlformats.org/officeDocument/2006/relationships/hyperlink" Target="https://product.hstatic.net/200000428801/product/26c4831f52c04575b7e8dfd7c483e4a9_96d787f470e14ff9a23bb7ebcbb2e4d0.png" TargetMode="External"/><Relationship Id="rId3296" Type="http://schemas.openxmlformats.org/officeDocument/2006/relationships/hyperlink" Target="https://product.hstatic.net/200000428801/product/71cdfe043b0e46a7a8d07829a12a496f_7a736242eb264c6ca7bac1220b96fec3.png" TargetMode="External"/><Relationship Id="rId3156" Type="http://schemas.openxmlformats.org/officeDocument/2006/relationships/hyperlink" Target="https://product.hstatic.net/200000428801/product/6af85b2e866648de8527facb5d7a4425_fddfb26694964abab2c42537a2178970.jpg" TargetMode="External"/><Relationship Id="rId3363" Type="http://schemas.openxmlformats.org/officeDocument/2006/relationships/hyperlink" Target="https://product.hstatic.net/200000428801/product/45b1d92417ac45b6be3d08ee0b2d3b2e_e2a940fce4ec4494be17b7219b9ce67c.png" TargetMode="External"/><Relationship Id="rId284" Type="http://schemas.openxmlformats.org/officeDocument/2006/relationships/hyperlink" Target="https://cdn2-retail-images.kiotviet.vn/giabaopharma/9a513fa7fa68456fa5b136cf3333ca32.jpg" TargetMode="External"/><Relationship Id="rId491" Type="http://schemas.openxmlformats.org/officeDocument/2006/relationships/hyperlink" Target="https://product.hstatic.net/200000428801/product/upload_3d83060c678b4ab3933925cd1c22f550.jpg" TargetMode="External"/><Relationship Id="rId2172" Type="http://schemas.openxmlformats.org/officeDocument/2006/relationships/hyperlink" Target="https://product.hstatic.net/200000428801/product/upload_0fa0399a5d3444b28bc0f833af498070.jpg" TargetMode="External"/><Relationship Id="rId3016" Type="http://schemas.openxmlformats.org/officeDocument/2006/relationships/hyperlink" Target="https://product.hstatic.net/200000428801/product/upload_711c2409c9e741bdabfe8a3b03808e1f.jpg" TargetMode="External"/><Relationship Id="rId3223" Type="http://schemas.openxmlformats.org/officeDocument/2006/relationships/hyperlink" Target="https://product.hstatic.net/200000428801/product/4b9f0c1dea0f4cc181eb9fa52d8cfab3_761039e84fd849d2b2471043881b3a86.png" TargetMode="External"/><Relationship Id="rId3570" Type="http://schemas.openxmlformats.org/officeDocument/2006/relationships/hyperlink" Target="https://product.hstatic.net/200000428801/product/zalo_screenshot_19_11_2021_639360_58de639c7a1f48f5b9e9787c00bf9f09.png" TargetMode="External"/><Relationship Id="rId144" Type="http://schemas.openxmlformats.org/officeDocument/2006/relationships/hyperlink" Target="https://cdn2-retail-images.kiotviet.vn/2025/02/28/giabaopharma/d3890c9b0c1d45169962473d64d1abb2.jpg" TargetMode="External"/><Relationship Id="rId3430" Type="http://schemas.openxmlformats.org/officeDocument/2006/relationships/hyperlink" Target="https://product.hstatic.net/200000428801/product/9f3a07aed57c437086f6c867fbcc7504_acefcfe0783c457f986d9abc71f67dfd.png" TargetMode="External"/><Relationship Id="rId351" Type="http://schemas.openxmlformats.org/officeDocument/2006/relationships/hyperlink" Target="https://product.hstatic.net/200000428801/product/upload_31b880161f56492b84c825e23ccc9b6f.jpg" TargetMode="External"/><Relationship Id="rId2032" Type="http://schemas.openxmlformats.org/officeDocument/2006/relationships/hyperlink" Target="https://product.hstatic.net/200000428801/product/upload_58e4ae1a35c242099884ab380ce4b27b.jpg" TargetMode="External"/><Relationship Id="rId2989" Type="http://schemas.openxmlformats.org/officeDocument/2006/relationships/hyperlink" Target="https://product.hstatic.net/200000428801/product/341_da7e143ffc3745528bd7b499a5381cd5.png" TargetMode="External"/><Relationship Id="rId211" Type="http://schemas.openxmlformats.org/officeDocument/2006/relationships/hyperlink" Target="https://cdn2-retail-images.kiotviet.vn/giabaopharma/defa2b9761d44237816a3e41e492a92b.jpg" TargetMode="External"/><Relationship Id="rId1798" Type="http://schemas.openxmlformats.org/officeDocument/2006/relationships/hyperlink" Target="https://product.hstatic.net/200000428801/product/upload_98cbb43141b74fb0a93b690a20c01f44.jpg" TargetMode="External"/><Relationship Id="rId2849" Type="http://schemas.openxmlformats.org/officeDocument/2006/relationships/hyperlink" Target="https://product.hstatic.net/200000428801/product/upload_45a754737d0148ffba2d3edc3dc4a07f.jpg" TargetMode="External"/><Relationship Id="rId1658" Type="http://schemas.openxmlformats.org/officeDocument/2006/relationships/hyperlink" Target="https://product.hstatic.net/200000428801/product/11_7d0f9764304f465196828e320b6bda08.png" TargetMode="External"/><Relationship Id="rId1865" Type="http://schemas.openxmlformats.org/officeDocument/2006/relationships/hyperlink" Target="https://product.hstatic.net/200000428801/product/upload_f1034601e46f416d8dbc317652b6981e.jpg" TargetMode="External"/><Relationship Id="rId2709" Type="http://schemas.openxmlformats.org/officeDocument/2006/relationships/hyperlink" Target="https://product.hstatic.net/200000428801/product/upload_ade5c29edc914bc5af2379f19fba50e6.jpg" TargetMode="External"/><Relationship Id="rId1518" Type="http://schemas.openxmlformats.org/officeDocument/2006/relationships/hyperlink" Target="https://product.hstatic.net/200000428801/product/upload_39f3077d1fe34196a6b589840afee0e8.jpg" TargetMode="External"/><Relationship Id="rId2916" Type="http://schemas.openxmlformats.org/officeDocument/2006/relationships/hyperlink" Target="https://product.hstatic.net/200000428801/product/upload_4c20ccc2c7084e2ea389a28301a82b27.jpg" TargetMode="External"/><Relationship Id="rId3080" Type="http://schemas.openxmlformats.org/officeDocument/2006/relationships/hyperlink" Target="https://product.hstatic.net/200000428801/product/b446aa5fe9114437b19cfb92cd22146e_5898fffb7da24dbfbbb2470d89218531.png" TargetMode="External"/><Relationship Id="rId1725" Type="http://schemas.openxmlformats.org/officeDocument/2006/relationships/hyperlink" Target="https://product.hstatic.net/200000428801/product/upload_873a596967c74d259f12c47b492e8747.jpg" TargetMode="External"/><Relationship Id="rId1932" Type="http://schemas.openxmlformats.org/officeDocument/2006/relationships/hyperlink" Target="https://product.hstatic.net/200000428801/product/534_746b1f64a21b4952aa3f64c3e921e2e1.png" TargetMode="External"/><Relationship Id="rId17" Type="http://schemas.openxmlformats.org/officeDocument/2006/relationships/hyperlink" Target="https://cdn1-retail-images.kiotviet.vn/2026/01/07/giabaopharma/831a02e182734cc3b25b9fccf7edd564.jpg" TargetMode="External"/><Relationship Id="rId3897" Type="http://schemas.openxmlformats.org/officeDocument/2006/relationships/hyperlink" Target="https://product.hstatic.net/200000428801/product/zalo_screenshot_18_11_2021_722613_5e64c2ae9de849e4a0fd430c54d392f9.png" TargetMode="External"/><Relationship Id="rId2499" Type="http://schemas.openxmlformats.org/officeDocument/2006/relationships/hyperlink" Target="https://product.hstatic.net/200000428801/product/upload_072ffebb30f747b8893f437e6570765f.jpg" TargetMode="External"/><Relationship Id="rId3757" Type="http://schemas.openxmlformats.org/officeDocument/2006/relationships/hyperlink" Target="https://product.hstatic.net/200000428801/product/2c3d8ba58212414c1803_5eb621aa4005436bb239276d2a8785e7.jpg" TargetMode="External"/><Relationship Id="rId3964" Type="http://schemas.openxmlformats.org/officeDocument/2006/relationships/hyperlink" Target="https://cdn2-retail-images.kiotviet.vn/2025/12/09/giabaopharma/40f9dd1991774b6abef6003954c76c5c.jpg" TargetMode="External"/><Relationship Id="rId1" Type="http://schemas.openxmlformats.org/officeDocument/2006/relationships/hyperlink" Target="https://cdn2-retail-images.kiotviet.vn/2026/03/31/giabaopharma/eddf4fe23d9542c4a3795556878f55d2.jpg" TargetMode="External"/><Relationship Id="rId678" Type="http://schemas.openxmlformats.org/officeDocument/2006/relationships/hyperlink" Target="https://product.hstatic.net/200000428801/product/upload_64d8421ac3524ba199c08142dc9b4571.jpg" TargetMode="External"/><Relationship Id="rId885" Type="http://schemas.openxmlformats.org/officeDocument/2006/relationships/hyperlink" Target="https://product.hstatic.net/200000428801/product/upload_8549dafe255340dd9e9f908222b7fc23.jpg" TargetMode="External"/><Relationship Id="rId2359" Type="http://schemas.openxmlformats.org/officeDocument/2006/relationships/hyperlink" Target="https://product.hstatic.net/200000428801/product/e9833ed6522a4fe6a66e3739cbc6ddb9_adb0ee41577b4eb7890686a725cd8f86.png" TargetMode="External"/><Relationship Id="rId2566" Type="http://schemas.openxmlformats.org/officeDocument/2006/relationships/hyperlink" Target="https://product.hstatic.net/200000428801/product/upload_c73dad26380345a88995b623ff23c42e.jpg" TargetMode="External"/><Relationship Id="rId2773" Type="http://schemas.openxmlformats.org/officeDocument/2006/relationships/hyperlink" Target="https://product.hstatic.net/200000428801/product/upload_b977acded8a1434988c51ba2c03e65b5.jpg" TargetMode="External"/><Relationship Id="rId2980" Type="http://schemas.openxmlformats.org/officeDocument/2006/relationships/hyperlink" Target="https://product.hstatic.net/200000428801/product/upload_d8ce8fa2c25c4f25a59b3a7f687704d9.jpg" TargetMode="External"/><Relationship Id="rId3617" Type="http://schemas.openxmlformats.org/officeDocument/2006/relationships/hyperlink" Target="https://product.hstatic.net/200000428801/product/thiet_ke_khong_ten__21__79b7797e6d484b8c996dee05c6c88a5d.png" TargetMode="External"/><Relationship Id="rId3824" Type="http://schemas.openxmlformats.org/officeDocument/2006/relationships/hyperlink" Target="https://product.hstatic.net/200000428801/product/zalo_screenshot_18_11_2021_757109_45a4109c20b74337b7fa2cf2a932c4ce.png" TargetMode="External"/><Relationship Id="rId538" Type="http://schemas.openxmlformats.org/officeDocument/2006/relationships/hyperlink" Target="https://product.hstatic.net/200000428801/product/upload_74b05d945e1047e8a90b1000f4b21186.jpg" TargetMode="External"/><Relationship Id="rId745" Type="http://schemas.openxmlformats.org/officeDocument/2006/relationships/hyperlink" Target="https://product.hstatic.net/200000428801/product/upload_e260e520d1cd477bbd2e98b60019fdb8.jpg" TargetMode="External"/><Relationship Id="rId952" Type="http://schemas.openxmlformats.org/officeDocument/2006/relationships/hyperlink" Target="https://product.hstatic.net/200000428801/product/98_64d9eeea69aa467f814397b2b425e1c1.png" TargetMode="External"/><Relationship Id="rId1168" Type="http://schemas.openxmlformats.org/officeDocument/2006/relationships/hyperlink" Target="https://product.hstatic.net/200000428801/product/upload_1066f74b3e814e6689842b6f418d34a0.jpg" TargetMode="External"/><Relationship Id="rId1375" Type="http://schemas.openxmlformats.org/officeDocument/2006/relationships/hyperlink" Target="https://product.hstatic.net/200000428801/product/upload_956f3381b15a4c82b008a313ece7f95e.jpg" TargetMode="External"/><Relationship Id="rId1582" Type="http://schemas.openxmlformats.org/officeDocument/2006/relationships/hyperlink" Target="https://product.hstatic.net/200000428801/product/upload_4f43494d433240bea2c6246e0e83d7b6.jpg" TargetMode="External"/><Relationship Id="rId2219" Type="http://schemas.openxmlformats.org/officeDocument/2006/relationships/hyperlink" Target="https://product.hstatic.net/200000428801/product/upload_1adda3d0a1fd404a969308ae6b43adc5.jpg" TargetMode="External"/><Relationship Id="rId2426" Type="http://schemas.openxmlformats.org/officeDocument/2006/relationships/hyperlink" Target="https://product.hstatic.net/200000428801/product/upload_97833f2863954834a18768959edc812e.jpg" TargetMode="External"/><Relationship Id="rId2633" Type="http://schemas.openxmlformats.org/officeDocument/2006/relationships/hyperlink" Target="https://product.hstatic.net/200000428801/product/upload_0f10dbbb97914caa9853aee4d225e958.jpg" TargetMode="External"/><Relationship Id="rId81" Type="http://schemas.openxmlformats.org/officeDocument/2006/relationships/hyperlink" Target="https://i.postimg.cc/G2Sh6HpT/4a91ffb1d57745fdbf1cb12079f71d5f.jpg" TargetMode="External"/><Relationship Id="rId605" Type="http://schemas.openxmlformats.org/officeDocument/2006/relationships/hyperlink" Target="https://product.hstatic.net/200000428801/product/upload_9fbd5ce5332c458397e0d34822c602cb.jpg" TargetMode="External"/><Relationship Id="rId812" Type="http://schemas.openxmlformats.org/officeDocument/2006/relationships/hyperlink" Target="https://product.hstatic.net/200000428801/product/upload_2dc3273d22694af1a5a621ecc60f6d1c.jpg" TargetMode="External"/><Relationship Id="rId1028" Type="http://schemas.openxmlformats.org/officeDocument/2006/relationships/hyperlink" Target="https://product.hstatic.net/200000428801/product/upload_f89738c2f14d470d963ec5bb61126836.jpg" TargetMode="External"/><Relationship Id="rId1235" Type="http://schemas.openxmlformats.org/officeDocument/2006/relationships/hyperlink" Target="https://product.hstatic.net/200000428801/product/489a28f1d41d419d96d283197d98ac70_0ccc2e0b32ce4c49aa6e8b65bdb826ac.png" TargetMode="External"/><Relationship Id="rId1442" Type="http://schemas.openxmlformats.org/officeDocument/2006/relationships/hyperlink" Target="https://product.hstatic.net/200000428801/product/upload_c94883dc178c43bd9d0e11be0c8473c3.jpg" TargetMode="External"/><Relationship Id="rId2840" Type="http://schemas.openxmlformats.org/officeDocument/2006/relationships/hyperlink" Target="https://product.hstatic.net/200000428801/product/upload_a7bcbbd51045412aa92f3124c5d07ed6.jpg" TargetMode="External"/><Relationship Id="rId1302" Type="http://schemas.openxmlformats.org/officeDocument/2006/relationships/hyperlink" Target="https://product.hstatic.net/200000428801/product/upload_e4e2a99b17f14d86a579180fd10465d2.jpg" TargetMode="External"/><Relationship Id="rId2700" Type="http://schemas.openxmlformats.org/officeDocument/2006/relationships/hyperlink" Target="https://product.hstatic.net/200000428801/product/upload_91fcdf13122043778369f680c02194e1.jpg" TargetMode="External"/><Relationship Id="rId3267" Type="http://schemas.openxmlformats.org/officeDocument/2006/relationships/hyperlink" Target="https://product.hstatic.net/200000428801/product/ebbb568624314d31b6a15ee1c9285d7b_5a7b1d5ff1174d19919d7413cccf69b5.png" TargetMode="External"/><Relationship Id="rId188" Type="http://schemas.openxmlformats.org/officeDocument/2006/relationships/hyperlink" Target="https://cdn2-retail-images.kiotviet.vn/2025/10/23/giabaopharma/52b7c4aa931a4587a58416b0e0c02f93.jpg" TargetMode="External"/><Relationship Id="rId395" Type="http://schemas.openxmlformats.org/officeDocument/2006/relationships/hyperlink" Target="https://product.hstatic.net/200000428801/product/2e0a0cc022e04d4482cc2259a754f484_1cf9a75e255e43c0a8eaa35d3923b3c8.png" TargetMode="External"/><Relationship Id="rId2076" Type="http://schemas.openxmlformats.org/officeDocument/2006/relationships/hyperlink" Target="https://product.hstatic.net/200000428801/product/upload_b839352f72e747a580378ff59b92f2a1.jpg" TargetMode="External"/><Relationship Id="rId3474" Type="http://schemas.openxmlformats.org/officeDocument/2006/relationships/hyperlink" Target="https://product.hstatic.net/200000428801/product/dc7e423d9a8f4a1085a18316cc5cbf63_87139bf99bb24ae591d87a2ed3333485.png" TargetMode="External"/><Relationship Id="rId3681" Type="http://schemas.openxmlformats.org/officeDocument/2006/relationships/hyperlink" Target="https://cdn2-retail-images.kiotviet.vn/2025/10/30/giabaopharma/1093e73ec9c243f2b5419a8d14cbb908.png" TargetMode="External"/><Relationship Id="rId2283" Type="http://schemas.openxmlformats.org/officeDocument/2006/relationships/hyperlink" Target="https://product.hstatic.net/200000428801/product/upload_5b2211e701664d16a1f2c2f14046d90c.jpg" TargetMode="External"/><Relationship Id="rId2490" Type="http://schemas.openxmlformats.org/officeDocument/2006/relationships/hyperlink" Target="https://product.hstatic.net/200000428801/product/upload_874442f117ed425497e53e5ea4a43e7c.jpg" TargetMode="External"/><Relationship Id="rId3127" Type="http://schemas.openxmlformats.org/officeDocument/2006/relationships/hyperlink" Target="https://product.hstatic.net/200000428801/product/7fe13ffc2c8a47f5a576ec0287f58656_dc36f865029c4ded8b441da04961e6a0.png" TargetMode="External"/><Relationship Id="rId3334" Type="http://schemas.openxmlformats.org/officeDocument/2006/relationships/hyperlink" Target="https://product.hstatic.net/200000428801/product/d6e0be620c0147e5997542c9bd227df7_3f5122456cba4a85b84a68f1fc13fc5f.png" TargetMode="External"/><Relationship Id="rId3541" Type="http://schemas.openxmlformats.org/officeDocument/2006/relationships/hyperlink" Target="https://product.hstatic.net/200000428801/product/8b4e328427eee4b0bdff_e136bbc6291c45139ea80e59d0481d9c.jpg" TargetMode="External"/><Relationship Id="rId255" Type="http://schemas.openxmlformats.org/officeDocument/2006/relationships/hyperlink" Target="https://cdn-images.kiotviet.vn/giabaopharma/a61e21849c054f88920c1898cfb2637d.png,https:/cdn-images.kiotviet.vn/giabaopharma/deb44c06f5264c51bf89a25001bf6ef2.png,https:/cdn2-retail-images.kiotviet.vn/2025/10/06/giabaopharma/00e4305357ad47919d97d7ec9dca255d.jpg,https:/cdn2-retail-images.kiotviet.vn/2025/10/06/giabaopharma/c0993ec868f946bd9eaa8efde5112f72.jpg" TargetMode="External"/><Relationship Id="rId462" Type="http://schemas.openxmlformats.org/officeDocument/2006/relationships/hyperlink" Target="https://product.hstatic.net/200000428801/product/f1afe7e11fd04cceb82898656f9b6f96_05b3391da2a542609530bba8fca64dd3.jpg" TargetMode="External"/><Relationship Id="rId1092" Type="http://schemas.openxmlformats.org/officeDocument/2006/relationships/hyperlink" Target="https://product.hstatic.net/200000428801/product/upload_e28e32fb0eab4894bbd93e38d0717fee.jpg" TargetMode="External"/><Relationship Id="rId2143" Type="http://schemas.openxmlformats.org/officeDocument/2006/relationships/hyperlink" Target="https://cdn1-retail-images.kiotviet.vn/2026/03/10/giabaopharma/eb5e648206a547fb8bd1f7a3804da68e.jpg" TargetMode="External"/><Relationship Id="rId2350" Type="http://schemas.openxmlformats.org/officeDocument/2006/relationships/hyperlink" Target="https://product.hstatic.net/200000428801/product/upload_642224599bd74781832672a890dd85c8.jpg" TargetMode="External"/><Relationship Id="rId3401" Type="http://schemas.openxmlformats.org/officeDocument/2006/relationships/hyperlink" Target="https://product.hstatic.net/200000428801/product/f3217e5fa41641fd848ac0bba599d245_9af94b9c5ae1439883be14c96a8a79a5.png" TargetMode="External"/><Relationship Id="rId115" Type="http://schemas.openxmlformats.org/officeDocument/2006/relationships/hyperlink" Target="https://cdn2-retail-images.kiotviet.vn/2025/03/24/giabaopharma/b69d241839d54bf49c84411b330af984.jpg" TargetMode="External"/><Relationship Id="rId322" Type="http://schemas.openxmlformats.org/officeDocument/2006/relationships/hyperlink" Target="https://cdn2-retail-images.kiotviet.vn/giabaopharma/b39b5de49872415b9e5c90ef388a672d.jpg" TargetMode="External"/><Relationship Id="rId2003" Type="http://schemas.openxmlformats.org/officeDocument/2006/relationships/hyperlink" Target="https://product.hstatic.net/200000428801/product/upload_ffa0ebf53fa746fda6e7a4cb37e741df.jpg" TargetMode="External"/><Relationship Id="rId2210" Type="http://schemas.openxmlformats.org/officeDocument/2006/relationships/hyperlink" Target="https://product.hstatic.net/200000428801/product/upload_d82e942dc7ee467dbd4166a6faa37ad5.jpg" TargetMode="External"/><Relationship Id="rId1769" Type="http://schemas.openxmlformats.org/officeDocument/2006/relationships/hyperlink" Target="https://product.hstatic.net/200000428801/product/upload_b81a7c8a30c1450fafeb0f9773875440.jpg" TargetMode="External"/><Relationship Id="rId1976" Type="http://schemas.openxmlformats.org/officeDocument/2006/relationships/hyperlink" Target="https://product.hstatic.net/200000428801/product/upload_658f6983da234a9eb72b3bad6aa11fe4.jpg" TargetMode="External"/><Relationship Id="rId3191" Type="http://schemas.openxmlformats.org/officeDocument/2006/relationships/hyperlink" Target="https://product.hstatic.net/200000428801/product/d14d545934384838af308b41ca620e70_94960da7408143398bb8cf40ffb6f2fb.png" TargetMode="External"/><Relationship Id="rId4035" Type="http://schemas.openxmlformats.org/officeDocument/2006/relationships/hyperlink" Target="https://product.hstatic.net/200000428801/product/ce00b8542ffeeea0b7ef_4a1a37df3322434db530e8f3f734f687.jpg" TargetMode="External"/><Relationship Id="rId1629" Type="http://schemas.openxmlformats.org/officeDocument/2006/relationships/hyperlink" Target="https://product.hstatic.net/200000428801/product/upload_3a72f9633498490c9c92088fb394db0e.jpg" TargetMode="External"/><Relationship Id="rId1836" Type="http://schemas.openxmlformats.org/officeDocument/2006/relationships/hyperlink" Target="https://product.hstatic.net/200000428801/product/upload_e634481c1b51457cbea3853a1c9c2a7c.jpg" TargetMode="External"/><Relationship Id="rId1903" Type="http://schemas.openxmlformats.org/officeDocument/2006/relationships/hyperlink" Target="https://product.hstatic.net/200000428801/product/upload_cd034da5345141ecaee246b3d28c3e55.jpg" TargetMode="External"/><Relationship Id="rId3051" Type="http://schemas.openxmlformats.org/officeDocument/2006/relationships/hyperlink" Target="https://product.hstatic.net/200000428801/product/upload_f7ca2f303a834c1085ee60a8d0b98657.jpg" TargetMode="External"/><Relationship Id="rId3868" Type="http://schemas.openxmlformats.org/officeDocument/2006/relationships/hyperlink" Target="https://cdn2-retail-images.kiotviet.vn/2025/10/30/giabaopharma/d6549fc2f87b4ba1b8ac481e9b6c2710.png" TargetMode="External"/><Relationship Id="rId789" Type="http://schemas.openxmlformats.org/officeDocument/2006/relationships/hyperlink" Target="https://product.hstatic.net/200000428801/product/upload_b8a74ac96fd5498d8f9f1400647d39d3.jpg" TargetMode="External"/><Relationship Id="rId996" Type="http://schemas.openxmlformats.org/officeDocument/2006/relationships/hyperlink" Target="https://product.hstatic.net/200000428801/product/e74ef8432ad84c63958e18a168e9593f_b01f197ae90549848c6fe940d445a361.png" TargetMode="External"/><Relationship Id="rId2677" Type="http://schemas.openxmlformats.org/officeDocument/2006/relationships/hyperlink" Target="https://product.hstatic.net/200000428801/product/upload_93d52335e86f4757b56b10552b20634a.jpg" TargetMode="External"/><Relationship Id="rId2884" Type="http://schemas.openxmlformats.org/officeDocument/2006/relationships/hyperlink" Target="https://product.hstatic.net/200000428801/product/upload_2264131d7ef445d2bb1477dba4949ecc.jpg" TargetMode="External"/><Relationship Id="rId3728" Type="http://schemas.openxmlformats.org/officeDocument/2006/relationships/hyperlink" Target="https://product.hstatic.net/200000428801/product/zalo_screenshot_18_11_2021_830488_4a78d03990c34d8aae33b5843cfcdda8.png" TargetMode="External"/><Relationship Id="rId649" Type="http://schemas.openxmlformats.org/officeDocument/2006/relationships/hyperlink" Target="https://product.hstatic.net/200000428801/product/117_41735ac04d704e25bc584c73388fa37e.png" TargetMode="External"/><Relationship Id="rId856" Type="http://schemas.openxmlformats.org/officeDocument/2006/relationships/hyperlink" Target="https://product.hstatic.net/200000428801/product/upload_168a0f0122224a118267683c69f6b3c0.jpg" TargetMode="External"/><Relationship Id="rId1279" Type="http://schemas.openxmlformats.org/officeDocument/2006/relationships/hyperlink" Target="https://product.hstatic.net/200000428801/product/upload_4e2a83ae2c254bb2860cff02f8adbf5c.jpg" TargetMode="External"/><Relationship Id="rId1486" Type="http://schemas.openxmlformats.org/officeDocument/2006/relationships/hyperlink" Target="https://product.hstatic.net/200000428801/product/upload_b1d4ed8bb92343e58490692cc845b409.jpg" TargetMode="External"/><Relationship Id="rId2537" Type="http://schemas.openxmlformats.org/officeDocument/2006/relationships/hyperlink" Target="https://product.hstatic.net/200000428801/product/upload_325942755ab64dc3b306eb7e19bc324d.jpg" TargetMode="External"/><Relationship Id="rId3935" Type="http://schemas.openxmlformats.org/officeDocument/2006/relationships/hyperlink" Target="https://product.hstatic.net/200000428801/product/168b7939da22107c4933_48c1b27f285247fcbbe0be6242ebde03.jpg" TargetMode="External"/><Relationship Id="rId509" Type="http://schemas.openxmlformats.org/officeDocument/2006/relationships/hyperlink" Target="https://product.hstatic.net/200000428801/product/upload_e4850c374bd344eebb6561fa4e428c43.jpg" TargetMode="External"/><Relationship Id="rId1139" Type="http://schemas.openxmlformats.org/officeDocument/2006/relationships/hyperlink" Target="https://product.hstatic.net/200000428801/product/upload_8a59fcd002bf46d283406b9a81f29f54.jpg" TargetMode="External"/><Relationship Id="rId1346" Type="http://schemas.openxmlformats.org/officeDocument/2006/relationships/hyperlink" Target="https://product.hstatic.net/200000428801/product/upload_d8fad0bc4e3146c48f55e5b465ce9303.jpg" TargetMode="External"/><Relationship Id="rId1693" Type="http://schemas.openxmlformats.org/officeDocument/2006/relationships/hyperlink" Target="https://product.hstatic.net/200000428801/product/upload_0f2a01879f1d446b8820981841ba1343.jpg" TargetMode="External"/><Relationship Id="rId2744" Type="http://schemas.openxmlformats.org/officeDocument/2006/relationships/hyperlink" Target="https://product.hstatic.net/200000428801/product/upload_01ef99c20fb74be1811bbfeda07b9849.jpg" TargetMode="External"/><Relationship Id="rId2951" Type="http://schemas.openxmlformats.org/officeDocument/2006/relationships/hyperlink" Target="https://product.hstatic.net/200000428801/product/342_ca84074ee55748a3836f0014ea1ce9c3.png" TargetMode="External"/><Relationship Id="rId716" Type="http://schemas.openxmlformats.org/officeDocument/2006/relationships/hyperlink" Target="https://product.hstatic.net/200000428801/product/upload_02b70719086743b082468788d2d2fd84.jpg" TargetMode="External"/><Relationship Id="rId923" Type="http://schemas.openxmlformats.org/officeDocument/2006/relationships/hyperlink" Target="https://product.hstatic.net/200000428801/product/upload_ef47cee2172d40b7b42eaf5a7967d18c.jpg" TargetMode="External"/><Relationship Id="rId1553" Type="http://schemas.openxmlformats.org/officeDocument/2006/relationships/hyperlink" Target="https://product.hstatic.net/200000428801/product/upload_2135913152eb419eb493a91c8150d8a8.jpg" TargetMode="External"/><Relationship Id="rId1760" Type="http://schemas.openxmlformats.org/officeDocument/2006/relationships/hyperlink" Target="https://product.hstatic.net/200000428801/product/upload_84f1e0aa8d1e4ad1b74611acef763b44.jpg" TargetMode="External"/><Relationship Id="rId2604" Type="http://schemas.openxmlformats.org/officeDocument/2006/relationships/hyperlink" Target="https://product.hstatic.net/200000428801/product/389_df8aaea1b59c4e148e4c3f6ab333686d.png" TargetMode="External"/><Relationship Id="rId2811" Type="http://schemas.openxmlformats.org/officeDocument/2006/relationships/hyperlink" Target="https://product.hstatic.net/200000428801/product/upload_e9071f32152544ef9010d5bfc78fd2f8.jpg" TargetMode="External"/><Relationship Id="rId52" Type="http://schemas.openxmlformats.org/officeDocument/2006/relationships/hyperlink" Target="https://i.postimg.cc/gJGZGXdZ/29f54199d463419c87cfcdd933f35084.jpg" TargetMode="External"/><Relationship Id="rId1206" Type="http://schemas.openxmlformats.org/officeDocument/2006/relationships/hyperlink" Target="https://product.hstatic.net/200000428801/product/upload_959064c2149d424ca3c4438d7168eee0.jpg" TargetMode="External"/><Relationship Id="rId1413" Type="http://schemas.openxmlformats.org/officeDocument/2006/relationships/hyperlink" Target="https://product.hstatic.net/200000428801/product/upload_089e5d1a96a24182bf6ace3614603bd3.jpg" TargetMode="External"/><Relationship Id="rId1620" Type="http://schemas.openxmlformats.org/officeDocument/2006/relationships/hyperlink" Target="https://product.hstatic.net/200000428801/product/upload_6d37eb2219c04a08885eda586d4fe8af.jpg" TargetMode="External"/><Relationship Id="rId3378" Type="http://schemas.openxmlformats.org/officeDocument/2006/relationships/hyperlink" Target="https://product.hstatic.net/200000428801/product/2e0a0cc022e04d4482cc2259a754f484_1cf9a75e255e43c0a8eaa35d3923b3c8.png" TargetMode="External"/><Relationship Id="rId3585" Type="http://schemas.openxmlformats.org/officeDocument/2006/relationships/hyperlink" Target="https://cdn2-retail-images.kiotviet.vn/2025/02/13/giabaopharma/1db3279c10a143a4a8a9972f6ff835ce.jpg" TargetMode="External"/><Relationship Id="rId3792" Type="http://schemas.openxmlformats.org/officeDocument/2006/relationships/hyperlink" Target="https://cdn1-retail-images.kiotviet.vn/2026/01/15/giabaopharma/3509d4b0835d4437a883529ddc13a1d8.jpg" TargetMode="External"/><Relationship Id="rId299" Type="http://schemas.openxmlformats.org/officeDocument/2006/relationships/hyperlink" Target="https://product.hstatic.net/200000428801/product/5887a6a3a1e14b1cb27abd2efb0885d2_f8819e6685a9426b82b53411b00d0d7d.png" TargetMode="External"/><Relationship Id="rId2187" Type="http://schemas.openxmlformats.org/officeDocument/2006/relationships/hyperlink" Target="https://product.hstatic.net/200000428801/product/upload_1f14456d1c0846f2947cb247f53c88b0.jpg" TargetMode="External"/><Relationship Id="rId2394" Type="http://schemas.openxmlformats.org/officeDocument/2006/relationships/hyperlink" Target="https://product.hstatic.net/200000428801/product/upload_c66d87b92782437793e00d0b903d4389.jpg" TargetMode="External"/><Relationship Id="rId3238" Type="http://schemas.openxmlformats.org/officeDocument/2006/relationships/hyperlink" Target="https://product.hstatic.net/200000428801/product/9cc2f48358154df3a17b30bca1a8d30e_963801494c74429d97f0d59dc659fdad.png" TargetMode="External"/><Relationship Id="rId3445" Type="http://schemas.openxmlformats.org/officeDocument/2006/relationships/hyperlink" Target="https://product.hstatic.net/200000428801/product/38ea06aa3bcf4291b4c24d8aaa207f85_f156ae7296d64cd9bba162ec005b8ed0.png" TargetMode="External"/><Relationship Id="rId3652" Type="http://schemas.openxmlformats.org/officeDocument/2006/relationships/hyperlink" Target="https://product.hstatic.net/200000428801/product/thiet_ke_khong_ten__17__06210cc6a4da4636a8f17e3eba4ee9e4.png" TargetMode="External"/><Relationship Id="rId159" Type="http://schemas.openxmlformats.org/officeDocument/2006/relationships/hyperlink" Target="https://cdn2-retail-images.kiotviet.vn/2025/02/05/giabaopharma/27e2c68b80004a988d18699775c23635.jpg" TargetMode="External"/><Relationship Id="rId366" Type="http://schemas.openxmlformats.org/officeDocument/2006/relationships/hyperlink" Target="https://product.hstatic.net/200000428801/product/upload_282463a41b314ded83e415ebc3a4a931.jpg" TargetMode="External"/><Relationship Id="rId573" Type="http://schemas.openxmlformats.org/officeDocument/2006/relationships/hyperlink" Target="https://product.hstatic.net/200000428801/product/upload_be39504cdc364fa1b4730eda17b6d3a4.jpg" TargetMode="External"/><Relationship Id="rId780" Type="http://schemas.openxmlformats.org/officeDocument/2006/relationships/hyperlink" Target="https://product.hstatic.net/200000428801/product/upload_7ec26b19b2c4469ba1d94853131a3899.jpg" TargetMode="External"/><Relationship Id="rId2047" Type="http://schemas.openxmlformats.org/officeDocument/2006/relationships/hyperlink" Target="https://product.hstatic.net/200000428801/product/upload_112f687d1623402bab15570d48ba9f62.jpg" TargetMode="External"/><Relationship Id="rId2254" Type="http://schemas.openxmlformats.org/officeDocument/2006/relationships/hyperlink" Target="https://product.hstatic.net/200000428801/product/upload_26be83b4bb6e41c8a4723a830825b8f9.jpg" TargetMode="External"/><Relationship Id="rId2461" Type="http://schemas.openxmlformats.org/officeDocument/2006/relationships/hyperlink" Target="https://product.hstatic.net/200000428801/product/412_a046040e0852457c8bc97faaef4c7839.png" TargetMode="External"/><Relationship Id="rId3305" Type="http://schemas.openxmlformats.org/officeDocument/2006/relationships/hyperlink" Target="https://product.hstatic.net/200000428801/product/a45bd60d35164204be5778d90e4ad3b8_2b564cf6bb764bd38ad73f021523d0a5.png" TargetMode="External"/><Relationship Id="rId3512" Type="http://schemas.openxmlformats.org/officeDocument/2006/relationships/hyperlink" Target="https://product.hstatic.net/200000428801/product/10_fad06e39e2f24fa18dc635b49b080e23.png" TargetMode="External"/><Relationship Id="rId226" Type="http://schemas.openxmlformats.org/officeDocument/2006/relationships/hyperlink" Target="https://cdn-images.kiotviet.vn/giabaopharma/eb9eec10858e4d19affc82452da7650b.jpg" TargetMode="External"/><Relationship Id="rId433" Type="http://schemas.openxmlformats.org/officeDocument/2006/relationships/hyperlink" Target="https://product.hstatic.net/200000428801/product/upload_c30d2408c10b4c639468b1b9d372d069.jpg" TargetMode="External"/><Relationship Id="rId1063" Type="http://schemas.openxmlformats.org/officeDocument/2006/relationships/hyperlink" Target="https://product.hstatic.net/200000428801/product/upload_8e398cf20fa5415db28556fe75cb5e65.jpg" TargetMode="External"/><Relationship Id="rId1270" Type="http://schemas.openxmlformats.org/officeDocument/2006/relationships/hyperlink" Target="https://product.hstatic.net/200000428801/product/b42ac519aae676b82ff7_be7fcd7cd1c6496d9725879e99e818f7.jpg" TargetMode="External"/><Relationship Id="rId2114" Type="http://schemas.openxmlformats.org/officeDocument/2006/relationships/hyperlink" Target="https://product.hstatic.net/200000428801/product/upload_8da2f3878c534b56b7dbf8aa25df1c0b.jpg" TargetMode="External"/><Relationship Id="rId640" Type="http://schemas.openxmlformats.org/officeDocument/2006/relationships/hyperlink" Target="https://product.hstatic.net/200000428801/product/upload_2bc24a981d8f4126b40e6ffd3949fee1.jpg" TargetMode="External"/><Relationship Id="rId2321" Type="http://schemas.openxmlformats.org/officeDocument/2006/relationships/hyperlink" Target="https://product.hstatic.net/200000428801/product/upload_6ba0db0b07de45cead8c1be134745ca8.jpg" TargetMode="External"/><Relationship Id="rId500" Type="http://schemas.openxmlformats.org/officeDocument/2006/relationships/hyperlink" Target="https://product.hstatic.net/200000428801/product/upload_d3441b554cd541a3bbe5a48e981defb6.jpg" TargetMode="External"/><Relationship Id="rId1130" Type="http://schemas.openxmlformats.org/officeDocument/2006/relationships/hyperlink" Target="https://product.hstatic.net/200000428801/product/86_9675720bdba14fb894b0cf288a1360d2.png" TargetMode="External"/><Relationship Id="rId1947" Type="http://schemas.openxmlformats.org/officeDocument/2006/relationships/hyperlink" Target="https://product.hstatic.net/200000428801/product/upload_b9fcf511f7e4405880b353386f56c5eb.jpg" TargetMode="External"/><Relationship Id="rId3095" Type="http://schemas.openxmlformats.org/officeDocument/2006/relationships/hyperlink" Target="https://product.hstatic.net/200000428801/product/7fa516a808e64136b97c31dad57eac01_dd3317da2abc4c8bb2a4f8dceb2d92fe.jpg" TargetMode="External"/><Relationship Id="rId1807" Type="http://schemas.openxmlformats.org/officeDocument/2006/relationships/hyperlink" Target="https://product.hstatic.net/200000428801/product/upload_b8b24991fd2744639915171925fbb3d3.jpg" TargetMode="External"/><Relationship Id="rId3162" Type="http://schemas.openxmlformats.org/officeDocument/2006/relationships/hyperlink" Target="https://product.hstatic.net/200000428801/product/eb6d5046344c412aa9ca09b7ba0b9b38_3a62c43a1c7547998a44cda5540e79b9.jpg" TargetMode="External"/><Relationship Id="rId4006" Type="http://schemas.openxmlformats.org/officeDocument/2006/relationships/hyperlink" Target="https://product.hstatic.net/200000428801/product/6f393e032d62e73cbe73_380c7a0d701545d8b28fe18e65272940.jpg" TargetMode="External"/><Relationship Id="rId290" Type="http://schemas.openxmlformats.org/officeDocument/2006/relationships/hyperlink" Target="https://product.hstatic.net/200000428801/product/1e7d050c71634ed2aedb3959e2c7ab2d_d28a7a75ba9a445c9699696e0b544fcb.png" TargetMode="External"/><Relationship Id="rId3022" Type="http://schemas.openxmlformats.org/officeDocument/2006/relationships/hyperlink" Target="https://product.hstatic.net/200000428801/product/upload_2fd84f0f46064093a4031355c407010a.jpg" TargetMode="External"/><Relationship Id="rId150" Type="http://schemas.openxmlformats.org/officeDocument/2006/relationships/hyperlink" Target="https://cdn2-retail-images.kiotviet.vn/2025/02/13/giabaopharma/7e0b804d613c4f878fd4ab458f3db5ac.jpg" TargetMode="External"/><Relationship Id="rId3979" Type="http://schemas.openxmlformats.org/officeDocument/2006/relationships/hyperlink" Target="https://cdn2-retail-images.kiotviet.vn/2025/11/04/giabaopharma/8cfc2cf94c354355a793cf49e041a0d9.jpg" TargetMode="External"/><Relationship Id="rId2788" Type="http://schemas.openxmlformats.org/officeDocument/2006/relationships/hyperlink" Target="https://product.hstatic.net/200000428801/product/upload_ce65d3c481cc4e0d8663cc11ce1959a5.jpg" TargetMode="External"/><Relationship Id="rId2995" Type="http://schemas.openxmlformats.org/officeDocument/2006/relationships/hyperlink" Target="https://product.hstatic.net/200000428801/product/upload_ee012907bbe4429595c04d0368601fb6.jpg" TargetMode="External"/><Relationship Id="rId3839" Type="http://schemas.openxmlformats.org/officeDocument/2006/relationships/hyperlink" Target="https://cdn2-retail-images.kiotviet.vn/2025/10/31/giabaopharma/6d7b2873e433438ab1bdc91b92a5bb79.jpg" TargetMode="External"/><Relationship Id="rId967" Type="http://schemas.openxmlformats.org/officeDocument/2006/relationships/hyperlink" Target="https://product.hstatic.net/200000428801/product/upload_72ba1ae6807b4f5cbcc4d989e573b72f.jpg" TargetMode="External"/><Relationship Id="rId1597" Type="http://schemas.openxmlformats.org/officeDocument/2006/relationships/hyperlink" Target="https://product.hstatic.net/200000428801/product/upload_9e67e1e26f3b4e34847444f66f13e57d.jpg" TargetMode="External"/><Relationship Id="rId2648" Type="http://schemas.openxmlformats.org/officeDocument/2006/relationships/hyperlink" Target="https://product.hstatic.net/200000428801/product/384_52713c5dacd94c72a4d3424179386c17.png" TargetMode="External"/><Relationship Id="rId2855" Type="http://schemas.openxmlformats.org/officeDocument/2006/relationships/hyperlink" Target="https://product.hstatic.net/200000428801/product/360_6105cbba46e9424da9fb5df4730c07e9.png" TargetMode="External"/><Relationship Id="rId3906" Type="http://schemas.openxmlformats.org/officeDocument/2006/relationships/hyperlink" Target="https://product.hstatic.net/200000428801/product/zalo_screenshot_20_11_2021_717766_0b981936a70f4d5885e9a3cde4a8082e.png" TargetMode="External"/><Relationship Id="rId96" Type="http://schemas.openxmlformats.org/officeDocument/2006/relationships/hyperlink" Target="https://cdn-images.kiotviet.vn/2025/05/20/giabaopharma/359b7611296a4f9896102a3ce98b4288.jpg,https:/cdn-images.kiotviet.vn/2025/05/20/giabaopharma/1ef21d6410c74db8821c1e6134a8dfb7.jpg,https:/cdn-images.kiotviet.vn/2025/05/20/giabaopharma/3b59a0df8b6f407c94842df8e75aadc1.jpg" TargetMode="External"/><Relationship Id="rId827" Type="http://schemas.openxmlformats.org/officeDocument/2006/relationships/hyperlink" Target="https://product.hstatic.net/200000428801/product/upload_c5cf2509901140abad76c56169e916fc.jpg" TargetMode="External"/><Relationship Id="rId1457" Type="http://schemas.openxmlformats.org/officeDocument/2006/relationships/hyperlink" Target="https://product.hstatic.net/200000428801/product/upload_a15adce84974442397019596cdb60fb8.jpg" TargetMode="External"/><Relationship Id="rId1664" Type="http://schemas.openxmlformats.org/officeDocument/2006/relationships/hyperlink" Target="https://product.hstatic.net/200000428801/product/upload_732c7d4a0ee94f7aa33791b69367f3d8.jpg" TargetMode="External"/><Relationship Id="rId1871" Type="http://schemas.openxmlformats.org/officeDocument/2006/relationships/hyperlink" Target="https://product.hstatic.net/200000428801/product/upload_87db3c04e2a74dc8b239832ecc938197.jpg" TargetMode="External"/><Relationship Id="rId2508" Type="http://schemas.openxmlformats.org/officeDocument/2006/relationships/hyperlink" Target="https://product.hstatic.net/200000428801/product/upload_2d089dd808c546dc854fbf4cfde0e8b1.jpg" TargetMode="External"/><Relationship Id="rId2715" Type="http://schemas.openxmlformats.org/officeDocument/2006/relationships/hyperlink" Target="https://product.hstatic.net/200000428801/product/upload_6f1aa7f3fc9447c7ba3b2203ef4630d5.jpg" TargetMode="External"/><Relationship Id="rId2922" Type="http://schemas.openxmlformats.org/officeDocument/2006/relationships/hyperlink" Target="https://product.hstatic.net/200000428801/product/upload_f31bc73576114753951c22201b85616e.jpg" TargetMode="External"/><Relationship Id="rId1317" Type="http://schemas.openxmlformats.org/officeDocument/2006/relationships/hyperlink" Target="https://product.hstatic.net/200000428801/product/upload_9dc2c63151294bfc86563347c9ade201.jpg" TargetMode="External"/><Relationship Id="rId1524" Type="http://schemas.openxmlformats.org/officeDocument/2006/relationships/hyperlink" Target="https://product.hstatic.net/200000428801/product/xizqxsghv9y0vrag3mvo2xbofihe1q8i7pfia4er_26ce8428a8d5413e99e06242cf4e6bae.jpeg" TargetMode="External"/><Relationship Id="rId1731" Type="http://schemas.openxmlformats.org/officeDocument/2006/relationships/hyperlink" Target="https://product.hstatic.net/200000428801/product/upload_9a68cebb590344cf8b4b2a67fa0821d3.jpg" TargetMode="External"/><Relationship Id="rId23" Type="http://schemas.openxmlformats.org/officeDocument/2006/relationships/hyperlink" Target="https://cdn2-retail-images.kiotviet.vn/2026/03/31/giabaopharma/5f59e6a4d61244f6a5afc33bcb0c7db9.jpeg,https:/cdn2-retail-images.kiotviet.vn/2026/03/31/giabaopharma/e098ecf149f64e3e8f8fd0343195aebb.jpeg" TargetMode="External"/><Relationship Id="rId3489" Type="http://schemas.openxmlformats.org/officeDocument/2006/relationships/hyperlink" Target="https://product.hstatic.net/200000428801/product/82cad4a8be044651a6e88731287d51ed_5dec2d2ce772448288f74763dbf804c8.png" TargetMode="External"/><Relationship Id="rId3696" Type="http://schemas.openxmlformats.org/officeDocument/2006/relationships/hyperlink" Target="https://product.hstatic.net/200000428801/product/nhiet-ke-2_925293041c03475b9e90102f1670d738.jpg" TargetMode="External"/><Relationship Id="rId2298" Type="http://schemas.openxmlformats.org/officeDocument/2006/relationships/hyperlink" Target="https://product.hstatic.net/200000428801/product/3255f4c4795f47269af3fb2d290b1e65_97f4fc60fff645c6876afbe4d9fc6113.png" TargetMode="External"/><Relationship Id="rId3349" Type="http://schemas.openxmlformats.org/officeDocument/2006/relationships/hyperlink" Target="https://product.hstatic.net/200000428801/product/bd9321eb9f1b482ca51070a9398424a3_af72a8568b6048ca920a114d90cffabd.png" TargetMode="External"/><Relationship Id="rId3556" Type="http://schemas.openxmlformats.org/officeDocument/2006/relationships/hyperlink" Target="https://product.hstatic.net/200000428801/product/zalo_screenshot_19_11_2021_640200_784782b078f34d2eacb29f244d1cdbb3.png" TargetMode="External"/><Relationship Id="rId477" Type="http://schemas.openxmlformats.org/officeDocument/2006/relationships/hyperlink" Target="https://product.hstatic.net/200000428801/product/upload_a6135e03f59e49cf96ad22363e0e6ffe.jpg" TargetMode="External"/><Relationship Id="rId684" Type="http://schemas.openxmlformats.org/officeDocument/2006/relationships/hyperlink" Target="https://product.hstatic.net/200000428801/product/upload_cc076005bdd04128bcc7414cf67c6d69.jpg" TargetMode="External"/><Relationship Id="rId2158" Type="http://schemas.openxmlformats.org/officeDocument/2006/relationships/hyperlink" Target="https://product.hstatic.net/200000428801/product/upload_8bf4b52620f54e99aae6229178562c7d.jpg" TargetMode="External"/><Relationship Id="rId2365" Type="http://schemas.openxmlformats.org/officeDocument/2006/relationships/hyperlink" Target="https://product.hstatic.net/200000428801/product/upload_bef8ac8958934122b6eb11242d0c2d5d.jpg" TargetMode="External"/><Relationship Id="rId3209" Type="http://schemas.openxmlformats.org/officeDocument/2006/relationships/hyperlink" Target="https://product.hstatic.net/200000428801/product/ce6334a41e79470ba266de7501a56d77_1d62b035bc274e009009d612bd8a0ba9.png" TargetMode="External"/><Relationship Id="rId3763" Type="http://schemas.openxmlformats.org/officeDocument/2006/relationships/hyperlink" Target="https://cdn2-retail-images.kiotviet.vn/2025/10/22/giabaopharma/7284ac1586fd4455842e51bdd0bfe087.png" TargetMode="External"/><Relationship Id="rId3970" Type="http://schemas.openxmlformats.org/officeDocument/2006/relationships/hyperlink" Target="https://product.hstatic.net/200000428801/product/dac368d92f5ce502bc4d_0aefe4f51efb4877a92a332276b17988.jpg" TargetMode="External"/><Relationship Id="rId337" Type="http://schemas.openxmlformats.org/officeDocument/2006/relationships/hyperlink" Target="https://product.hstatic.net/200000428801/product/25d34fc0203b49acb4bd7de44c50641b_7d8960cbaf574f389b29b2ae0e456bc2.png" TargetMode="External"/><Relationship Id="rId891" Type="http://schemas.openxmlformats.org/officeDocument/2006/relationships/hyperlink" Target="https://product.hstatic.net/200000428801/product/upload_be30c521014d4061a6ad2f1e910f1f34.jpg" TargetMode="External"/><Relationship Id="rId2018" Type="http://schemas.openxmlformats.org/officeDocument/2006/relationships/hyperlink" Target="https://product.hstatic.net/200000428801/product/upload_a21b21e3c7a94a77ac5a7b32558ac1cd.jpg" TargetMode="External"/><Relationship Id="rId2572" Type="http://schemas.openxmlformats.org/officeDocument/2006/relationships/hyperlink" Target="https://product.hstatic.net/200000428801/product/upload_7b3602b2da7e4f4083226c5a39478b09.jpg" TargetMode="External"/><Relationship Id="rId3416" Type="http://schemas.openxmlformats.org/officeDocument/2006/relationships/hyperlink" Target="https://product.hstatic.net/200000428801/product/9747fbceb9d94994a2902ff2729ac1bb_b2ac78e0814749e58a1569419c160be1.png" TargetMode="External"/><Relationship Id="rId3623" Type="http://schemas.openxmlformats.org/officeDocument/2006/relationships/hyperlink" Target="https://product.hstatic.net/200000428801/product/7e7752f8e11625487c07_0407deeebdd34cce81e93fa52fb51466.jpg" TargetMode="External"/><Relationship Id="rId3830" Type="http://schemas.openxmlformats.org/officeDocument/2006/relationships/hyperlink" Target="https://cdn2-retail-images.kiotviet.vn/2025/12/23/giabaopharma/1d169866b1e446fb85a39681b7b0c8de.png" TargetMode="External"/><Relationship Id="rId544" Type="http://schemas.openxmlformats.org/officeDocument/2006/relationships/hyperlink" Target="https://product.hstatic.net/200000428801/product/upload_49c74efc87b94e04b3a1bc5fa44d4165.jpg" TargetMode="External"/><Relationship Id="rId751" Type="http://schemas.openxmlformats.org/officeDocument/2006/relationships/hyperlink" Target="https://product.hstatic.net/200000428801/product/upload_87990ee668d74dadb6eb673d5913d78d.jpg" TargetMode="External"/><Relationship Id="rId1174" Type="http://schemas.openxmlformats.org/officeDocument/2006/relationships/hyperlink" Target="https://product.hstatic.net/200000428801/product/upload_5cb4aedcb27c4ca7bcaa8f5d117a0c0b.jpg" TargetMode="External"/><Relationship Id="rId1381" Type="http://schemas.openxmlformats.org/officeDocument/2006/relationships/hyperlink" Target="https://product.hstatic.net/200000428801/product/upload_8f92b7f8b1e34486af31590a0722b658.jpg" TargetMode="External"/><Relationship Id="rId2225" Type="http://schemas.openxmlformats.org/officeDocument/2006/relationships/hyperlink" Target="https://product.hstatic.net/200000428801/product/503_5147825a84e54131aff8a6d53f9ec424.png" TargetMode="External"/><Relationship Id="rId2432" Type="http://schemas.openxmlformats.org/officeDocument/2006/relationships/hyperlink" Target="https://product.hstatic.net/200000428801/product/upload_6e227c9988924a18bf82a52744054fec.jpg" TargetMode="External"/><Relationship Id="rId404" Type="http://schemas.openxmlformats.org/officeDocument/2006/relationships/hyperlink" Target="https://product.hstatic.net/200000428801/product/c5d5dcb03aff4d4d92e6105670af3d31_2e31f19984284a7595bb7ec694d51cc9.png" TargetMode="External"/><Relationship Id="rId611" Type="http://schemas.openxmlformats.org/officeDocument/2006/relationships/hyperlink" Target="https://product.hstatic.net/200000428801/product/upload_d9db222f4f2f4d87976fb56a680bf95d.jpg" TargetMode="External"/><Relationship Id="rId1034" Type="http://schemas.openxmlformats.org/officeDocument/2006/relationships/hyperlink" Target="https://product.hstatic.net/200000428801/product/c39402c9e313457c95189516daa36636_0acc072eece148409a0a07aa0f84a616.jpg" TargetMode="External"/><Relationship Id="rId1241" Type="http://schemas.openxmlformats.org/officeDocument/2006/relationships/hyperlink" Target="https://product.hstatic.net/200000428801/product/upload_52fe4aca97c9405ebe4e3446504b6538.jpg" TargetMode="External"/><Relationship Id="rId1101" Type="http://schemas.openxmlformats.org/officeDocument/2006/relationships/hyperlink" Target="https://product.hstatic.net/200000428801/product/upload_36db48d2f518433da1ad9382e94be6f9.jpg" TargetMode="External"/><Relationship Id="rId3066" Type="http://schemas.openxmlformats.org/officeDocument/2006/relationships/hyperlink" Target="https://product.hstatic.net/200000428801/product/upload_141615f91ec448948926ededc79c0dd3.jpg" TargetMode="External"/><Relationship Id="rId3273" Type="http://schemas.openxmlformats.org/officeDocument/2006/relationships/hyperlink" Target="https://product.hstatic.net/200000428801/product/f1501388aeb04387989fc7dc65e3f920_c60b40db1ad1443399703abcbde7e2ba.png" TargetMode="External"/><Relationship Id="rId3480" Type="http://schemas.openxmlformats.org/officeDocument/2006/relationships/hyperlink" Target="https://cdn2-retail-images.kiotviet.vn/2025/02/17/giabaopharma/ef4a744aee594bada5701c98916bffea.jpg" TargetMode="External"/><Relationship Id="rId194" Type="http://schemas.openxmlformats.org/officeDocument/2006/relationships/hyperlink" Target="https://cdn2-retail-images.kiotviet.vn/2024/09/30/giabaopharma/e8e62f4012c345d49ba1ac58294881da.jpg" TargetMode="External"/><Relationship Id="rId1918" Type="http://schemas.openxmlformats.org/officeDocument/2006/relationships/hyperlink" Target="https://product.hstatic.net/200000428801/product/upload_1827ac9e0c5c45308929b660d5b9b424.jpg" TargetMode="External"/><Relationship Id="rId2082" Type="http://schemas.openxmlformats.org/officeDocument/2006/relationships/hyperlink" Target="https://product.hstatic.net/200000428801/product/upload_94dce5507bd344df9ddf1bf6d2d3ec87.jpg" TargetMode="External"/><Relationship Id="rId3133" Type="http://schemas.openxmlformats.org/officeDocument/2006/relationships/hyperlink" Target="https://cdn2-retail-images.kiotviet.vn/2024/08/29/giabaopharma/fecd8021535749b7afe1e73ebf4a2fb1.jpg" TargetMode="External"/><Relationship Id="rId261" Type="http://schemas.openxmlformats.org/officeDocument/2006/relationships/hyperlink" Target="https://cdn-images.kiotviet.vn/giabaopharma/0b2c0296b6394b95a455f5f32a363209.png,https:/cdn-images.kiotviet.vn/giabaopharma/a1717d02f02542239d806004570ed995.png,https:/cdn-images.kiotviet.vn/giabaopharma/503a9aa76fb6482b9874c79239ed4c5c.png,https:/cdn-images.kiotviet.vn/giabaopharma/233097c555c34466aa31bddd8bee3690.png,https:/cdn-images.kiotviet.vn/giabaopharma/e5fdb6a1adc54eaab96fed82c71a5e18.png" TargetMode="External"/><Relationship Id="rId3340" Type="http://schemas.openxmlformats.org/officeDocument/2006/relationships/hyperlink" Target="https://product.hstatic.net/200000428801/product/da0e15d0058c4d3f92d5688b5f790865_9e3fcd11e09244de90568f0ed2b5c62c.png" TargetMode="External"/><Relationship Id="rId2899" Type="http://schemas.openxmlformats.org/officeDocument/2006/relationships/hyperlink" Target="https://product.hstatic.net/200000428801/product/upload_833c06887f9249abb56670f2f6a3bec2.jpg" TargetMode="External"/><Relationship Id="rId3200" Type="http://schemas.openxmlformats.org/officeDocument/2006/relationships/hyperlink" Target="https://product.hstatic.net/200000428801/product/5887a6a3a1e14b1cb27abd2efb0885d2_f8819e6685a9426b82b53411b00d0d7d.png" TargetMode="External"/><Relationship Id="rId121" Type="http://schemas.openxmlformats.org/officeDocument/2006/relationships/hyperlink" Target="https://cdn2-retail-images.kiotviet.vn/2025/03/22/giabaopharma/dcd981b680e044b2a147f2a60664ef77.jpg" TargetMode="External"/><Relationship Id="rId2759" Type="http://schemas.openxmlformats.org/officeDocument/2006/relationships/hyperlink" Target="https://product.hstatic.net/200000428801/product/upload_50806e024ff84bf38350374368e0cafd.jpg" TargetMode="External"/><Relationship Id="rId2966" Type="http://schemas.openxmlformats.org/officeDocument/2006/relationships/hyperlink" Target="https://product.hstatic.net/200000428801/product/upload_db5fcc7ba7cd4488aa52f0641e2bc9e6.jpg" TargetMode="External"/><Relationship Id="rId938" Type="http://schemas.openxmlformats.org/officeDocument/2006/relationships/hyperlink" Target="https://product.hstatic.net/200000428801/product/upload_4ecc253b27ed41da9b64a36aa832fb6f.jpg" TargetMode="External"/><Relationship Id="rId1568" Type="http://schemas.openxmlformats.org/officeDocument/2006/relationships/hyperlink" Target="https://product.hstatic.net/200000428801/product/upload_f9f858faa5644dffb0514c9587f5dc96.jpg" TargetMode="External"/><Relationship Id="rId1775" Type="http://schemas.openxmlformats.org/officeDocument/2006/relationships/hyperlink" Target="https://product.hstatic.net/200000428801/product/upload_b7bcd13a826b49dab4a04fa6ae2eb123.jpg" TargetMode="External"/><Relationship Id="rId2619" Type="http://schemas.openxmlformats.org/officeDocument/2006/relationships/hyperlink" Target="https://product.hstatic.net/200000428801/product/upload_0db0b628b2ed491784b8404297e5d2a3.jpg" TargetMode="External"/><Relationship Id="rId2826" Type="http://schemas.openxmlformats.org/officeDocument/2006/relationships/hyperlink" Target="https://product.hstatic.net/200000428801/product/upload_b39fde510b3e440e9313eba249b3186f.jpg" TargetMode="External"/><Relationship Id="rId67" Type="http://schemas.openxmlformats.org/officeDocument/2006/relationships/hyperlink" Target="https://i.postimg.cc/RhccWWYC/Vi-n-u-ng-Soft-n-ng-ngon-Kingphar-h-tr-n-ng-ngon-t-ng-c-ng-s-c-kh-ng-H-30-vi-n-2.png" TargetMode="External"/><Relationship Id="rId1428" Type="http://schemas.openxmlformats.org/officeDocument/2006/relationships/hyperlink" Target="https://product.hstatic.net/200000428801/product/7bb03abd35a8415f830430b83a91681d_1a60845d87a14a94a372c9796ace182b.png" TargetMode="External"/><Relationship Id="rId1635" Type="http://schemas.openxmlformats.org/officeDocument/2006/relationships/hyperlink" Target="https://product.hstatic.net/200000428801/product/20_ebc9395a058344ac9ab7a360f9611ada.png" TargetMode="External"/><Relationship Id="rId1982" Type="http://schemas.openxmlformats.org/officeDocument/2006/relationships/hyperlink" Target="https://product.hstatic.net/200000428801/product/upload_0fdec6608a814b90af2bab0a18273c84.jpg" TargetMode="External"/><Relationship Id="rId4041" Type="http://schemas.openxmlformats.org/officeDocument/2006/relationships/hyperlink" Target="https://product.hstatic.net/200000428801/product/91_04de6004dd744f4b8fb8af0b3e9803e8.png" TargetMode="External"/><Relationship Id="rId1842" Type="http://schemas.openxmlformats.org/officeDocument/2006/relationships/hyperlink" Target="https://product.hstatic.net/200000428801/product/upload_1fb89a1d38c849289eb3f65f88aa42bc.jpg" TargetMode="External"/><Relationship Id="rId1702" Type="http://schemas.openxmlformats.org/officeDocument/2006/relationships/hyperlink" Target="https://product.hstatic.net/200000428801/product/upload_a669c07f2ac643fea62e4898ed121bd0.jpg" TargetMode="External"/><Relationship Id="rId3667" Type="http://schemas.openxmlformats.org/officeDocument/2006/relationships/hyperlink" Target="https://cdn2-retail-images.kiotviet.vn/2025/10/30/giabaopharma/9353b359dc734997ae36d0c5fc810c3b.png" TargetMode="External"/><Relationship Id="rId3874" Type="http://schemas.openxmlformats.org/officeDocument/2006/relationships/hyperlink" Target="https://product.hstatic.net/200000428801/product/9348764e45eb8ab5d3fa_aef69a3922174245944911a92f3fb9be.jpg" TargetMode="External"/><Relationship Id="rId588" Type="http://schemas.openxmlformats.org/officeDocument/2006/relationships/hyperlink" Target="https://product.hstatic.net/200000428801/product/upload_ac47186a27824188b5fbb787f027de30.jpg" TargetMode="External"/><Relationship Id="rId795" Type="http://schemas.openxmlformats.org/officeDocument/2006/relationships/hyperlink" Target="https://product.hstatic.net/200000428801/product/upload_9ec28fd62d42459c8b249ea76c7a0be0.jpg" TargetMode="External"/><Relationship Id="rId2269" Type="http://schemas.openxmlformats.org/officeDocument/2006/relationships/hyperlink" Target="https://product.hstatic.net/200000428801/product/463_ceddd4436f834c469a811cb500e1fb57.png" TargetMode="External"/><Relationship Id="rId2476" Type="http://schemas.openxmlformats.org/officeDocument/2006/relationships/hyperlink" Target="https://product.hstatic.net/200000428801/product/upload_303d8996784041a688958694637ced41.jpg" TargetMode="External"/><Relationship Id="rId2683" Type="http://schemas.openxmlformats.org/officeDocument/2006/relationships/hyperlink" Target="https://cdn2-retail-images.kiotviet.vn/2025/10/31/giabaopharma/7dcbbdb0cde24e92857dbd0692e15eb6.jpg" TargetMode="External"/><Relationship Id="rId2890" Type="http://schemas.openxmlformats.org/officeDocument/2006/relationships/hyperlink" Target="https://product.hstatic.net/200000428801/product/upload_7944a78152c24263b6e0425401f61b37.jpg" TargetMode="External"/><Relationship Id="rId3527" Type="http://schemas.openxmlformats.org/officeDocument/2006/relationships/hyperlink" Target="https://product.hstatic.net/200000428801/product/45aa5d2926aae5f4bcbb_db193a0ec1f449be98ce9dfa5038f134.jpg" TargetMode="External"/><Relationship Id="rId3734" Type="http://schemas.openxmlformats.org/officeDocument/2006/relationships/hyperlink" Target="https://cdn-images.kiotviet.vn/2025/09/12/giabaopharma/b42ff313dbc54abca6db33e9b4b8a312.jpg" TargetMode="External"/><Relationship Id="rId3941" Type="http://schemas.openxmlformats.org/officeDocument/2006/relationships/hyperlink" Target="https://product.hstatic.net/200000428801/product/thiet_ke_khong_ten__27__a802dd80f64042529fcde23ca153f68d.png" TargetMode="External"/><Relationship Id="rId448" Type="http://schemas.openxmlformats.org/officeDocument/2006/relationships/hyperlink" Target="https://product.hstatic.net/200000428801/product/42_5d59fc167bb6414985a2dc87ce3cb32a.png" TargetMode="External"/><Relationship Id="rId655" Type="http://schemas.openxmlformats.org/officeDocument/2006/relationships/hyperlink" Target="https://product.hstatic.net/200000428801/product/upload_a8286a2e9b354dbc9bbbfdc520a949fc.jpg" TargetMode="External"/><Relationship Id="rId862" Type="http://schemas.openxmlformats.org/officeDocument/2006/relationships/hyperlink" Target="https://product.hstatic.net/200000428801/product/upload_e5ad63c5f08e433a98af34462ecdd2d0.jpg" TargetMode="External"/><Relationship Id="rId1078" Type="http://schemas.openxmlformats.org/officeDocument/2006/relationships/hyperlink" Target="https://product.hstatic.net/200000428801/product/83_c86032017fac490e93a048a65c559175.png" TargetMode="External"/><Relationship Id="rId1285" Type="http://schemas.openxmlformats.org/officeDocument/2006/relationships/hyperlink" Target="https://product.hstatic.net/200000428801/product/upload_e5403bd6c0d2417292b21ae99a15f837.jpg" TargetMode="External"/><Relationship Id="rId1492" Type="http://schemas.openxmlformats.org/officeDocument/2006/relationships/hyperlink" Target="https://product.hstatic.net/200000428801/product/upload_defacb3f6907467f90d0529c8fb65a3b.jpg" TargetMode="External"/><Relationship Id="rId2129" Type="http://schemas.openxmlformats.org/officeDocument/2006/relationships/hyperlink" Target="https://product.hstatic.net/200000428801/product/upload_c23e823425784d309b5aa00a2f15d322.jpg" TargetMode="External"/><Relationship Id="rId2336" Type="http://schemas.openxmlformats.org/officeDocument/2006/relationships/hyperlink" Target="https://product.hstatic.net/200000428801/product/upload_a8110cea6559404b9897078316d457d8.jpg" TargetMode="External"/><Relationship Id="rId2543" Type="http://schemas.openxmlformats.org/officeDocument/2006/relationships/hyperlink" Target="https://product.hstatic.net/200000428801/product/upload_64ccd5d6e1ff471691fcc0b445cc7ea9.jpg" TargetMode="External"/><Relationship Id="rId2750" Type="http://schemas.openxmlformats.org/officeDocument/2006/relationships/hyperlink" Target="https://product.hstatic.net/200000428801/product/upload_f725e84093a4424a865aaae4a4e5b2bb.jpg" TargetMode="External"/><Relationship Id="rId3801" Type="http://schemas.openxmlformats.org/officeDocument/2006/relationships/hyperlink" Target="https://cdn2-retail-images.kiotviet.vn/2026/03/07/giabaopharma/571570ce87864c3baba820e89f201240.jpg" TargetMode="External"/><Relationship Id="rId308" Type="http://schemas.openxmlformats.org/officeDocument/2006/relationships/hyperlink" Target="https://product.hstatic.net/200000428801/product/upload_db5fcc7ba7cd4488aa52f0641e2bc9e6.jpg" TargetMode="External"/><Relationship Id="rId515" Type="http://schemas.openxmlformats.org/officeDocument/2006/relationships/hyperlink" Target="https://product.hstatic.net/200000428801/product/upload_8ffe7c451d754127831914179d1c728b.jpg" TargetMode="External"/><Relationship Id="rId722" Type="http://schemas.openxmlformats.org/officeDocument/2006/relationships/hyperlink" Target="https://product.hstatic.net/200000428801/product/upload_c77fb438514e40238361a1bf6a04bb13.jpg" TargetMode="External"/><Relationship Id="rId1145" Type="http://schemas.openxmlformats.org/officeDocument/2006/relationships/hyperlink" Target="https://product.hstatic.net/200000428801/product/upload_f67f255930be4585ba279dc18ade9405.jpg" TargetMode="External"/><Relationship Id="rId1352" Type="http://schemas.openxmlformats.org/officeDocument/2006/relationships/hyperlink" Target="https://product.hstatic.net/200000428801/product/upload_3753ca1422574dfca5cc2d0dc1dbfc4c.jpg" TargetMode="External"/><Relationship Id="rId2403" Type="http://schemas.openxmlformats.org/officeDocument/2006/relationships/hyperlink" Target="https://product.hstatic.net/200000428801/product/upload_7639ca52fc7f48999f5b311e55a5d81c.jpg" TargetMode="External"/><Relationship Id="rId1005" Type="http://schemas.openxmlformats.org/officeDocument/2006/relationships/hyperlink" Target="https://product.hstatic.net/200000428801/product/upload_2e0749fcc304455ba34491711719c550.jpg" TargetMode="External"/><Relationship Id="rId1212" Type="http://schemas.openxmlformats.org/officeDocument/2006/relationships/hyperlink" Target="https://product.hstatic.net/200000428801/product/upload_a67b87a688bb4b97aad41862454a8ad7.jpg" TargetMode="External"/><Relationship Id="rId2610" Type="http://schemas.openxmlformats.org/officeDocument/2006/relationships/hyperlink" Target="https://product.hstatic.net/200000428801/product/upload_230eadf63e4442d7a2c8e2306aba77b0.jpg" TargetMode="External"/><Relationship Id="rId3177" Type="http://schemas.openxmlformats.org/officeDocument/2006/relationships/hyperlink" Target="https://product.hstatic.net/200000428801/product/b945fe665886498487d8bc61504bc106_140d4689ebeb4d459fc9638ffd9c6c67.jpg" TargetMode="External"/><Relationship Id="rId3037" Type="http://schemas.openxmlformats.org/officeDocument/2006/relationships/hyperlink" Target="https://product.hstatic.net/200000428801/product/upload_6af17be380f0469bb7664d24c3f41fc5.jpg" TargetMode="External"/><Relationship Id="rId3384" Type="http://schemas.openxmlformats.org/officeDocument/2006/relationships/hyperlink" Target="https://product.hstatic.net/200000428801/product/ddbff55201474b0e9723c24658b429e9_66403845c8a641508427014847c552d9.png" TargetMode="External"/><Relationship Id="rId3591" Type="http://schemas.openxmlformats.org/officeDocument/2006/relationships/hyperlink" Target="https://product.hstatic.net/200000428801/product/90_9a7f7d9b615541b091d5d043725aaaa3.png" TargetMode="External"/><Relationship Id="rId2193" Type="http://schemas.openxmlformats.org/officeDocument/2006/relationships/hyperlink" Target="https://product.hstatic.net/200000428801/product/upload_4fc47b89f6504efe946330480b49069c.jpg" TargetMode="External"/><Relationship Id="rId3244" Type="http://schemas.openxmlformats.org/officeDocument/2006/relationships/hyperlink" Target="https://product.hstatic.net/200000428801/product/9b0ccf3f7e8d4c7383ade06c69508ea6_38cba7c630d944adbec5e2679e91ea9d.png" TargetMode="External"/><Relationship Id="rId3451" Type="http://schemas.openxmlformats.org/officeDocument/2006/relationships/hyperlink" Target="https://product.hstatic.net/200000428801/product/cf446eaf3f064308b07b69fe6576aa7a_17bad42db53c4ae1b94662ba79b601cb.png" TargetMode="External"/><Relationship Id="rId165" Type="http://schemas.openxmlformats.org/officeDocument/2006/relationships/hyperlink" Target="https://cdn2-retail-images.kiotviet.vn/2024/12/28/giabaopharma/ca601e8530944cefaaaec1a399a88518.jpg" TargetMode="External"/><Relationship Id="rId372" Type="http://schemas.openxmlformats.org/officeDocument/2006/relationships/hyperlink" Target="https://product.hstatic.net/200000428801/product/upload_1446c9ad88d84828ba7f59a4e14d288e.jpg" TargetMode="External"/><Relationship Id="rId2053" Type="http://schemas.openxmlformats.org/officeDocument/2006/relationships/hyperlink" Target="https://product.hstatic.net/200000428801/product/upload_8657a067b47b4917a2af41ebe0f56b4e.jpg" TargetMode="External"/><Relationship Id="rId2260" Type="http://schemas.openxmlformats.org/officeDocument/2006/relationships/hyperlink" Target="https://product.hstatic.net/200000428801/product/upload_1069467255c44e89b33af7388de9fd14.jpg" TargetMode="External"/><Relationship Id="rId3104" Type="http://schemas.openxmlformats.org/officeDocument/2006/relationships/hyperlink" Target="https://product.hstatic.net/200000428801/product/318_21edcf0a9a794302830a0c3fd00043b3.png" TargetMode="External"/><Relationship Id="rId3311" Type="http://schemas.openxmlformats.org/officeDocument/2006/relationships/hyperlink" Target="https://product.hstatic.net/200000428801/product/5fbf31dbbe4c4a5695f7ad255fd5ed6f_49d31ef4b3434fa5859fdd0b2af611d7.png" TargetMode="External"/><Relationship Id="rId232" Type="http://schemas.openxmlformats.org/officeDocument/2006/relationships/hyperlink" Target="https://cdn2-retail-images.kiotviet.vn/giabaopharma/a73c4bd71cfc446aa261fea2c853856f.jpg" TargetMode="External"/><Relationship Id="rId2120" Type="http://schemas.openxmlformats.org/officeDocument/2006/relationships/hyperlink" Target="https://product.hstatic.net/200000428801/product/upload_4e2e2f2388664dba864f02fbb3f61348.jpg" TargetMode="External"/><Relationship Id="rId1679" Type="http://schemas.openxmlformats.org/officeDocument/2006/relationships/hyperlink" Target="https://product.hstatic.net/200000428801/product/upload_8895be1fbc014ad2917c7c38bbc15193.jpg" TargetMode="External"/><Relationship Id="rId1886" Type="http://schemas.openxmlformats.org/officeDocument/2006/relationships/hyperlink" Target="https://product.hstatic.net/200000428801/product/upload_81c43118554f449ab4a241e04b482ba2.jpg" TargetMode="External"/><Relationship Id="rId2937" Type="http://schemas.openxmlformats.org/officeDocument/2006/relationships/hyperlink" Target="https://product.hstatic.net/200000428801/product/upload_f033f7a9bfd045c584904e95ecacb418.jpg" TargetMode="External"/><Relationship Id="rId909" Type="http://schemas.openxmlformats.org/officeDocument/2006/relationships/hyperlink" Target="https://product.hstatic.net/200000428801/product/upload_37a90dc7f46045afa119f964c8ba1145.jpg" TargetMode="External"/><Relationship Id="rId1539" Type="http://schemas.openxmlformats.org/officeDocument/2006/relationships/hyperlink" Target="https://product.hstatic.net/200000428801/product/upload_6e6fcce1d3a14ffc9b7e0e32ded7254c.jpg" TargetMode="External"/><Relationship Id="rId1746" Type="http://schemas.openxmlformats.org/officeDocument/2006/relationships/hyperlink" Target="https://product.hstatic.net/200000428801/product/upload_acd1e2f343ba4f1e9f9c73091c63c104.jpg" TargetMode="External"/><Relationship Id="rId1953" Type="http://schemas.openxmlformats.org/officeDocument/2006/relationships/hyperlink" Target="https://product.hstatic.net/200000428801/product/upload_190502cdf03c405ebc7039d631e307bb.jpg" TargetMode="External"/><Relationship Id="rId38" Type="http://schemas.openxmlformats.org/officeDocument/2006/relationships/hyperlink" Target="https://i.postimg.cc/Kz5tT7Q5/9941272e6f27475693d03ef060ec85d1.png" TargetMode="External"/><Relationship Id="rId1606" Type="http://schemas.openxmlformats.org/officeDocument/2006/relationships/hyperlink" Target="https://product.hstatic.net/200000428801/product/upload_a482d5334b5c449383cd716f697431ec.jpg" TargetMode="External"/><Relationship Id="rId1813" Type="http://schemas.openxmlformats.org/officeDocument/2006/relationships/hyperlink" Target="https://product.hstatic.net/200000428801/product/upload_a8b6678fd82d498e8bb05acca2ec21db.jpg" TargetMode="External"/><Relationship Id="rId4012" Type="http://schemas.openxmlformats.org/officeDocument/2006/relationships/hyperlink" Target="https://cdn2-retail-images.kiotviet.vn/2025/02/13/giabaopharma/b676b3df8143429fb08dee0deded5f62.jpg" TargetMode="External"/><Relationship Id="rId3778" Type="http://schemas.openxmlformats.org/officeDocument/2006/relationships/hyperlink" Target="https://product.hstatic.net/200000428801/product/22_95da5333e5db427883a9b5f057de2a6e.png" TargetMode="External"/><Relationship Id="rId3985" Type="http://schemas.openxmlformats.org/officeDocument/2006/relationships/hyperlink" Target="https://cdn2-retail-images.kiotviet.vn/2025/08/01/giabaopharma/6003eacaae3740d7a24d9e3305737c9c.jpg" TargetMode="External"/><Relationship Id="rId699" Type="http://schemas.openxmlformats.org/officeDocument/2006/relationships/hyperlink" Target="https://product.hstatic.net/200000428801/product/upload_db07bc7de4ae4d659ca22131779334df.jpg" TargetMode="External"/><Relationship Id="rId2587" Type="http://schemas.openxmlformats.org/officeDocument/2006/relationships/hyperlink" Target="https://product.hstatic.net/200000428801/product/upload_94b19f6fcd5e471e887567b9b99c9160.jpg" TargetMode="External"/><Relationship Id="rId2794" Type="http://schemas.openxmlformats.org/officeDocument/2006/relationships/hyperlink" Target="https://product.hstatic.net/200000428801/product/upload_93b6018dc0b447d680b29ac50541961f.jpg" TargetMode="External"/><Relationship Id="rId3638" Type="http://schemas.openxmlformats.org/officeDocument/2006/relationships/hyperlink" Target="https://product.hstatic.net/200000428801/product/3b5b8a0b5310994ec001_bf8b5a2fcd894b909837b60f4ac653a6.jpg" TargetMode="External"/><Relationship Id="rId3845" Type="http://schemas.openxmlformats.org/officeDocument/2006/relationships/hyperlink" Target="https://product.hstatic.net/200000428801/product/zalo_screenshot_18_11_2021_755581_ba7034e44b844848a3d05ced67732563.png" TargetMode="External"/><Relationship Id="rId559" Type="http://schemas.openxmlformats.org/officeDocument/2006/relationships/hyperlink" Target="https://product.hstatic.net/200000428801/product/upload_cfe289ef877c46f4bc8fe12f9a652408.jpg" TargetMode="External"/><Relationship Id="rId766" Type="http://schemas.openxmlformats.org/officeDocument/2006/relationships/hyperlink" Target="https://product.hstatic.net/200000428801/product/upload_dd14bd8724564c6da6d35374d87ac0e9.jpg" TargetMode="External"/><Relationship Id="rId1189" Type="http://schemas.openxmlformats.org/officeDocument/2006/relationships/hyperlink" Target="https://product.hstatic.net/200000428801/product/upload_33db73d8f5d949d3ae13ac877717f754.jpg" TargetMode="External"/><Relationship Id="rId1396" Type="http://schemas.openxmlformats.org/officeDocument/2006/relationships/hyperlink" Target="https://product.hstatic.net/200000428801/product/upload_6a0689eeeee44e4cbd15d86af2deecd0.jpg" TargetMode="External"/><Relationship Id="rId2447" Type="http://schemas.openxmlformats.org/officeDocument/2006/relationships/hyperlink" Target="https://product.hstatic.net/200000428801/product/416_49289eca102b402db0f622f4598d2d35.png" TargetMode="External"/><Relationship Id="rId419" Type="http://schemas.openxmlformats.org/officeDocument/2006/relationships/hyperlink" Target="https://product.hstatic.net/200000428801/product/upload_bc193caedbdb4357bb35cffc47d5405b.jpg" TargetMode="External"/><Relationship Id="rId626" Type="http://schemas.openxmlformats.org/officeDocument/2006/relationships/hyperlink" Target="https://product.hstatic.net/200000428801/product/upload_71f1788c42c14178bdbf263ec2a42e32.jpg" TargetMode="External"/><Relationship Id="rId973" Type="http://schemas.openxmlformats.org/officeDocument/2006/relationships/hyperlink" Target="https://product.hstatic.net/200000428801/product/upload_ac2767cda1ed47afbebf2d70e25dd2f9.jpg" TargetMode="External"/><Relationship Id="rId1049" Type="http://schemas.openxmlformats.org/officeDocument/2006/relationships/hyperlink" Target="https://product.hstatic.net/200000428801/product/upload_4a40e8767d594b40b29c6c025e537e2e.jpg" TargetMode="External"/><Relationship Id="rId1256" Type="http://schemas.openxmlformats.org/officeDocument/2006/relationships/hyperlink" Target="https://product.hstatic.net/200000428801/product/upload_cec688405860470e9140004a2d9ae11a.jpg" TargetMode="External"/><Relationship Id="rId2307" Type="http://schemas.openxmlformats.org/officeDocument/2006/relationships/hyperlink" Target="https://product.hstatic.net/200000428801/product/upload_8bda5b344d5f43bba2f82ae34586027e.jpg" TargetMode="External"/><Relationship Id="rId2654" Type="http://schemas.openxmlformats.org/officeDocument/2006/relationships/hyperlink" Target="https://product.hstatic.net/200000428801/product/upload_514dd7c7a23743cfa52b51a836d7cf48.jpg" TargetMode="External"/><Relationship Id="rId2861" Type="http://schemas.openxmlformats.org/officeDocument/2006/relationships/hyperlink" Target="https://product.hstatic.net/200000428801/product/upload_2a195b97d1f14c8c986ccad7756e4bc3.jpg" TargetMode="External"/><Relationship Id="rId3705" Type="http://schemas.openxmlformats.org/officeDocument/2006/relationships/hyperlink" Target="https://cdn2-retail-images.kiotviet.vn/2026/02/07/giabaopharma/4494134914244095a818ceda30285d15.png" TargetMode="External"/><Relationship Id="rId3912" Type="http://schemas.openxmlformats.org/officeDocument/2006/relationships/hyperlink" Target="https://cdn2-retail-images.kiotviet.vn/2025/02/24/giabaopharma/56ac0a06459447f09d344e2e91082e73.jpg" TargetMode="External"/><Relationship Id="rId833" Type="http://schemas.openxmlformats.org/officeDocument/2006/relationships/hyperlink" Target="https://product.hstatic.net/200000428801/product/59f7404b3164ef3ab675_0bf3f5d194db49d28824a89ec9fa75bf.jpg" TargetMode="External"/><Relationship Id="rId1116" Type="http://schemas.openxmlformats.org/officeDocument/2006/relationships/hyperlink" Target="https://product.hstatic.net/200000428801/product/upload_b301dddbb66547e7904da72dbddbe5ce.jpg" TargetMode="External"/><Relationship Id="rId1463" Type="http://schemas.openxmlformats.org/officeDocument/2006/relationships/hyperlink" Target="https://product.hstatic.net/200000428801/product/upload_06ecdf2676da4916857b9238a14f97b1.jpg" TargetMode="External"/><Relationship Id="rId1670" Type="http://schemas.openxmlformats.org/officeDocument/2006/relationships/hyperlink" Target="https://product.hstatic.net/200000428801/product/upload_233c36e2b19f4a8688e523f0de80bd74.jpg" TargetMode="External"/><Relationship Id="rId2514" Type="http://schemas.openxmlformats.org/officeDocument/2006/relationships/hyperlink" Target="https://product.hstatic.net/200000428801/product/upload_c292a6efe2ff49e19749e7afc1ec24d6.jpg" TargetMode="External"/><Relationship Id="rId2721" Type="http://schemas.openxmlformats.org/officeDocument/2006/relationships/hyperlink" Target="https://product.hstatic.net/200000428801/product/upload_bd5152fc0bcc47d488a199d9720a3e76.jpg" TargetMode="External"/><Relationship Id="rId900" Type="http://schemas.openxmlformats.org/officeDocument/2006/relationships/hyperlink" Target="https://product.hstatic.net/200000428801/product/upload_96453344fcea4a418ba00556d4c777a6.jpg" TargetMode="External"/><Relationship Id="rId1323" Type="http://schemas.openxmlformats.org/officeDocument/2006/relationships/hyperlink" Target="https://product.hstatic.net/200000428801/product/upload_363e323ce79d4073acb9adf305e7d2bf.jpg" TargetMode="External"/><Relationship Id="rId1530" Type="http://schemas.openxmlformats.org/officeDocument/2006/relationships/hyperlink" Target="https://product.hstatic.net/200000428801/product/upload_a5019d4cb0b54c4587e5682745ea6f8e.jpg" TargetMode="External"/><Relationship Id="rId3288" Type="http://schemas.openxmlformats.org/officeDocument/2006/relationships/hyperlink" Target="https://product.hstatic.net/200000428801/product/182_64ad9405519c4b11a141c6d9ecf7f5e4.png" TargetMode="External"/><Relationship Id="rId3495" Type="http://schemas.openxmlformats.org/officeDocument/2006/relationships/hyperlink" Target="https://product.hstatic.net/200000428801/product/5fc0554d17784326899f3d33bb5233bf_13672eee37584ecd9c02227db8343cd1.png" TargetMode="External"/><Relationship Id="rId2097" Type="http://schemas.openxmlformats.org/officeDocument/2006/relationships/hyperlink" Target="https://product.hstatic.net/200000428801/product/upload_ed66f430f2af4560a05223ae0b40e4a2.jpg" TargetMode="External"/><Relationship Id="rId3148" Type="http://schemas.openxmlformats.org/officeDocument/2006/relationships/hyperlink" Target="https://product.hstatic.net/200000428801/product/8a99a940a1de4dd589e67026b331caca_d979dd96a475415e9e2ec24c4e34192c.jpg" TargetMode="External"/><Relationship Id="rId3355" Type="http://schemas.openxmlformats.org/officeDocument/2006/relationships/hyperlink" Target="https://product.hstatic.net/200000428801/product/997ec0bd137e44e2b5aad2ccc5007172_6d02939cf4ae478ea2161f4baf765c4b.png" TargetMode="External"/><Relationship Id="rId3562" Type="http://schemas.openxmlformats.org/officeDocument/2006/relationships/hyperlink" Target="https://product.hstatic.net/200000428801/product/vien_1_0bc1a1977f6a4d8b884224559bbf68dd.jpg" TargetMode="External"/><Relationship Id="rId276" Type="http://schemas.openxmlformats.org/officeDocument/2006/relationships/hyperlink" Target="https://cdn2-retail-images.kiotviet.vn/giabaopharma/393eeb8a121248c6a66c7edd20b93c7d.png,https:/cdn2-retail-images.kiotviet.vn/giabaopharma/f3ea269b7d9148e79afafc0e510b0648.png,https:/cdn2-retail-images.kiotviet.vn/giabaopharma/374604ce8f1b481fb4282e835df048b3.png,https:/cdn2-retail-images.kiotviet.vn/giabaopharma/f10ea56180fa4fdea9c2941f39195c41.png,https:/cdn2-retail-images.kiotviet.vn/giabaopharma/f7eaf61a61874fb292e02b4b28f8d3b0.png" TargetMode="External"/><Relationship Id="rId483" Type="http://schemas.openxmlformats.org/officeDocument/2006/relationships/hyperlink" Target="https://product.hstatic.net/200000428801/product/upload_98763cb824ae4f74814daa683938045c.jpg" TargetMode="External"/><Relationship Id="rId690" Type="http://schemas.openxmlformats.org/officeDocument/2006/relationships/hyperlink" Target="https://product.hstatic.net/200000428801/product/upload_e300b6cb895d4189b6d8f9b536ad6d47.jpg" TargetMode="External"/><Relationship Id="rId2164" Type="http://schemas.openxmlformats.org/officeDocument/2006/relationships/hyperlink" Target="https://product.hstatic.net/200000428801/product/upload_5716c620fcaa48d7b1cf76c6856f6766.jpg" TargetMode="External"/><Relationship Id="rId2371" Type="http://schemas.openxmlformats.org/officeDocument/2006/relationships/hyperlink" Target="https://product.hstatic.net/200000428801/product/upload_70c6deedb24f4566b34f1c25554f38fc.jpg" TargetMode="External"/><Relationship Id="rId3008" Type="http://schemas.openxmlformats.org/officeDocument/2006/relationships/hyperlink" Target="https://product.hstatic.net/200000428801/product/upload_4c4b0ffd2bf24c87947d6b66e5735c57.jpg" TargetMode="External"/><Relationship Id="rId3215" Type="http://schemas.openxmlformats.org/officeDocument/2006/relationships/hyperlink" Target="https://product.hstatic.net/200000428801/product/f791b9fa81d749f795c090c42dcc49c6_0a7f95c4d7d649a3adb7bddfdb11f487.png" TargetMode="External"/><Relationship Id="rId3422" Type="http://schemas.openxmlformats.org/officeDocument/2006/relationships/hyperlink" Target="https://product.hstatic.net/200000428801/product/e2a41ebf290c45c38ff76d3ef98cfa9f_d1f024e22b53450a95721e1543731d02.png" TargetMode="External"/><Relationship Id="rId136" Type="http://schemas.openxmlformats.org/officeDocument/2006/relationships/hyperlink" Target="https://cdn2-retail-images.kiotviet.vn/2025/05/29/giabaopharma/34f7ff97fd734e16881fb2890a43e233.jpg,https:/cdn2-retail-images.kiotviet.vn/2025/05/29/giabaopharma/21540a83a7b54fe4a1cd1cfda09e88c8.jpg,https:/cdn2-retail-images.kiotviet.vn/2025/05/29/giabaopharma/593b4aa2937e413da859b5a9606f4346.jpg,https:/cdn2-retail-images.kiotviet.vn/2025/05/29/giabaopharma/6e7dc2a3d4af4e98aa72bebbab734681.jpg" TargetMode="External"/><Relationship Id="rId343" Type="http://schemas.openxmlformats.org/officeDocument/2006/relationships/hyperlink" Target="https://product.hstatic.net/200000428801/product/upload_263df627927c4de2877998db0ea305c7.jpg" TargetMode="External"/><Relationship Id="rId550" Type="http://schemas.openxmlformats.org/officeDocument/2006/relationships/hyperlink" Target="https://product.hstatic.net/200000428801/product/upload_0218362bf0d8465c8c9524068a7e3819.jpg" TargetMode="External"/><Relationship Id="rId1180" Type="http://schemas.openxmlformats.org/officeDocument/2006/relationships/hyperlink" Target="https://product.hstatic.net/200000428801/product/78_575232c24ecb422f862058dc4723feba.png" TargetMode="External"/><Relationship Id="rId2024" Type="http://schemas.openxmlformats.org/officeDocument/2006/relationships/hyperlink" Target="https://product.hstatic.net/200000428801/product/512_93fd3c5881db4937a4d94709b9bfd085.png" TargetMode="External"/><Relationship Id="rId2231" Type="http://schemas.openxmlformats.org/officeDocument/2006/relationships/hyperlink" Target="https://product.hstatic.net/200000428801/product/upload_c1b70cbe45e7400187aab57c219396b2.jpg" TargetMode="External"/><Relationship Id="rId203" Type="http://schemas.openxmlformats.org/officeDocument/2006/relationships/hyperlink" Target="https://cdn2-retail-images.kiotviet.vn/2025/02/25/giabaopharma/82c9d8c038454de4a620199bcf15a6ce.jpg" TargetMode="External"/><Relationship Id="rId1040" Type="http://schemas.openxmlformats.org/officeDocument/2006/relationships/hyperlink" Target="https://product.hstatic.net/200000428801/product/upload_ac68cda7ee0842fcac446fdba5984ffb.jpg" TargetMode="External"/><Relationship Id="rId410" Type="http://schemas.openxmlformats.org/officeDocument/2006/relationships/hyperlink" Target="https://product.hstatic.net/200000428801/product/upload_45a324a8261e4f38b3697a7f64f9b496.jpg" TargetMode="External"/><Relationship Id="rId1997" Type="http://schemas.openxmlformats.org/officeDocument/2006/relationships/hyperlink" Target="https://product.hstatic.net/200000428801/product/509_7d0cae9dfcff4be6a2128981f802a5ac.png" TargetMode="External"/><Relationship Id="rId1857" Type="http://schemas.openxmlformats.org/officeDocument/2006/relationships/hyperlink" Target="https://product.hstatic.net/200000428801/product/upload_745ff9b871f24e2a8b159e209dd76b6d.jpg" TargetMode="External"/><Relationship Id="rId2908" Type="http://schemas.openxmlformats.org/officeDocument/2006/relationships/hyperlink" Target="https://product.hstatic.net/200000428801/product/upload_48a9fac15d3f46db81b7fbc4cb4fcd53.jpg" TargetMode="External"/><Relationship Id="rId1717" Type="http://schemas.openxmlformats.org/officeDocument/2006/relationships/hyperlink" Target="https://product.hstatic.net/200000428801/product/upload_5b15eb5972bb4dc98cd1d25c80ea5803.jpg" TargetMode="External"/><Relationship Id="rId1924" Type="http://schemas.openxmlformats.org/officeDocument/2006/relationships/hyperlink" Target="https://product.hstatic.net/200000428801/product/532_9af609b321fc42b38437f5cc8a43ab64.png" TargetMode="External"/><Relationship Id="rId3072" Type="http://schemas.openxmlformats.org/officeDocument/2006/relationships/hyperlink" Target="https://product.hstatic.net/200000428801/product/upload_cfe9e1809f4440369b0d5ec61f2fed8d.jpg" TargetMode="External"/><Relationship Id="rId3889" Type="http://schemas.openxmlformats.org/officeDocument/2006/relationships/hyperlink" Target="https://product.hstatic.net/200000428801/product/4a906b887a5abb04e24b_773bc69be799410f84c485f1a343f059.jpg" TargetMode="External"/><Relationship Id="rId2698" Type="http://schemas.openxmlformats.org/officeDocument/2006/relationships/hyperlink" Target="https://product.hstatic.net/200000428801/product/upload_b3fe1a65c1f741a493efc90eccf16707.jpg" TargetMode="External"/><Relationship Id="rId3749" Type="http://schemas.openxmlformats.org/officeDocument/2006/relationships/hyperlink" Target="https://product.hstatic.net/200000428801/product/thuoc-lorfact-d-5mg__d07d5e1af45b49e5a739fe251f0276a7.jpg" TargetMode="External"/><Relationship Id="rId3956" Type="http://schemas.openxmlformats.org/officeDocument/2006/relationships/hyperlink" Target="https://cdn1-retail-images.kiotviet.vn/2026/01/09/giabaopharma/f8758d995596476cb5c615029dca8f94.jpg" TargetMode="External"/><Relationship Id="rId877" Type="http://schemas.openxmlformats.org/officeDocument/2006/relationships/hyperlink" Target="https://product.hstatic.net/200000428801/product/upload_db801e9b6ce142a1881afb4ccd97bc3b.jpg" TargetMode="External"/><Relationship Id="rId2558" Type="http://schemas.openxmlformats.org/officeDocument/2006/relationships/hyperlink" Target="https://product.hstatic.net/200000428801/product/upload_9db31262e63f4b1586c01472b1606efd.jpg" TargetMode="External"/><Relationship Id="rId2765" Type="http://schemas.openxmlformats.org/officeDocument/2006/relationships/hyperlink" Target="https://product.hstatic.net/200000428801/product/upload_caa31aa780da4b4eaa4d14cb55748bbc.jpg" TargetMode="External"/><Relationship Id="rId2972" Type="http://schemas.openxmlformats.org/officeDocument/2006/relationships/hyperlink" Target="https://product.hstatic.net/200000428801/product/upload_38d52dee744e4ac68d936987a92a1c7f.jpg" TargetMode="External"/><Relationship Id="rId3609" Type="http://schemas.openxmlformats.org/officeDocument/2006/relationships/hyperlink" Target="https://product.hstatic.net/200000428801/product/6cc0c7526087a5d9fc96_540f61d2088a44e3833189aab462eeda.jpg" TargetMode="External"/><Relationship Id="rId3816" Type="http://schemas.openxmlformats.org/officeDocument/2006/relationships/hyperlink" Target="https://product.hstatic.net/200000428801/product/e776fa50994755190c56_c25bfd48db31452bb08d5f0882f1b5bb.jpg" TargetMode="External"/><Relationship Id="rId737" Type="http://schemas.openxmlformats.org/officeDocument/2006/relationships/hyperlink" Target="https://product.hstatic.net/200000428801/product/107_dc7c3895c56c4590bfd1804472b6e54c.png" TargetMode="External"/><Relationship Id="rId944" Type="http://schemas.openxmlformats.org/officeDocument/2006/relationships/hyperlink" Target="https://product.hstatic.net/200000428801/product/upload_ce1672c92ef147a295522423c92b2474.jpg" TargetMode="External"/><Relationship Id="rId1367" Type="http://schemas.openxmlformats.org/officeDocument/2006/relationships/hyperlink" Target="https://product.hstatic.net/200000428801/product/upload_87cce81d88c84129b35894ddf3b9ee8f.jpg" TargetMode="External"/><Relationship Id="rId1574" Type="http://schemas.openxmlformats.org/officeDocument/2006/relationships/hyperlink" Target="https://cdn2-retail-images.kiotviet.vn/giabaopharma/d1ea5fc2eda04b20a14b1b5b599499b8.jpg" TargetMode="External"/><Relationship Id="rId1781" Type="http://schemas.openxmlformats.org/officeDocument/2006/relationships/hyperlink" Target="https://product.hstatic.net/200000428801/product/upload_13fe8c4ab4aa456894657e2d2e8d844f.jpg" TargetMode="External"/><Relationship Id="rId2418" Type="http://schemas.openxmlformats.org/officeDocument/2006/relationships/hyperlink" Target="https://product.hstatic.net/200000428801/product/upload_93e5a7cdf18c45d0add02339ea15b8e1.jpg" TargetMode="External"/><Relationship Id="rId2625" Type="http://schemas.openxmlformats.org/officeDocument/2006/relationships/hyperlink" Target="https://product.hstatic.net/200000428801/product/upload_b2ea271e42bf49b68e8fe11f64776906.jpg" TargetMode="External"/><Relationship Id="rId2832" Type="http://schemas.openxmlformats.org/officeDocument/2006/relationships/hyperlink" Target="https://product.hstatic.net/200000428801/product/upload_4f87027368b746728e6f20688060106e.jpg" TargetMode="External"/><Relationship Id="rId73" Type="http://schemas.openxmlformats.org/officeDocument/2006/relationships/hyperlink" Target="https://i.postimg.cc/1tRfLkr1/eb94ff50e6eb43869c6748e58cbf0dd5.jpg" TargetMode="External"/><Relationship Id="rId804" Type="http://schemas.openxmlformats.org/officeDocument/2006/relationships/hyperlink" Target="https://product.hstatic.net/200000428801/product/upload_b8c574add8ec43888ff1b280721ca241.jpg" TargetMode="External"/><Relationship Id="rId1227" Type="http://schemas.openxmlformats.org/officeDocument/2006/relationships/hyperlink" Target="https://product.hstatic.net/200000428801/product/upload_d3e42732c7c84a61bb212778c2639bb7.jpg" TargetMode="External"/><Relationship Id="rId1434" Type="http://schemas.openxmlformats.org/officeDocument/2006/relationships/hyperlink" Target="https://product.hstatic.net/200000428801/product/2aacb30ac8f914a74de8_ffc67df314ea433a8f0413df01bcb5bb.jpg" TargetMode="External"/><Relationship Id="rId1641" Type="http://schemas.openxmlformats.org/officeDocument/2006/relationships/hyperlink" Target="https://product.hstatic.net/200000428801/product/12_fb331feeb73448f6a26a480248590010.png" TargetMode="External"/><Relationship Id="rId1501" Type="http://schemas.openxmlformats.org/officeDocument/2006/relationships/hyperlink" Target="https://product.hstatic.net/200000428801/product/upload_4c89ca642442485588e487f4b17297ff.jpg" TargetMode="External"/><Relationship Id="rId3399" Type="http://schemas.openxmlformats.org/officeDocument/2006/relationships/hyperlink" Target="https://product.hstatic.net/200000428801/product/9fab3307dd1746a398b44ce3ac8b1350_1da266185b5e4acf842a1a82a3855948.png" TargetMode="External"/><Relationship Id="rId3259" Type="http://schemas.openxmlformats.org/officeDocument/2006/relationships/hyperlink" Target="https://product.hstatic.net/200000428801/product/5c13e52654bf41dfae70217e8cfd3021_f8fd6286ec44400c8e5d80f7aecac948.png" TargetMode="External"/><Relationship Id="rId3466" Type="http://schemas.openxmlformats.org/officeDocument/2006/relationships/hyperlink" Target="https://product.hstatic.net/200000428801/product/0b4382169f6e42e795670d3f3feb098e_8db7cf738261488583a87a6da2497a3a.png" TargetMode="External"/><Relationship Id="rId387" Type="http://schemas.openxmlformats.org/officeDocument/2006/relationships/hyperlink" Target="https://product.hstatic.net/200000428801/product/23_e693ebaa9c5b47a095aa10b9114b1fa8.png" TargetMode="External"/><Relationship Id="rId594" Type="http://schemas.openxmlformats.org/officeDocument/2006/relationships/hyperlink" Target="https://product.hstatic.net/200000428801/product/upload_b6ea22185f2448308b9bac5da10426b5.jpg" TargetMode="External"/><Relationship Id="rId2068" Type="http://schemas.openxmlformats.org/officeDocument/2006/relationships/hyperlink" Target="https://product.hstatic.net/200000428801/product/upload_5c88d1c4d87e4a5a9bf9b4a9cd372148.jpg" TargetMode="External"/><Relationship Id="rId2275" Type="http://schemas.openxmlformats.org/officeDocument/2006/relationships/hyperlink" Target="https://product.hstatic.net/200000428801/product/upload_19c26815f3b34344954c5c45f01f2098.jpg" TargetMode="External"/><Relationship Id="rId3119" Type="http://schemas.openxmlformats.org/officeDocument/2006/relationships/hyperlink" Target="https://product.hstatic.net/200000428801/product/d55a246ce0b24af0ad37dc5fa1f9208f_b2db4bb9c4604f56b9c78d3f63a79c71.png" TargetMode="External"/><Relationship Id="rId3326" Type="http://schemas.openxmlformats.org/officeDocument/2006/relationships/hyperlink" Target="https://product.hstatic.net/200000428801/product/87e99c6294764fb2aa69079483b981eb_b336faa148c24b728fbf188f78e62ac3.png" TargetMode="External"/><Relationship Id="rId3673" Type="http://schemas.openxmlformats.org/officeDocument/2006/relationships/hyperlink" Target="https://product.hstatic.net/200000428801/product/pamatase_methylprednisolone_sodium_40mg_hop_10_lo_tiem_han_quoc_86a78d99fa4749abb1ead533b948dce9.jpg" TargetMode="External"/><Relationship Id="rId3880" Type="http://schemas.openxmlformats.org/officeDocument/2006/relationships/hyperlink" Target="https://product.hstatic.net/200000428801/product/e6678cfcf85b37056e4a_d6fbf756938c4831ac044a33ac4cf2a9.png" TargetMode="External"/><Relationship Id="rId247" Type="http://schemas.openxmlformats.org/officeDocument/2006/relationships/hyperlink" Target="https://cdn2-retail-images.kiotviet.vn/giabaopharma/71351b9ec4094544be412ffa19a12bd0.jpg,https:/cdn-images.kiotviet.vn/giabaopharma/fc6a671f55864c6fa81be7822705ac49.jpg,https:/cdn-images.kiotviet.vn/giabaopharma/755c83cefa164b269abc0dd9d2eb378e.jpg,https:/cdn-images.kiotviet.vn/giabaopharma/bca8e134b47848e3bde662b6e808d180.jpg,https:/cdn-images.kiotviet.vn/giabaopharma/2ae226c463fc4fc5829f8342022ec372.jpg" TargetMode="External"/><Relationship Id="rId1084" Type="http://schemas.openxmlformats.org/officeDocument/2006/relationships/hyperlink" Target="https://product.hstatic.net/200000428801/product/upload_23b184b755054a96bc3907aa16becc80.jpg" TargetMode="External"/><Relationship Id="rId2482" Type="http://schemas.openxmlformats.org/officeDocument/2006/relationships/hyperlink" Target="https://product.hstatic.net/200000428801/product/upload_dd90e3f69fe94077bac15fa079e8137a.jpg" TargetMode="External"/><Relationship Id="rId3533" Type="http://schemas.openxmlformats.org/officeDocument/2006/relationships/hyperlink" Target="https://product.hstatic.net/200000428801/product/2fb9c9bd8a3840661929_3ad2b8c3883c4df4997be988c23e5747.jpg" TargetMode="External"/><Relationship Id="rId3740" Type="http://schemas.openxmlformats.org/officeDocument/2006/relationships/hyperlink" Target="https://product.hstatic.net/200000428801/product/zalo_screenshot_18_11_2021_829748_19eec616ba29498eb5414a2dcc6ca69c.png" TargetMode="External"/><Relationship Id="rId107" Type="http://schemas.openxmlformats.org/officeDocument/2006/relationships/hyperlink" Target="https://cdn2-retail-images.kiotviet.vn/2025/04/01/giabaopharma/508eab09250248af95a5852d6ce22ef9.jpg" TargetMode="External"/><Relationship Id="rId454" Type="http://schemas.openxmlformats.org/officeDocument/2006/relationships/hyperlink" Target="https://product.hstatic.net/200000428801/product/9_9daf1570b8c14f95827f9c016ffd2941.png" TargetMode="External"/><Relationship Id="rId661" Type="http://schemas.openxmlformats.org/officeDocument/2006/relationships/hyperlink" Target="https://product.hstatic.net/200000428801/product/upload_e871ae270ff04890b722de837ed48764.jpg" TargetMode="External"/><Relationship Id="rId1291" Type="http://schemas.openxmlformats.org/officeDocument/2006/relationships/hyperlink" Target="https://product.hstatic.net/200000428801/product/upload_4e360f1c43484fb7a64f32df6a5716b0.jpg" TargetMode="External"/><Relationship Id="rId2135" Type="http://schemas.openxmlformats.org/officeDocument/2006/relationships/hyperlink" Target="https://cdn2-retail-images.kiotviet.vn/giabaopharma/88ff49db9c8b4a75ba24a46bed1a225b.jpg" TargetMode="External"/><Relationship Id="rId2342" Type="http://schemas.openxmlformats.org/officeDocument/2006/relationships/hyperlink" Target="https://product.hstatic.net/200000428801/product/upload_6240cdba141e4018b81be1c4bb4d4ea4.jpg" TargetMode="External"/><Relationship Id="rId3600" Type="http://schemas.openxmlformats.org/officeDocument/2006/relationships/hyperlink" Target="https://product.hstatic.net/200000428801/product/8f41375b4bde8180d8cf_9a0f669f4dab43d6a6878d6f9d5fc2cf.jpg" TargetMode="External"/><Relationship Id="rId314" Type="http://schemas.openxmlformats.org/officeDocument/2006/relationships/hyperlink" Target="https://product.hstatic.net/200000428801/product/upload_3c59f12ab0fb4fbdaa2d2520ac88dae5.jpg" TargetMode="External"/><Relationship Id="rId521" Type="http://schemas.openxmlformats.org/officeDocument/2006/relationships/hyperlink" Target="https://product.hstatic.net/200000428801/product/upload_f4a8343a2bc344e4a1f01b594edd5593.jpg" TargetMode="External"/><Relationship Id="rId1151" Type="http://schemas.openxmlformats.org/officeDocument/2006/relationships/hyperlink" Target="https://product.hstatic.net/200000428801/product/82_c80edca15cf242578e0eadb3fa57b430.png" TargetMode="External"/><Relationship Id="rId2202" Type="http://schemas.openxmlformats.org/officeDocument/2006/relationships/hyperlink" Target="https://product.hstatic.net/200000428801/product/upload_0721b54fcccb470c8ce46d1d455b795d.jpg" TargetMode="External"/><Relationship Id="rId1011" Type="http://schemas.openxmlformats.org/officeDocument/2006/relationships/hyperlink" Target="https://product.hstatic.net/200000428801/product/upload_c7d168d414a4400da1c4f6fb9bd13f92.jpg" TargetMode="External"/><Relationship Id="rId1968" Type="http://schemas.openxmlformats.org/officeDocument/2006/relationships/hyperlink" Target="https://product.hstatic.net/200000428801/product/a5923c277e164d4ab8921f43bc2c198c_4773d058afb347d5a7d9bc7ee04ca555.png" TargetMode="External"/><Relationship Id="rId3183" Type="http://schemas.openxmlformats.org/officeDocument/2006/relationships/hyperlink" Target="https://product.hstatic.net/200000428801/product/f428d3ea52fb4a31b51ccb214debf377_fb8dbcfcdada4feea05d7fb6690c31f0.jpg" TargetMode="External"/><Relationship Id="rId3390" Type="http://schemas.openxmlformats.org/officeDocument/2006/relationships/hyperlink" Target="https://product.hstatic.net/200000428801/product/0f9b6df0b4f94ec5ab5c51b5c7185cf2_5b6f83ba6ae048e6b61c2ccb68512a1d.png" TargetMode="External"/><Relationship Id="rId4027" Type="http://schemas.openxmlformats.org/officeDocument/2006/relationships/hyperlink" Target="https://product.hstatic.net/200000428801/product/b8671c839f23517d0832_1e48b536d37a4dab9c48fd22fec9c8cc.jpg" TargetMode="External"/><Relationship Id="rId1828" Type="http://schemas.openxmlformats.org/officeDocument/2006/relationships/hyperlink" Target="https://product.hstatic.net/200000428801/product/upload_f7edc5fee0144d4b808956b60ab45cfd.jpg" TargetMode="External"/><Relationship Id="rId3043" Type="http://schemas.openxmlformats.org/officeDocument/2006/relationships/hyperlink" Target="https://product.hstatic.net/200000428801/product/upload_d61d0c6588384e89afc684e07775bc81.jpg" TargetMode="External"/><Relationship Id="rId3250" Type="http://schemas.openxmlformats.org/officeDocument/2006/relationships/hyperlink" Target="https://product.hstatic.net/200000428801/product/6865589889e046598a373251dff63c49_dd37a153f6ba4d89ae5e513911103133.png" TargetMode="External"/><Relationship Id="rId171" Type="http://schemas.openxmlformats.org/officeDocument/2006/relationships/hyperlink" Target="https://cdn-images.kiotviet.vn/2024/12/18/giabaopharma/0cf8054e3f7e4a49ae37bf15010e7fc3.jpg" TargetMode="External"/><Relationship Id="rId3110" Type="http://schemas.openxmlformats.org/officeDocument/2006/relationships/hyperlink" Target="https://cdn2-retail-images.kiotviet.vn/2024/12/27/giabaopharma/fddb7760f223465a942b7666a91bb254.jpg" TargetMode="External"/><Relationship Id="rId988" Type="http://schemas.openxmlformats.org/officeDocument/2006/relationships/hyperlink" Target="https://product.hstatic.net/200000428801/product/upload_7d58e62490fc402994fa01b95b2e3569.jpg" TargetMode="External"/><Relationship Id="rId2669" Type="http://schemas.openxmlformats.org/officeDocument/2006/relationships/hyperlink" Target="https://product.hstatic.net/200000428801/product/upload_87f5f0e283f24acc9d7ebcedada04cc5.jpg" TargetMode="External"/><Relationship Id="rId2876" Type="http://schemas.openxmlformats.org/officeDocument/2006/relationships/hyperlink" Target="https://product.hstatic.net/200000428801/product/upload_291511db1a4a4a9781c8a50fdac7d058.jpg" TargetMode="External"/><Relationship Id="rId3927" Type="http://schemas.openxmlformats.org/officeDocument/2006/relationships/hyperlink" Target="https://cdn2-retail-images.kiotviet.vn/2025/08/01/giabaopharma/985937bd694448b986d4c649150e6545.jpg" TargetMode="External"/><Relationship Id="rId848" Type="http://schemas.openxmlformats.org/officeDocument/2006/relationships/hyperlink" Target="https://product.hstatic.net/200000428801/product/upload_9dc93197b10842ec9db8a81c8956a029.jpg" TargetMode="External"/><Relationship Id="rId1478" Type="http://schemas.openxmlformats.org/officeDocument/2006/relationships/hyperlink" Target="https://product.hstatic.net/200000428801/product/upload_bea33c75052b48b7ab20708431f282a8.jpg" TargetMode="External"/><Relationship Id="rId1685" Type="http://schemas.openxmlformats.org/officeDocument/2006/relationships/hyperlink" Target="https://product.hstatic.net/200000428801/product/upload_0dce4c2d87b249f5b1885103746bde89.jpg" TargetMode="External"/><Relationship Id="rId1892" Type="http://schemas.openxmlformats.org/officeDocument/2006/relationships/hyperlink" Target="https://product.hstatic.net/200000428801/product/upload_4f705b6610b24b18b14a40d7d71e325c.jpg" TargetMode="External"/><Relationship Id="rId2529" Type="http://schemas.openxmlformats.org/officeDocument/2006/relationships/hyperlink" Target="https://product.hstatic.net/200000428801/product/upload_826d1cbeb51e403a81a9127dceeacced.jpg" TargetMode="External"/><Relationship Id="rId2736" Type="http://schemas.openxmlformats.org/officeDocument/2006/relationships/hyperlink" Target="https://product.hstatic.net/200000428801/product/upload_825de6c47b224c82a7a0143237e5b112.jpg" TargetMode="External"/><Relationship Id="rId708" Type="http://schemas.openxmlformats.org/officeDocument/2006/relationships/hyperlink" Target="https://product.hstatic.net/200000428801/product/upload_4e604d4792d64dc49e3891ab09694b6f.jpg" TargetMode="External"/><Relationship Id="rId915" Type="http://schemas.openxmlformats.org/officeDocument/2006/relationships/hyperlink" Target="https://product.hstatic.net/200000428801/product/upload_2898d085ac354ce09a59ce0e384bf838.jpg" TargetMode="External"/><Relationship Id="rId1338" Type="http://schemas.openxmlformats.org/officeDocument/2006/relationships/hyperlink" Target="https://product.hstatic.net/200000428801/product/upload_7060e90d6e7b41fa82df9e09f81c6d48.jpg" TargetMode="External"/><Relationship Id="rId1545" Type="http://schemas.openxmlformats.org/officeDocument/2006/relationships/hyperlink" Target="https://product.hstatic.net/200000428801/product/f03ffc1d51218d7fd430_e539b809771e488c866f1a45bcee68c6.jpg" TargetMode="External"/><Relationship Id="rId2943" Type="http://schemas.openxmlformats.org/officeDocument/2006/relationships/hyperlink" Target="https://product.hstatic.net/200000428801/product/352_02d8bff4318f4ae98ade94646a6d9a82.png" TargetMode="External"/><Relationship Id="rId1405" Type="http://schemas.openxmlformats.org/officeDocument/2006/relationships/hyperlink" Target="https://product.hstatic.net/200000428801/product/upload_1118795806e346ddb0dea2658b461b6b.jpg" TargetMode="External"/><Relationship Id="rId1752" Type="http://schemas.openxmlformats.org/officeDocument/2006/relationships/hyperlink" Target="https://product.hstatic.net/200000428801/product/upload_9939776dec7f497ba67b132189accfb9.jpg" TargetMode="External"/><Relationship Id="rId2803" Type="http://schemas.openxmlformats.org/officeDocument/2006/relationships/hyperlink" Target="https://product.hstatic.net/200000428801/product/upload_78f52022fb1540b09316ccf9eec48948.jpg" TargetMode="External"/><Relationship Id="rId44" Type="http://schemas.openxmlformats.org/officeDocument/2006/relationships/hyperlink" Target="https://i.postimg.cc/QN0pxbFS/3432728936254009a571a5db22edf988.jpg" TargetMode="External"/><Relationship Id="rId1612" Type="http://schemas.openxmlformats.org/officeDocument/2006/relationships/hyperlink" Target="https://product.hstatic.net/200000428801/product/upload_1cc7f563c55e42f9b075e3b411b59127.jpg" TargetMode="External"/><Relationship Id="rId498" Type="http://schemas.openxmlformats.org/officeDocument/2006/relationships/hyperlink" Target="https://product.hstatic.net/200000428801/product/upload_b534e9e0dc8147d4a4fa5e4e50ef1195.jpg" TargetMode="External"/><Relationship Id="rId2179" Type="http://schemas.openxmlformats.org/officeDocument/2006/relationships/hyperlink" Target="https://product.hstatic.net/200000428801/product/upload_4fa19d24a90146458688552d5161a819.jpg" TargetMode="External"/><Relationship Id="rId3577" Type="http://schemas.openxmlformats.org/officeDocument/2006/relationships/hyperlink" Target="https://cdn2-retail-images.kiotviet.vn/2026/03/31/giabaopharma/5dd69fa4aefe48fb9c02e9d85df94855.jpg" TargetMode="External"/><Relationship Id="rId3784" Type="http://schemas.openxmlformats.org/officeDocument/2006/relationships/hyperlink" Target="https://product.hstatic.net/200000428801/product/cc661fbbfe4c3d12645d_f29cbb9fac6447a3a3233ef077f472af.jpg" TargetMode="External"/><Relationship Id="rId3991" Type="http://schemas.openxmlformats.org/officeDocument/2006/relationships/hyperlink" Target="https://product.hstatic.net/200000428801/product/5eadf94e1013de4d8702_855a6fc93edc4d59bddf9131cfddd3db.png" TargetMode="External"/><Relationship Id="rId2386" Type="http://schemas.openxmlformats.org/officeDocument/2006/relationships/hyperlink" Target="https://product.hstatic.net/200000428801/product/upload_1f4950e2b6254cccbf69a2fb769d0c15.jpg" TargetMode="External"/><Relationship Id="rId2593" Type="http://schemas.openxmlformats.org/officeDocument/2006/relationships/hyperlink" Target="https://product.hstatic.net/200000428801/product/upload_9ea0494b9fc54aed9f99a6cdbcec9c4b.jpg" TargetMode="External"/><Relationship Id="rId3437" Type="http://schemas.openxmlformats.org/officeDocument/2006/relationships/hyperlink" Target="https://product.hstatic.net/200000428801/product/01b14b671bc9429faf2ae6632fd521f2_59d2e47888b54d1aaa577547c209b062.png" TargetMode="External"/><Relationship Id="rId3644" Type="http://schemas.openxmlformats.org/officeDocument/2006/relationships/hyperlink" Target="https://product.hstatic.net/200000428801/product/zalo_screenshot_18_11_2021_94539_e2a6114d3f4949b88d6eb16ac96ef92f.png" TargetMode="External"/><Relationship Id="rId3851" Type="http://schemas.openxmlformats.org/officeDocument/2006/relationships/hyperlink" Target="https://product.hstatic.net/200000428801/product/b0691a8a6f2ba175f83a_55e005f9bbaf472e8bc9b997b580cf72.jpg" TargetMode="External"/><Relationship Id="rId358" Type="http://schemas.openxmlformats.org/officeDocument/2006/relationships/hyperlink" Target="https://product.hstatic.net/200000428801/product/upload_e9ba494d696e4e129260805ff252b89e.jpg" TargetMode="External"/><Relationship Id="rId565" Type="http://schemas.openxmlformats.org/officeDocument/2006/relationships/hyperlink" Target="https://product.hstatic.net/200000428801/product/upload_6d4338527de74a6aa382c8bc4d27e9c8.jpg" TargetMode="External"/><Relationship Id="rId772" Type="http://schemas.openxmlformats.org/officeDocument/2006/relationships/hyperlink" Target="https://product.hstatic.net/200000428801/product/upload_ae4e5e99550542acb8a52a32df47b390.jpg" TargetMode="External"/><Relationship Id="rId1195" Type="http://schemas.openxmlformats.org/officeDocument/2006/relationships/hyperlink" Target="https://product.hstatic.net/200000428801/product/upload_a7bdde1780d04ad18b27f717eaa8e4a7.jpg" TargetMode="External"/><Relationship Id="rId2039" Type="http://schemas.openxmlformats.org/officeDocument/2006/relationships/hyperlink" Target="https://product.hstatic.net/200000428801/product/upload_d105385ebc7445688924cfeeb6e8dc4a.jpg" TargetMode="External"/><Relationship Id="rId2246" Type="http://schemas.openxmlformats.org/officeDocument/2006/relationships/hyperlink" Target="https://product.hstatic.net/200000428801/product/upload_b024201ae4844f6498ecb80c8259c888.jpg" TargetMode="External"/><Relationship Id="rId2453" Type="http://schemas.openxmlformats.org/officeDocument/2006/relationships/hyperlink" Target="https://product.hstatic.net/200000428801/product/421_dc2dbafd9bc649ea961c1bccaee2a74a.png" TargetMode="External"/><Relationship Id="rId2660" Type="http://schemas.openxmlformats.org/officeDocument/2006/relationships/hyperlink" Target="https://product.hstatic.net/200000428801/product/upload_1d114cb0d1324b0590b4ee294d6086b5.jpg" TargetMode="External"/><Relationship Id="rId3504" Type="http://schemas.openxmlformats.org/officeDocument/2006/relationships/hyperlink" Target="https://product.hstatic.net/200000428801/product/11_02481be15af949da98047ba5de318f0a.png" TargetMode="External"/><Relationship Id="rId3711" Type="http://schemas.openxmlformats.org/officeDocument/2006/relationships/hyperlink" Target="https://cdn2-retail-images.kiotviet.vn/2025/10/23/giabaopharma/885dbc703cd04d239b96173ae3f03b46.png" TargetMode="External"/><Relationship Id="rId218" Type="http://schemas.openxmlformats.org/officeDocument/2006/relationships/hyperlink" Target="https://cdn2-retail-images.kiotviet.vn/giabaopharma/090509eb1c5a4b7193190350630be6b8.jpg,https:/cdn2-retail-images.kiotviet.vn/giabaopharma/5aba60d8bd1a4348ba1c60d1103022ab.jpg,https:/cdn2-retail-images.kiotviet.vn/giabaopharma/3e81bd19cc5d47f5a7e596ae9d39a4d9.jpg,https:/cdn2-retail-images.kiotviet.vn/giabaopharma/15f99b729f6049f3a59544e90805a44a.jpg,https:/cdn2-retail-images.kiotviet.vn/giabaopharma/abb4391a19b549a9b1b8b372a8d4a59c.jpg" TargetMode="External"/><Relationship Id="rId425" Type="http://schemas.openxmlformats.org/officeDocument/2006/relationships/hyperlink" Target="https://product.hstatic.net/200000428801/product/377_bdaedc41fc8d4281bd32fda51e652cdc.png" TargetMode="External"/><Relationship Id="rId632" Type="http://schemas.openxmlformats.org/officeDocument/2006/relationships/hyperlink" Target="https://product.hstatic.net/200000428801/product/upload_ea9f2978405e4d559f956ade93de7100.jpg" TargetMode="External"/><Relationship Id="rId1055" Type="http://schemas.openxmlformats.org/officeDocument/2006/relationships/hyperlink" Target="https://product.hstatic.net/200000428801/product/upload_b697d7eeaf884bbbb0ceed216ff7026d.jpg" TargetMode="External"/><Relationship Id="rId1262" Type="http://schemas.openxmlformats.org/officeDocument/2006/relationships/hyperlink" Target="https://product.hstatic.net/200000428801/product/upload_644b0b6d72354429af4302e1c9f4c03a.jpg" TargetMode="External"/><Relationship Id="rId2106" Type="http://schemas.openxmlformats.org/officeDocument/2006/relationships/hyperlink" Target="https://product.hstatic.net/200000428801/product/upload_d2ce98b0725c49b6b541f9f7617406e2.jpg" TargetMode="External"/><Relationship Id="rId2313" Type="http://schemas.openxmlformats.org/officeDocument/2006/relationships/hyperlink" Target="https://product.hstatic.net/200000428801/product/upload_e5d7a30fb0a74b44b455d1c6a3f7e8d2.jpg" TargetMode="External"/><Relationship Id="rId2520" Type="http://schemas.openxmlformats.org/officeDocument/2006/relationships/hyperlink" Target="https://product.hstatic.net/200000428801/product/16040369eb0046368eae677d6d0ad8af_a1b956b79e284c5e9db3464702bc91d6.png" TargetMode="External"/><Relationship Id="rId1122" Type="http://schemas.openxmlformats.org/officeDocument/2006/relationships/hyperlink" Target="https://product.hstatic.net/200000428801/product/84_7e835d818ff44175a53b456bb02f8c1f.png" TargetMode="External"/><Relationship Id="rId3087" Type="http://schemas.openxmlformats.org/officeDocument/2006/relationships/hyperlink" Target="https://product.hstatic.net/200000428801/product/2bc5e5b9b36946d4b7e1b1cbd3d231a4_e7a8a66009294aecb831d125b98648d9.png" TargetMode="External"/><Relationship Id="rId3294" Type="http://schemas.openxmlformats.org/officeDocument/2006/relationships/hyperlink" Target="https://product.hstatic.net/200000428801/product/73b330c7b24c4fb4aa816f78d9d16307_3154f78368bc4b74b46f20247c9d92c7.png" TargetMode="External"/><Relationship Id="rId1939" Type="http://schemas.openxmlformats.org/officeDocument/2006/relationships/hyperlink" Target="https://product.hstatic.net/200000428801/product/upload_807c6a8dd7174c409024d0744f638c1d.jpg" TargetMode="External"/><Relationship Id="rId3154" Type="http://schemas.openxmlformats.org/officeDocument/2006/relationships/hyperlink" Target="https://product.hstatic.net/200000428801/product/b1f8ef48cb3f495d8b575a6281db0bf6_4ebbd774eb5c475a975a19457531af00.jpg" TargetMode="External"/><Relationship Id="rId3361" Type="http://schemas.openxmlformats.org/officeDocument/2006/relationships/hyperlink" Target="https://product.hstatic.net/200000428801/product/632d39b1caf34f7ea7bc8a38b9f0bd55_1591120b471e42ae8aea5e39c0aa87f4.png" TargetMode="External"/><Relationship Id="rId282" Type="http://schemas.openxmlformats.org/officeDocument/2006/relationships/hyperlink" Target="https://cdn2-retail-images.kiotviet.vn/giabaopharma/1e01998083674defbf2e3f6bcf7c2ccc.png,https:/cdn2-retail-images.kiotviet.vn/giabaopharma/b7bdf5bd910a4c979def7e82a38bd969.png,https:/cdn2-retail-images.kiotviet.vn/giabaopharma/4eb1cccaface44b199e97684dc791171.png,https:/cdn2-retail-images.kiotviet.vn/giabaopharma/6dbb3f1e765e4a3391874b75a67466a2.png,https:/cdn2-retail-images.kiotviet.vn/giabaopharma/1d6ef6c702e6467890b84263da116752.png" TargetMode="External"/><Relationship Id="rId2170" Type="http://schemas.openxmlformats.org/officeDocument/2006/relationships/hyperlink" Target="https://product.hstatic.net/200000428801/product/upload_fe0b4d21dde746eda71619d119b9738d.jpg" TargetMode="External"/><Relationship Id="rId3014" Type="http://schemas.openxmlformats.org/officeDocument/2006/relationships/hyperlink" Target="https://product.hstatic.net/200000428801/product/upload_45629078e2b7431c9cdc7df2727eb250.jpg" TargetMode="External"/><Relationship Id="rId3221" Type="http://schemas.openxmlformats.org/officeDocument/2006/relationships/hyperlink" Target="https://product.hstatic.net/200000428801/product/bf5f485fb42c4b91a1ec554092959e2b_6dc7d5d1da05483d80b20ac793e73c72.png" TargetMode="External"/><Relationship Id="rId8" Type="http://schemas.openxmlformats.org/officeDocument/2006/relationships/hyperlink" Target="https://cdn2-retail-images.kiotviet.vn/2026/03/18/giabaopharma/71e43f3190ae408e8c70dd5b12c61968.jpg" TargetMode="External"/><Relationship Id="rId142" Type="http://schemas.openxmlformats.org/officeDocument/2006/relationships/hyperlink" Target="https://cdn2-retail-images.kiotviet.vn/2025/02/28/giabaopharma/737f2939ae9642f19ad0aff499b8ef87.jpg" TargetMode="External"/><Relationship Id="rId2030" Type="http://schemas.openxmlformats.org/officeDocument/2006/relationships/hyperlink" Target="https://product.hstatic.net/200000428801/product/upload_2c6c15db554f4c86853dcc198851bcce.jpg" TargetMode="External"/><Relationship Id="rId2987" Type="http://schemas.openxmlformats.org/officeDocument/2006/relationships/hyperlink" Target="https://product.hstatic.net/200000428801/product/343_834b6077378d4d1ca9006d6280dd2069.png" TargetMode="External"/><Relationship Id="rId959" Type="http://schemas.openxmlformats.org/officeDocument/2006/relationships/hyperlink" Target="https://product.hstatic.net/200000428801/product/91_e238917072b34cb2902e7356efbede97.png" TargetMode="External"/><Relationship Id="rId1589" Type="http://schemas.openxmlformats.org/officeDocument/2006/relationships/hyperlink" Target="https://product.hstatic.net/200000428801/product/upload_bd7ea1a219774218a4902ba286074001.jpg" TargetMode="External"/><Relationship Id="rId1449" Type="http://schemas.openxmlformats.org/officeDocument/2006/relationships/hyperlink" Target="https://product.hstatic.net/200000428801/product/upload_24f40723a64c499286a8ced800e8b3c2.jpg" TargetMode="External"/><Relationship Id="rId1796" Type="http://schemas.openxmlformats.org/officeDocument/2006/relationships/hyperlink" Target="https://product.hstatic.net/200000428801/product/upload_1aace259a81644b78f55056dd152f7d9.jpg" TargetMode="External"/><Relationship Id="rId2847" Type="http://schemas.openxmlformats.org/officeDocument/2006/relationships/hyperlink" Target="https://product.hstatic.net/200000428801/product/upload_9837085b3de04327917972e2387a22b0.jpg" TargetMode="External"/><Relationship Id="rId88" Type="http://schemas.openxmlformats.org/officeDocument/2006/relationships/hyperlink" Target="https://cdn2-retail-images.kiotviet.vn/2025/06/02/giabaopharma/59e919bb17e54951b1a52fee813db215.jpg" TargetMode="External"/><Relationship Id="rId819" Type="http://schemas.openxmlformats.org/officeDocument/2006/relationships/hyperlink" Target="https://product.hstatic.net/200000428801/product/upload_eb08a54ba914485993be28d6d41eb3a7.jpg" TargetMode="External"/><Relationship Id="rId1656" Type="http://schemas.openxmlformats.org/officeDocument/2006/relationships/hyperlink" Target="https://product.hstatic.net/200000428801/product/upload_73315e66e239401084cf814fc528b221.jpg" TargetMode="External"/><Relationship Id="rId1863" Type="http://schemas.openxmlformats.org/officeDocument/2006/relationships/hyperlink" Target="https://product.hstatic.net/200000428801/product/554_2d374da44a764a26bac08ccea44700a1.png" TargetMode="External"/><Relationship Id="rId2707" Type="http://schemas.openxmlformats.org/officeDocument/2006/relationships/hyperlink" Target="https://product.hstatic.net/200000428801/product/upload_d9703fd83bb4480c8829be65da46fbab.jpg" TargetMode="External"/><Relationship Id="rId2914" Type="http://schemas.openxmlformats.org/officeDocument/2006/relationships/hyperlink" Target="https://product.hstatic.net/200000428801/product/upload_6799cf49fb9a4a4b9b40c6600bda2bcf.jpg" TargetMode="External"/><Relationship Id="rId1309" Type="http://schemas.openxmlformats.org/officeDocument/2006/relationships/hyperlink" Target="https://product.hstatic.net/200000428801/product/65_b76ee9a6140d4db481c20e488f5dbe3c.png" TargetMode="External"/><Relationship Id="rId1516" Type="http://schemas.openxmlformats.org/officeDocument/2006/relationships/hyperlink" Target="https://product.hstatic.net/200000428801/product/upload_029d6a26a7764304b0314a4aa22d9d99.jpg" TargetMode="External"/><Relationship Id="rId1723" Type="http://schemas.openxmlformats.org/officeDocument/2006/relationships/hyperlink" Target="https://product.hstatic.net/200000428801/product/upload_f62b9a1484ff4ef5bc9fdecebf1ae391.jpg" TargetMode="External"/><Relationship Id="rId1930" Type="http://schemas.openxmlformats.org/officeDocument/2006/relationships/hyperlink" Target="https://product.hstatic.net/200000428801/product/upload_449e593d28ba45db9e1d041317fdce9e.jpg" TargetMode="External"/><Relationship Id="rId15" Type="http://schemas.openxmlformats.org/officeDocument/2006/relationships/hyperlink" Target="https://cdn2-retail-images.kiotviet.vn/2026/01/20/giabaopharma/c26a1c3169af4669bc6d8e145128e6ec.jpg" TargetMode="External"/><Relationship Id="rId3688" Type="http://schemas.openxmlformats.org/officeDocument/2006/relationships/hyperlink" Target="https://product.hstatic.net/200000428801/product/39_ebc7e75222dc4daaa80ccd40021b1a93.png" TargetMode="External"/><Relationship Id="rId3895" Type="http://schemas.openxmlformats.org/officeDocument/2006/relationships/hyperlink" Target="https://product.hstatic.net/200000428801/product/zalo_screenshot_18_11_2021_741909_5d1c72f370164d61ae0f70cee0281472.png" TargetMode="External"/><Relationship Id="rId2497" Type="http://schemas.openxmlformats.org/officeDocument/2006/relationships/hyperlink" Target="https://product.hstatic.net/200000428801/product/upload_974400c8109e4afa8a6c52f33d6f2732.jpg" TargetMode="External"/><Relationship Id="rId3548" Type="http://schemas.openxmlformats.org/officeDocument/2006/relationships/hyperlink" Target="https://cdn2-retail-images.kiotviet.vn/2025/10/23/giabaopharma/6d69c651415e471da9e50a38c4ff3ba3.png" TargetMode="External"/><Relationship Id="rId3755" Type="http://schemas.openxmlformats.org/officeDocument/2006/relationships/hyperlink" Target="https://product.hstatic.net/200000428801/product/99474533ca14004a5905_e852a0c322584550b974f0c45c396dc2.jpg" TargetMode="External"/><Relationship Id="rId469" Type="http://schemas.openxmlformats.org/officeDocument/2006/relationships/hyperlink" Target="https://product.hstatic.net/200000428801/product/21221663a774485caebea43975b87edc_97b048e0d9a94130927807ab29fd4647.png" TargetMode="External"/><Relationship Id="rId676" Type="http://schemas.openxmlformats.org/officeDocument/2006/relationships/hyperlink" Target="https://product.hstatic.net/200000428801/product/upload_339fa03488cc4d8882ebbc8ba981aa81.jpg" TargetMode="External"/><Relationship Id="rId883" Type="http://schemas.openxmlformats.org/officeDocument/2006/relationships/hyperlink" Target="https://product.hstatic.net/200000428801/product/upload_1257e1d7594743e08765d1b89e8fa73e.jpg" TargetMode="External"/><Relationship Id="rId1099" Type="http://schemas.openxmlformats.org/officeDocument/2006/relationships/hyperlink" Target="https://product.hstatic.net/200000428801/product/upload_79ee36008fad4d3ab5c7ba59b6683248.jpg" TargetMode="External"/><Relationship Id="rId2357" Type="http://schemas.openxmlformats.org/officeDocument/2006/relationships/hyperlink" Target="https://product.hstatic.net/200000428801/product/upload_078cf932359b4c41b20250b085361bcb.jpg" TargetMode="External"/><Relationship Id="rId2564" Type="http://schemas.openxmlformats.org/officeDocument/2006/relationships/hyperlink" Target="https://product.hstatic.net/200000428801/product/upload_0499e0b48d2a4c2db2c83cef1a9e566e.jpg" TargetMode="External"/><Relationship Id="rId3408" Type="http://schemas.openxmlformats.org/officeDocument/2006/relationships/hyperlink" Target="https://product.hstatic.net/200000428801/product/1f325bee89cd401eba55432c2529530c_8d7a83955c3b47bb801472036d6886e6.png" TargetMode="External"/><Relationship Id="rId3615" Type="http://schemas.openxmlformats.org/officeDocument/2006/relationships/hyperlink" Target="https://product.hstatic.net/200000428801/product/vinaphar_c47ef093ab3a41d5946e2624df2464e1.jpg" TargetMode="External"/><Relationship Id="rId3962" Type="http://schemas.openxmlformats.org/officeDocument/2006/relationships/hyperlink" Target="https://cdn2-retail-images.kiotviet.vn/2025/10/23/giabaopharma/8fe7c16ad69d435ead7230251533091a.jpg" TargetMode="External"/><Relationship Id="rId329" Type="http://schemas.openxmlformats.org/officeDocument/2006/relationships/hyperlink" Target="https://product.hstatic.net/200000428801/product/8ba97e66c7a2439fa97fdcc0c85b783c_d5b1b2c166ae4d1ba8111979a1b12769.png" TargetMode="External"/><Relationship Id="rId536" Type="http://schemas.openxmlformats.org/officeDocument/2006/relationships/hyperlink" Target="https://product.hstatic.net/200000428801/product/upload_6cd104aa15674ab2aece30907cb19525.jpg" TargetMode="External"/><Relationship Id="rId1166" Type="http://schemas.openxmlformats.org/officeDocument/2006/relationships/hyperlink" Target="https://product.hstatic.net/200000428801/product/upload_edb1f8db29ef4857a505ebde4cd141be.jpg" TargetMode="External"/><Relationship Id="rId1373" Type="http://schemas.openxmlformats.org/officeDocument/2006/relationships/hyperlink" Target="https://product.hstatic.net/200000428801/product/59_ec279913a30041ca93c41295cd470b9b.png" TargetMode="External"/><Relationship Id="rId2217" Type="http://schemas.openxmlformats.org/officeDocument/2006/relationships/hyperlink" Target="https://product.hstatic.net/200000428801/product/upload_c8ba126fcea741408f9390682b8e93b7.jpg" TargetMode="External"/><Relationship Id="rId2771" Type="http://schemas.openxmlformats.org/officeDocument/2006/relationships/hyperlink" Target="https://product.hstatic.net/200000428801/product/upload_eb78b4a484e74ae3b1aad05c044e45ab.jpg" TargetMode="External"/><Relationship Id="rId3822" Type="http://schemas.openxmlformats.org/officeDocument/2006/relationships/hyperlink" Target="https://product.hstatic.net/200000428801/product/3a_c4b83a051233487f88c8e8de29d70da8.jpg" TargetMode="External"/><Relationship Id="rId743" Type="http://schemas.openxmlformats.org/officeDocument/2006/relationships/hyperlink" Target="https://product.hstatic.net/200000428801/product/upload_ce3a8ad06b5d4b1cac6f997314c11e39.jpg" TargetMode="External"/><Relationship Id="rId950" Type="http://schemas.openxmlformats.org/officeDocument/2006/relationships/hyperlink" Target="https://product.hstatic.net/200000428801/product/upload_cc3d5c11eb7e4c34a8a00d4fcbcc5237.jpg" TargetMode="External"/><Relationship Id="rId1026" Type="http://schemas.openxmlformats.org/officeDocument/2006/relationships/hyperlink" Target="https://cdn-images.kiotviet.vn/giabaopharma/d64954f4949443098c65161098e887c3.png" TargetMode="External"/><Relationship Id="rId1580" Type="http://schemas.openxmlformats.org/officeDocument/2006/relationships/hyperlink" Target="https://product.hstatic.net/200000428801/product/40_e984971605644c71b2065c7d38d7d5d7.png" TargetMode="External"/><Relationship Id="rId2424" Type="http://schemas.openxmlformats.org/officeDocument/2006/relationships/hyperlink" Target="https://product.hstatic.net/200000428801/product/upload_6d56db56e4134e84aabdf271c1dd4dbd.jpg" TargetMode="External"/><Relationship Id="rId2631" Type="http://schemas.openxmlformats.org/officeDocument/2006/relationships/hyperlink" Target="https://product.hstatic.net/200000428801/product/386_0d6fc62acc814785900600ae24bd2c25.png" TargetMode="External"/><Relationship Id="rId603" Type="http://schemas.openxmlformats.org/officeDocument/2006/relationships/hyperlink" Target="https://product.hstatic.net/200000428801/product/upload_68bfff7afa4d4fe1959a2bd6cedeaff8.jpg" TargetMode="External"/><Relationship Id="rId810" Type="http://schemas.openxmlformats.org/officeDocument/2006/relationships/hyperlink" Target="https://product.hstatic.net/200000428801/product/upload_9e0ff53a1e8d4abf9891406283c9e4e5.jpg" TargetMode="External"/><Relationship Id="rId1233" Type="http://schemas.openxmlformats.org/officeDocument/2006/relationships/hyperlink" Target="https://product.hstatic.net/200000428801/product/upload_b9ed7e5866b942b8ba7d10f901493cd9.jpg" TargetMode="External"/><Relationship Id="rId1440" Type="http://schemas.openxmlformats.org/officeDocument/2006/relationships/hyperlink" Target="https://product.hstatic.net/200000428801/product/upload_3e669d7cea0b4a248e3803caba2dcb7b.jpg" TargetMode="External"/><Relationship Id="rId1300" Type="http://schemas.openxmlformats.org/officeDocument/2006/relationships/hyperlink" Target="https://product.hstatic.net/200000428801/product/upload_bc5963257d314f85bbf74173f2d1fb2b.jpg" TargetMode="External"/><Relationship Id="rId3198" Type="http://schemas.openxmlformats.org/officeDocument/2006/relationships/hyperlink" Target="https://product.hstatic.net/200000428801/product/14760dc5e8c84ba48e150e0e406f8eff_b87dd26aa78244679dd30705dc9ab0fc.png" TargetMode="External"/><Relationship Id="rId3058" Type="http://schemas.openxmlformats.org/officeDocument/2006/relationships/hyperlink" Target="https://product.hstatic.net/200000428801/product/upload_6d4f5c21be99465e8ca0b19e97e4d767.jpg" TargetMode="External"/><Relationship Id="rId3265" Type="http://schemas.openxmlformats.org/officeDocument/2006/relationships/hyperlink" Target="https://product.hstatic.net/200000428801/product/d8b7d9acfdc049f3a0de0dbab9be8121_ece0d53b4dd444a79983b2d83a7159da.png" TargetMode="External"/><Relationship Id="rId3472" Type="http://schemas.openxmlformats.org/officeDocument/2006/relationships/hyperlink" Target="https://product.hstatic.net/200000428801/product/6c08c1b0dba94ac89ead690cf9b5272a_10991fc2d02444abba446b730d7558ca.png" TargetMode="External"/><Relationship Id="rId186" Type="http://schemas.openxmlformats.org/officeDocument/2006/relationships/hyperlink" Target="https://cdn2-retail-images.kiotviet.vn/2025/10/23/giabaopharma/5b208eab2df54b8eb11f91f80a6dc163.jpg" TargetMode="External"/><Relationship Id="rId393" Type="http://schemas.openxmlformats.org/officeDocument/2006/relationships/hyperlink" Target="https://product.hstatic.net/200000428801/product/48fb258105e84a5fa00d3362822567df_bae4341a8cd8493b95702988610bf6a8.png" TargetMode="External"/><Relationship Id="rId2074" Type="http://schemas.openxmlformats.org/officeDocument/2006/relationships/hyperlink" Target="https://product.hstatic.net/200000428801/product/upload_a918228ddfcb4ec79d606a9f7b5c097b.jpg" TargetMode="External"/><Relationship Id="rId2281" Type="http://schemas.openxmlformats.org/officeDocument/2006/relationships/hyperlink" Target="https://product.hstatic.net/200000428801/product/upload_2a0663d8ad7e431cb209c5462d8d70a3.jpg" TargetMode="External"/><Relationship Id="rId3125" Type="http://schemas.openxmlformats.org/officeDocument/2006/relationships/hyperlink" Target="https://product.hstatic.net/200000428801/product/469cf32a1fd94b2b85ae8ed9671e3cb2_fa227b3111d048be87e98d9629548421.png" TargetMode="External"/><Relationship Id="rId3332" Type="http://schemas.openxmlformats.org/officeDocument/2006/relationships/hyperlink" Target="https://product.hstatic.net/200000428801/product/56345b8ab5bf4551ab3c971f7dc7c8bc_8ff7f7d4b2c64328921b223a2f9fc353.png" TargetMode="External"/><Relationship Id="rId253" Type="http://schemas.openxmlformats.org/officeDocument/2006/relationships/hyperlink" Target="https://cdn2-retail-images.kiotviet.vn/2025/01/06/giabaopharma/311d5c0cdf994c12a2645b60b69b7073.jpg" TargetMode="External"/><Relationship Id="rId460" Type="http://schemas.openxmlformats.org/officeDocument/2006/relationships/hyperlink" Target="https://product.hstatic.net/200000428801/product/bb774a7203744d91879ece5f7a12fc8e_8933af767bd7463d97f6d54818974061.jpg" TargetMode="External"/><Relationship Id="rId1090" Type="http://schemas.openxmlformats.org/officeDocument/2006/relationships/hyperlink" Target="https://product.hstatic.net/200000428801/product/upload_e0cd860b8f624e5bb1484ba962dc0cc5.jpg" TargetMode="External"/><Relationship Id="rId2141" Type="http://schemas.openxmlformats.org/officeDocument/2006/relationships/hyperlink" Target="https://product.hstatic.net/200000428801/product/upload_27a306de1b964b9a88fe0de98a62a9ce.jpg" TargetMode="External"/><Relationship Id="rId113" Type="http://schemas.openxmlformats.org/officeDocument/2006/relationships/hyperlink" Target="https://cdn2-retail-images.kiotviet.vn/2025/04/10/giabaopharma/5caf53ced9464a4a8adb8a347b9c3b95.png,https:/cdn2-retail-images.kiotviet.vn/2025/03/29/giabaopharma/14ff70966bb44627ba2d96cbc857a4ca.jpg,https:/cdn2-retail-images.kiotviet.vn/2025/03/29/giabaopharma/a089f1b643dd46e3b45f7e4ffdb8c359.jpg,https:/cdn2-retail-images.kiotviet.vn/2025/03/29/giabaopharma/f16a0ea1d4c8456dab70efffaf65caa1.jpg,https:/cdn2-retail-images.kiotviet.vn/2025/04/10/giabaopharma/6c7984a4f8794c6081589372c9ebff09.jpg" TargetMode="External"/><Relationship Id="rId320" Type="http://schemas.openxmlformats.org/officeDocument/2006/relationships/hyperlink" Target="https://product.hstatic.net/200000428801/product/upload_ceb93d4d085f4cdca66cdb18f5393ff0.jpg" TargetMode="External"/><Relationship Id="rId2001" Type="http://schemas.openxmlformats.org/officeDocument/2006/relationships/hyperlink" Target="https://product.hstatic.net/200000428801/product/upload_30ba9ef6fad846bf811a6a18c4df3b3c.jpg" TargetMode="External"/><Relationship Id="rId2958" Type="http://schemas.openxmlformats.org/officeDocument/2006/relationships/hyperlink" Target="https://product.hstatic.net/200000428801/product/upload_269b80f997b943c693de911bbb48c7c1.jpg" TargetMode="External"/><Relationship Id="rId1767" Type="http://schemas.openxmlformats.org/officeDocument/2006/relationships/hyperlink" Target="https://product.hstatic.net/200000428801/product/24_8ee3e5f59a1644978d046b6177476216.png" TargetMode="External"/><Relationship Id="rId1974" Type="http://schemas.openxmlformats.org/officeDocument/2006/relationships/hyperlink" Target="https://product.hstatic.net/200000428801/product/upload_27a838b9269b45e0a93af9b532c484f1.jpg" TargetMode="External"/><Relationship Id="rId2818" Type="http://schemas.openxmlformats.org/officeDocument/2006/relationships/hyperlink" Target="https://product.hstatic.net/200000428801/product/upload_8fdffaac24e04866a19371b1d585e36d.jpg" TargetMode="External"/><Relationship Id="rId59" Type="http://schemas.openxmlformats.org/officeDocument/2006/relationships/hyperlink" Target="https://i.postimg.cc/MHFM09BF/2cf22ad31b6d4de1844614b24c011574.jpg" TargetMode="External"/><Relationship Id="rId1627" Type="http://schemas.openxmlformats.org/officeDocument/2006/relationships/hyperlink" Target="https://product.hstatic.net/200000428801/product/upload_a326f14b65db435cbf663e4315d08615.jpg" TargetMode="External"/><Relationship Id="rId1834" Type="http://schemas.openxmlformats.org/officeDocument/2006/relationships/hyperlink" Target="https://product.hstatic.net/200000428801/product/upload_e937f0ae2b3d41dcbea8cd3fae2dff49.jpg" TargetMode="External"/><Relationship Id="rId4033" Type="http://schemas.openxmlformats.org/officeDocument/2006/relationships/hyperlink" Target="https://cdn1-retail-images.kiotviet.vn/2026/01/10/giabaopharma/2e9738929df943a3988938b59ded855e.jpg" TargetMode="External"/><Relationship Id="rId3799" Type="http://schemas.openxmlformats.org/officeDocument/2006/relationships/hyperlink" Target="https://cdn2-retail-images.kiotviet.vn/2025/10/30/giabaopharma/e8af7c4fa3494f25aceff5bf4528339a.png" TargetMode="External"/><Relationship Id="rId1901" Type="http://schemas.openxmlformats.org/officeDocument/2006/relationships/hyperlink" Target="https://product.hstatic.net/200000428801/product/555_0b598f9e41bf4df6bf9b9b227c657042.png" TargetMode="External"/><Relationship Id="rId3659" Type="http://schemas.openxmlformats.org/officeDocument/2006/relationships/hyperlink" Target="https://cdn2-retail-images.kiotviet.vn/2026/03/16/giabaopharma/f9f860248eab438b8976d5494e499123.jpg" TargetMode="External"/><Relationship Id="rId3866" Type="http://schemas.openxmlformats.org/officeDocument/2006/relationships/hyperlink" Target="https://product.hstatic.net/200000428801/product/cc4793e0a38069de3091_9e3f2a38ea104c36b3832064df55fda9.jpg" TargetMode="External"/><Relationship Id="rId787" Type="http://schemas.openxmlformats.org/officeDocument/2006/relationships/hyperlink" Target="https://product.hstatic.net/200000428801/product/upload_38d3aea6293246acbf8247a36b7ce6a8.jpg" TargetMode="External"/><Relationship Id="rId994" Type="http://schemas.openxmlformats.org/officeDocument/2006/relationships/hyperlink" Target="https://product.hstatic.net/200000428801/product/upload_1fffc91063914c9e8d2dd11a31d85278.jpg" TargetMode="External"/><Relationship Id="rId2468" Type="http://schemas.openxmlformats.org/officeDocument/2006/relationships/hyperlink" Target="https://product.hstatic.net/200000428801/product/upload_e7abc3ee754c400b9066825864451949.jpg" TargetMode="External"/><Relationship Id="rId2675" Type="http://schemas.openxmlformats.org/officeDocument/2006/relationships/hyperlink" Target="https://product.hstatic.net/200000428801/product/380_2d50c44203484f3db930a9a7ec1b4eeb.png" TargetMode="External"/><Relationship Id="rId2882" Type="http://schemas.openxmlformats.org/officeDocument/2006/relationships/hyperlink" Target="https://product.hstatic.net/200000428801/product/upload_734e32ce2c8a4018ad0166f9bef0f4f7.jpg" TargetMode="External"/><Relationship Id="rId3519" Type="http://schemas.openxmlformats.org/officeDocument/2006/relationships/hyperlink" Target="https://cdn2-retail-images.kiotviet.vn/2025/12/29/giabaopharma/7e3362c1b7b44f67a3995ecccb7848bb.jpg" TargetMode="External"/><Relationship Id="rId3726" Type="http://schemas.openxmlformats.org/officeDocument/2006/relationships/hyperlink" Target="https://cdn2-retail-images.kiotviet.vn/2026/02/03/giabaopharma/dfb5d3b8805c4e4f86a34bfeb75d8a3a.jpg" TargetMode="External"/><Relationship Id="rId3933" Type="http://schemas.openxmlformats.org/officeDocument/2006/relationships/hyperlink" Target="https://product.hstatic.net/200000428801/product/zalo_screenshot_18_11_2021_72025_2d377a68a3a14184bc25c439b795ee3f.png" TargetMode="External"/><Relationship Id="rId647" Type="http://schemas.openxmlformats.org/officeDocument/2006/relationships/hyperlink" Target="https://product.hstatic.net/200000428801/product/upload_47f0de651a1948e3a8b4afb9fb6ee536.jpg" TargetMode="External"/><Relationship Id="rId854" Type="http://schemas.openxmlformats.org/officeDocument/2006/relationships/hyperlink" Target="https://product.hstatic.net/200000428801/product/upload_4fc450d0b41542479007a14f495cc286.jpg" TargetMode="External"/><Relationship Id="rId1277" Type="http://schemas.openxmlformats.org/officeDocument/2006/relationships/hyperlink" Target="https://product.hstatic.net/200000428801/product/upload_4716fe661aef4ce7b7f0aebcacfaf462.jpg" TargetMode="External"/><Relationship Id="rId1484" Type="http://schemas.openxmlformats.org/officeDocument/2006/relationships/hyperlink" Target="https://product.hstatic.net/200000428801/product/upload_5c2752ae9c2a49258dc7bd3501533a00.jpg" TargetMode="External"/><Relationship Id="rId1691" Type="http://schemas.openxmlformats.org/officeDocument/2006/relationships/hyperlink" Target="https://product.hstatic.net/200000428801/product/28._9fcd81a94901410abd71211549fc2bca.png" TargetMode="External"/><Relationship Id="rId2328" Type="http://schemas.openxmlformats.org/officeDocument/2006/relationships/hyperlink" Target="https://product.hstatic.net/200000428801/product/upload_04169ee2f28a4476ace301d0aa3ee2fd.jpg" TargetMode="External"/><Relationship Id="rId2535" Type="http://schemas.openxmlformats.org/officeDocument/2006/relationships/hyperlink" Target="https://product.hstatic.net/200000428801/product/upload_5dd02c34adb847b78f9ecbeb39840502.jpg" TargetMode="External"/><Relationship Id="rId2742" Type="http://schemas.openxmlformats.org/officeDocument/2006/relationships/hyperlink" Target="https://product.hstatic.net/200000428801/product/368_612b906b00484d93a912218f3d5f1438.png" TargetMode="External"/><Relationship Id="rId507" Type="http://schemas.openxmlformats.org/officeDocument/2006/relationships/hyperlink" Target="https://product.hstatic.net/200000428801/product/upload_981bec0dfa1143a29c822ee563ce4e0f.jpg" TargetMode="External"/><Relationship Id="rId714" Type="http://schemas.openxmlformats.org/officeDocument/2006/relationships/hyperlink" Target="https://product.hstatic.net/200000428801/product/upload_c323a74262e24a908a0a29071c7ad4ed.jpg" TargetMode="External"/><Relationship Id="rId921" Type="http://schemas.openxmlformats.org/officeDocument/2006/relationships/hyperlink" Target="https://product.hstatic.net/200000428801/product/upload_94d4107f7bdd42d48b8ed34c423e1dfd.jpg" TargetMode="External"/><Relationship Id="rId1137" Type="http://schemas.openxmlformats.org/officeDocument/2006/relationships/hyperlink" Target="https://product.hstatic.net/200000428801/product/upload_e32f86b5a0414fe98b35f66f89bc8bec.jpg" TargetMode="External"/><Relationship Id="rId1344" Type="http://schemas.openxmlformats.org/officeDocument/2006/relationships/hyperlink" Target="https://cdn-images.kiotviet.vn/giabaopharma/f8c315d2bc3e465fb47d424b0b42b153.jpg" TargetMode="External"/><Relationship Id="rId1551" Type="http://schemas.openxmlformats.org/officeDocument/2006/relationships/hyperlink" Target="https://product.hstatic.net/200000428801/product/upload_ba2493d6f08f488ba23b12ffb6965290.jpg" TargetMode="External"/><Relationship Id="rId2602" Type="http://schemas.openxmlformats.org/officeDocument/2006/relationships/hyperlink" Target="https://product.hstatic.net/200000428801/product/upload_ee32362fcfaf4db8a49a1da8bef89e2e.jpg" TargetMode="External"/><Relationship Id="rId50" Type="http://schemas.openxmlformats.org/officeDocument/2006/relationships/hyperlink" Target="https://i.postimg.cc/Dy8sXYbf/X-t-n-c-mu-i-bi-n-s-u-Seesalt-Kingphar-l-m-s-ch-m-i-1-chai-70ml-3.png" TargetMode="External"/><Relationship Id="rId1204" Type="http://schemas.openxmlformats.org/officeDocument/2006/relationships/hyperlink" Target="https://cdn2-retail-images.kiotviet.vn/giabaopharma/74f3b43c806e42ff984d04387baedfa3.png,https:/cdn2-retail-images.kiotviet.vn/giabaopharma/3d5d0611cb8f4ef88547098e3ef19aa0.png,https:/cdn2-retail-images.kiotviet.vn/giabaopharma/1387ad1260b040c2b9a2ff8bc8e0b709.png,https:/cdn2-retail-images.kiotviet.vn/giabaopharma/e37a39cff15645c785bb38061b1288c3.png,https:/cdn2-retail-images.kiotviet.vn/giabaopharma/545c6b63cd504bea97f3d2163464ad12.png" TargetMode="External"/><Relationship Id="rId1411" Type="http://schemas.openxmlformats.org/officeDocument/2006/relationships/hyperlink" Target="https://product.hstatic.net/200000428801/product/upload_aa97812614594ae18249412cde74eeff.jpg" TargetMode="External"/><Relationship Id="rId3169" Type="http://schemas.openxmlformats.org/officeDocument/2006/relationships/hyperlink" Target="https://product.hstatic.net/200000428801/product/18bd68ebd4a04f1d83f547f74fdc802c_a7e412cc713046e98dfffbeb9d561214.jpg" TargetMode="External"/><Relationship Id="rId3376" Type="http://schemas.openxmlformats.org/officeDocument/2006/relationships/hyperlink" Target="https://product.hstatic.net/200000428801/product/e3411fba2876499a9b1c26e7d60bd5c7_695aef5df912401192bce70443d80fc8.png" TargetMode="External"/><Relationship Id="rId3583" Type="http://schemas.openxmlformats.org/officeDocument/2006/relationships/hyperlink" Target="https://product.hstatic.net/200000428801/product/14_cb29d703601a461da401d37a35cdf52d.png" TargetMode="External"/><Relationship Id="rId297" Type="http://schemas.openxmlformats.org/officeDocument/2006/relationships/hyperlink" Target="https://product.hstatic.net/200000428801/product/2443ab5a375b49889dbcd7e1633bca88_ba3f486a999d433aaffb0c2cdcc05824.png" TargetMode="External"/><Relationship Id="rId2185" Type="http://schemas.openxmlformats.org/officeDocument/2006/relationships/hyperlink" Target="https://product.hstatic.net/200000428801/product/upload_f58c4b56ca014e4c9e87285f23f71258.jpg" TargetMode="External"/><Relationship Id="rId2392" Type="http://schemas.openxmlformats.org/officeDocument/2006/relationships/hyperlink" Target="https://product.hstatic.net/200000428801/product/upload_0982b5fa860f4afb8f6cd2c85cf88875.jpg" TargetMode="External"/><Relationship Id="rId3029" Type="http://schemas.openxmlformats.org/officeDocument/2006/relationships/hyperlink" Target="https://product.hstatic.net/200000428801/product/upload_2417adf14d3e4f818006595e6dfd64f3.jpg" TargetMode="External"/><Relationship Id="rId3236" Type="http://schemas.openxmlformats.org/officeDocument/2006/relationships/hyperlink" Target="https://product.hstatic.net/200000428801/product/3fd716f729a141eb91502273a76f94db_4581f5044ff44d7b83c993930b013ce8.png" TargetMode="External"/><Relationship Id="rId3790" Type="http://schemas.openxmlformats.org/officeDocument/2006/relationships/hyperlink" Target="https://cdn2-retail-images.kiotviet.vn/2025/10/13/giabaopharma/79ebc4d1e32547528bfc7fc8a508fd39.jpg" TargetMode="External"/><Relationship Id="rId157" Type="http://schemas.openxmlformats.org/officeDocument/2006/relationships/hyperlink" Target="https://cdn2-retail-images.kiotviet.vn/2025/02/06/giabaopharma/aa3b651794ab4fc3bba80effcf1979fa.jpg" TargetMode="External"/><Relationship Id="rId364" Type="http://schemas.openxmlformats.org/officeDocument/2006/relationships/hyperlink" Target="https://product.hstatic.net/200000428801/product/upload_488dce5729af4beb8fa1ab59d2220467.jpg" TargetMode="External"/><Relationship Id="rId2045" Type="http://schemas.openxmlformats.org/officeDocument/2006/relationships/hyperlink" Target="https://product.hstatic.net/200000428801/product/upload_26fa9d506ec44ceeb6fc9b336dae437f.jpg" TargetMode="External"/><Relationship Id="rId3443" Type="http://schemas.openxmlformats.org/officeDocument/2006/relationships/hyperlink" Target="https://product.hstatic.net/200000428801/product/c047d7cfb98e4983b810be90d50c1375_c2901c21db134555b2f84536219b799c.png" TargetMode="External"/><Relationship Id="rId3650" Type="http://schemas.openxmlformats.org/officeDocument/2006/relationships/hyperlink" Target="https://product.hstatic.net/200000428801/product/9a2ed2802677e529bc66_a54d5bac63bf43519252dc9160868411.jpg" TargetMode="External"/><Relationship Id="rId571" Type="http://schemas.openxmlformats.org/officeDocument/2006/relationships/hyperlink" Target="https://product.hstatic.net/200000428801/product/upload_48713f61484e4943900014cd3eb9f807.jpg" TargetMode="External"/><Relationship Id="rId2252" Type="http://schemas.openxmlformats.org/officeDocument/2006/relationships/hyperlink" Target="https://product.hstatic.net/200000428801/product/498_c552d271900144cea33d9b19240588f8.png" TargetMode="External"/><Relationship Id="rId3303" Type="http://schemas.openxmlformats.org/officeDocument/2006/relationships/hyperlink" Target="https://product.hstatic.net/200000428801/product/3703c42883644320b8a66eb6e8397cc7_a10b52769e564c6ba12e704fcdc95e31.png" TargetMode="External"/><Relationship Id="rId3510" Type="http://schemas.openxmlformats.org/officeDocument/2006/relationships/hyperlink" Target="https://product.hstatic.net/200000428801/product/2218f0e384674daba986817e3c187c8f_3d13c31727d740d9bc213215ddc4ade2.png" TargetMode="External"/><Relationship Id="rId224" Type="http://schemas.openxmlformats.org/officeDocument/2006/relationships/hyperlink" Target="https://cdn2-retail-images.kiotviet.vn/giabaopharma/847684efd96c4a6abffb7f9cc06ba53a.jpg" TargetMode="External"/><Relationship Id="rId431" Type="http://schemas.openxmlformats.org/officeDocument/2006/relationships/hyperlink" Target="https://product.hstatic.net/200000428801/product/339ebdf69dfb4126b7117e86fd36b0a7_76e72c548dc64a6f83040c6d86fb0bac.png" TargetMode="External"/><Relationship Id="rId529" Type="http://schemas.openxmlformats.org/officeDocument/2006/relationships/hyperlink" Target="https://product.hstatic.net/200000428801/product/upload_942c2e4095bd4ccd89cf8a6494ba36af.jpg" TargetMode="External"/><Relationship Id="rId736" Type="http://schemas.openxmlformats.org/officeDocument/2006/relationships/hyperlink" Target="https://product.hstatic.net/200000428801/product/upload_d2cb2ceb05ec47fcbe1764b60c672941.jpg" TargetMode="External"/><Relationship Id="rId1061" Type="http://schemas.openxmlformats.org/officeDocument/2006/relationships/hyperlink" Target="https://product.hstatic.net/200000428801/product/upload_b86163be29ac4aabacf1f0f5ef99b008.jpg" TargetMode="External"/><Relationship Id="rId1159" Type="http://schemas.openxmlformats.org/officeDocument/2006/relationships/hyperlink" Target="https://product.hstatic.net/200000428801/product/upload_9747508dea484310bb154763fa73782f.jpg" TargetMode="External"/><Relationship Id="rId1366" Type="http://schemas.openxmlformats.org/officeDocument/2006/relationships/hyperlink" Target="https://product.hstatic.net/200000428801/product/upload_260acf69d45b4d6fb7f94d6d1c95a8f0.jpg" TargetMode="External"/><Relationship Id="rId2112" Type="http://schemas.openxmlformats.org/officeDocument/2006/relationships/hyperlink" Target="https://product.hstatic.net/200000428801/product/upload_469c55f81c504c3380445fe074347343.jpg" TargetMode="External"/><Relationship Id="rId2417" Type="http://schemas.openxmlformats.org/officeDocument/2006/relationships/hyperlink" Target="https://product.hstatic.net/200000428801/product/upload_dcefec47f1f34863b89b9e74a39ddf73.jpg" TargetMode="External"/><Relationship Id="rId2764" Type="http://schemas.openxmlformats.org/officeDocument/2006/relationships/hyperlink" Target="https://product.hstatic.net/200000428801/product/upload_286b1d324bb94b28a7d2978e546ff8c1.jpg" TargetMode="External"/><Relationship Id="rId2971" Type="http://schemas.openxmlformats.org/officeDocument/2006/relationships/hyperlink" Target="https://product.hstatic.net/200000428801/product/upload_b2ad6883ceac4a5e874a6a7923be2571.jpg" TargetMode="External"/><Relationship Id="rId3815" Type="http://schemas.openxmlformats.org/officeDocument/2006/relationships/hyperlink" Target="https://product.hstatic.net/200000428801/product/hanomin_ginseng__2__847b1f33a72b438a8bf8315098ee9fff.png" TargetMode="External"/><Relationship Id="rId943" Type="http://schemas.openxmlformats.org/officeDocument/2006/relationships/hyperlink" Target="https://product.hstatic.net/200000428801/product/upload_acb59659623f43ada57767fa714640f6.jpg" TargetMode="External"/><Relationship Id="rId1019" Type="http://schemas.openxmlformats.org/officeDocument/2006/relationships/hyperlink" Target="https://product.hstatic.net/200000428801/product/upload_0a77fcd4ce0a4890b1235d89b8b14364.jpg" TargetMode="External"/><Relationship Id="rId1573" Type="http://schemas.openxmlformats.org/officeDocument/2006/relationships/hyperlink" Target="https://product.hstatic.net/200000428801/product/upload_a609f45ff59f4625a13e9f9bda7c1eb0.jpg" TargetMode="External"/><Relationship Id="rId1780" Type="http://schemas.openxmlformats.org/officeDocument/2006/relationships/hyperlink" Target="https://product.hstatic.net/200000428801/product/upload_9b1d1752bd0946d286c44a0b611756ba.jpg" TargetMode="External"/><Relationship Id="rId1878" Type="http://schemas.openxmlformats.org/officeDocument/2006/relationships/hyperlink" Target="https://product.hstatic.net/200000428801/product/upload_bc288007408a49709ee65ad422a53d02.jpg" TargetMode="External"/><Relationship Id="rId2624" Type="http://schemas.openxmlformats.org/officeDocument/2006/relationships/hyperlink" Target="https://product.hstatic.net/200000428801/product/upload_77d4a3b21e1f4f3980589f5c671d61ec.jpg" TargetMode="External"/><Relationship Id="rId2831" Type="http://schemas.openxmlformats.org/officeDocument/2006/relationships/hyperlink" Target="https://product.hstatic.net/200000428801/product/upload_640ba807b5894d199b97f5cc6e3fe28f.jpg" TargetMode="External"/><Relationship Id="rId2929" Type="http://schemas.openxmlformats.org/officeDocument/2006/relationships/hyperlink" Target="https://product.hstatic.net/200000428801/product/upload_7e464caeebc147858000eb4970ed011f.jpg" TargetMode="External"/><Relationship Id="rId72" Type="http://schemas.openxmlformats.org/officeDocument/2006/relationships/hyperlink" Target="https://i.postimg.cc/N0kKCsTd/cc8a15f4abf3457491f0aab1322ed718.jpg" TargetMode="External"/><Relationship Id="rId803" Type="http://schemas.openxmlformats.org/officeDocument/2006/relationships/hyperlink" Target="https://product.hstatic.net/200000428801/product/upload_cd333c5a4fa94f8fa28e85de72f3b125.jpg" TargetMode="External"/><Relationship Id="rId1226" Type="http://schemas.openxmlformats.org/officeDocument/2006/relationships/hyperlink" Target="https://product.hstatic.net/200000428801/product/upload_f16ad12737f74a909aab1cd9588498ec.jpg" TargetMode="External"/><Relationship Id="rId1433" Type="http://schemas.openxmlformats.org/officeDocument/2006/relationships/hyperlink" Target="https://product.hstatic.net/200000428801/product/upload_3a41837117cf4dfc8110b7696296949b.jpg" TargetMode="External"/><Relationship Id="rId1640" Type="http://schemas.openxmlformats.org/officeDocument/2006/relationships/hyperlink" Target="https://product.hstatic.net/200000428801/product/upload_f531047f8b8e416c8d8df9b24ba4317b.jpg" TargetMode="External"/><Relationship Id="rId1738" Type="http://schemas.openxmlformats.org/officeDocument/2006/relationships/hyperlink" Target="https://product.hstatic.net/200000428801/product/upload_b7ddb3f37d43468aa97af6895b9c9359.jpg" TargetMode="External"/><Relationship Id="rId3093" Type="http://schemas.openxmlformats.org/officeDocument/2006/relationships/hyperlink" Target="https://cdn2-retail-images.kiotviet.vn/2025/10/30/giabaopharma/20493ed1b8e94b2c973729ce72d81e9a.png" TargetMode="External"/><Relationship Id="rId1500" Type="http://schemas.openxmlformats.org/officeDocument/2006/relationships/hyperlink" Target="https://product.hstatic.net/200000428801/product/upload_aa3589dc404a4a6384a659b8f660cc48.jpg" TargetMode="External"/><Relationship Id="rId1945" Type="http://schemas.openxmlformats.org/officeDocument/2006/relationships/hyperlink" Target="https://product.hstatic.net/200000428801/product/524_ad5f402d8e2c4d8b8647face52c8573e.png" TargetMode="External"/><Relationship Id="rId3160" Type="http://schemas.openxmlformats.org/officeDocument/2006/relationships/hyperlink" Target="https://product.hstatic.net/200000428801/product/758598304ea94e34a6fc8cbbe03b28db_122b72e38e9b42568a6046d9b39be04b.jpg" TargetMode="External"/><Relationship Id="rId3398" Type="http://schemas.openxmlformats.org/officeDocument/2006/relationships/hyperlink" Target="https://product.hstatic.net/200000428801/product/951a4160c9b944d5842f063bbfceb110_c3cb4173dd72435794404cc5ae816fea.png" TargetMode="External"/><Relationship Id="rId4004" Type="http://schemas.openxmlformats.org/officeDocument/2006/relationships/hyperlink" Target="https://product.hstatic.net/200000428801/product/thiet_ke_khong_ten__83__7151cd2ecfec4b07b7e0c34daead859f.png" TargetMode="External"/><Relationship Id="rId1805" Type="http://schemas.openxmlformats.org/officeDocument/2006/relationships/hyperlink" Target="https://product.hstatic.net/200000428801/product/upload_5934874f73d345fc8bc197e16742dd4b.jpg" TargetMode="External"/><Relationship Id="rId3020" Type="http://schemas.openxmlformats.org/officeDocument/2006/relationships/hyperlink" Target="https://product.hstatic.net/200000428801/product/upload_5688b52ae2654615ad0394e70059543d.jpg" TargetMode="External"/><Relationship Id="rId3258" Type="http://schemas.openxmlformats.org/officeDocument/2006/relationships/hyperlink" Target="https://product.hstatic.net/200000428801/product/fb41afff34024a778cd15743bb59c044_d41ff70ea9da4a5595c82797fa1cd508.png" TargetMode="External"/><Relationship Id="rId3465" Type="http://schemas.openxmlformats.org/officeDocument/2006/relationships/hyperlink" Target="https://product.hstatic.net/200000428801/product/44a465775ee64a6fa9305454b37e507e_ea9105a55d1f4962975dca982f21c526.png" TargetMode="External"/><Relationship Id="rId3672" Type="http://schemas.openxmlformats.org/officeDocument/2006/relationships/hyperlink" Target="https://cdn2-retail-images.kiotviet.vn/2025/02/22/giabaopharma/797586afaaae4af3b05d8d9a5bb21f98.jpg" TargetMode="External"/><Relationship Id="rId179" Type="http://schemas.openxmlformats.org/officeDocument/2006/relationships/hyperlink" Target="https://cdn-images.kiotviet.vn/2024/12/13/giabaopharma/a73d32cd7777431eb747def38248a1a6.jpg" TargetMode="External"/><Relationship Id="rId386" Type="http://schemas.openxmlformats.org/officeDocument/2006/relationships/hyperlink" Target="https://cdn-images.kiotviet.vn/giabaopharma/4f0691d064124f5db5d6d279609a9688.png" TargetMode="External"/><Relationship Id="rId593" Type="http://schemas.openxmlformats.org/officeDocument/2006/relationships/hyperlink" Target="https://product.hstatic.net/200000428801/product/upload_fb020aa41a91498dbd8e955dc944d633.jpg" TargetMode="External"/><Relationship Id="rId2067" Type="http://schemas.openxmlformats.org/officeDocument/2006/relationships/hyperlink" Target="https://product.hstatic.net/200000428801/product/504_19c86d07300741eeb08eb3d80ad884d0.png" TargetMode="External"/><Relationship Id="rId2274" Type="http://schemas.openxmlformats.org/officeDocument/2006/relationships/hyperlink" Target="https://product.hstatic.net/200000428801/product/upload_da7f335632334a7c92517917e90ff870.jpg" TargetMode="External"/><Relationship Id="rId2481" Type="http://schemas.openxmlformats.org/officeDocument/2006/relationships/hyperlink" Target="https://product.hstatic.net/200000428801/product/upload_e091edfe60f643a68308dd8c36e23241.jpg" TargetMode="External"/><Relationship Id="rId3118" Type="http://schemas.openxmlformats.org/officeDocument/2006/relationships/hyperlink" Target="https://product.hstatic.net/200000428801/product/a401b5ea397b41ccb5c7a407ef3c9029_f76790095e544209a5382eed88081ed3.png" TargetMode="External"/><Relationship Id="rId3325" Type="http://schemas.openxmlformats.org/officeDocument/2006/relationships/hyperlink" Target="https://product.hstatic.net/200000428801/product/f0307eed2018421b881fc40f5791fdbf_81e5820e3c91464a9a2c2706b7c1cfa1.png" TargetMode="External"/><Relationship Id="rId3532" Type="http://schemas.openxmlformats.org/officeDocument/2006/relationships/hyperlink" Target="https://product.hstatic.net/200000428801/product/zalo_screenshot_19_11_2021_641548_56c0364bdb7843b7ab708fa4ee00c3b0.png" TargetMode="External"/><Relationship Id="rId3977" Type="http://schemas.openxmlformats.org/officeDocument/2006/relationships/hyperlink" Target="https://product.hstatic.net/200000428801/product/dfc895df9c32586c0123_1f5d13ad7ae14786a35a635db02726c5.jpg" TargetMode="External"/><Relationship Id="rId246" Type="http://schemas.openxmlformats.org/officeDocument/2006/relationships/hyperlink" Target="https://cdn2-retail-images.kiotviet.vn/giabaopharma/4fa7b302040e4271bcf36e7c27f37965.jpg" TargetMode="External"/><Relationship Id="rId453" Type="http://schemas.openxmlformats.org/officeDocument/2006/relationships/hyperlink" Target="https://product.hstatic.net/200000428801/product/42b4a52fa95f4803adfe948c5cb8f2a4_83dce22826374368ba85f11c03fdd735.jpg" TargetMode="External"/><Relationship Id="rId660" Type="http://schemas.openxmlformats.org/officeDocument/2006/relationships/hyperlink" Target="https://product.hstatic.net/200000428801/product/upload_963f2e63ded242d685fb4992588eb531.jpg" TargetMode="External"/><Relationship Id="rId898" Type="http://schemas.openxmlformats.org/officeDocument/2006/relationships/hyperlink" Target="https://product.hstatic.net/200000428801/product/upload_4bd3aa46bab54746a9a13c601f3b6887.jpg" TargetMode="External"/><Relationship Id="rId1083" Type="http://schemas.openxmlformats.org/officeDocument/2006/relationships/hyperlink" Target="https://product.hstatic.net/200000428801/product/upload_b8f97f2205e84a0f92342a315fa6e5d2.jpg" TargetMode="External"/><Relationship Id="rId1290" Type="http://schemas.openxmlformats.org/officeDocument/2006/relationships/hyperlink" Target="https://product.hstatic.net/200000428801/product/upload_ff4cd65bc76a43ff803e6f1fbd4e6a4e.jpg" TargetMode="External"/><Relationship Id="rId2134" Type="http://schemas.openxmlformats.org/officeDocument/2006/relationships/hyperlink" Target="https://product.hstatic.net/200000428801/product/upload_53a2da3f5f7a4d5eb9664e580a9344c3.jpg" TargetMode="External"/><Relationship Id="rId2341" Type="http://schemas.openxmlformats.org/officeDocument/2006/relationships/hyperlink" Target="https://product.hstatic.net/200000428801/product/428_b256f21830574de5bc5b9998ec830d76.png" TargetMode="External"/><Relationship Id="rId2579" Type="http://schemas.openxmlformats.org/officeDocument/2006/relationships/hyperlink" Target="https://product.hstatic.net/200000428801/product/upload_d2d1d8d6eef9466f859f8f501206d986.jpg" TargetMode="External"/><Relationship Id="rId2786" Type="http://schemas.openxmlformats.org/officeDocument/2006/relationships/hyperlink" Target="https://product.hstatic.net/200000428801/product/upload_8ec32c1bc94c471482fa7134cb73957c.jpg" TargetMode="External"/><Relationship Id="rId2993" Type="http://schemas.openxmlformats.org/officeDocument/2006/relationships/hyperlink" Target="https://product.hstatic.net/200000428801/product/upload_f56c6691e0c14c158d0f365dd4824e0c.jpg" TargetMode="External"/><Relationship Id="rId3837" Type="http://schemas.openxmlformats.org/officeDocument/2006/relationships/hyperlink" Target="https://product.hstatic.net/200000428801/product/22f68028c9ad03f35abc_a6976a1d829d49ed8c1de79068cb404f.jpg" TargetMode="External"/><Relationship Id="rId106" Type="http://schemas.openxmlformats.org/officeDocument/2006/relationships/hyperlink" Target="https://cdn2-retail-images.kiotviet.vn/2025/04/01/giabaopharma/d5665c7f8c0942a993302dc2010a6c83.jpg" TargetMode="External"/><Relationship Id="rId313" Type="http://schemas.openxmlformats.org/officeDocument/2006/relationships/hyperlink" Target="https://product.hstatic.net/200000428801/product/upload_00146d34e615481691b4d4dc56cc7e92.jpg" TargetMode="External"/><Relationship Id="rId758" Type="http://schemas.openxmlformats.org/officeDocument/2006/relationships/hyperlink" Target="https://product.hstatic.net/200000428801/product/upload_2fa180389b224f96ba1e36cb2e198d3d.jpg" TargetMode="External"/><Relationship Id="rId965" Type="http://schemas.openxmlformats.org/officeDocument/2006/relationships/hyperlink" Target="https://product.hstatic.net/200000428801/product/upload_aa191b062032409fbb2bd61074aa623e.jpg" TargetMode="External"/><Relationship Id="rId1150" Type="http://schemas.openxmlformats.org/officeDocument/2006/relationships/hyperlink" Target="https://product.hstatic.net/200000428801/product/upload_2d42971cceff457590a4afdc8c8d3d3f.jpg" TargetMode="External"/><Relationship Id="rId1388" Type="http://schemas.openxmlformats.org/officeDocument/2006/relationships/hyperlink" Target="https://product.hstatic.net/200000428801/product/upload_0de78086f07f454cbbdc8fd85b099583.jpg" TargetMode="External"/><Relationship Id="rId1595" Type="http://schemas.openxmlformats.org/officeDocument/2006/relationships/hyperlink" Target="https://product.hstatic.net/200000428801/product/upload_837c188154a74ca3bf694a391a1300ed.jpg" TargetMode="External"/><Relationship Id="rId2439" Type="http://schemas.openxmlformats.org/officeDocument/2006/relationships/hyperlink" Target="https://product.hstatic.net/200000428801/product/upload_0333572cf1154fc4aa07e4e7dd623ca7.jpg" TargetMode="External"/><Relationship Id="rId2646" Type="http://schemas.openxmlformats.org/officeDocument/2006/relationships/hyperlink" Target="https://product.hstatic.net/200000428801/product/upload_f42af1fb91c34c0eaaf9828db803bde5.jpg" TargetMode="External"/><Relationship Id="rId2853" Type="http://schemas.openxmlformats.org/officeDocument/2006/relationships/hyperlink" Target="https://product.hstatic.net/200000428801/product/upload_9763f9153f644ef59bbae0a1631c7b43.jpg" TargetMode="External"/><Relationship Id="rId3904" Type="http://schemas.openxmlformats.org/officeDocument/2006/relationships/hyperlink" Target="https://product.hstatic.net/200000428801/product/7d799e10692da973f03c_9b0de7e3f35c4252ac2c5477fe8a16ae.jpg" TargetMode="External"/><Relationship Id="rId94" Type="http://schemas.openxmlformats.org/officeDocument/2006/relationships/hyperlink" Target="https://cdn2-retail-images.kiotviet.vn/2025/10/23/giabaopharma/c04f26a7ed544b90a7c6dbd624295013.png" TargetMode="External"/><Relationship Id="rId520" Type="http://schemas.openxmlformats.org/officeDocument/2006/relationships/hyperlink" Target="https://product.hstatic.net/200000428801/product/upload_5a22a426443f46cd9dfa58ee02e37320.jpg" TargetMode="External"/><Relationship Id="rId618" Type="http://schemas.openxmlformats.org/officeDocument/2006/relationships/hyperlink" Target="https://product.hstatic.net/200000428801/product/116_38394636751444199868a0736e638655.png" TargetMode="External"/><Relationship Id="rId825" Type="http://schemas.openxmlformats.org/officeDocument/2006/relationships/hyperlink" Target="https://product.hstatic.net/200000428801/product/upload_fc5a4161f9ad4ae2823590c908b67fc6.jpg" TargetMode="External"/><Relationship Id="rId1248" Type="http://schemas.openxmlformats.org/officeDocument/2006/relationships/hyperlink" Target="https://product.hstatic.net/200000428801/product/73_e52272a06e5a4052bf4618d57ba92baf.png" TargetMode="External"/><Relationship Id="rId1455" Type="http://schemas.openxmlformats.org/officeDocument/2006/relationships/hyperlink" Target="https://product.hstatic.net/200000428801/product/upload_446cac56442b43668433de0ab5ef3582.jpg" TargetMode="External"/><Relationship Id="rId1662" Type="http://schemas.openxmlformats.org/officeDocument/2006/relationships/hyperlink" Target="https://product.hstatic.net/200000428801/product/upload_03845abc0e4f4c8bbaec9cc65632cd6b.jpg" TargetMode="External"/><Relationship Id="rId2201" Type="http://schemas.openxmlformats.org/officeDocument/2006/relationships/hyperlink" Target="https://product.hstatic.net/200000428801/product/501_471fde59c571437dbdeab75322c90101.png" TargetMode="External"/><Relationship Id="rId2506" Type="http://schemas.openxmlformats.org/officeDocument/2006/relationships/hyperlink" Target="https://product.hstatic.net/200000428801/product/395_cd53c5fd16354695a1680481a0ed9065.png" TargetMode="External"/><Relationship Id="rId1010" Type="http://schemas.openxmlformats.org/officeDocument/2006/relationships/hyperlink" Target="https://product.hstatic.net/200000428801/product/upload_856037233c054ae1827f1548d5ffc28e.jpg" TargetMode="External"/><Relationship Id="rId1108" Type="http://schemas.openxmlformats.org/officeDocument/2006/relationships/hyperlink" Target="https://product.hstatic.net/200000428801/product/upload_f61ad06c8fd84483860578653a11659c.jpg" TargetMode="External"/><Relationship Id="rId1315" Type="http://schemas.openxmlformats.org/officeDocument/2006/relationships/hyperlink" Target="https://product.hstatic.net/200000428801/product/upload_d072f3ec44324cf58a8c12c51a630500.jpg" TargetMode="External"/><Relationship Id="rId1967" Type="http://schemas.openxmlformats.org/officeDocument/2006/relationships/hyperlink" Target="https://product.hstatic.net/200000428801/product/44df4b9af0b2437f8bac6fc6916c3ecb_9aa0eb3c08894d01a9c48858a5c55ae1.png" TargetMode="External"/><Relationship Id="rId2713" Type="http://schemas.openxmlformats.org/officeDocument/2006/relationships/hyperlink" Target="https://product.hstatic.net/200000428801/product/upload_a905cdf75f90472184d4329976e71937.jpg" TargetMode="External"/><Relationship Id="rId2920" Type="http://schemas.openxmlformats.org/officeDocument/2006/relationships/hyperlink" Target="https://product.hstatic.net/200000428801/product/upload_ee8cc58ae6e94517a7db644eb56a0d39.jpg" TargetMode="External"/><Relationship Id="rId1522" Type="http://schemas.openxmlformats.org/officeDocument/2006/relationships/hyperlink" Target="https://product.hstatic.net/200000428801/product/upload_f454180db0c94d95b39e808af09545f5.jpg" TargetMode="External"/><Relationship Id="rId21" Type="http://schemas.openxmlformats.org/officeDocument/2006/relationships/hyperlink" Target="https://cdn2-retail-images.kiotviet.vn/2025/12/30/giabaopharma/08554e8d288e44d7b63f9277774b8667.png,https:/cdn2-retail-images.kiotviet.vn/2025/12/24/giabaopharma/b5bf6651233d48a5b06aed0f3dc29027.jpg,https:/cdn2-retail-images.kiotviet.vn/2025/12/30/giabaopharma/f3f2d113711541208cf9d62ca477cdf8.png,https:/cdn2-retail-images.kiotviet.vn/2025/12/30/giabaopharma/5020ccafbb1242ca859505d1c56ffd3b.png,https:/cdn2-retail-images.kiotviet.vn/2025/12/30/giabaopharma/b7f4397804184a059bb9dbb151959d90.png" TargetMode="External"/><Relationship Id="rId2089" Type="http://schemas.openxmlformats.org/officeDocument/2006/relationships/hyperlink" Target="https://product.hstatic.net/200000428801/product/upload_f67f256e12cc4280bad70a13c2f60860.jpg" TargetMode="External"/><Relationship Id="rId3487" Type="http://schemas.openxmlformats.org/officeDocument/2006/relationships/hyperlink" Target="https://product.hstatic.net/200000428801/product/1d66dde1e799461783d06c05a678e248_7c0db14e36c34e329f64b8fd8a29fb4e.png" TargetMode="External"/><Relationship Id="rId3694" Type="http://schemas.openxmlformats.org/officeDocument/2006/relationships/hyperlink" Target="https://product.hstatic.net/200000428801/product/thiet_ke_khong_ten__12__e635faddaca141b3850e5ed8e169e0de.png" TargetMode="External"/><Relationship Id="rId2296" Type="http://schemas.openxmlformats.org/officeDocument/2006/relationships/hyperlink" Target="https://product.hstatic.net/200000428801/product/c81bbdd3cc7a4e35b284eb8099c2c868_068ce96160e94b2b8dd2d285831a4217.png" TargetMode="External"/><Relationship Id="rId3347" Type="http://schemas.openxmlformats.org/officeDocument/2006/relationships/hyperlink" Target="https://product.hstatic.net/200000428801/product/616058bf484b4dde9ec7367acbd56cd5_928a5b292c37434082dc6e9545d64c31.png" TargetMode="External"/><Relationship Id="rId3554" Type="http://schemas.openxmlformats.org/officeDocument/2006/relationships/hyperlink" Target="https://product.hstatic.net/200000428801/product/f9f2c58c4fca8f94d6db_acb4b0c503a8415b9fb48993f07cab62.jpg" TargetMode="External"/><Relationship Id="rId3761" Type="http://schemas.openxmlformats.org/officeDocument/2006/relationships/hyperlink" Target="https://cdn2-retail-images.kiotviet.vn/2025/12/11/giabaopharma/d0700acb343443259e8ba05621e2a273.jpg" TargetMode="External"/><Relationship Id="rId268" Type="http://schemas.openxmlformats.org/officeDocument/2006/relationships/hyperlink" Target="https://cdn-images.kiotviet.vn/giabaopharma/5d457eefba6c49dab075ec6be56cc6de.png" TargetMode="External"/><Relationship Id="rId475" Type="http://schemas.openxmlformats.org/officeDocument/2006/relationships/hyperlink" Target="https://cdn2-retail-images.kiotviet.vn/2025/12/23/giabaopharma/b25cf7ebe8a644779d9aca5a1d72fa47.png" TargetMode="External"/><Relationship Id="rId682" Type="http://schemas.openxmlformats.org/officeDocument/2006/relationships/hyperlink" Target="https://product.hstatic.net/200000428801/product/upload_44bd27924acf4727b1c148166761c314.jpg" TargetMode="External"/><Relationship Id="rId2156" Type="http://schemas.openxmlformats.org/officeDocument/2006/relationships/hyperlink" Target="https://product.hstatic.net/200000428801/product/upload_1c8136015c04471983b57e9f182d8021.jpg" TargetMode="External"/><Relationship Id="rId2363" Type="http://schemas.openxmlformats.org/officeDocument/2006/relationships/hyperlink" Target="https://product.hstatic.net/200000428801/product/9fc08544bd2b45cc957b6486ce735cd7_7f4cd532c5734fbfae6ae28676f489f7.png" TargetMode="External"/><Relationship Id="rId2570" Type="http://schemas.openxmlformats.org/officeDocument/2006/relationships/hyperlink" Target="https://product.hstatic.net/200000428801/product/upload_b9f54f28f4174e4684335e08661919d1.jpg" TargetMode="External"/><Relationship Id="rId3207" Type="http://schemas.openxmlformats.org/officeDocument/2006/relationships/hyperlink" Target="https://product.hstatic.net/200000428801/product/bb9458a85bc047229fa4b994dafd3f3a_e8b0d81a1672491598abeec65089e897.png" TargetMode="External"/><Relationship Id="rId3414" Type="http://schemas.openxmlformats.org/officeDocument/2006/relationships/hyperlink" Target="https://product.hstatic.net/200000428801/product/4f64c13cdb5f492c933381bffc5f6e3b_d47cf33c6d444bcfb60adb5a24349c98.png" TargetMode="External"/><Relationship Id="rId3621" Type="http://schemas.openxmlformats.org/officeDocument/2006/relationships/hyperlink" Target="https://product.hstatic.net/200000428801/product/zalo_screenshot_19_11_2021_62663_f4aa6224095c42a88700c3b14918ca22.png" TargetMode="External"/><Relationship Id="rId128" Type="http://schemas.openxmlformats.org/officeDocument/2006/relationships/hyperlink" Target="https://cdn2-retail-images.kiotviet.vn/2025/03/13/giabaopharma/b8cd0053295a4e52851abf5aecca9213.jpg" TargetMode="External"/><Relationship Id="rId335" Type="http://schemas.openxmlformats.org/officeDocument/2006/relationships/hyperlink" Target="https://product.hstatic.net/200000428801/product/490fc6af56a24aa9bd0876591804b912_9ed15f2b49ab4c4fa4fbd4c718b8b28b.png" TargetMode="External"/><Relationship Id="rId542" Type="http://schemas.openxmlformats.org/officeDocument/2006/relationships/hyperlink" Target="https://product.hstatic.net/200000428801/product/upload_96bcb1f9963247f3a506cac2511d0b90.jpg" TargetMode="External"/><Relationship Id="rId1172" Type="http://schemas.openxmlformats.org/officeDocument/2006/relationships/hyperlink" Target="https://product.hstatic.net/200000428801/product/upload_ad46e0c3fc884a8493fce675847022dd.jpg" TargetMode="External"/><Relationship Id="rId2016" Type="http://schemas.openxmlformats.org/officeDocument/2006/relationships/hyperlink" Target="https://product.hstatic.net/200000428801/product/upload_a5d93e606a234a67bd4bac44c34752fe.jpg" TargetMode="External"/><Relationship Id="rId2223" Type="http://schemas.openxmlformats.org/officeDocument/2006/relationships/hyperlink" Target="https://product.hstatic.net/200000428801/product/upload_445589b33a6e4c4f931454f848d2b607.jpg" TargetMode="External"/><Relationship Id="rId2430" Type="http://schemas.openxmlformats.org/officeDocument/2006/relationships/hyperlink" Target="https://product.hstatic.net/200000428801/product/upload_4c14659f22074c79a48d695e849b369b.jpg" TargetMode="External"/><Relationship Id="rId402" Type="http://schemas.openxmlformats.org/officeDocument/2006/relationships/hyperlink" Target="https://product.hstatic.net/200000428801/product/3d2b714f3c5c42d1a13c7a1f02da1c98_8da99d989ed94bb89d13bb2ba1d4af85.png" TargetMode="External"/><Relationship Id="rId1032" Type="http://schemas.openxmlformats.org/officeDocument/2006/relationships/hyperlink" Target="https://product.hstatic.net/200000428801/product/upload_2f38a4b293f94a58be94cb23c233b89b.jpg" TargetMode="External"/><Relationship Id="rId1989" Type="http://schemas.openxmlformats.org/officeDocument/2006/relationships/hyperlink" Target="https://product.hstatic.net/200000428801/product/upload_19ca3b40ec024cae96e337d70bbc7077.jpg" TargetMode="External"/><Relationship Id="rId4048" Type="http://schemas.openxmlformats.org/officeDocument/2006/relationships/hyperlink" Target="https://product.hstatic.net/200000428801/product/0ec90bcdbb8b7bd5229a_787f6f8dafcb4dc690f7fb069f0a130e.jpg" TargetMode="External"/><Relationship Id="rId1849" Type="http://schemas.openxmlformats.org/officeDocument/2006/relationships/hyperlink" Target="https://product.hstatic.net/200000428801/product/upload_c6879d321e4443eeb810bc77ea84f86c.jpg" TargetMode="External"/><Relationship Id="rId3064" Type="http://schemas.openxmlformats.org/officeDocument/2006/relationships/hyperlink" Target="https://product.hstatic.net/200000428801/product/upload_ff70555037024890a5cf5674819d6051.jpg" TargetMode="External"/><Relationship Id="rId192" Type="http://schemas.openxmlformats.org/officeDocument/2006/relationships/hyperlink" Target="https://cdn2-retail-images.kiotviet.vn/2024/10/16/giabaopharma/b4af9c8ecc6d45ad90bab6d5f8a0c48b.jpg" TargetMode="External"/><Relationship Id="rId1709" Type="http://schemas.openxmlformats.org/officeDocument/2006/relationships/hyperlink" Target="https://product.hstatic.net/200000428801/product/upload_c603acb6887442f1b4249bb2f399f17f.jpg" TargetMode="External"/><Relationship Id="rId1916" Type="http://schemas.openxmlformats.org/officeDocument/2006/relationships/hyperlink" Target="https://product.hstatic.net/200000428801/product/522_20fb18a2756a4e5089176ca76afdfc99.png" TargetMode="External"/><Relationship Id="rId3271" Type="http://schemas.openxmlformats.org/officeDocument/2006/relationships/hyperlink" Target="https://product.hstatic.net/200000428801/product/10d4ce4e481e49b0b85259c741a92e7f_ada7d633fd864615be2671c65cef245d.png" TargetMode="External"/><Relationship Id="rId2080" Type="http://schemas.openxmlformats.org/officeDocument/2006/relationships/hyperlink" Target="https://product.hstatic.net/200000428801/product/upload_65e843badc244e42a2dc1d08a71d5824.jpg" TargetMode="External"/><Relationship Id="rId3131" Type="http://schemas.openxmlformats.org/officeDocument/2006/relationships/hyperlink" Target="https://product.hstatic.net/200000428801/product/19e66537d2044538a22cca861f73d4ed_eef3f6ce6ad8467d9816aaeb79c21a51.png" TargetMode="External"/><Relationship Id="rId2897" Type="http://schemas.openxmlformats.org/officeDocument/2006/relationships/hyperlink" Target="https://product.hstatic.net/200000428801/product/upload_6d183aed9ae645fa8daebebf0da47cd5.jpg" TargetMode="External"/><Relationship Id="rId3948" Type="http://schemas.openxmlformats.org/officeDocument/2006/relationships/hyperlink" Target="https://product.hstatic.net/200000428801/product/cc647c373c5fff01a64e_0c660e3af24a4077b8d52dc323dc906e.png" TargetMode="External"/><Relationship Id="rId869" Type="http://schemas.openxmlformats.org/officeDocument/2006/relationships/hyperlink" Target="https://product.hstatic.net/200000428801/product/upload_07f72fa642f44d228b868fc72b0ac09c.jpg" TargetMode="External"/><Relationship Id="rId1499" Type="http://schemas.openxmlformats.org/officeDocument/2006/relationships/hyperlink" Target="https://product.hstatic.net/200000428801/product/upload_bfc92ede030644b6ac13ed8ce0ae8357.jpg" TargetMode="External"/><Relationship Id="rId729" Type="http://schemas.openxmlformats.org/officeDocument/2006/relationships/hyperlink" Target="https://product.hstatic.net/200000428801/product/upload_0b049039f1564ff7bc58123fc715a83f.jpg" TargetMode="External"/><Relationship Id="rId1359" Type="http://schemas.openxmlformats.org/officeDocument/2006/relationships/hyperlink" Target="https://product.hstatic.net/200000428801/product/upload_f104166c6def446288b7895c42566047.jpg" TargetMode="External"/><Relationship Id="rId2757" Type="http://schemas.openxmlformats.org/officeDocument/2006/relationships/hyperlink" Target="https://product.hstatic.net/200000428801/product/c3c862fe78ea4f5fbb922f64c3c0e2a8_17429e081f4a4bcea7943227c86c38e7.png" TargetMode="External"/><Relationship Id="rId2964" Type="http://schemas.openxmlformats.org/officeDocument/2006/relationships/hyperlink" Target="https://product.hstatic.net/200000428801/product/345_2c525cf97d56468f8abfd5708a221fee.png" TargetMode="External"/><Relationship Id="rId3808" Type="http://schemas.openxmlformats.org/officeDocument/2006/relationships/hyperlink" Target="https://product.hstatic.net/200000428801/product/bfc84b73b76e7a30237f_07780de9dd6e43738d21b0aed7d08264.jpg" TargetMode="External"/><Relationship Id="rId936" Type="http://schemas.openxmlformats.org/officeDocument/2006/relationships/hyperlink" Target="https://product.hstatic.net/200000428801/product/upload_b4f63617c49d4d60b42cccd97cda1e06.jpg" TargetMode="External"/><Relationship Id="rId1219" Type="http://schemas.openxmlformats.org/officeDocument/2006/relationships/hyperlink" Target="https://product.hstatic.net/200000428801/product/upload_d13fcb4cff1b4e509211ff1fc69ccf05.jpg" TargetMode="External"/><Relationship Id="rId1566" Type="http://schemas.openxmlformats.org/officeDocument/2006/relationships/hyperlink" Target="https://product.hstatic.net/200000428801/product/upload_4af4654da12f49a3b6c8aabfe132bcf5.jpg" TargetMode="External"/><Relationship Id="rId1773" Type="http://schemas.openxmlformats.org/officeDocument/2006/relationships/hyperlink" Target="https://product.hstatic.net/200000428801/product/upload_09477cb87966483c837b4cf58f23a188.jpg" TargetMode="External"/><Relationship Id="rId1980" Type="http://schemas.openxmlformats.org/officeDocument/2006/relationships/hyperlink" Target="https://product.hstatic.net/200000428801/product/upload_3ae00c973757437a9dc7577f16a704e7.jpg" TargetMode="External"/><Relationship Id="rId2617" Type="http://schemas.openxmlformats.org/officeDocument/2006/relationships/hyperlink" Target="https://product.hstatic.net/200000428801/product/upload_69b46976641f4cd6b4f389d916c7b895.jpg" TargetMode="External"/><Relationship Id="rId2824" Type="http://schemas.openxmlformats.org/officeDocument/2006/relationships/hyperlink" Target="https://product.hstatic.net/200000428801/product/upload_4937968e65db4ce7be69ead6cf59d6de.jpg" TargetMode="External"/><Relationship Id="rId65" Type="http://schemas.openxmlformats.org/officeDocument/2006/relationships/hyperlink" Target="https://i.postimg.cc/xTvRCZrc/295.png" TargetMode="External"/><Relationship Id="rId1426" Type="http://schemas.openxmlformats.org/officeDocument/2006/relationships/hyperlink" Target="https://product.hstatic.net/200000428801/product/61_0ae81787cc84429ba5d4f5daf8686643.png" TargetMode="External"/><Relationship Id="rId1633" Type="http://schemas.openxmlformats.org/officeDocument/2006/relationships/hyperlink" Target="https://product.hstatic.net/200000428801/product/upload_f0f6a7838eb048068476ebf0c81e68e0.jpg" TargetMode="External"/><Relationship Id="rId1840" Type="http://schemas.openxmlformats.org/officeDocument/2006/relationships/hyperlink" Target="https://product.hstatic.net/200000428801/product/21144cdb94064a50af77bb34ef999079_10e7d5650aaa4eb1a18b03ad0705e86c.png" TargetMode="External"/><Relationship Id="rId1700" Type="http://schemas.openxmlformats.org/officeDocument/2006/relationships/hyperlink" Target="https://product.hstatic.net/200000428801/product/upload_716f4cb5e8984e8982e1b00e075d25a8.jpg" TargetMode="External"/><Relationship Id="rId3598" Type="http://schemas.openxmlformats.org/officeDocument/2006/relationships/hyperlink" Target="https://cdn2-retail-images.kiotviet.vn/2026/01/31/giabaopharma/3af35a5eb9ea40faaa2b1d740d22046e.jpg" TargetMode="External"/><Relationship Id="rId3458" Type="http://schemas.openxmlformats.org/officeDocument/2006/relationships/hyperlink" Target="https://product.hstatic.net/200000428801/product/fa069c4c2f9f492dac9a55a5c09b195b_8e0b08d1184c4cb598f619b63d9d46fe.png" TargetMode="External"/><Relationship Id="rId3665" Type="http://schemas.openxmlformats.org/officeDocument/2006/relationships/hyperlink" Target="https://product.hstatic.net/200000428801/product/p_aae338e1faca467992eebb9fe897114b.jpg" TargetMode="External"/><Relationship Id="rId3872" Type="http://schemas.openxmlformats.org/officeDocument/2006/relationships/hyperlink" Target="https://cdn1-retail-images.kiotviet.vn/2026/03/12/giabaopharma/520dbe4eecd242108f11c8f05986a18c.jpg" TargetMode="External"/><Relationship Id="rId379" Type="http://schemas.openxmlformats.org/officeDocument/2006/relationships/hyperlink" Target="https://product.hstatic.net/200000428801/product/19_043b6b8eb898416bbf0dda2ad09dde77.png" TargetMode="External"/><Relationship Id="rId586" Type="http://schemas.openxmlformats.org/officeDocument/2006/relationships/hyperlink" Target="https://product.hstatic.net/200000428801/product/upload_1c78b0ca294f4cd5ba532c3a6970e62e.jpg" TargetMode="External"/><Relationship Id="rId793" Type="http://schemas.openxmlformats.org/officeDocument/2006/relationships/hyperlink" Target="https://product.hstatic.net/200000428801/product/upload_59f62c526eca4d6593c7a7cee41d2af8.jpg" TargetMode="External"/><Relationship Id="rId2267" Type="http://schemas.openxmlformats.org/officeDocument/2006/relationships/hyperlink" Target="https://product.hstatic.net/200000428801/product/69908bc4aa1d4e82b94e943dfe2bae75_ecd10f9c27134e6b8f91d38022322daa.png" TargetMode="External"/><Relationship Id="rId2474" Type="http://schemas.openxmlformats.org/officeDocument/2006/relationships/hyperlink" Target="https://product.hstatic.net/200000428801/product/upload_f5e2a4f438054963a1682da8e8654b13.jpg" TargetMode="External"/><Relationship Id="rId2681" Type="http://schemas.openxmlformats.org/officeDocument/2006/relationships/hyperlink" Target="https://cdn2-retail-images.kiotviet.vn/2025/11/10/giabaopharma/e2379b577a0f4f8a9cf82ed4d956a5ae.jpg" TargetMode="External"/><Relationship Id="rId3318" Type="http://schemas.openxmlformats.org/officeDocument/2006/relationships/hyperlink" Target="https://product.hstatic.net/200000428801/product/81496a1753f3487a8f70928f036bcab2_f32093b7cbd04993b98fdc45d5b0fa85.png" TargetMode="External"/><Relationship Id="rId3525" Type="http://schemas.openxmlformats.org/officeDocument/2006/relationships/hyperlink" Target="https://product.hstatic.net/200000428801/product/8de1937db3757c2b2564_76f106087e364d4cbff2bc1f57b002ab.jpg" TargetMode="External"/><Relationship Id="rId239" Type="http://schemas.openxmlformats.org/officeDocument/2006/relationships/hyperlink" Target="https://cdn2-retail-images.kiotviet.vn/giabaopharma/8e33bff107cb42f3b6960ccfd7340575.jpg,https:/cdn2-retail-images.kiotviet.vn/2025/05/29/giabaopharma/a9043049f8d24eaaad43cc81eeaf6137.jpg,https:/cdn2-retail-images.kiotviet.vn/2025/05/29/giabaopharma/08623c270cbe44ebb26a14225c387a3e.jpg" TargetMode="External"/><Relationship Id="rId446" Type="http://schemas.openxmlformats.org/officeDocument/2006/relationships/hyperlink" Target="https://product.hstatic.net/200000428801/product/8_d175a127ba384ad4b206e5afba433370.png" TargetMode="External"/><Relationship Id="rId653" Type="http://schemas.openxmlformats.org/officeDocument/2006/relationships/hyperlink" Target="https://product.hstatic.net/200000428801/product/upload_56fd5608a82b4638bf72942bd4550a56.jpg" TargetMode="External"/><Relationship Id="rId1076" Type="http://schemas.openxmlformats.org/officeDocument/2006/relationships/hyperlink" Target="https://cdn2-retail-images.kiotviet.vn/giabaopharma/6c1df55233eb47ecb0aef332146af5c1.jpg" TargetMode="External"/><Relationship Id="rId1283" Type="http://schemas.openxmlformats.org/officeDocument/2006/relationships/hyperlink" Target="https://product.hstatic.net/200000428801/product/upload_f69a05b86d70455b955e3d2fd85da35d.jpg" TargetMode="External"/><Relationship Id="rId1490" Type="http://schemas.openxmlformats.org/officeDocument/2006/relationships/hyperlink" Target="https://product.hstatic.net/200000428801/product/upload_40c3e5d0e5484c9cbf35857d34d6083f.jpg" TargetMode="External"/><Relationship Id="rId2127" Type="http://schemas.openxmlformats.org/officeDocument/2006/relationships/hyperlink" Target="https://product.hstatic.net/200000428801/product/alphachymotrypsin-4200-usp-2-1_ccfcfb0f6e9449609a640c2b69cf0929.jpg" TargetMode="External"/><Relationship Id="rId2334" Type="http://schemas.openxmlformats.org/officeDocument/2006/relationships/hyperlink" Target="https://product.hstatic.net/200000428801/product/upload_748df950f6264c6c9f50fd186bbab3b5.jpg" TargetMode="External"/><Relationship Id="rId3732" Type="http://schemas.openxmlformats.org/officeDocument/2006/relationships/hyperlink" Target="https://product.hstatic.net/200000428801/product/99014be26316a048f907_cf944989591b4a05b091431cab0202d2.jpg" TargetMode="External"/><Relationship Id="rId306" Type="http://schemas.openxmlformats.org/officeDocument/2006/relationships/hyperlink" Target="https://product.hstatic.net/200000428801/product/344_96ee7b88bc5f40018373077256294f77.png" TargetMode="External"/><Relationship Id="rId860" Type="http://schemas.openxmlformats.org/officeDocument/2006/relationships/hyperlink" Target="https://product.hstatic.net/200000428801/product/upload_c0615ffbd28f4429bac7762492ea948e.jpg" TargetMode="External"/><Relationship Id="rId1143" Type="http://schemas.openxmlformats.org/officeDocument/2006/relationships/hyperlink" Target="https://product.hstatic.net/200000428801/product/upload_e402da8392b943a5bd3d388190841eed.jpg" TargetMode="External"/><Relationship Id="rId2541" Type="http://schemas.openxmlformats.org/officeDocument/2006/relationships/hyperlink" Target="https://product.hstatic.net/200000428801/product/upload_41c242bd3b9043ee9680a19a7959fd5a.jpg" TargetMode="External"/><Relationship Id="rId513" Type="http://schemas.openxmlformats.org/officeDocument/2006/relationships/hyperlink" Target="https://product.hstatic.net/200000428801/product/upload_fb292c1fa0fa4334bfe3a7f47fc9210a.jpg" TargetMode="External"/><Relationship Id="rId720" Type="http://schemas.openxmlformats.org/officeDocument/2006/relationships/hyperlink" Target="https://cdn-images.kiotviet.vn/2025/09/17/giabaopharma/9450213fd94a4cc3bc29d28b43e78390.jpg,https:/cdn-images.kiotviet.vn/2025/09/17/giabaopharma/5d4cef3ead784eb0a46672f92a8a3a5e.jpg,https:/cdn-images.kiotviet.vn/2025/09/17/giabaopharma/8f0b91480e75415b817ce4e5d4b09635.jpg" TargetMode="External"/><Relationship Id="rId1350" Type="http://schemas.openxmlformats.org/officeDocument/2006/relationships/hyperlink" Target="https://product.hstatic.net/200000428801/product/upload_2a5d147f65b0491e9f3e6c327fbf41d0.jpg" TargetMode="External"/><Relationship Id="rId2401" Type="http://schemas.openxmlformats.org/officeDocument/2006/relationships/hyperlink" Target="https://product.hstatic.net/200000428801/product/upload_594469a2dbec4c70a5e79293fff3e6cb.jpg" TargetMode="External"/><Relationship Id="rId1003" Type="http://schemas.openxmlformats.org/officeDocument/2006/relationships/hyperlink" Target="https://product.hstatic.net/200000428801/product/upload_f4d8ce7e67e44ac9a35d0b03f8f4dd86.jpg" TargetMode="External"/><Relationship Id="rId1210" Type="http://schemas.openxmlformats.org/officeDocument/2006/relationships/hyperlink" Target="https://product.hstatic.net/200000428801/product/upload_29af2f261d084a959ff703ac9d618cbe.jpg" TargetMode="External"/><Relationship Id="rId3175" Type="http://schemas.openxmlformats.org/officeDocument/2006/relationships/hyperlink" Target="https://product.hstatic.net/200000428801/product/8f8e4524f70047959719918d2930f4ce_c4f2c42fda654f47b5f27731b743eff3.jpg" TargetMode="External"/><Relationship Id="rId3382" Type="http://schemas.openxmlformats.org/officeDocument/2006/relationships/hyperlink" Target="https://product.hstatic.net/200000428801/product/5e8f8382ab8348748b821270b5e001ee_75fad0da5efd40819fb8099fb41d113d.png" TargetMode="External"/><Relationship Id="rId4019" Type="http://schemas.openxmlformats.org/officeDocument/2006/relationships/hyperlink" Target="https://product.hstatic.net/200000428801/product/09080d09438c89d2d09d_fcb39a964b0244ddb3c66bddf0beff4f.jpg" TargetMode="External"/><Relationship Id="rId2191" Type="http://schemas.openxmlformats.org/officeDocument/2006/relationships/hyperlink" Target="https://product.hstatic.net/200000428801/product/upload_8e17d0cf44c043fa9622866da458f79d.jpg" TargetMode="External"/><Relationship Id="rId3035" Type="http://schemas.openxmlformats.org/officeDocument/2006/relationships/hyperlink" Target="https://product.hstatic.net/200000428801/product/340_509c99da71cb4ed89e325cc339102434.png" TargetMode="External"/><Relationship Id="rId3242" Type="http://schemas.openxmlformats.org/officeDocument/2006/relationships/hyperlink" Target="https://product.hstatic.net/200000428801/product/015c94ea3f3545c08770aa8041b83b6c_738852a75e2646b5b7bcb2820383674e.png" TargetMode="External"/><Relationship Id="rId163" Type="http://schemas.openxmlformats.org/officeDocument/2006/relationships/hyperlink" Target="https://cdn2-retail-images.kiotviet.vn/2025/01/08/giabaopharma/7ee360b3b191435584f7a3fe15dba992.jpg" TargetMode="External"/><Relationship Id="rId370" Type="http://schemas.openxmlformats.org/officeDocument/2006/relationships/hyperlink" Target="https://product.hstatic.net/200000428801/product/upload_d0390642f10b48b59e01645cb7b5516e.jpg" TargetMode="External"/><Relationship Id="rId2051" Type="http://schemas.openxmlformats.org/officeDocument/2006/relationships/hyperlink" Target="https://product.hstatic.net/200000428801/product/upload_3c9c9a8bbfd6404eae73c7e875106c4b.jpg" TargetMode="External"/><Relationship Id="rId3102" Type="http://schemas.openxmlformats.org/officeDocument/2006/relationships/hyperlink" Target="https://product.hstatic.net/200000428801/product/78d39a20b2c942039ae0ec4a976fa900_367519f92cc8440993ff2b2a10822022.png" TargetMode="External"/><Relationship Id="rId230" Type="http://schemas.openxmlformats.org/officeDocument/2006/relationships/hyperlink" Target="https://cdn-images.kiotviet.vn/giabaopharma/1ac27fd309c9423ca40c3a796ab53b10.jpg" TargetMode="External"/><Relationship Id="rId2868" Type="http://schemas.openxmlformats.org/officeDocument/2006/relationships/hyperlink" Target="https://product.hstatic.net/200000428801/product/upload_afa2725b66e1440b9416755fb860f98d.jpg" TargetMode="External"/><Relationship Id="rId3919" Type="http://schemas.openxmlformats.org/officeDocument/2006/relationships/hyperlink" Target="https://product.hstatic.net/200000428801/product/thiet_ke_khong_ten__81__ce9e2b5915d240ce9c9772f227b9c1cc.png" TargetMode="External"/><Relationship Id="rId1677" Type="http://schemas.openxmlformats.org/officeDocument/2006/relationships/hyperlink" Target="https://product.hstatic.net/200000428801/product/13_18eb9cdb581641be8d61595e8d9229f1.png" TargetMode="External"/><Relationship Id="rId1884" Type="http://schemas.openxmlformats.org/officeDocument/2006/relationships/hyperlink" Target="https://product.hstatic.net/200000428801/product/upload_8c222d4df8b54ba3838ce4d6e4121c39.jpg" TargetMode="External"/><Relationship Id="rId2728" Type="http://schemas.openxmlformats.org/officeDocument/2006/relationships/hyperlink" Target="https://product.hstatic.net/200000428801/product/upload_bc1ea8a8243d47a1b50863cc7a2c01d1.jpg" TargetMode="External"/><Relationship Id="rId2935" Type="http://schemas.openxmlformats.org/officeDocument/2006/relationships/hyperlink" Target="https://product.hstatic.net/200000428801/product/upload_38db509c51244e729a9822725deaa5af.jpg" TargetMode="External"/><Relationship Id="rId907" Type="http://schemas.openxmlformats.org/officeDocument/2006/relationships/hyperlink" Target="https://product.hstatic.net/200000428801/product/upload_282463a41b314ded83e415ebc3a4a931.jpg" TargetMode="External"/><Relationship Id="rId1537" Type="http://schemas.openxmlformats.org/officeDocument/2006/relationships/hyperlink" Target="https://product.hstatic.net/200000428801/product/upload_8da9f5964c03447db274f0b7c6e7b880.jpg" TargetMode="External"/><Relationship Id="rId1744" Type="http://schemas.openxmlformats.org/officeDocument/2006/relationships/hyperlink" Target="https://product.hstatic.net/200000428801/product/6_c9767a43dfcb415183a6761151875a8f.png" TargetMode="External"/><Relationship Id="rId1951" Type="http://schemas.openxmlformats.org/officeDocument/2006/relationships/hyperlink" Target="https://product.hstatic.net/200000428801/product/upload_bd02e3f1865a497a905b349a963546e8.jpg" TargetMode="External"/><Relationship Id="rId36" Type="http://schemas.openxmlformats.org/officeDocument/2006/relationships/hyperlink" Target="https://cdn2-retail-images.kiotviet.vn/2025/10/02/giabaopharma/9f2e7b1dfa624ed68dfc40a0b31dbf38.jpg" TargetMode="External"/><Relationship Id="rId1604" Type="http://schemas.openxmlformats.org/officeDocument/2006/relationships/hyperlink" Target="https://product.hstatic.net/200000428801/product/upload_5953454e51724561b148afd79f97825c.jpg" TargetMode="External"/><Relationship Id="rId4010" Type="http://schemas.openxmlformats.org/officeDocument/2006/relationships/hyperlink" Target="https://product.hstatic.net/200000428801/product/zalo_screenshot_18_11_2021_620803_ef319e2d1f404f7c8e6d55c8ae691a16.png" TargetMode="External"/><Relationship Id="rId1811" Type="http://schemas.openxmlformats.org/officeDocument/2006/relationships/hyperlink" Target="https://product.hstatic.net/200000428801/product/arylin-bo-gan-hop-60v-thanh-cong-200x200_cb498a1f6282415eaf6f256434d05d98.jpg" TargetMode="External"/><Relationship Id="rId3569" Type="http://schemas.openxmlformats.org/officeDocument/2006/relationships/hyperlink" Target="https://cdn-images.kiotviet.vn/giabaopharma/2fb8e298826245cbaa6e6edb9820a3a2.png,https:/cdn-images.kiotviet.vn/giabaopharma/3d57cc0c11e34cb584bfeff9b387d1d9.png,https:/cdn-images.kiotviet.vn/giabaopharma/d27abb5a3b2544e49fcb04d07d4d46d6.png,https:/cdn-images.kiotviet.vn/giabaopharma/2a6a35d0f98d43e7abb2a810e0b525ff.png,https:/cdn-images.kiotviet.vn/giabaopharma/b61769e614f041ec91e0cc4a6d896750.png" TargetMode="External"/><Relationship Id="rId697" Type="http://schemas.openxmlformats.org/officeDocument/2006/relationships/hyperlink" Target="https://product.hstatic.net/200000428801/product/upload_537e1ea8364749ff89050a4c1cf446de.jpg" TargetMode="External"/><Relationship Id="rId2378" Type="http://schemas.openxmlformats.org/officeDocument/2006/relationships/hyperlink" Target="https://product.hstatic.net/200000428801/product/upload_0308337765404aa4ab50cc846d57198a.jpg" TargetMode="External"/><Relationship Id="rId3429" Type="http://schemas.openxmlformats.org/officeDocument/2006/relationships/hyperlink" Target="https://product.hstatic.net/200000428801/product/97676f540eed4d80bfe97e173ebdbc8b_b4adae35cfa6489fb1c045804bab773d.png" TargetMode="External"/><Relationship Id="rId3776" Type="http://schemas.openxmlformats.org/officeDocument/2006/relationships/hyperlink" Target="https://cdn2-retail-images.kiotviet.vn/2025/10/23/giabaopharma/af488e53eca04a869b1462082c8a1370.png" TargetMode="External"/><Relationship Id="rId3983" Type="http://schemas.openxmlformats.org/officeDocument/2006/relationships/hyperlink" Target="https://cdn1-retail-images.kiotviet.vn/2026/01/15/giabaopharma/bdd6110c96804bb4ae512bbb5e0e66bf.jpg" TargetMode="External"/><Relationship Id="rId1187" Type="http://schemas.openxmlformats.org/officeDocument/2006/relationships/hyperlink" Target="https://product.hstatic.net/200000428801/product/upload_dff3a2a6e94d4fb088fa38b53d4164e8.jpg" TargetMode="External"/><Relationship Id="rId2585" Type="http://schemas.openxmlformats.org/officeDocument/2006/relationships/hyperlink" Target="https://product.hstatic.net/200000428801/product/upload_c7afd733849141ab936cf870b5978d44.jpg" TargetMode="External"/><Relationship Id="rId2792" Type="http://schemas.openxmlformats.org/officeDocument/2006/relationships/hyperlink" Target="https://product.hstatic.net/200000428801/product/upload_34a4e59e22404e4ba667ffcba968f823.jpg" TargetMode="External"/><Relationship Id="rId3636" Type="http://schemas.openxmlformats.org/officeDocument/2006/relationships/hyperlink" Target="https://product.hstatic.net/200000428801/product/8150f0c8892946771f38_984332b92a0f45c685ee93ab2c505cd2.png" TargetMode="External"/><Relationship Id="rId3843" Type="http://schemas.openxmlformats.org/officeDocument/2006/relationships/hyperlink" Target="https://cdn2-retail-images.kiotviet.vn/2025/10/22/giabaopharma/09e92ec6c60b4ac0962b231538dd0bcb.jpg" TargetMode="External"/><Relationship Id="rId557" Type="http://schemas.openxmlformats.org/officeDocument/2006/relationships/hyperlink" Target="https://product.hstatic.net/200000428801/product/upload_4d2e84cb647e471587744dfc0d5770e3.jpg" TargetMode="External"/><Relationship Id="rId764" Type="http://schemas.openxmlformats.org/officeDocument/2006/relationships/hyperlink" Target="https://product.hstatic.net/200000428801/product/upload_6a246fffd1a94da5a609146725f15995.jpg" TargetMode="External"/><Relationship Id="rId971" Type="http://schemas.openxmlformats.org/officeDocument/2006/relationships/hyperlink" Target="https://product.hstatic.net/200000428801/product/upload_01c6646ed9454ea48f28abfcfdb81a37.jpg" TargetMode="External"/><Relationship Id="rId1394" Type="http://schemas.openxmlformats.org/officeDocument/2006/relationships/hyperlink" Target="https://product.hstatic.net/200000428801/product/upload_fa220a5ce7404167b95188da3ec041f3.jpg" TargetMode="External"/><Relationship Id="rId2238" Type="http://schemas.openxmlformats.org/officeDocument/2006/relationships/hyperlink" Target="https://product.hstatic.net/200000428801/product/upload_1888a9e200bb4b588bcf9f99d6b962d5.jpg" TargetMode="External"/><Relationship Id="rId2445" Type="http://schemas.openxmlformats.org/officeDocument/2006/relationships/hyperlink" Target="https://product.hstatic.net/200000428801/product/408_eec9103a44b84d59b44f98cd7740b56b.png" TargetMode="External"/><Relationship Id="rId2652" Type="http://schemas.openxmlformats.org/officeDocument/2006/relationships/hyperlink" Target="https://product.hstatic.net/200000428801/product/376_aaa65e79b5aa4295932711ac849e5455.png" TargetMode="External"/><Relationship Id="rId3703" Type="http://schemas.openxmlformats.org/officeDocument/2006/relationships/hyperlink" Target="https://cdn-images.kiotviet.vn/2025/06/30/giabaopharma/28734c70d31e4e17a601fce91a30c515.jpg" TargetMode="External"/><Relationship Id="rId3910" Type="http://schemas.openxmlformats.org/officeDocument/2006/relationships/hyperlink" Target="https://cdn2-retail-images.kiotviet.vn/2025/10/23/giabaopharma/f4db7695b40148f48986978f734e5c39.png" TargetMode="External"/><Relationship Id="rId417" Type="http://schemas.openxmlformats.org/officeDocument/2006/relationships/hyperlink" Target="https://product.hstatic.net/200000428801/product/upload_215db54313ed43609183c8978f09b48b.jpg" TargetMode="External"/><Relationship Id="rId624" Type="http://schemas.openxmlformats.org/officeDocument/2006/relationships/hyperlink" Target="https://product.hstatic.net/200000428801/product/upload_91296ffe44cf4afbac74e1fc86dd5bd3.jpg" TargetMode="External"/><Relationship Id="rId831" Type="http://schemas.openxmlformats.org/officeDocument/2006/relationships/hyperlink" Target="https://product.hstatic.net/200000428801/product/upload_628cd05a8e6649c4ac03e59c94e65c4d.jpg" TargetMode="External"/><Relationship Id="rId1047" Type="http://schemas.openxmlformats.org/officeDocument/2006/relationships/hyperlink" Target="https://product.hstatic.net/200000428801/product/upload_0897993df9f24a74ac67d372506a6651.jpg" TargetMode="External"/><Relationship Id="rId1254" Type="http://schemas.openxmlformats.org/officeDocument/2006/relationships/hyperlink" Target="https://product.hstatic.net/200000428801/product/upload_3bf2f001726244ad83921e4e379a7948.jpg" TargetMode="External"/><Relationship Id="rId1461" Type="http://schemas.openxmlformats.org/officeDocument/2006/relationships/hyperlink" Target="https://product.hstatic.net/200000428801/product/upload_fde9d7bd2e544cf097d013375ca122f9.jpg" TargetMode="External"/><Relationship Id="rId2305" Type="http://schemas.openxmlformats.org/officeDocument/2006/relationships/hyperlink" Target="https://product.hstatic.net/200000428801/product/8ba97e66c7a2439fa97fdcc0c85b783c_d5b1b2c166ae4d1ba8111979a1b12769.png" TargetMode="External"/><Relationship Id="rId2512" Type="http://schemas.openxmlformats.org/officeDocument/2006/relationships/hyperlink" Target="https://product.hstatic.net/200000428801/product/upload_18dfaf8da8424ed0ab97771ab5ef98b0.jpg" TargetMode="External"/><Relationship Id="rId1114" Type="http://schemas.openxmlformats.org/officeDocument/2006/relationships/hyperlink" Target="https://product.hstatic.net/200000428801/product/upload_93b9716b1cf3478a846f1156f838c368.jpg" TargetMode="External"/><Relationship Id="rId1321" Type="http://schemas.openxmlformats.org/officeDocument/2006/relationships/hyperlink" Target="https://product.hstatic.net/200000428801/product/67_5d6f88d3fad74a70989408cd314adc65.png" TargetMode="External"/><Relationship Id="rId3079" Type="http://schemas.openxmlformats.org/officeDocument/2006/relationships/hyperlink" Target="https://product.hstatic.net/200000428801/product/upload_d0a18d18fa004ce6a27783cebd251c98.jpg" TargetMode="External"/><Relationship Id="rId3286" Type="http://schemas.openxmlformats.org/officeDocument/2006/relationships/hyperlink" Target="https://product.hstatic.net/200000428801/product/8a7a283e3c994d2980b0ef36868ffe5a_3e89938238f54dc3aba81d0f3a04d0d1.png" TargetMode="External"/><Relationship Id="rId3493" Type="http://schemas.openxmlformats.org/officeDocument/2006/relationships/hyperlink" Target="https://product.hstatic.net/200000428801/product/3c414c7a376e421cb24c7a260422b56e_fbc67bbffb9e43d3991399e4da388385.jpg" TargetMode="External"/><Relationship Id="rId2095" Type="http://schemas.openxmlformats.org/officeDocument/2006/relationships/hyperlink" Target="https://product.hstatic.net/200000428801/product/upload_5eccf3e368cf4ab78ee5441d01064ac0.jpg" TargetMode="External"/><Relationship Id="rId3146" Type="http://schemas.openxmlformats.org/officeDocument/2006/relationships/hyperlink" Target="https://product.hstatic.net/200000428801/product/8c7e982b54274bde84552f2dadd13a03_ad77531385984806b0f39a9870d3da27.png" TargetMode="External"/><Relationship Id="rId3353" Type="http://schemas.openxmlformats.org/officeDocument/2006/relationships/hyperlink" Target="https://product.hstatic.net/200000428801/product/abd83818e3464cff8d9b2581075f54e5_d0b5c16b110c4b21992f09742e3e1058.png" TargetMode="External"/><Relationship Id="rId274" Type="http://schemas.openxmlformats.org/officeDocument/2006/relationships/hyperlink" Target="https://cdn2-retail-images.kiotviet.vn/2025/02/17/giabaopharma/cd4ce076b89f4ae4b899e10b29840bd9.jpg" TargetMode="External"/><Relationship Id="rId481" Type="http://schemas.openxmlformats.org/officeDocument/2006/relationships/hyperlink" Target="https://product.hstatic.net/200000428801/product/upload_e20451833afa41a18786e57b27d72bce.jpg" TargetMode="External"/><Relationship Id="rId2162" Type="http://schemas.openxmlformats.org/officeDocument/2006/relationships/hyperlink" Target="https://product.hstatic.net/200000428801/product/upload_372cfa6d93ca480bb05648f249d01700.jpg" TargetMode="External"/><Relationship Id="rId3006" Type="http://schemas.openxmlformats.org/officeDocument/2006/relationships/hyperlink" Target="https://product.hstatic.net/200000428801/product/upload_47fbe7de19a94329a4f8eb4e25c94741.jpg" TargetMode="External"/><Relationship Id="rId3560" Type="http://schemas.openxmlformats.org/officeDocument/2006/relationships/hyperlink" Target="https://product.hstatic.net/200000428801/product/41_63458a8c279a47f0a22d5527fa71076e.png" TargetMode="External"/><Relationship Id="rId134" Type="http://schemas.openxmlformats.org/officeDocument/2006/relationships/hyperlink" Target="https://cdn2-retail-images.kiotviet.vn/2025/03/12/giabaopharma/aa035f9e8e7349a3a6f9e0c950a0fa66.jpg,https:/cdn2-retail-images.kiotviet.vn/2025/03/12/giabaopharma/b8e663ec30174e1c9a954b06d1ca13ed.jpg" TargetMode="External"/><Relationship Id="rId3213" Type="http://schemas.openxmlformats.org/officeDocument/2006/relationships/hyperlink" Target="https://product.hstatic.net/200000428801/product/aea5e011c74e4eb1b79d01e27128a8db_841b41aa01eb42ca93b0a14978368179.png" TargetMode="External"/><Relationship Id="rId3420" Type="http://schemas.openxmlformats.org/officeDocument/2006/relationships/hyperlink" Target="https://product.hstatic.net/200000428801/product/33ee3b7ce27c4628bafeb3fa53b812c7_e7cfc18620174b4ab90ff05b6b5ff263.png" TargetMode="External"/><Relationship Id="rId341" Type="http://schemas.openxmlformats.org/officeDocument/2006/relationships/hyperlink" Target="https://product.hstatic.net/200000428801/product/upload_f454180db0c94d95b39e808af09545f5.jpg" TargetMode="External"/><Relationship Id="rId2022" Type="http://schemas.openxmlformats.org/officeDocument/2006/relationships/hyperlink" Target="https://product.hstatic.net/200000428801/product/upload_eb4d551ca7c24a04936d57d49143630c.jpg" TargetMode="External"/><Relationship Id="rId2979" Type="http://schemas.openxmlformats.org/officeDocument/2006/relationships/hyperlink" Target="https://product.hstatic.net/200000428801/product/356_e34aab6cbb284fa4a2b0c49843d8ac96.png" TargetMode="External"/><Relationship Id="rId201" Type="http://schemas.openxmlformats.org/officeDocument/2006/relationships/hyperlink" Target="https://cdn2-retail-images.kiotviet.vn/giabaopharma/c0dcb75ca68b4eb5b53c226728c28573.jpg" TargetMode="External"/><Relationship Id="rId1788" Type="http://schemas.openxmlformats.org/officeDocument/2006/relationships/hyperlink" Target="https://product.hstatic.net/200000428801/product/559_ac58bbfdf6cf4c2aa142ea6779dbeab4.png" TargetMode="External"/><Relationship Id="rId1995" Type="http://schemas.openxmlformats.org/officeDocument/2006/relationships/hyperlink" Target="https://product.hstatic.net/200000428801/product/upload_2fb80b376bbb4670a8fc7c7aaa377478.jpg" TargetMode="External"/><Relationship Id="rId2839" Type="http://schemas.openxmlformats.org/officeDocument/2006/relationships/hyperlink" Target="https://product.hstatic.net/200000428801/product/upload_c84f3c75b01840ffb577d986455be437.jpg" TargetMode="External"/><Relationship Id="rId1648" Type="http://schemas.openxmlformats.org/officeDocument/2006/relationships/hyperlink" Target="https://product.hstatic.net/200000428801/product/upload_54280551e22b4145902ded5d773b7254.jpg" TargetMode="External"/><Relationship Id="rId4054" Type="http://schemas.openxmlformats.org/officeDocument/2006/relationships/hyperlink" Target="https://product.hstatic.net/200000428801/product/fa41cefce232226c7b23_74863291a6b9456eb8b01f1963f436b9.jpg" TargetMode="External"/><Relationship Id="rId1508" Type="http://schemas.openxmlformats.org/officeDocument/2006/relationships/hyperlink" Target="https://product.hstatic.net/200000428801/product/upload_0f14bcb40f5345eb8030190ece295203.jpg" TargetMode="External"/><Relationship Id="rId1855" Type="http://schemas.openxmlformats.org/officeDocument/2006/relationships/hyperlink" Target="https://product.hstatic.net/200000428801/product/upload_3dd4ed9ee9854605904f383c6824b3df.jpg" TargetMode="External"/><Relationship Id="rId2906" Type="http://schemas.openxmlformats.org/officeDocument/2006/relationships/hyperlink" Target="https://product.hstatic.net/200000428801/product/upload_fcaa45e09efe49bd8f8e759f6c5d8aec.jpg" TargetMode="External"/><Relationship Id="rId3070" Type="http://schemas.openxmlformats.org/officeDocument/2006/relationships/hyperlink" Target="https://product.hstatic.net/200000428801/product/upload_863d034359b842bdbc448b95d02a70e1.jpg" TargetMode="External"/><Relationship Id="rId1715" Type="http://schemas.openxmlformats.org/officeDocument/2006/relationships/hyperlink" Target="https://product.hstatic.net/200000428801/product/upload_16f26fd5ee9549968640569b1cfd7671.jpg" TargetMode="External"/><Relationship Id="rId1922" Type="http://schemas.openxmlformats.org/officeDocument/2006/relationships/hyperlink" Target="https://product.hstatic.net/200000428801/product/527_bcdda1b38d6940e5942312ad9fbf9785.png" TargetMode="External"/><Relationship Id="rId3887" Type="http://schemas.openxmlformats.org/officeDocument/2006/relationships/hyperlink" Target="https://cdn2-retail-images.kiotviet.vn/2025/12/31/giabaopharma/d6bbe854e99c48fca876e10e0b4f2dc5.jpg" TargetMode="External"/><Relationship Id="rId2489" Type="http://schemas.openxmlformats.org/officeDocument/2006/relationships/hyperlink" Target="https://product.hstatic.net/200000428801/product/upload_538e757089754704a329f429884053c6.jpg" TargetMode="External"/><Relationship Id="rId2696" Type="http://schemas.openxmlformats.org/officeDocument/2006/relationships/hyperlink" Target="https://product.hstatic.net/200000428801/product/upload_600d8f4198fe4816b02541a77293872c.jpg" TargetMode="External"/><Relationship Id="rId3747" Type="http://schemas.openxmlformats.org/officeDocument/2006/relationships/hyperlink" Target="https://product.hstatic.net/200000428801/product/zalo_screenshot_18_11_2021_829696_4f73d1fcee9245fcacd040f9c99810ae.png" TargetMode="External"/><Relationship Id="rId3954" Type="http://schemas.openxmlformats.org/officeDocument/2006/relationships/hyperlink" Target="https://product.hstatic.net/200000428801/product/zalo_screenshot_18_11_2021_73506_0194ce26870f448db7c14a75850f589d.png" TargetMode="External"/><Relationship Id="rId668" Type="http://schemas.openxmlformats.org/officeDocument/2006/relationships/hyperlink" Target="https://product.hstatic.net/200000428801/product/upload_0aeda3dc9e224ab8a19f57986a771b48.jpg" TargetMode="External"/><Relationship Id="rId875" Type="http://schemas.openxmlformats.org/officeDocument/2006/relationships/hyperlink" Target="https://product.hstatic.net/200000428801/product/upload_112b6bb9bd8f416383116300530af660.jpg" TargetMode="External"/><Relationship Id="rId1298" Type="http://schemas.openxmlformats.org/officeDocument/2006/relationships/hyperlink" Target="https://product.hstatic.net/200000428801/product/upload_bac04649365e494e835618ce3c1ec5c3.jpg" TargetMode="External"/><Relationship Id="rId2349" Type="http://schemas.openxmlformats.org/officeDocument/2006/relationships/hyperlink" Target="https://product.hstatic.net/200000428801/product/472_d437727a818942e0ae642ed850d41610.png" TargetMode="External"/><Relationship Id="rId2556" Type="http://schemas.openxmlformats.org/officeDocument/2006/relationships/hyperlink" Target="https://product.hstatic.net/200000428801/product/upload_3a5be565eb72425da5ddee4c94adce80.jpg" TargetMode="External"/><Relationship Id="rId2763" Type="http://schemas.openxmlformats.org/officeDocument/2006/relationships/hyperlink" Target="https://product.hstatic.net/200000428801/product/upload_cf8aca78be774edea7044914e523958e.jpg" TargetMode="External"/><Relationship Id="rId2970" Type="http://schemas.openxmlformats.org/officeDocument/2006/relationships/hyperlink" Target="https://product.hstatic.net/200000428801/product/upload_85a1442d292844709ff4f90ab92d410a.jpg" TargetMode="External"/><Relationship Id="rId3607" Type="http://schemas.openxmlformats.org/officeDocument/2006/relationships/hyperlink" Target="https://product.hstatic.net/200000428801/product/zalo_screenshot_20_11_2021_721707_52155db9fa52469ca59a6700882c3e46.png" TargetMode="External"/><Relationship Id="rId3814" Type="http://schemas.openxmlformats.org/officeDocument/2006/relationships/hyperlink" Target="https://product.hstatic.net/200000428801/product/hapacol_1fc2f5a1ce6e4b80951611a664db7b79.jpg" TargetMode="External"/><Relationship Id="rId528" Type="http://schemas.openxmlformats.org/officeDocument/2006/relationships/hyperlink" Target="https://product.hstatic.net/200000428801/product/upload_e8bb025de2674c83ae72c566c110267a.jpg" TargetMode="External"/><Relationship Id="rId735" Type="http://schemas.openxmlformats.org/officeDocument/2006/relationships/hyperlink" Target="https://product.hstatic.net/200000428801/product/ad37151d39a64b5087211676096fc897_a4f2763d6cee44f1b36e3b255e042a71.jpg" TargetMode="External"/><Relationship Id="rId942" Type="http://schemas.openxmlformats.org/officeDocument/2006/relationships/hyperlink" Target="https://product.hstatic.net/200000428801/product/upload_e561ef82e1c74d2a9aed2daffb2a6f26.jpg" TargetMode="External"/><Relationship Id="rId1158" Type="http://schemas.openxmlformats.org/officeDocument/2006/relationships/hyperlink" Target="https://product.hstatic.net/200000428801/product/upload_1b9eae8001d94c738b719c27cc045ed7.jpg" TargetMode="External"/><Relationship Id="rId1365" Type="http://schemas.openxmlformats.org/officeDocument/2006/relationships/hyperlink" Target="https://product.hstatic.net/200000428801/product/upload_673703301762468aa2f05795d447ce2b.jpg" TargetMode="External"/><Relationship Id="rId1572" Type="http://schemas.openxmlformats.org/officeDocument/2006/relationships/hyperlink" Target="https://product.hstatic.net/200000428801/product/803c7c3b72c9ae97f7d8_25b2d9d875554746bae20c8e05dd2978.jpg" TargetMode="External"/><Relationship Id="rId2209" Type="http://schemas.openxmlformats.org/officeDocument/2006/relationships/hyperlink" Target="https://product.hstatic.net/200000428801/product/upload_cca43a8388184b65968f3f718b7a34fc.jpg" TargetMode="External"/><Relationship Id="rId2416" Type="http://schemas.openxmlformats.org/officeDocument/2006/relationships/hyperlink" Target="https://product.hstatic.net/200000428801/product/upload_5b11f90f65cf4249afc6c01dad9e1b80.jpg" TargetMode="External"/><Relationship Id="rId2623" Type="http://schemas.openxmlformats.org/officeDocument/2006/relationships/hyperlink" Target="https://product.hstatic.net/200000428801/product/upload_22d0d6f5198744fb8aa9077e073e50eb.jpg" TargetMode="External"/><Relationship Id="rId1018" Type="http://schemas.openxmlformats.org/officeDocument/2006/relationships/hyperlink" Target="https://product.hstatic.net/200000428801/product/upload_f3c36900353442b09a24761d233c6749.jpg" TargetMode="External"/><Relationship Id="rId1225" Type="http://schemas.openxmlformats.org/officeDocument/2006/relationships/hyperlink" Target="https://cdn2-retail-images.kiotviet.vn/2025/11/12/giabaopharma/fff9b1f92aca40aca5d798f138f60708.jpg" TargetMode="External"/><Relationship Id="rId1432" Type="http://schemas.openxmlformats.org/officeDocument/2006/relationships/hyperlink" Target="https://product.hstatic.net/200000428801/product/upload_031346aab1d04956b680151e0d0ea599.jpg" TargetMode="External"/><Relationship Id="rId2830" Type="http://schemas.openxmlformats.org/officeDocument/2006/relationships/hyperlink" Target="https://product.hstatic.net/200000428801/product/upload_7599ea46e4284929acca39cef26a29f5.jpg" TargetMode="External"/><Relationship Id="rId71" Type="http://schemas.openxmlformats.org/officeDocument/2006/relationships/hyperlink" Target="https://cdn2-retail-images.kiotviet.vn/2025/10/06/giabaopharma/16d1ea0dc96242f89e533dc6f460d270.jpg" TargetMode="External"/><Relationship Id="rId802" Type="http://schemas.openxmlformats.org/officeDocument/2006/relationships/hyperlink" Target="https://product.hstatic.net/200000428801/product/upload_368e4a347ae6400f8053004426f3d3fe.jpg" TargetMode="External"/><Relationship Id="rId3397" Type="http://schemas.openxmlformats.org/officeDocument/2006/relationships/hyperlink" Target="https://product.hstatic.net/200000428801/product/4e0201b01aee4a269419022f6e9d90df_f5b082fb5d214b5fb600102435740c78.png" TargetMode="External"/><Relationship Id="rId178" Type="http://schemas.openxmlformats.org/officeDocument/2006/relationships/hyperlink" Target="https://cdn-images.kiotviet.vn/2024/12/17/giabaopharma/49fc535a0050426d98f00c1b46a64d0b.jpg" TargetMode="External"/><Relationship Id="rId3257" Type="http://schemas.openxmlformats.org/officeDocument/2006/relationships/hyperlink" Target="https://product.hstatic.net/200000428801/product/152ee4aebd5544aba1f7ff494a32afa3_a7ba4682533c40d3abce8a36018c9296.png" TargetMode="External"/><Relationship Id="rId3464" Type="http://schemas.openxmlformats.org/officeDocument/2006/relationships/hyperlink" Target="https://product.hstatic.net/200000428801/product/c65c46628a484201878ad28cd3cb273a_7bfff55cef324f36b554d721d4aca8ea.png" TargetMode="External"/><Relationship Id="rId3671" Type="http://schemas.openxmlformats.org/officeDocument/2006/relationships/hyperlink" Target="https://product.hstatic.net/200000428801/product/zalo_screenshot_18_11_2021_92975_4138d73ab95644f39ebc54a3cac433e8.png" TargetMode="External"/><Relationship Id="rId385" Type="http://schemas.openxmlformats.org/officeDocument/2006/relationships/hyperlink" Target="https://product.hstatic.net/200000428801/product/ca0693311b61de3f8770_f736eca905b24ea98c1287f15710b8e8.jpg" TargetMode="External"/><Relationship Id="rId592" Type="http://schemas.openxmlformats.org/officeDocument/2006/relationships/hyperlink" Target="https://product.hstatic.net/200000428801/product/upload_19e01e99d73d4bea9f31b5a6be64682c.jpg" TargetMode="External"/><Relationship Id="rId2066" Type="http://schemas.openxmlformats.org/officeDocument/2006/relationships/hyperlink" Target="https://product.hstatic.net/200000428801/product/upload_5ede7c77725143118cf3d04031b30760.jpg" TargetMode="External"/><Relationship Id="rId2273" Type="http://schemas.openxmlformats.org/officeDocument/2006/relationships/hyperlink" Target="https://product.hstatic.net/200000428801/product/466_bd7a599ac18742498905dff640bb012d.png" TargetMode="External"/><Relationship Id="rId2480" Type="http://schemas.openxmlformats.org/officeDocument/2006/relationships/hyperlink" Target="https://product.hstatic.net/200000428801/product/upload_daf998c3a55e482782fb9ca876130236.jpg" TargetMode="External"/><Relationship Id="rId3117" Type="http://schemas.openxmlformats.org/officeDocument/2006/relationships/hyperlink" Target="https://product.hstatic.net/200000428801/product/467a189089314152ae10fe6315d08eb9_dfc22270d91641a487fa7d34cf0dd2fe.png" TargetMode="External"/><Relationship Id="rId3324" Type="http://schemas.openxmlformats.org/officeDocument/2006/relationships/hyperlink" Target="https://product.hstatic.net/200000428801/product/271523efc6464e15b3fedc29a79ac462_c0d4dd2876944432b782a24f1325483d.png" TargetMode="External"/><Relationship Id="rId3531" Type="http://schemas.openxmlformats.org/officeDocument/2006/relationships/hyperlink" Target="https://cdn2-retail-images.kiotviet.vn/2024/09/04/giabaopharma/2e315d166758484ebe7ae796b5a4aa0f.png" TargetMode="External"/><Relationship Id="rId245" Type="http://schemas.openxmlformats.org/officeDocument/2006/relationships/hyperlink" Target="https://cdn2-retail-images.kiotviet.vn/giabaopharma/7cc17df1cbd54382a6a93661a6e3c0e9.jpg,https:/cdn2-retail-images.kiotviet.vn/giabaopharma/3508b5ccf6724d0798bc60cf58275c92.jpg,https:/cdn2-retail-images.kiotviet.vn/giabaopharma/e7ba284e7a3b43d0b2ba0a4be67d90b9.jpg,https:/cdn2-retail-images.kiotviet.vn/giabaopharma/749fb0bedf6c42dc9267ba72d65c807d.jpg,https:/cdn2-retail-images.kiotviet.vn/giabaopharma/ae8a1e967d1f48c882a08e40527ff6c0.jpg" TargetMode="External"/><Relationship Id="rId452" Type="http://schemas.openxmlformats.org/officeDocument/2006/relationships/hyperlink" Target="https://product.hstatic.net/200000428801/product/8e24a3101dd647d5b917b43cd3bcc8e8_84520933c628432398d1448e47a49806.jpg" TargetMode="External"/><Relationship Id="rId1082" Type="http://schemas.openxmlformats.org/officeDocument/2006/relationships/hyperlink" Target="https://product.hstatic.net/200000428801/product/upload_5122a7b532f7447c8639b607dc7e14eb.jpg" TargetMode="External"/><Relationship Id="rId2133" Type="http://schemas.openxmlformats.org/officeDocument/2006/relationships/hyperlink" Target="https://product.hstatic.net/200000428801/product/upload_8d6db23fc88c4566b7c612af757e60f1.jpg" TargetMode="External"/><Relationship Id="rId2340" Type="http://schemas.openxmlformats.org/officeDocument/2006/relationships/hyperlink" Target="https://product.hstatic.net/200000428801/product/upload_abba68277ac94636a1e22d42629fa30a.jpg" TargetMode="External"/><Relationship Id="rId105" Type="http://schemas.openxmlformats.org/officeDocument/2006/relationships/hyperlink" Target="https://cdn2-retail-images.kiotviet.vn/2025/04/05/giabaopharma/c82094cafb714a679726acb8f7b45183.jpg" TargetMode="External"/><Relationship Id="rId312" Type="http://schemas.openxmlformats.org/officeDocument/2006/relationships/hyperlink" Target="https://product.hstatic.net/200000428801/product/upload_531d25f910f7477d951506e0f2b2528b.jpg" TargetMode="External"/><Relationship Id="rId2200" Type="http://schemas.openxmlformats.org/officeDocument/2006/relationships/hyperlink" Target="https://product.hstatic.net/200000428801/product/upload_776d3a850a284201a1409b5a6590e6b8.jpg" TargetMode="External"/><Relationship Id="rId1899" Type="http://schemas.openxmlformats.org/officeDocument/2006/relationships/hyperlink" Target="https://product.hstatic.net/200000428801/product/upload_1d0701b9d5a749c180a6a40da9e28be3.jpg" TargetMode="External"/><Relationship Id="rId1759" Type="http://schemas.openxmlformats.org/officeDocument/2006/relationships/hyperlink" Target="https://product.hstatic.net/200000428801/product/26_67c5ff87a9a541e486a7817eb8df8e4e.png" TargetMode="External"/><Relationship Id="rId1966" Type="http://schemas.openxmlformats.org/officeDocument/2006/relationships/hyperlink" Target="https://product.hstatic.net/200000428801/product/43e8d7174b8f4d29b491b092a7082051_c707c430a5934fddbe72369cbb962e29.png" TargetMode="External"/><Relationship Id="rId3181" Type="http://schemas.openxmlformats.org/officeDocument/2006/relationships/hyperlink" Target="https://product.hstatic.net/200000428801/product/f87b91838a0f443ca0b6a0dee204e4b8_454070bbc8044464927ad3edee095077.jpg" TargetMode="External"/><Relationship Id="rId4025" Type="http://schemas.openxmlformats.org/officeDocument/2006/relationships/hyperlink" Target="https://product.hstatic.net/200000428801/product/apitim-5mg-h-30v-1-700x467_01f0d7e9e9df401fa4ecc6880721ba41.jpg" TargetMode="External"/><Relationship Id="rId1619" Type="http://schemas.openxmlformats.org/officeDocument/2006/relationships/hyperlink" Target="https://product.hstatic.net/200000428801/product/upload_f8aa1b200c6d431fbb3ccca1e01f97a2.jpg" TargetMode="External"/><Relationship Id="rId1826" Type="http://schemas.openxmlformats.org/officeDocument/2006/relationships/hyperlink" Target="https://product.hstatic.net/200000428801/product/upload_92acb5a5c8f54beea92a98e639860c45.jpg" TargetMode="External"/><Relationship Id="rId3041" Type="http://schemas.openxmlformats.org/officeDocument/2006/relationships/hyperlink" Target="https://product.hstatic.net/200000428801/product/upload_e73958aa85784eedaf335d2a2be22b6c.jpg" TargetMode="External"/><Relationship Id="rId3998" Type="http://schemas.openxmlformats.org/officeDocument/2006/relationships/hyperlink" Target="https://product.hstatic.net/200000428801/product/b6413493b88e7ad0239f_57c367550a834771ba9d390cbeaa4772.jpg" TargetMode="External"/><Relationship Id="rId3858" Type="http://schemas.openxmlformats.org/officeDocument/2006/relationships/hyperlink" Target="https://product.hstatic.net/200000428801/product/9463054058a793f9cab6_30666d76c8f44e1f8d84b63e92e4dd96.jpg" TargetMode="External"/><Relationship Id="rId779" Type="http://schemas.openxmlformats.org/officeDocument/2006/relationships/hyperlink" Target="https://product.hstatic.net/200000428801/product/upload_b475f906df604c54af1e68ffc97ec410.jpg" TargetMode="External"/><Relationship Id="rId986" Type="http://schemas.openxmlformats.org/officeDocument/2006/relationships/hyperlink" Target="https://product.hstatic.net/200000428801/product/upload_1207293ad7d64c36a61e027a38ae7a55.jpg" TargetMode="External"/><Relationship Id="rId2667" Type="http://schemas.openxmlformats.org/officeDocument/2006/relationships/hyperlink" Target="https://product.hstatic.net/200000428801/product/upload_43969f1bf82f42e1b265d72e9d0e2578.jpg" TargetMode="External"/><Relationship Id="rId3718" Type="http://schemas.openxmlformats.org/officeDocument/2006/relationships/hyperlink" Target="https://product.hstatic.net/200000428801/product/34cc493b11704ee086c3c59523c78bc4_32daab5245564bbe9089a973de39f575.jpg" TargetMode="External"/><Relationship Id="rId639" Type="http://schemas.openxmlformats.org/officeDocument/2006/relationships/hyperlink" Target="https://product.hstatic.net/200000428801/product/upload_48c71bd668be4eb7801618d4d07eb8fe.jpg" TargetMode="External"/><Relationship Id="rId1269" Type="http://schemas.openxmlformats.org/officeDocument/2006/relationships/hyperlink" Target="https://cdn1-retail-images.kiotviet.vn/2026/01/21/giabaopharma/fb69a7f458ad4f6382356387095f1630.jpg" TargetMode="External"/><Relationship Id="rId1476" Type="http://schemas.openxmlformats.org/officeDocument/2006/relationships/hyperlink" Target="https://product.hstatic.net/200000428801/product/upload_fc966b1c7b56456db4029bef23640859.jpg" TargetMode="External"/><Relationship Id="rId2874" Type="http://schemas.openxmlformats.org/officeDocument/2006/relationships/hyperlink" Target="https://product.hstatic.net/200000428801/product/upload_3a342f23edd74d65b2d988af665c35a5.jpg" TargetMode="External"/><Relationship Id="rId3925" Type="http://schemas.openxmlformats.org/officeDocument/2006/relationships/hyperlink" Target="https://product.hstatic.net/200000428801/product/zalo_screenshot_18_11_2021_72121_7c5658d0aafb47918ea7116e3f97f825.png" TargetMode="External"/><Relationship Id="rId846" Type="http://schemas.openxmlformats.org/officeDocument/2006/relationships/hyperlink" Target="https://product.hstatic.net/200000428801/product/upload_73be72c92b8a428db5754e5e40cd6968.jpg" TargetMode="External"/><Relationship Id="rId1129" Type="http://schemas.openxmlformats.org/officeDocument/2006/relationships/hyperlink" Target="https://product.hstatic.net/200000428801/product/upload_dbb83d0f064a4c8f915dd07af2acab07.jpg" TargetMode="External"/><Relationship Id="rId1683" Type="http://schemas.openxmlformats.org/officeDocument/2006/relationships/hyperlink" Target="https://product.hstatic.net/200000428801/product/upload_e171e2b79e6e43ebb67f5af1b0a63434.jpg" TargetMode="External"/><Relationship Id="rId1890" Type="http://schemas.openxmlformats.org/officeDocument/2006/relationships/hyperlink" Target="https://product.hstatic.net/200000428801/product/upload_d0dc606d3fb2462e8b603463091222d8.jpg" TargetMode="External"/><Relationship Id="rId2527" Type="http://schemas.openxmlformats.org/officeDocument/2006/relationships/hyperlink" Target="https://product.hstatic.net/200000428801/product/upload_43cb68f8b7b54c88a2936f00b3bccc8c.jpg" TargetMode="External"/><Relationship Id="rId2734" Type="http://schemas.openxmlformats.org/officeDocument/2006/relationships/hyperlink" Target="https://product.hstatic.net/200000428801/product/upload_29de618d6c8a4f5a987357ced9bc92a5.jpg" TargetMode="External"/><Relationship Id="rId2941" Type="http://schemas.openxmlformats.org/officeDocument/2006/relationships/hyperlink" Target="https://product.hstatic.net/200000428801/product/upload_602d76116a9e487bb24dbf9c604d5da7.jpg" TargetMode="External"/><Relationship Id="rId706" Type="http://schemas.openxmlformats.org/officeDocument/2006/relationships/hyperlink" Target="https://product.hstatic.net/200000428801/product/upload_9141d96190fd414283fb8ec992961952.jpg" TargetMode="External"/><Relationship Id="rId913" Type="http://schemas.openxmlformats.org/officeDocument/2006/relationships/hyperlink" Target="https://product.hstatic.net/200000428801/product/upload_ea7d331a952a492d850c2574c6a1ed24.jpg" TargetMode="External"/><Relationship Id="rId1336" Type="http://schemas.openxmlformats.org/officeDocument/2006/relationships/hyperlink" Target="https://product.hstatic.net/200000428801/product/49_1809f65487904719bba79724539436f1.png" TargetMode="External"/><Relationship Id="rId1543" Type="http://schemas.openxmlformats.org/officeDocument/2006/relationships/hyperlink" Target="https://product.hstatic.net/200000428801/product/0bd890c021fcfda2a4ed_49012602c8174b0b81e2e603206ca82e.jpg" TargetMode="External"/><Relationship Id="rId1750" Type="http://schemas.openxmlformats.org/officeDocument/2006/relationships/hyperlink" Target="https://product.hstatic.net/200000428801/product/upload_d3ba8cf8815847a4a667ae7a8d80ae8f.jpg" TargetMode="External"/><Relationship Id="rId2801" Type="http://schemas.openxmlformats.org/officeDocument/2006/relationships/hyperlink" Target="https://product.hstatic.net/200000428801/product/upload_93c8bf8d82be4bfb9daca93a48e9ba70.jpg" TargetMode="External"/><Relationship Id="rId42" Type="http://schemas.openxmlformats.org/officeDocument/2006/relationships/hyperlink" Target="https://i.postimg.cc/CMmjLNRh/7706e49ea355423986ee88334c64a190.jpg" TargetMode="External"/><Relationship Id="rId1403" Type="http://schemas.openxmlformats.org/officeDocument/2006/relationships/hyperlink" Target="https://product.hstatic.net/200000428801/product/upload_f863a0dd1f3e458ca879c0f8dd6040f5.jpg" TargetMode="External"/><Relationship Id="rId1610" Type="http://schemas.openxmlformats.org/officeDocument/2006/relationships/hyperlink" Target="https://product.hstatic.net/200000428801/product/upload_10e069c43bbc454ca9ee4588d77e2899.jpg" TargetMode="External"/><Relationship Id="rId3368" Type="http://schemas.openxmlformats.org/officeDocument/2006/relationships/hyperlink" Target="https://product.hstatic.net/200000428801/product/168e04441caf4a22ae70de5849ccbc49_9267e271b0c0473f83e0652ee4d2fea6.png" TargetMode="External"/><Relationship Id="rId3575" Type="http://schemas.openxmlformats.org/officeDocument/2006/relationships/hyperlink" Target="https://cdn2-retail-images.kiotviet.vn/2025/10/30/giabaopharma/c270c26bab8447dd95909798f87b9cc8.jpg" TargetMode="External"/><Relationship Id="rId3782" Type="http://schemas.openxmlformats.org/officeDocument/2006/relationships/hyperlink" Target="https://cdn2-retail-images.kiotviet.vn/2025/10/23/giabaopharma/7d5e796b648044baa839961af38d4d7b.jpg" TargetMode="External"/><Relationship Id="rId289" Type="http://schemas.openxmlformats.org/officeDocument/2006/relationships/hyperlink" Target="https://product.hstatic.net/200000428801/product/zalo_screenshot_18_11_2021_756308_84196c50e19d4a858d9c5d8402523a54.png" TargetMode="External"/><Relationship Id="rId496" Type="http://schemas.openxmlformats.org/officeDocument/2006/relationships/hyperlink" Target="https://product.hstatic.net/200000428801/product/5a2fde0f9bcd4845a72f336b3b39f84a_25b0b8d4cdc74ec89c9d5032b3818a80.jpg" TargetMode="External"/><Relationship Id="rId2177" Type="http://schemas.openxmlformats.org/officeDocument/2006/relationships/hyperlink" Target="https://product.hstatic.net/200000428801/product/upload_e1bdae37e6514333b34a21cc2f99f622.jpg" TargetMode="External"/><Relationship Id="rId2384" Type="http://schemas.openxmlformats.org/officeDocument/2006/relationships/hyperlink" Target="https://product.hstatic.net/200000428801/product/upload_d3461793c9a24990ac19d654619fcba4.jpg" TargetMode="External"/><Relationship Id="rId2591" Type="http://schemas.openxmlformats.org/officeDocument/2006/relationships/hyperlink" Target="https://product.hstatic.net/200000428801/product/upload_a2f3d40659974fdd9682815dd2b68800.jpg" TargetMode="External"/><Relationship Id="rId3228" Type="http://schemas.openxmlformats.org/officeDocument/2006/relationships/hyperlink" Target="https://product.hstatic.net/200000428801/product/ff6bcb68819b49458dc84e0fb708edd9_b98b1837a71d4fda833eba933dbe8628.png" TargetMode="External"/><Relationship Id="rId3435" Type="http://schemas.openxmlformats.org/officeDocument/2006/relationships/hyperlink" Target="https://cdn2-retail-images.kiotviet.vn/2025/10/23/giabaopharma/d5f5a7e71ec549c0adf0809949870d41.png" TargetMode="External"/><Relationship Id="rId3642" Type="http://schemas.openxmlformats.org/officeDocument/2006/relationships/hyperlink" Target="https://product.hstatic.net/200000428801/product/2c_438ee00b05394ca882882dc4882b9087.jpg" TargetMode="External"/><Relationship Id="rId149" Type="http://schemas.openxmlformats.org/officeDocument/2006/relationships/hyperlink" Target="https://cdn2-retail-images.kiotviet.vn/2025/02/13/giabaopharma/6a099fee325a45df8c9ebb6310673770.jpg" TargetMode="External"/><Relationship Id="rId356" Type="http://schemas.openxmlformats.org/officeDocument/2006/relationships/hyperlink" Target="https://product.hstatic.net/200000428801/product/upload_900a71c167a64fde8d7e46d02fa02db7.jpg" TargetMode="External"/><Relationship Id="rId563" Type="http://schemas.openxmlformats.org/officeDocument/2006/relationships/hyperlink" Target="https://product.hstatic.net/200000428801/product/upload_6f6529f4382f438f849e8f732e3b7e6c.jpg" TargetMode="External"/><Relationship Id="rId770" Type="http://schemas.openxmlformats.org/officeDocument/2006/relationships/hyperlink" Target="https://product.hstatic.net/200000428801/product/upload_870a76288e3640199be4d532099de857.jpg" TargetMode="External"/><Relationship Id="rId1193" Type="http://schemas.openxmlformats.org/officeDocument/2006/relationships/hyperlink" Target="https://product.hstatic.net/200000428801/product/upload_3f77e18e32124d118fdc3484557376b5.jpg" TargetMode="External"/><Relationship Id="rId2037" Type="http://schemas.openxmlformats.org/officeDocument/2006/relationships/hyperlink" Target="https://product.hstatic.net/200000428801/product/upload_3d3fde6a9db247dd815ff5017520dcf4.jpg" TargetMode="External"/><Relationship Id="rId2244" Type="http://schemas.openxmlformats.org/officeDocument/2006/relationships/hyperlink" Target="https://product.hstatic.net/200000428801/product/upload_2e017f82e37d4832832b15d937a731a0.jpg" TargetMode="External"/><Relationship Id="rId2451" Type="http://schemas.openxmlformats.org/officeDocument/2006/relationships/hyperlink" Target="https://product.hstatic.net/200000428801/product/upload_11cb5933b6024668abd63af42432d148.jpg" TargetMode="External"/><Relationship Id="rId216" Type="http://schemas.openxmlformats.org/officeDocument/2006/relationships/hyperlink" Target="https://cdn-images.kiotviet.vn/giabaopharma/c8537616b8bf4b2b8541f064a499a9a4.jpg" TargetMode="External"/><Relationship Id="rId423" Type="http://schemas.openxmlformats.org/officeDocument/2006/relationships/hyperlink" Target="https://product.hstatic.net/200000428801/product/upload_7de886a209ae4e8f991202b1d85354ff.jpg" TargetMode="External"/><Relationship Id="rId1053" Type="http://schemas.openxmlformats.org/officeDocument/2006/relationships/hyperlink" Target="https://product.hstatic.net/200000428801/product/upload_f222005919de47ccbf7137847cd20dd4.jpg" TargetMode="External"/><Relationship Id="rId1260" Type="http://schemas.openxmlformats.org/officeDocument/2006/relationships/hyperlink" Target="https://product.hstatic.net/200000428801/product/upload_cf2d22f1a96a468aaa86fc87f6b1599e.jpg" TargetMode="External"/><Relationship Id="rId2104" Type="http://schemas.openxmlformats.org/officeDocument/2006/relationships/hyperlink" Target="https://product.hstatic.net/200000428801/product/upload_e50cc05c202a48cb9ea3d6872aff4a35.jpg" TargetMode="External"/><Relationship Id="rId3502" Type="http://schemas.openxmlformats.org/officeDocument/2006/relationships/hyperlink" Target="https://cdn2-retail-images.kiotviet.vn/giabaopharma/3cff31b78ea44b87b327272de4efcb79.jpg" TargetMode="External"/><Relationship Id="rId630" Type="http://schemas.openxmlformats.org/officeDocument/2006/relationships/hyperlink" Target="https://cdn2-retail-images.kiotviet.vn/2025/11/01/giabaopharma/802fc01ae8e74dd2b0003419a9f82dd5.jpg" TargetMode="External"/><Relationship Id="rId2311" Type="http://schemas.openxmlformats.org/officeDocument/2006/relationships/hyperlink" Target="https://product.hstatic.net/200000428801/product/upload_6013f316e4274236aed58adcfc58eb86.jpg" TargetMode="External"/><Relationship Id="rId1120" Type="http://schemas.openxmlformats.org/officeDocument/2006/relationships/hyperlink" Target="https://product.hstatic.net/200000428801/product/upload_df4ad43f09f9446eb21d0a4b1b71e6f2.jpg" TargetMode="External"/><Relationship Id="rId1937" Type="http://schemas.openxmlformats.org/officeDocument/2006/relationships/hyperlink" Target="https://product.hstatic.net/200000428801/product/529_90c9703a2cdf40daa757da05dec4a37f.png" TargetMode="External"/><Relationship Id="rId3085" Type="http://schemas.openxmlformats.org/officeDocument/2006/relationships/hyperlink" Target="https://product.hstatic.net/200000428801/product/d81010613d304afe99c56abbc8ed8b2d_3c32a1b3d8c9479c94b36e159eb732d7.png" TargetMode="External"/><Relationship Id="rId3292" Type="http://schemas.openxmlformats.org/officeDocument/2006/relationships/hyperlink" Target="https://product.hstatic.net/200000428801/product/740b5755288643d48647b097e60366cd_5074947329ef487ab9b14c3976103426.png" TargetMode="External"/><Relationship Id="rId3152" Type="http://schemas.openxmlformats.org/officeDocument/2006/relationships/hyperlink" Target="https://product.hstatic.net/200000428801/product/03cd6055bdf041acb1e3e7644f864763_d39b77067252446d93915ed9f8882cb4.jpg" TargetMode="External"/><Relationship Id="rId280" Type="http://schemas.openxmlformats.org/officeDocument/2006/relationships/hyperlink" Target="https://cdn-images.kiotviet.vn/giabaopharma/9a46dc774f044fb3a8439f31b0d5d45e.png,https:/cdn-images.kiotviet.vn/giabaopharma/0fefa3d1b15c4c98b9d9a39730c45680.png,https:/cdn-images.kiotviet.vn/giabaopharma/28aa0b38ed254265864bad83d33a2bba.png,https:/cdn-images.kiotviet.vn/giabaopharma/f1d70ff7bbe8405b95d8ccb8e1858113.png,https:/cdn-images.kiotviet.vn/giabaopharma/2694c9bbfdeb4100987d3e47dae35f69.png" TargetMode="External"/><Relationship Id="rId3012" Type="http://schemas.openxmlformats.org/officeDocument/2006/relationships/hyperlink" Target="https://product.hstatic.net/200000428801/product/upload_c0a40831c84d40d1aabb5d3e5b2e0602.jpg" TargetMode="External"/><Relationship Id="rId140" Type="http://schemas.openxmlformats.org/officeDocument/2006/relationships/hyperlink" Target="https://cdn2-retail-images.kiotviet.vn/2025/03/01/giabaopharma/f8545530ecf2414d8ddfaab3311a0b39.jpg" TargetMode="External"/><Relationship Id="rId3969" Type="http://schemas.openxmlformats.org/officeDocument/2006/relationships/hyperlink" Target="https://product.hstatic.net/200000428801/product/5f9dcd17adc76c9935d6_3347ae520d04409baf97d78ee75b03c3.jpg" TargetMode="External"/><Relationship Id="rId6" Type="http://schemas.openxmlformats.org/officeDocument/2006/relationships/hyperlink" Target="https://cdn2-retail-images.kiotviet.vn/2026/03/24/giabaopharma/8ed7cef3dda040cd9450a4a52b208afe.jpg" TargetMode="External"/><Relationship Id="rId2778" Type="http://schemas.openxmlformats.org/officeDocument/2006/relationships/hyperlink" Target="https://product.hstatic.net/200000428801/product/upload_61a572cd5cc5408bac5ade997b2a1fff.jpg" TargetMode="External"/><Relationship Id="rId2985" Type="http://schemas.openxmlformats.org/officeDocument/2006/relationships/hyperlink" Target="https://product.hstatic.net/200000428801/product/346_0b18d2128ae24f80a4d1b23fa3b20241.png" TargetMode="External"/><Relationship Id="rId3829" Type="http://schemas.openxmlformats.org/officeDocument/2006/relationships/hyperlink" Target="https://product.hstatic.net/200000428801/product/zalo_screenshot_20_11_2021_627335_15d7441d7f3e4138922309b8a5c43ea8.png" TargetMode="External"/><Relationship Id="rId957" Type="http://schemas.openxmlformats.org/officeDocument/2006/relationships/hyperlink" Target="https://product.hstatic.net/200000428801/product/90_b3075b8a049545cfa66bbf777d3a1773.png" TargetMode="External"/><Relationship Id="rId1587" Type="http://schemas.openxmlformats.org/officeDocument/2006/relationships/hyperlink" Target="https://product.hstatic.net/200000428801/product/29_8a37623413ef4b6ea88e447a850204f7.png" TargetMode="External"/><Relationship Id="rId1794" Type="http://schemas.openxmlformats.org/officeDocument/2006/relationships/hyperlink" Target="https://product.hstatic.net/200000428801/product/upload_672b0321b2ab444cbcf4ef78ac24a0cd.jpg" TargetMode="External"/><Relationship Id="rId2638" Type="http://schemas.openxmlformats.org/officeDocument/2006/relationships/hyperlink" Target="https://product.hstatic.net/200000428801/product/upload_2563dd2a32dd4d3fabce8875a4816d3b.jpg" TargetMode="External"/><Relationship Id="rId2845" Type="http://schemas.openxmlformats.org/officeDocument/2006/relationships/hyperlink" Target="https://product.hstatic.net/200000428801/product/upload_3927adcd954c4d45898489b942dde76d.jpg" TargetMode="External"/><Relationship Id="rId86" Type="http://schemas.openxmlformats.org/officeDocument/2006/relationships/hyperlink" Target="https://cdn2-retail-images.kiotviet.vn/2025/06/04/giabaopharma/6011a9eaea244e24867f8176ebe6cb6c.jpg,https:/cdn2-retail-images.kiotviet.vn/2025/06/04/giabaopharma/6943610c5ec04946ab4cbbabcde0581b.jpg" TargetMode="External"/><Relationship Id="rId817" Type="http://schemas.openxmlformats.org/officeDocument/2006/relationships/hyperlink" Target="https://cdn-images.kiotviet.vn/giabaopharma/31976375b97d417da658e68ce8dca92d.png" TargetMode="External"/><Relationship Id="rId1447" Type="http://schemas.openxmlformats.org/officeDocument/2006/relationships/hyperlink" Target="https://product.hstatic.net/200000428801/product/upload_6be102d7716c408da0f79290fac07b2e.jpg" TargetMode="External"/><Relationship Id="rId1654" Type="http://schemas.openxmlformats.org/officeDocument/2006/relationships/hyperlink" Target="https://product.hstatic.net/200000428801/product/upload_71cb5db5d47f49e381f77b1f79b3cf7e.jpg" TargetMode="External"/><Relationship Id="rId1861" Type="http://schemas.openxmlformats.org/officeDocument/2006/relationships/hyperlink" Target="https://product.hstatic.net/200000428801/product/upload_39b85fab0564471bbcb97048a35359f7.jpg" TargetMode="External"/><Relationship Id="rId2705" Type="http://schemas.openxmlformats.org/officeDocument/2006/relationships/hyperlink" Target="https://product.hstatic.net/200000428801/product/upload_cd3edb67005e4ecd9ddb19e5a3f196c0.jpg" TargetMode="External"/><Relationship Id="rId2912" Type="http://schemas.openxmlformats.org/officeDocument/2006/relationships/hyperlink" Target="https://product.hstatic.net/200000428801/product/upload_b38e1d9bd87c43f2b69b9c72556ed855.jpg" TargetMode="External"/><Relationship Id="rId1307" Type="http://schemas.openxmlformats.org/officeDocument/2006/relationships/hyperlink" Target="https://product.hstatic.net/200000428801/product/upload_6d2b5a588e6742328bc039cce2ce29f7.jpg" TargetMode="External"/><Relationship Id="rId1514" Type="http://schemas.openxmlformats.org/officeDocument/2006/relationships/hyperlink" Target="https://product.hstatic.net/200000428801/product/upload_d1a28576fdf44d1e81af573996c68f2d.jpg" TargetMode="External"/><Relationship Id="rId1721" Type="http://schemas.openxmlformats.org/officeDocument/2006/relationships/hyperlink" Target="https://product.hstatic.net/200000428801/product/upload_2ce10566c1604d8c8a0a87b3816a98f0.jpg" TargetMode="External"/><Relationship Id="rId13" Type="http://schemas.openxmlformats.org/officeDocument/2006/relationships/hyperlink" Target="https://cdn2-retail-images.kiotviet.vn/2026/02/09/giabaopharma/f13b277034f343c7a7acb1c676275a79.jpg" TargetMode="External"/><Relationship Id="rId3479" Type="http://schemas.openxmlformats.org/officeDocument/2006/relationships/hyperlink" Target="https://product.hstatic.net/200000428801/product/33_166b92a5bd834851b64697e1347ed9e2.png" TargetMode="External"/><Relationship Id="rId3686" Type="http://schemas.openxmlformats.org/officeDocument/2006/relationships/hyperlink" Target="https://product.hstatic.net/200000428801/product/0bcdcc3c39cbfa95a3da_607595dc272d45e1947fb0a18cedde64.jpg" TargetMode="External"/><Relationship Id="rId2288" Type="http://schemas.openxmlformats.org/officeDocument/2006/relationships/hyperlink" Target="https://product.hstatic.net/200000428801/product/28433840741d48babc2c4f0f5501a164_69e7cdb7cc4f40e58c872ad3b6be188a.png" TargetMode="External"/><Relationship Id="rId2495" Type="http://schemas.openxmlformats.org/officeDocument/2006/relationships/hyperlink" Target="https://product.hstatic.net/200000428801/product/upload_1ba65ee193e744909602e0fe8f59b81d.jpg" TargetMode="External"/><Relationship Id="rId3339" Type="http://schemas.openxmlformats.org/officeDocument/2006/relationships/hyperlink" Target="https://product.hstatic.net/200000428801/product/ba17f98ff02b43b5891f504615b59268_31b845a94e6d4a4099f74f83792ce7f2.png" TargetMode="External"/><Relationship Id="rId3893" Type="http://schemas.openxmlformats.org/officeDocument/2006/relationships/hyperlink" Target="https://product.hstatic.net/200000428801/product/thiet_ke_khong_ten__6__8ad54b6e121f499db4f194da52b2fd0e.png" TargetMode="External"/><Relationship Id="rId467" Type="http://schemas.openxmlformats.org/officeDocument/2006/relationships/hyperlink" Target="https://product.hstatic.net/200000428801/product/879e3a9762f64c8e861721c0cf27ba73_8d3c4c3bad6e44089a3f82a4f19bf883.jpg" TargetMode="External"/><Relationship Id="rId1097" Type="http://schemas.openxmlformats.org/officeDocument/2006/relationships/hyperlink" Target="https://product.hstatic.net/200000428801/product/upload_96a010de4cce4b99b3a643cdee4d2ad9.jpg" TargetMode="External"/><Relationship Id="rId2148" Type="http://schemas.openxmlformats.org/officeDocument/2006/relationships/hyperlink" Target="https://product.hstatic.net/200000428801/product/2330a2bf519c4faca995b1dc44a20dd2_e74271ed56594162b02c994dd4aae3cf.png" TargetMode="External"/><Relationship Id="rId3546" Type="http://schemas.openxmlformats.org/officeDocument/2006/relationships/hyperlink" Target="https://product.hstatic.net/200000428801/product/590d570706d5c68b9fc4_b37a1705bc574dc7ac5a3e54950fefe9.jpg" TargetMode="External"/><Relationship Id="rId3753" Type="http://schemas.openxmlformats.org/officeDocument/2006/relationships/hyperlink" Target="https://product.hstatic.net/200000428801/product/31_f1051fee3b4942b6ae430bfe39cd872f.png" TargetMode="External"/><Relationship Id="rId3960" Type="http://schemas.openxmlformats.org/officeDocument/2006/relationships/hyperlink" Target="https://product.hstatic.net/200000428801/product/zalo_screenshot_18_11_2021_643179_397a3be1647d4476b39b06cf3ad9c5c6.png" TargetMode="External"/><Relationship Id="rId674" Type="http://schemas.openxmlformats.org/officeDocument/2006/relationships/hyperlink" Target="https://product.hstatic.net/200000428801/product/upload_d0b36507bf60452eb14de298a7f97c43.jpg" TargetMode="External"/><Relationship Id="rId881" Type="http://schemas.openxmlformats.org/officeDocument/2006/relationships/hyperlink" Target="https://product.hstatic.net/200000428801/product/upload_9eed1bf0055c4049a3a05a54a6124ea3.jpg" TargetMode="External"/><Relationship Id="rId2355" Type="http://schemas.openxmlformats.org/officeDocument/2006/relationships/hyperlink" Target="https://product.hstatic.net/200000428801/product/upload_54aa551c81b44705a97758b73826e107.jpg" TargetMode="External"/><Relationship Id="rId2562" Type="http://schemas.openxmlformats.org/officeDocument/2006/relationships/hyperlink" Target="https://product.hstatic.net/200000428801/product/upload_df44c3758be84d01835bbf8ca981c2c2.jpg" TargetMode="External"/><Relationship Id="rId3406" Type="http://schemas.openxmlformats.org/officeDocument/2006/relationships/hyperlink" Target="https://product.hstatic.net/200000428801/product/7a290b9a1df14aa8aa1f5965ca6af0a2_55e9d7cc50e4446585d147953962626f.png" TargetMode="External"/><Relationship Id="rId3613" Type="http://schemas.openxmlformats.org/officeDocument/2006/relationships/hyperlink" Target="https://product.hstatic.net/200000428801/product/898e183e9b034e57bebb943fc7f57622_efd101fe4a174c51aedc130573960b1a.png" TargetMode="External"/><Relationship Id="rId3820" Type="http://schemas.openxmlformats.org/officeDocument/2006/relationships/hyperlink" Target="https://product.hstatic.net/200000428801/product/zalo_screenshot_18_11_2021_758588_721277ebec6549bc80a481ddb7d016d7.png" TargetMode="External"/><Relationship Id="rId327" Type="http://schemas.openxmlformats.org/officeDocument/2006/relationships/hyperlink" Target="https://product.hstatic.net/200000428801/product/upload_5c30a48a5a5149d4ae9b1bd1cc1b2288.jpg" TargetMode="External"/><Relationship Id="rId534" Type="http://schemas.openxmlformats.org/officeDocument/2006/relationships/hyperlink" Target="https://product.hstatic.net/200000428801/product/upload_4cf9797be5944c4296392be6a0d60e58.jpg" TargetMode="External"/><Relationship Id="rId741" Type="http://schemas.openxmlformats.org/officeDocument/2006/relationships/hyperlink" Target="https://product.hstatic.net/200000428801/product/upload_97b147fb34a448e7a7d12064654f24e5.jpg" TargetMode="External"/><Relationship Id="rId1164" Type="http://schemas.openxmlformats.org/officeDocument/2006/relationships/hyperlink" Target="https://product.hstatic.net/200000428801/product/upload_c09b04a1606f4b298ab637b4d3b82880.jpg" TargetMode="External"/><Relationship Id="rId1371" Type="http://schemas.openxmlformats.org/officeDocument/2006/relationships/hyperlink" Target="https://product.hstatic.net/200000428801/product/upload_dbd1bcb20d7942dfa3b4fdf6565f851e.jpg" TargetMode="External"/><Relationship Id="rId2008" Type="http://schemas.openxmlformats.org/officeDocument/2006/relationships/hyperlink" Target="https://product.hstatic.net/200000428801/product/upload_dddd2c751f2b42479281221ed90e64ea.jpg" TargetMode="External"/><Relationship Id="rId2215" Type="http://schemas.openxmlformats.org/officeDocument/2006/relationships/hyperlink" Target="https://product.hstatic.net/200000428801/product/upload_37155453f87f4fcba31ed90b8fbec186.jpg" TargetMode="External"/><Relationship Id="rId2422" Type="http://schemas.openxmlformats.org/officeDocument/2006/relationships/hyperlink" Target="https://product.hstatic.net/200000428801/product/upload_f7e6b0df61784ea0844f08331a6bcad4.jpg" TargetMode="External"/><Relationship Id="rId601" Type="http://schemas.openxmlformats.org/officeDocument/2006/relationships/hyperlink" Target="https://product.hstatic.net/200000428801/product/upload_30637e02a65a4023a906ffb3e4ae44ea.jpg" TargetMode="External"/><Relationship Id="rId1024" Type="http://schemas.openxmlformats.org/officeDocument/2006/relationships/hyperlink" Target="https://product.hstatic.net/200000428801/product/upload_900de53dbca64df8ab89bc78225b7296.jpg" TargetMode="External"/><Relationship Id="rId1231" Type="http://schemas.openxmlformats.org/officeDocument/2006/relationships/hyperlink" Target="https://product.hstatic.net/200000428801/product/upload_a7cda223f65f462cae9c791318e4271f.jpg" TargetMode="External"/><Relationship Id="rId3196" Type="http://schemas.openxmlformats.org/officeDocument/2006/relationships/hyperlink" Target="https://product.hstatic.net/200000428801/product/1a3d619493d34a5ba9b2097370ffcc2e_02e2a0e24adb426e894d0e7895b83ed3.png" TargetMode="External"/><Relationship Id="rId3056" Type="http://schemas.openxmlformats.org/officeDocument/2006/relationships/hyperlink" Target="https://product.hstatic.net/200000428801/product/upload_d82eb35b2aa84c6b8f438cbde76e3a96.jpg" TargetMode="External"/><Relationship Id="rId3263" Type="http://schemas.openxmlformats.org/officeDocument/2006/relationships/hyperlink" Target="https://product.hstatic.net/200000428801/product/2a67410c94eb4e3a959d5c51057d68f0_c635d2d454ab40469022389c35d20f4c.png" TargetMode="External"/><Relationship Id="rId3470" Type="http://schemas.openxmlformats.org/officeDocument/2006/relationships/hyperlink" Target="https://product.hstatic.net/200000428801/product/aba92370a8d84a4ea0b923b674cf694e_506ff2ed829144ef9147135b836b5ffd.png" TargetMode="External"/><Relationship Id="rId184" Type="http://schemas.openxmlformats.org/officeDocument/2006/relationships/hyperlink" Target="https://cdn2-retail-images.kiotviet.vn/2025/10/23/giabaopharma/e3ff97aaad4d456180585e811f8cfa1d.jpg" TargetMode="External"/><Relationship Id="rId391" Type="http://schemas.openxmlformats.org/officeDocument/2006/relationships/hyperlink" Target="https://product.hstatic.net/200000428801/product/0f9b6df0b4f94ec5ab5c51b5c7185cf2_5b6f83ba6ae048e6b61c2ccb68512a1d.png" TargetMode="External"/><Relationship Id="rId1908" Type="http://schemas.openxmlformats.org/officeDocument/2006/relationships/hyperlink" Target="https://cdn2-retail-images.kiotviet.vn/2025/12/27/giabaopharma/e7d15117e01247ccacebc82ff13a7724.jpg" TargetMode="External"/><Relationship Id="rId2072" Type="http://schemas.openxmlformats.org/officeDocument/2006/relationships/hyperlink" Target="https://product.hstatic.net/200000428801/product/upload_9616e8307fe54184942d3b6067dc5945.jpg" TargetMode="External"/><Relationship Id="rId3123" Type="http://schemas.openxmlformats.org/officeDocument/2006/relationships/hyperlink" Target="https://product.hstatic.net/200000428801/product/b10c0100a85a490db42a5f066b88c231_6a7b164e91f441a9870fec81417bc6a9.png" TargetMode="External"/><Relationship Id="rId251" Type="http://schemas.openxmlformats.org/officeDocument/2006/relationships/hyperlink" Target="https://cdn2-retail-images.kiotviet.vn/giabaopharma/6af0d69637db48249416a256798d55f4.jpg,https:/cdn2-retail-images.kiotviet.vn/giabaopharma/5bb9a4f8561b44039bd0a2cf41c63711.jpg,https:/cdn2-retail-images.kiotviet.vn/giabaopharma/1d055a11c8ba4428b0e1f3a53be56b73.jpg,https:/cdn2-retail-images.kiotviet.vn/giabaopharma/cb86ee0db2664d8aa953bf6986bec88c.jpg,https:/cdn2-retail-images.kiotviet.vn/giabaopharma/796f18864e634a09b69f0782f48ec73f.jpg" TargetMode="External"/><Relationship Id="rId3330" Type="http://schemas.openxmlformats.org/officeDocument/2006/relationships/hyperlink" Target="https://product.hstatic.net/200000428801/product/997dda728a344946b2bfc3578c1a5ae1_0650237e76704af49ee9b7d3acbd0c56.png" TargetMode="External"/><Relationship Id="rId2889" Type="http://schemas.openxmlformats.org/officeDocument/2006/relationships/hyperlink" Target="https://product.hstatic.net/200000428801/product/upload_ba1ee19c4a8449bb93c2089984e3f1a2.jpg" TargetMode="External"/><Relationship Id="rId111" Type="http://schemas.openxmlformats.org/officeDocument/2006/relationships/hyperlink" Target="https://cdn2-retail-images.kiotviet.vn/2025/04/11/giabaopharma/9650561bd9844a1580614968831d4d6c.jpg" TargetMode="External"/><Relationship Id="rId1698" Type="http://schemas.openxmlformats.org/officeDocument/2006/relationships/hyperlink" Target="https://product.hstatic.net/200000428801/product/upload_c3b197a30a324cabaff3a17f9f3d5826.jpg" TargetMode="External"/><Relationship Id="rId2749" Type="http://schemas.openxmlformats.org/officeDocument/2006/relationships/hyperlink" Target="https://product.hstatic.net/200000428801/product/upload_7f0ac4779b114137ac3b2d3b3f4295d5.jpg" TargetMode="External"/><Relationship Id="rId2956" Type="http://schemas.openxmlformats.org/officeDocument/2006/relationships/hyperlink" Target="https://product.hstatic.net/200000428801/product/upload_a06ba9ba79464cb4af6994bb0a13e597.jpg" TargetMode="External"/><Relationship Id="rId928" Type="http://schemas.openxmlformats.org/officeDocument/2006/relationships/hyperlink" Target="https://product.hstatic.net/200000428801/product/upload_07356e1494f94e78bb9d9b9ebf510fbe.jpg" TargetMode="External"/><Relationship Id="rId1558" Type="http://schemas.openxmlformats.org/officeDocument/2006/relationships/hyperlink" Target="https://product.hstatic.net/200000428801/product/upload_ab2555a179c14750bf5df72b29226687.jpg" TargetMode="External"/><Relationship Id="rId1765" Type="http://schemas.openxmlformats.org/officeDocument/2006/relationships/hyperlink" Target="https://product.hstatic.net/200000428801/product/8_1305e21335c1466ea93c77fbe7bd4e69.png" TargetMode="External"/><Relationship Id="rId2609" Type="http://schemas.openxmlformats.org/officeDocument/2006/relationships/hyperlink" Target="https://product.hstatic.net/200000428801/product/upload_4161d1509fc649a6af83454dd72771b8.jpg" TargetMode="External"/><Relationship Id="rId57" Type="http://schemas.openxmlformats.org/officeDocument/2006/relationships/hyperlink" Target="https://cdn2-retail-images.kiotviet.vn/2025/12/23/giabaopharma/2a66efd0f48a4886b4b7503d9017d5de.png" TargetMode="External"/><Relationship Id="rId1418" Type="http://schemas.openxmlformats.org/officeDocument/2006/relationships/hyperlink" Target="https://product.hstatic.net/200000428801/product/54_8e10f45733b7462d81d85af0383a7cde.png" TargetMode="External"/><Relationship Id="rId1972" Type="http://schemas.openxmlformats.org/officeDocument/2006/relationships/hyperlink" Target="https://product.hstatic.net/200000428801/product/490fc6af56a24aa9bd0876591804b912_9ed15f2b49ab4c4fa4fbd4c718b8b28b.png" TargetMode="External"/><Relationship Id="rId2816" Type="http://schemas.openxmlformats.org/officeDocument/2006/relationships/hyperlink" Target="https://product.hstatic.net/200000428801/product/upload_20ef7f680af9415193c28451c4caebdd.jpg" TargetMode="External"/><Relationship Id="rId4031" Type="http://schemas.openxmlformats.org/officeDocument/2006/relationships/hyperlink" Target="https://cdn1-retail-images.kiotviet.vn/2026/01/10/giabaopharma/bc4531c349114e11a74d5e8a77fbfdce.jpg" TargetMode="External"/><Relationship Id="rId1625" Type="http://schemas.openxmlformats.org/officeDocument/2006/relationships/hyperlink" Target="https://product.hstatic.net/200000428801/product/upload_ae621b02a87042d7a3c4ff0563e91f14.jpg" TargetMode="External"/><Relationship Id="rId1832" Type="http://schemas.openxmlformats.org/officeDocument/2006/relationships/hyperlink" Target="https://product.hstatic.net/200000428801/product/upload_b1d75f0d1c3f43eda4436808c11b400f.jpg" TargetMode="External"/><Relationship Id="rId3797" Type="http://schemas.openxmlformats.org/officeDocument/2006/relationships/hyperlink" Target="https://product.hstatic.net/200000428801/product/hhhh_f907a890d63c4dc2be25cac6fe756fcf.jpg" TargetMode="External"/><Relationship Id="rId2399" Type="http://schemas.openxmlformats.org/officeDocument/2006/relationships/hyperlink" Target="https://product.hstatic.net/200000428801/product/upload_67216c2336ca4300bcb065c538e54a2b.jpg" TargetMode="External"/><Relationship Id="rId3657" Type="http://schemas.openxmlformats.org/officeDocument/2006/relationships/hyperlink" Target="https://product.hstatic.net/200000428801/product/zalo_screenshot_18_11_2021_93911_5cdf16d738dc4d489e79201752493d71.png" TargetMode="External"/><Relationship Id="rId3864" Type="http://schemas.openxmlformats.org/officeDocument/2006/relationships/hyperlink" Target="https://product.hstatic.net/200000428801/product/zalo_screenshot_20_11_2021_636192_ad6c67d13f144817933184890744edf9.png" TargetMode="External"/><Relationship Id="rId578" Type="http://schemas.openxmlformats.org/officeDocument/2006/relationships/hyperlink" Target="https://product.hstatic.net/200000428801/product/upload_0ac82f36874a41c6a4fc8e2fe4337153.jpg" TargetMode="External"/><Relationship Id="rId785" Type="http://schemas.openxmlformats.org/officeDocument/2006/relationships/hyperlink" Target="https://product.hstatic.net/200000428801/product/upload_7dc97d85d32543faa4139367b8a75474.jpg" TargetMode="External"/><Relationship Id="rId992" Type="http://schemas.openxmlformats.org/officeDocument/2006/relationships/hyperlink" Target="https://product.hstatic.net/200000428801/product/upload_16014da336f74c64888fb1e8c696069e.jpg" TargetMode="External"/><Relationship Id="rId2259" Type="http://schemas.openxmlformats.org/officeDocument/2006/relationships/hyperlink" Target="https://product.hstatic.net/200000428801/product/upload_a723eb95af65429d8812fe6653c4a3c6.jpg" TargetMode="External"/><Relationship Id="rId2466" Type="http://schemas.openxmlformats.org/officeDocument/2006/relationships/hyperlink" Target="https://product.hstatic.net/200000428801/product/414_fba2fb81254f4b82a9322fdd709fbb96.png" TargetMode="External"/><Relationship Id="rId2673" Type="http://schemas.openxmlformats.org/officeDocument/2006/relationships/hyperlink" Target="https://product.hstatic.net/200000428801/product/upload_7bd818b488f24155baa79c908ee3f696.jpg" TargetMode="External"/><Relationship Id="rId2880" Type="http://schemas.openxmlformats.org/officeDocument/2006/relationships/hyperlink" Target="https://product.hstatic.net/200000428801/product/upload_c4d85182acbb4df7836cdde2cadecb03.jpg" TargetMode="External"/><Relationship Id="rId3517" Type="http://schemas.openxmlformats.org/officeDocument/2006/relationships/hyperlink" Target="https://product.hstatic.net/200000428801/product/zalo_screenshot_19_11_2021_641188_bc279ed8fb8c4197939184d90ba66be1.png" TargetMode="External"/><Relationship Id="rId3724" Type="http://schemas.openxmlformats.org/officeDocument/2006/relationships/hyperlink" Target="https://product.hstatic.net/200000428801/product/zalo_screenshot_18_11_2021_831316_edb9f3040cd24c2cb855c15d711899d6.png" TargetMode="External"/><Relationship Id="rId3931" Type="http://schemas.openxmlformats.org/officeDocument/2006/relationships/hyperlink" Target="https://product.hstatic.net/200000428801/product/e1c16ed65072942ccd63_aa6964e03b5147ef982528befb31ae0c.jpg" TargetMode="External"/><Relationship Id="rId438" Type="http://schemas.openxmlformats.org/officeDocument/2006/relationships/hyperlink" Target="https://cdn2-retail-images.kiotviet.vn/giabaopharma/a4b1ab018cfb4e57a6879ad223220363.png,https:/cdn2-retail-images.kiotviet.vn/giabaopharma/41790bd3a334499eb02f760c13f08234.png" TargetMode="External"/><Relationship Id="rId645" Type="http://schemas.openxmlformats.org/officeDocument/2006/relationships/hyperlink" Target="https://product.hstatic.net/200000428801/product/upload_ea4bfaa20ae64954a09ff51efbbab272.jpg" TargetMode="External"/><Relationship Id="rId852" Type="http://schemas.openxmlformats.org/officeDocument/2006/relationships/hyperlink" Target="https://product.hstatic.net/200000428801/product/e476b89c6f544bdcbbc875ea2ee8f190_e752212eb9da4d74ac581ac33abe642b.jpg" TargetMode="External"/><Relationship Id="rId1068" Type="http://schemas.openxmlformats.org/officeDocument/2006/relationships/hyperlink" Target="https://product.hstatic.net/200000428801/product/upload_ab3e858de4c749f0825de19cd2d8946f.jpg" TargetMode="External"/><Relationship Id="rId1275" Type="http://schemas.openxmlformats.org/officeDocument/2006/relationships/hyperlink" Target="https://product.hstatic.net/200000428801/product/upload_dfff28e1a71e4b088e8ee2ecb9db3ec3.jpg" TargetMode="External"/><Relationship Id="rId1482" Type="http://schemas.openxmlformats.org/officeDocument/2006/relationships/hyperlink" Target="https://product.hstatic.net/200000428801/product/063fd5c561f9bda7e4e8_86e2ae311ff64dbbb61dbee4f741cdcf.jpg" TargetMode="External"/><Relationship Id="rId2119" Type="http://schemas.openxmlformats.org/officeDocument/2006/relationships/hyperlink" Target="https://product.hstatic.net/200000428801/product/upload_4c9648fe591b43d0b35466aaa799ab9f.jpg" TargetMode="External"/><Relationship Id="rId2326" Type="http://schemas.openxmlformats.org/officeDocument/2006/relationships/hyperlink" Target="https://product.hstatic.net/200000428801/product/upload_4ee90e0c87cd4781a6970b1353cbdce7.jpg" TargetMode="External"/><Relationship Id="rId2533" Type="http://schemas.openxmlformats.org/officeDocument/2006/relationships/hyperlink" Target="https://product.hstatic.net/200000428801/product/upload_39e55afdc8bc41a2918a12a9ec3ef8ee.jpg" TargetMode="External"/><Relationship Id="rId2740" Type="http://schemas.openxmlformats.org/officeDocument/2006/relationships/hyperlink" Target="https://product.hstatic.net/200000428801/product/upload_97e7c75adfef45e19e0dd9ad95aa5d27.jpg" TargetMode="External"/><Relationship Id="rId505" Type="http://schemas.openxmlformats.org/officeDocument/2006/relationships/hyperlink" Target="https://product.hstatic.net/200000428801/product/upload_9da0db01d3934424921f51c0c9fc5899.jpg" TargetMode="External"/><Relationship Id="rId712" Type="http://schemas.openxmlformats.org/officeDocument/2006/relationships/hyperlink" Target="https://product.hstatic.net/200000428801/product/upload_e6d3ee58536f4b188c61d2c63e10f314.jpg" TargetMode="External"/><Relationship Id="rId1135" Type="http://schemas.openxmlformats.org/officeDocument/2006/relationships/hyperlink" Target="https://product.hstatic.net/200000428801/product/upload_bc2237d0a7ea4f4fbaf1fb14ad1a6d21.jpg" TargetMode="External"/><Relationship Id="rId1342" Type="http://schemas.openxmlformats.org/officeDocument/2006/relationships/hyperlink" Target="https://product.hstatic.net/200000428801/product/upload_79ed79960fc246debdd3b759f1ec42e4.jpg" TargetMode="External"/><Relationship Id="rId1202" Type="http://schemas.openxmlformats.org/officeDocument/2006/relationships/hyperlink" Target="https://product.hstatic.net/200000428801/product/upload_af7804bd9bcd469f9f9b487f58f96b3d.jpg" TargetMode="External"/><Relationship Id="rId2600" Type="http://schemas.openxmlformats.org/officeDocument/2006/relationships/hyperlink" Target="https://product.hstatic.net/200000428801/product/388_63cc7cca9ef1481193ceebc2fef4f933.png" TargetMode="External"/><Relationship Id="rId3167" Type="http://schemas.openxmlformats.org/officeDocument/2006/relationships/hyperlink" Target="https://product.hstatic.net/200000428801/product/752fc18177674f1d94bd1823b0410a09_25dab5a0b5c34d38bff0e3b3a01f6565.jpg" TargetMode="External"/><Relationship Id="rId295" Type="http://schemas.openxmlformats.org/officeDocument/2006/relationships/hyperlink" Target="https://product.hstatic.net/200000428801/product/632d39b1caf34f7ea7bc8a38b9f0bd55_1591120b471e42ae8aea5e39c0aa87f4.png" TargetMode="External"/><Relationship Id="rId3374" Type="http://schemas.openxmlformats.org/officeDocument/2006/relationships/hyperlink" Target="https://product.hstatic.net/200000428801/product/aed0f4654382408999a9dcb829cae718_47f392588e3a4c0cba831c7260f2821e.png" TargetMode="External"/><Relationship Id="rId3581" Type="http://schemas.openxmlformats.org/officeDocument/2006/relationships/hyperlink" Target="https://product.hstatic.net/200000428801/product/a492ac304251820fdb40_b2009ba77d5d4a4ea43b52dcdbd743c6.jpg" TargetMode="External"/><Relationship Id="rId2183" Type="http://schemas.openxmlformats.org/officeDocument/2006/relationships/hyperlink" Target="https://product.hstatic.net/200000428801/product/505_4d027b10ff5a477ea440be2ce320c859.png" TargetMode="External"/><Relationship Id="rId2390" Type="http://schemas.openxmlformats.org/officeDocument/2006/relationships/hyperlink" Target="https://product.hstatic.net/200000428801/product/upload_ce55976ad4b349218062aa30908637f6.jpg" TargetMode="External"/><Relationship Id="rId3027" Type="http://schemas.openxmlformats.org/officeDocument/2006/relationships/hyperlink" Target="https://product.hstatic.net/200000428801/product/upload_6852b4ead3354afda0f718c5a1eb7f27.jpg" TargetMode="External"/><Relationship Id="rId3234" Type="http://schemas.openxmlformats.org/officeDocument/2006/relationships/hyperlink" Target="https://product.hstatic.net/200000428801/product/eb2080092d454ec8943f7bfbac9f7362_ff86767d742041d6bb8cdb16bf528065.jpg" TargetMode="External"/><Relationship Id="rId3441" Type="http://schemas.openxmlformats.org/officeDocument/2006/relationships/hyperlink" Target="https://product.hstatic.net/200000428801/product/f8944911729d45249ce11f47695eb9cc_b9105dd79f614890865ed564cd5e23ea.png" TargetMode="External"/><Relationship Id="rId155" Type="http://schemas.openxmlformats.org/officeDocument/2006/relationships/hyperlink" Target="https://cdn2-retail-images.kiotviet.vn/2025/02/10/giabaopharma/31b6e1608ff5401f9a7a1772cf7e1a65.jpg" TargetMode="External"/><Relationship Id="rId362" Type="http://schemas.openxmlformats.org/officeDocument/2006/relationships/hyperlink" Target="https://product.hstatic.net/200000428801/product/83_c86032017fac490e93a048a65c559175.png" TargetMode="External"/><Relationship Id="rId2043" Type="http://schemas.openxmlformats.org/officeDocument/2006/relationships/hyperlink" Target="https://product.hstatic.net/200000428801/product/upload_1e42981357764dfca527b60706b58e05.jpg" TargetMode="External"/><Relationship Id="rId2250" Type="http://schemas.openxmlformats.org/officeDocument/2006/relationships/hyperlink" Target="https://product.hstatic.net/200000428801/product/493_f18684abb5264b04905078985eb55542.png" TargetMode="External"/><Relationship Id="rId3301" Type="http://schemas.openxmlformats.org/officeDocument/2006/relationships/hyperlink" Target="https://product.hstatic.net/200000428801/product/6dabc9db862148468159105152b0c70b_a155576d661b4a8287414d30fe8abe1b.png" TargetMode="External"/><Relationship Id="rId222" Type="http://schemas.openxmlformats.org/officeDocument/2006/relationships/hyperlink" Target="https://cdn-images.kiotviet.vn/giabaopharma/63320416cc504723b5242c7220caacd5.jpg" TargetMode="External"/><Relationship Id="rId2110" Type="http://schemas.openxmlformats.org/officeDocument/2006/relationships/hyperlink" Target="https://cdn2-retail-images.kiotviet.vn/2026/02/07/giabaopharma/995f25bd83a740499dfaec0ff7f04f0e.png" TargetMode="External"/><Relationship Id="rId1669" Type="http://schemas.openxmlformats.org/officeDocument/2006/relationships/hyperlink" Target="https://product.hstatic.net/200000428801/product/upload_49b54015933c4b559ac5e47d490cea05.jpg" TargetMode="External"/><Relationship Id="rId1876" Type="http://schemas.openxmlformats.org/officeDocument/2006/relationships/hyperlink" Target="https://product.hstatic.net/200000428801/product/upload_3bb49162f670465bb672addb48754364.jpg" TargetMode="External"/><Relationship Id="rId2927" Type="http://schemas.openxmlformats.org/officeDocument/2006/relationships/hyperlink" Target="https://product.hstatic.net/200000428801/product/upload_a0ee23198a2a488f8809ee9ee390b8d5.jpg" TargetMode="External"/><Relationship Id="rId3091" Type="http://schemas.openxmlformats.org/officeDocument/2006/relationships/hyperlink" Target="https://product.hstatic.net/200000428801/product/f4f1d9d03587471e8ad1ee7a5b14b735_264ac0bb63ba495e979580d963bf54c4.png" TargetMode="External"/><Relationship Id="rId1529" Type="http://schemas.openxmlformats.org/officeDocument/2006/relationships/hyperlink" Target="https://product.hstatic.net/200000428801/product/upload_e2ebe6e8b8b84386a9841c9b6830bc50.jpg" TargetMode="External"/><Relationship Id="rId1736" Type="http://schemas.openxmlformats.org/officeDocument/2006/relationships/hyperlink" Target="https://product.hstatic.net/200000428801/product/upload_43763141ec1d4dd6b6c2cd978be77ed5.jpg" TargetMode="External"/><Relationship Id="rId1943" Type="http://schemas.openxmlformats.org/officeDocument/2006/relationships/hyperlink" Target="https://product.hstatic.net/200000428801/product/upload_0ae83db570924e248ecbe8733daac81d.jpg" TargetMode="External"/><Relationship Id="rId28" Type="http://schemas.openxmlformats.org/officeDocument/2006/relationships/hyperlink" Target="https://cdn2-retail-images.kiotviet.vn/2025/12/08/giabaopharma/6604b9cc56fd49d2a9b62814f8a36e12.jpg" TargetMode="External"/><Relationship Id="rId1803" Type="http://schemas.openxmlformats.org/officeDocument/2006/relationships/hyperlink" Target="https://product.hstatic.net/200000428801/product/upload_bc79fd717fc04cd1942c83fc4b9f92f6.jpg" TargetMode="External"/><Relationship Id="rId4002" Type="http://schemas.openxmlformats.org/officeDocument/2006/relationships/hyperlink" Target="https://product.hstatic.net/200000428801/product/141ff60b97db56850fca_c05cb853a9bd4db584e0f30dee9e85de.jpg" TargetMode="External"/><Relationship Id="rId3768" Type="http://schemas.openxmlformats.org/officeDocument/2006/relationships/hyperlink" Target="https://product.hstatic.net/200000428801/product/zalo_screenshot_20_11_2021_636746_c9f634fd17ab4a6fad318c52f6520c36.png" TargetMode="External"/><Relationship Id="rId3975" Type="http://schemas.openxmlformats.org/officeDocument/2006/relationships/hyperlink" Target="https://cdn1-retail-images.kiotviet.vn/2026/03/14/giabaopharma/8d23224524044398abd2903327cdd069.jpg" TargetMode="External"/><Relationship Id="rId689" Type="http://schemas.openxmlformats.org/officeDocument/2006/relationships/hyperlink" Target="https://product.hstatic.net/200000428801/product/upload_2a1b8a482019431a9300fc08a23e957f.jpg" TargetMode="External"/><Relationship Id="rId896" Type="http://schemas.openxmlformats.org/officeDocument/2006/relationships/hyperlink" Target="https://product.hstatic.net/200000428801/product/upload_d8c426871ed54192890d7411faeb054f.jpg" TargetMode="External"/><Relationship Id="rId2577" Type="http://schemas.openxmlformats.org/officeDocument/2006/relationships/hyperlink" Target="https://product.hstatic.net/200000428801/product/upload_afb903cffbee4d6ea98d8b113bcb5edf.jpg" TargetMode="External"/><Relationship Id="rId2784" Type="http://schemas.openxmlformats.org/officeDocument/2006/relationships/hyperlink" Target="https://product.hstatic.net/200000428801/product/upload_e87e94a10ddc4ba0a556d0ce7bd97f4e.jpg" TargetMode="External"/><Relationship Id="rId3628" Type="http://schemas.openxmlformats.org/officeDocument/2006/relationships/hyperlink" Target="https://product.hstatic.net/200000428801/product/zalo_screenshot_19_11_2021_625467_c5e0bfd78c494a9089f708afeac527a5.png" TargetMode="External"/><Relationship Id="rId549" Type="http://schemas.openxmlformats.org/officeDocument/2006/relationships/hyperlink" Target="https://product.hstatic.net/200000428801/product/upload_592a83bb78834928bc70f102ab065e39.jpg" TargetMode="External"/><Relationship Id="rId756" Type="http://schemas.openxmlformats.org/officeDocument/2006/relationships/hyperlink" Target="https://product.hstatic.net/200000428801/product/upload_64df06501a954c45903460a93a0f662f.jpg" TargetMode="External"/><Relationship Id="rId1179" Type="http://schemas.openxmlformats.org/officeDocument/2006/relationships/hyperlink" Target="https://product.hstatic.net/200000428801/product/upload_12a49e51916e48a8b9f1d78894d03697.jpg" TargetMode="External"/><Relationship Id="rId1386" Type="http://schemas.openxmlformats.org/officeDocument/2006/relationships/hyperlink" Target="https://product.hstatic.net/200000428801/product/upload_cfdcc4cda90a4371b74cc70dde11fb33.jpg" TargetMode="External"/><Relationship Id="rId1593" Type="http://schemas.openxmlformats.org/officeDocument/2006/relationships/hyperlink" Target="https://product.hstatic.net/200000428801/product/upload_e71138cf2e6d44aba7246054c0eb9e69.jpg" TargetMode="External"/><Relationship Id="rId2437" Type="http://schemas.openxmlformats.org/officeDocument/2006/relationships/hyperlink" Target="https://product.hstatic.net/200000428801/product/upload_a0c904bb741b42359484d00e6eac98d0.jpg" TargetMode="External"/><Relationship Id="rId2991" Type="http://schemas.openxmlformats.org/officeDocument/2006/relationships/hyperlink" Target="https://product.hstatic.net/200000428801/product/upload_11a65155b9d744e99ea5a85bd1a85b05.jpg" TargetMode="External"/><Relationship Id="rId3835" Type="http://schemas.openxmlformats.org/officeDocument/2006/relationships/hyperlink" Target="https://product.hstatic.net/200000428801/product/zalo_screenshot_18_11_2021_756688_a59ea5b566554d3795717377403c0905.png" TargetMode="External"/><Relationship Id="rId409" Type="http://schemas.openxmlformats.org/officeDocument/2006/relationships/hyperlink" Target="https://product.hstatic.net/200000428801/product/upload_e73958aa85784eedaf335d2a2be22b6c.jpg" TargetMode="External"/><Relationship Id="rId963" Type="http://schemas.openxmlformats.org/officeDocument/2006/relationships/hyperlink" Target="https://product.hstatic.net/200000428801/product/upload_a816fe27af224a08a4cb2e982213b4bc.jpg" TargetMode="External"/><Relationship Id="rId1039" Type="http://schemas.openxmlformats.org/officeDocument/2006/relationships/hyperlink" Target="https://product.hstatic.net/200000428801/product/f9c8ebbe052b4f0ea3abb06eb4dbf1de_d4fa4ae2cef049a2b6fb38d5d3eba2d6.jpg" TargetMode="External"/><Relationship Id="rId1246" Type="http://schemas.openxmlformats.org/officeDocument/2006/relationships/hyperlink" Target="https://product.hstatic.net/200000428801/product/68_da37f242a05549cfb6b7484831fe5588.png" TargetMode="External"/><Relationship Id="rId2644" Type="http://schemas.openxmlformats.org/officeDocument/2006/relationships/hyperlink" Target="https://product.hstatic.net/200000428801/product/377_bdaedc41fc8d4281bd32fda51e652cdc.png" TargetMode="External"/><Relationship Id="rId2851" Type="http://schemas.openxmlformats.org/officeDocument/2006/relationships/hyperlink" Target="https://product.hstatic.net/200000428801/product/upload_d70e6528acc7451cbc9a339a18aa5b07.jpg" TargetMode="External"/><Relationship Id="rId3902" Type="http://schemas.openxmlformats.org/officeDocument/2006/relationships/hyperlink" Target="https://product.hstatic.net/200000428801/product/zalo_screenshot_20_11_2021_717416_395f2a4cddce46c6815a2a24958e830d.png" TargetMode="External"/><Relationship Id="rId92" Type="http://schemas.openxmlformats.org/officeDocument/2006/relationships/hyperlink" Target="https://cdn2-retail-images.kiotviet.vn/2025/05/28/giabaopharma/9ff423bc388745ed82ce2bf42ae36880.jpg,https:/cdn-images.kiotviet.vn/2025/05/28/giabaopharma/f6f0ab5614e24915aae89bbf124b0855.jpg,https:/cdn-images.kiotviet.vn/2025/05/28/giabaopharma/cb6cbe46a59148a6aa31e985825d9451.jpg" TargetMode="External"/><Relationship Id="rId616" Type="http://schemas.openxmlformats.org/officeDocument/2006/relationships/hyperlink" Target="https://product.hstatic.net/200000428801/product/upload_b45bba0ebe8c46afb89a79d4cfc953ae.jpg" TargetMode="External"/><Relationship Id="rId823" Type="http://schemas.openxmlformats.org/officeDocument/2006/relationships/hyperlink" Target="https://product.hstatic.net/200000428801/product/upload_ac821fa309474b2d9853f659070d1285.jpg" TargetMode="External"/><Relationship Id="rId1453" Type="http://schemas.openxmlformats.org/officeDocument/2006/relationships/hyperlink" Target="https://product.hstatic.net/200000428801/product/upload_2df8ce43beac42069e0e6e8a538af239.jpg" TargetMode="External"/><Relationship Id="rId1660" Type="http://schemas.openxmlformats.org/officeDocument/2006/relationships/hyperlink" Target="https://product.hstatic.net/200000428801/product/upload_e36c016aa75640c6a00fed6ef07ed563.jpg" TargetMode="External"/><Relationship Id="rId2504" Type="http://schemas.openxmlformats.org/officeDocument/2006/relationships/hyperlink" Target="https://product.hstatic.net/200000428801/product/upload_0dd7a1d0bbdc465a91e514dabf4cbabc.jpg" TargetMode="External"/><Relationship Id="rId2711" Type="http://schemas.openxmlformats.org/officeDocument/2006/relationships/hyperlink" Target="https://product.hstatic.net/200000428801/product/upload_d0e97bcbf2934780978bfdcd21de2dad.jpg" TargetMode="External"/><Relationship Id="rId1106" Type="http://schemas.openxmlformats.org/officeDocument/2006/relationships/hyperlink" Target="https://product.hstatic.net/200000428801/product/upload_8d17cc92ddf14b86b1a04855603a6835.jpg" TargetMode="External"/><Relationship Id="rId1313" Type="http://schemas.openxmlformats.org/officeDocument/2006/relationships/hyperlink" Target="https://product.hstatic.net/200000428801/product/upload_897c3f673177489c9269a86ca720eff0.jpg" TargetMode="External"/><Relationship Id="rId1520" Type="http://schemas.openxmlformats.org/officeDocument/2006/relationships/hyperlink" Target="https://product.hstatic.net/200000428801/product/upload_b413e23b28ac43a7bbbc74a5e3561696.jpg" TargetMode="External"/><Relationship Id="rId3278" Type="http://schemas.openxmlformats.org/officeDocument/2006/relationships/hyperlink" Target="https://product.hstatic.net/200000428801/product/79be4e5230bb422c961c1c791bff8346_12779380e75548fcbd8c92ae5b44d2e3.png" TargetMode="External"/><Relationship Id="rId3485" Type="http://schemas.openxmlformats.org/officeDocument/2006/relationships/hyperlink" Target="https://product.hstatic.net/200000428801/product/2f0bb89e636b4ccb900b261621e8eaec_7281c0bfa68a486e9aa260c2616a4dd9.png" TargetMode="External"/><Relationship Id="rId3692" Type="http://schemas.openxmlformats.org/officeDocument/2006/relationships/hyperlink" Target="https://product.hstatic.net/200000428801/product/zalo_screenshot_18_11_2021_90575_75bedc20970548609f06a6d886926dc0.png" TargetMode="External"/><Relationship Id="rId199" Type="http://schemas.openxmlformats.org/officeDocument/2006/relationships/hyperlink" Target="https://cdn2-retail-images.kiotviet.vn/giabaopharma/278ecaf346b742bea1376d44e67f763f.jpg" TargetMode="External"/><Relationship Id="rId2087" Type="http://schemas.openxmlformats.org/officeDocument/2006/relationships/hyperlink" Target="https://product.hstatic.net/200000428801/product/upload_200bb0d5eb9d419bb3c22601f3927241.jpg" TargetMode="External"/><Relationship Id="rId2294" Type="http://schemas.openxmlformats.org/officeDocument/2006/relationships/hyperlink" Target="https://product.hstatic.net/200000428801/product/52793870b46547fba9a36b4fab1ce12e_f3fbc24f7e364b11a10c9a592a62f1c8.png" TargetMode="External"/><Relationship Id="rId3138" Type="http://schemas.openxmlformats.org/officeDocument/2006/relationships/hyperlink" Target="https://product.hstatic.net/200000428801/product/b93b807e67164e2baf81d71115724c3d_bfae9aadf7ca4ed984dd5e3bbdbcc6e8.jpg" TargetMode="External"/><Relationship Id="rId3345" Type="http://schemas.openxmlformats.org/officeDocument/2006/relationships/hyperlink" Target="https://product.hstatic.net/200000428801/product/dfb890a490cc4f61b816be5d6b1c0ae2_5201288fab9c4baa97f499bccbd3339a.png" TargetMode="External"/><Relationship Id="rId3552" Type="http://schemas.openxmlformats.org/officeDocument/2006/relationships/hyperlink" Target="https://product.hstatic.net/200000428801/product/9b__1__a9ce2f613f594375a97584959a1d6315.png" TargetMode="External"/><Relationship Id="rId266" Type="http://schemas.openxmlformats.org/officeDocument/2006/relationships/hyperlink" Target="https://cdn2-retail-images.kiotviet.vn/giabaopharma/43d4ad17d927461cb8df586981f8e2e3.png,https:/cdn2-retail-images.kiotviet.vn/giabaopharma/09bccf7e1a9240d19cc60f46ff26c6c3.png,https:/cdn2-retail-images.kiotviet.vn/giabaopharma/7d77cc3d1b494a49b92b851a938c4d7b.png,https:/cdn2-retail-images.kiotviet.vn/giabaopharma/4ab4b13b47e44e3ca02399bfa40607e7.png,https:/cdn2-retail-images.kiotviet.vn/giabaopharma/5829285cbab44bd3a029c3860cc2df97.png" TargetMode="External"/><Relationship Id="rId473" Type="http://schemas.openxmlformats.org/officeDocument/2006/relationships/hyperlink" Target="https://product.hstatic.net/200000428801/product/0a428382ab3b48a6bdb284ce5f49fc2c_009f4e649cbe4f7cbad45cd9314ef4d6.jpg" TargetMode="External"/><Relationship Id="rId680" Type="http://schemas.openxmlformats.org/officeDocument/2006/relationships/hyperlink" Target="https://product.hstatic.net/200000428801/product/f050efd7ee724925a3c4d53722fe9419_e885c005cf464b36bba2278538d4882b.png" TargetMode="External"/><Relationship Id="rId2154" Type="http://schemas.openxmlformats.org/officeDocument/2006/relationships/hyperlink" Target="https://product.hstatic.net/200000428801/product/upload_66f0415262bd4009b5d09432a7bb1185.jpg" TargetMode="External"/><Relationship Id="rId2361" Type="http://schemas.openxmlformats.org/officeDocument/2006/relationships/hyperlink" Target="https://product.hstatic.net/200000428801/product/57e185500d964a3f9a7437ab6a2600df_32f4e57b2e5947c896a351de85061cde.png" TargetMode="External"/><Relationship Id="rId3205" Type="http://schemas.openxmlformats.org/officeDocument/2006/relationships/hyperlink" Target="https://product.hstatic.net/200000428801/product/3e2f03e64e144289bf59ba9c8783d21a_82ce491bc5564ecfb04c6740d669c6d9.png" TargetMode="External"/><Relationship Id="rId3412" Type="http://schemas.openxmlformats.org/officeDocument/2006/relationships/hyperlink" Target="https://cdn2-retail-images.kiotviet.vn/2025/10/30/giabaopharma/4306de85fe13481585e119eae35f3b6a.png" TargetMode="External"/><Relationship Id="rId126" Type="http://schemas.openxmlformats.org/officeDocument/2006/relationships/hyperlink" Target="https://cdn2-retail-images.kiotviet.vn/2025/03/17/giabaopharma/778be32f7bcc4f919db1363c000e2a58.jpg" TargetMode="External"/><Relationship Id="rId333" Type="http://schemas.openxmlformats.org/officeDocument/2006/relationships/hyperlink" Target="https://product.hstatic.net/200000428801/product/509_7d0cae9dfcff4be6a2128981f802a5ac.png" TargetMode="External"/><Relationship Id="rId540" Type="http://schemas.openxmlformats.org/officeDocument/2006/relationships/hyperlink" Target="https://product.hstatic.net/200000428801/product/upload_7f067132b48747cdbd8fce03b3d4cef8.jpg" TargetMode="External"/><Relationship Id="rId1170" Type="http://schemas.openxmlformats.org/officeDocument/2006/relationships/hyperlink" Target="https://product.hstatic.net/200000428801/product/upload_7e7dd563982f48c4963f57a90c0af2a7.jpg" TargetMode="External"/><Relationship Id="rId2014" Type="http://schemas.openxmlformats.org/officeDocument/2006/relationships/hyperlink" Target="https://product.hstatic.net/200000428801/product/upload_865c2f98d614461892d3e20fab2ddf59.jpg" TargetMode="External"/><Relationship Id="rId2221" Type="http://schemas.openxmlformats.org/officeDocument/2006/relationships/hyperlink" Target="https://product.hstatic.net/200000428801/product/upload_f2d00d60c34b4779b636f619a1841eca.jpg" TargetMode="External"/><Relationship Id="rId1030" Type="http://schemas.openxmlformats.org/officeDocument/2006/relationships/hyperlink" Target="https://product.hstatic.net/200000428801/product/upload_25d2ae83b7844548b8ab9c754bb87edd.jpg" TargetMode="External"/><Relationship Id="rId400" Type="http://schemas.openxmlformats.org/officeDocument/2006/relationships/hyperlink" Target="https://product.hstatic.net/200000428801/product/45b1d92417ac45b6be3d08ee0b2d3b2e_e2a940fce4ec4494be17b7219b9ce67c.png" TargetMode="External"/><Relationship Id="rId1987" Type="http://schemas.openxmlformats.org/officeDocument/2006/relationships/hyperlink" Target="https://product.hstatic.net/200000428801/product/upload_ec57565d0041410ca04842a46d059543.jpg" TargetMode="External"/><Relationship Id="rId1847" Type="http://schemas.openxmlformats.org/officeDocument/2006/relationships/hyperlink" Target="https://product.hstatic.net/200000428801/product/upload_b426d98aea3a452393c26e98a46f76b2.jpg" TargetMode="External"/><Relationship Id="rId4046" Type="http://schemas.openxmlformats.org/officeDocument/2006/relationships/hyperlink" Target="https://product.hstatic.net/200000428801/product/9e28ccd1b421757f2c30_567dbd17054c49d0b48d47691fa67e7e.jpg" TargetMode="External"/><Relationship Id="rId1707" Type="http://schemas.openxmlformats.org/officeDocument/2006/relationships/hyperlink" Target="https://product.hstatic.net/200000428801/product/22_213fd57b073b40f4bb9f0d2a68bc7314.png" TargetMode="External"/><Relationship Id="rId3062" Type="http://schemas.openxmlformats.org/officeDocument/2006/relationships/hyperlink" Target="https://product.hstatic.net/200000428801/product/upload_65fa994a08854b7590dc6bb60abb239c.jpg" TargetMode="External"/><Relationship Id="rId190" Type="http://schemas.openxmlformats.org/officeDocument/2006/relationships/hyperlink" Target="https://cdn2-retail-images.kiotviet.vn/2025/10/23/giabaopharma/043a6f4d51e04b0a9a5c2c522638046b.jpg" TargetMode="External"/><Relationship Id="rId1914" Type="http://schemas.openxmlformats.org/officeDocument/2006/relationships/hyperlink" Target="https://product.hstatic.net/200000428801/product/upload_e6df878408a04db889719aa1ed54e7dc.jpg" TargetMode="External"/><Relationship Id="rId3879" Type="http://schemas.openxmlformats.org/officeDocument/2006/relationships/hyperlink" Target="https://product.hstatic.net/200000428801/product/28875da30624c37a9a35_11cb5bf82eb34921b050cd6c712cbe50.jpg" TargetMode="External"/><Relationship Id="rId2688" Type="http://schemas.openxmlformats.org/officeDocument/2006/relationships/hyperlink" Target="https://product.hstatic.net/200000428801/product/upload_6477a0df185c402ea91f00d1c66eb90c.jpg" TargetMode="External"/><Relationship Id="rId2895" Type="http://schemas.openxmlformats.org/officeDocument/2006/relationships/hyperlink" Target="https://product.hstatic.net/200000428801/product/upload_8c22706192714f25af67f1764e103201.jpg" TargetMode="External"/><Relationship Id="rId3739" Type="http://schemas.openxmlformats.org/officeDocument/2006/relationships/hyperlink" Target="https://product.hstatic.net/200000428801/product/marvelon_bayer__h.21v__936bc09a10c04f33a624633fc6b995d6.jpeg" TargetMode="External"/><Relationship Id="rId3946" Type="http://schemas.openxmlformats.org/officeDocument/2006/relationships/hyperlink" Target="https://product.hstatic.net/200000428801/product/0f99b818d89c1bc2428d58_3ebb99d087d14d789e65435fb61b4435.jpg" TargetMode="External"/><Relationship Id="rId867" Type="http://schemas.openxmlformats.org/officeDocument/2006/relationships/hyperlink" Target="https://product.hstatic.net/200000428801/product/upload_34cfc00fc9ac41f597b9397539314cd0.jpg" TargetMode="External"/><Relationship Id="rId1497" Type="http://schemas.openxmlformats.org/officeDocument/2006/relationships/hyperlink" Target="https://product.hstatic.net/200000428801/product/upload_84b3aa2acb7246db9b85b3a92948e581.jpg" TargetMode="External"/><Relationship Id="rId2548" Type="http://schemas.openxmlformats.org/officeDocument/2006/relationships/hyperlink" Target="https://product.hstatic.net/200000428801/product/upload_8bf9cf18d4cd4d8eb3628d088947cada.jpg" TargetMode="External"/><Relationship Id="rId2755" Type="http://schemas.openxmlformats.org/officeDocument/2006/relationships/hyperlink" Target="https://product.hstatic.net/200000428801/product/d12942911988451887a8eef3af97ab7e_afbbc3e505444b7ab8c091f54ce98b95.jpg" TargetMode="External"/><Relationship Id="rId2962" Type="http://schemas.openxmlformats.org/officeDocument/2006/relationships/hyperlink" Target="https://product.hstatic.net/200000428801/product/upload_c27bf2fc54e44d4c8241cc9f5dadb512.jpg" TargetMode="External"/><Relationship Id="rId3806" Type="http://schemas.openxmlformats.org/officeDocument/2006/relationships/hyperlink" Target="https://product.hstatic.net/200000428801/product/zalo_screenshot_18_11_2021_758477_86f97aba03ed47cb9516af0e103a155f.png" TargetMode="External"/><Relationship Id="rId727" Type="http://schemas.openxmlformats.org/officeDocument/2006/relationships/hyperlink" Target="https://product.hstatic.net/200000428801/product/upload_0ba9a70e41aa4697ad9e8417bcd68c26.jpg" TargetMode="External"/><Relationship Id="rId934" Type="http://schemas.openxmlformats.org/officeDocument/2006/relationships/hyperlink" Target="https://product.hstatic.net/200000428801/product/upload_c7230e1b4e0d4656bf6981315968a058.jpg" TargetMode="External"/><Relationship Id="rId1357" Type="http://schemas.openxmlformats.org/officeDocument/2006/relationships/hyperlink" Target="https://product.hstatic.net/200000428801/product/52_1ce8133f052c479894174bd5bd84c738.png" TargetMode="External"/><Relationship Id="rId1564" Type="http://schemas.openxmlformats.org/officeDocument/2006/relationships/hyperlink" Target="https://product.hstatic.net/200000428801/product/8931bcff72c4ae9af7d5_bd1a2d76360c4f77ad16374302a82392.jpg" TargetMode="External"/><Relationship Id="rId1771" Type="http://schemas.openxmlformats.org/officeDocument/2006/relationships/hyperlink" Target="https://product.hstatic.net/200000428801/product/upload_3db1465b473d4d3d9fa0023b8366013e.jpg" TargetMode="External"/><Relationship Id="rId2408" Type="http://schemas.openxmlformats.org/officeDocument/2006/relationships/hyperlink" Target="https://product.hstatic.net/200000428801/product/upload_7e131e9eebc7461c90ba6c20dafe558a.jpg" TargetMode="External"/><Relationship Id="rId2615" Type="http://schemas.openxmlformats.org/officeDocument/2006/relationships/hyperlink" Target="https://product.hstatic.net/200000428801/product/upload_ef0368de819c456a8990115df5b02cd8.jpg" TargetMode="External"/><Relationship Id="rId2822" Type="http://schemas.openxmlformats.org/officeDocument/2006/relationships/hyperlink" Target="https://product.hstatic.net/200000428801/product/upload_1272e22969914354b393a83eeb3ac59e.jpg" TargetMode="External"/><Relationship Id="rId63" Type="http://schemas.openxmlformats.org/officeDocument/2006/relationships/hyperlink" Target="https://i.postimg.cc/zB4jbZXR/254.png" TargetMode="External"/><Relationship Id="rId1217" Type="http://schemas.openxmlformats.org/officeDocument/2006/relationships/hyperlink" Target="https://product.hstatic.net/200000428801/product/upload_21132c9f438643528ef6004b685e23d8.jpg" TargetMode="External"/><Relationship Id="rId1424" Type="http://schemas.openxmlformats.org/officeDocument/2006/relationships/hyperlink" Target="https://product.hstatic.net/200000428801/product/47_aa923fdd1f74424082ecc971fa0642c9.png" TargetMode="External"/><Relationship Id="rId1631" Type="http://schemas.openxmlformats.org/officeDocument/2006/relationships/hyperlink" Target="https://cdn2-retail-images.kiotviet.vn/2025/10/30/giabaopharma/92df54ed92fd43b08c7be15a0a0f574f.png" TargetMode="External"/><Relationship Id="rId3389" Type="http://schemas.openxmlformats.org/officeDocument/2006/relationships/hyperlink" Target="https://product.hstatic.net/200000428801/product/b6f21973cb9741789efaf797118e6b40_25eb183fa82446ae9ff32377e905e146.png" TargetMode="External"/><Relationship Id="rId3596" Type="http://schemas.openxmlformats.org/officeDocument/2006/relationships/hyperlink" Target="https://product.hstatic.net/200000428801/product/zalo_screenshot_19_11_2021_627132_404487e1aa314e8dabd9a0d673d20fde.png" TargetMode="External"/><Relationship Id="rId2198" Type="http://schemas.openxmlformats.org/officeDocument/2006/relationships/hyperlink" Target="https://product.hstatic.net/200000428801/product/upload_3665de8db6574fbb92bcadff21b83798.jpg" TargetMode="External"/><Relationship Id="rId3249" Type="http://schemas.openxmlformats.org/officeDocument/2006/relationships/hyperlink" Target="https://product.hstatic.net/200000428801/product/3c6ee6f8df694520bc27fe39217e78b6_19ecb9da21d648e7882d8fe88828f963.png" TargetMode="External"/><Relationship Id="rId3456" Type="http://schemas.openxmlformats.org/officeDocument/2006/relationships/hyperlink" Target="https://product.hstatic.net/200000428801/product/thiet_ke_chua_co_ten__10__9afc3ab818b64a21a9a082b65deac207.png" TargetMode="External"/><Relationship Id="rId377" Type="http://schemas.openxmlformats.org/officeDocument/2006/relationships/hyperlink" Target="https://product.hstatic.net/200000428801/product/27_3b0a5f46068847ae8b0cd4c5d6b69511.png" TargetMode="External"/><Relationship Id="rId584" Type="http://schemas.openxmlformats.org/officeDocument/2006/relationships/hyperlink" Target="https://product.hstatic.net/200000428801/product/upload_3fb3260dc2784f86b36babb4e0c6efed.jpg" TargetMode="External"/><Relationship Id="rId2058" Type="http://schemas.openxmlformats.org/officeDocument/2006/relationships/hyperlink" Target="https://product.hstatic.net/200000428801/product/upload_83878a08f3c8465e9f1fbdf7a200bd96.jpg" TargetMode="External"/><Relationship Id="rId2265" Type="http://schemas.openxmlformats.org/officeDocument/2006/relationships/hyperlink" Target="https://product.hstatic.net/200000428801/product/7eb7b8accd23484796f60d6eed7424a6_19c043ac514a485e8f267774f8880712.png" TargetMode="External"/><Relationship Id="rId3109" Type="http://schemas.openxmlformats.org/officeDocument/2006/relationships/hyperlink" Target="https://product.hstatic.net/200000428801/product/3e73bf9756ed40b3bd2cfd1ada6b4af9_c8d45383c2c44e5499d65caa94d4516d.png" TargetMode="External"/><Relationship Id="rId3663" Type="http://schemas.openxmlformats.org/officeDocument/2006/relationships/hyperlink" Target="https://product.hstatic.net/200000428801/product/fc0f0f19be5f7e01274e_350265c86c494ac2bdaab2b56ce3f96e.jpg" TargetMode="External"/><Relationship Id="rId3870" Type="http://schemas.openxmlformats.org/officeDocument/2006/relationships/hyperlink" Target="https://product.hstatic.net/200000428801/product/83812e06ecc82f9676d9__1__7ac9507c00934774b0115beb14758ba5.jpg" TargetMode="External"/><Relationship Id="rId237" Type="http://schemas.openxmlformats.org/officeDocument/2006/relationships/hyperlink" Target="https://cdn2-retail-images.kiotviet.vn/giabaopharma/dcaa49d214a14d9aa7c55fc861964653.jpg" TargetMode="External"/><Relationship Id="rId791" Type="http://schemas.openxmlformats.org/officeDocument/2006/relationships/hyperlink" Target="https://product.hstatic.net/200000428801/product/upload_d5b55f7b492f4ac685f8b94839d48c33.jpg" TargetMode="External"/><Relationship Id="rId1074" Type="http://schemas.openxmlformats.org/officeDocument/2006/relationships/hyperlink" Target="https://product.hstatic.net/200000428801/product/upload_671b75ffbd90497cbb61a638645ee239.jpg" TargetMode="External"/><Relationship Id="rId2472" Type="http://schemas.openxmlformats.org/officeDocument/2006/relationships/hyperlink" Target="https://product.hstatic.net/200000428801/product/upload_857da09ac48c4a248f413c84e430bc88.jpg" TargetMode="External"/><Relationship Id="rId3316" Type="http://schemas.openxmlformats.org/officeDocument/2006/relationships/hyperlink" Target="https://product.hstatic.net/200000428801/product/b773733bc1994353aa1c24df2f5b925e_48dd587c4f5d40ef856db1edf6b983c4.png" TargetMode="External"/><Relationship Id="rId3523" Type="http://schemas.openxmlformats.org/officeDocument/2006/relationships/hyperlink" Target="https://product.hstatic.net/200000428801/product/aa7d2b5605dcc5829ccd_37fd229e747345b4976a3cad4827b4c0.jpg" TargetMode="External"/><Relationship Id="rId3730" Type="http://schemas.openxmlformats.org/officeDocument/2006/relationships/hyperlink" Target="https://cdn2-retail-images.kiotviet.vn/2025/12/31/giabaopharma/bd52447d83e947a589f0aea629f61700.jpg" TargetMode="External"/><Relationship Id="rId444" Type="http://schemas.openxmlformats.org/officeDocument/2006/relationships/hyperlink" Target="https://product.hstatic.net/200000428801/product/1_ccda1d3310604143bb10e05f60f65578.png" TargetMode="External"/><Relationship Id="rId651" Type="http://schemas.openxmlformats.org/officeDocument/2006/relationships/hyperlink" Target="https://product.hstatic.net/200000428801/product/upload_b6b79dfee4f84f629af4844fdc6e7015.jpg" TargetMode="External"/><Relationship Id="rId1281" Type="http://schemas.openxmlformats.org/officeDocument/2006/relationships/hyperlink" Target="https://product.hstatic.net/200000428801/product/upload_784c8d84f2fb412d916880e6ec52031d.jpg" TargetMode="External"/><Relationship Id="rId2125" Type="http://schemas.openxmlformats.org/officeDocument/2006/relationships/hyperlink" Target="https://product.hstatic.net/200000428801/product/upload_b048fdaa943847d4aa2340cbb83e7c29.jpg" TargetMode="External"/><Relationship Id="rId2332" Type="http://schemas.openxmlformats.org/officeDocument/2006/relationships/hyperlink" Target="https://product.hstatic.net/200000428801/product/upload_8389d4976ee24abfb44688f3bdc8f1f2.jpg" TargetMode="External"/><Relationship Id="rId304" Type="http://schemas.openxmlformats.org/officeDocument/2006/relationships/hyperlink" Target="https://product.hstatic.net/200000428801/product/upload_4c4b0ffd2bf24c87947d6b66e5735c57.jpg" TargetMode="External"/><Relationship Id="rId511" Type="http://schemas.openxmlformats.org/officeDocument/2006/relationships/hyperlink" Target="https://product.hstatic.net/200000428801/product/b1d5065d1bab4b9cbf46ab6d875af859_fe21300603314d4398a59d0201a82325.png" TargetMode="External"/><Relationship Id="rId1141" Type="http://schemas.openxmlformats.org/officeDocument/2006/relationships/hyperlink" Target="https://product.hstatic.net/200000428801/product/upload_00c8bc3f301c4f249463b238becc2f45.jpg" TargetMode="External"/><Relationship Id="rId1001" Type="http://schemas.openxmlformats.org/officeDocument/2006/relationships/hyperlink" Target="https://product.hstatic.net/200000428801/product/upload_5b1fff71b1d14c39bacbaa87829b6797.jpg" TargetMode="External"/><Relationship Id="rId1958" Type="http://schemas.openxmlformats.org/officeDocument/2006/relationships/hyperlink" Target="https://product.hstatic.net/200000428801/product/upload_037b971e6f9248fd932feed75cc1e71a.jpg" TargetMode="External"/><Relationship Id="rId3173" Type="http://schemas.openxmlformats.org/officeDocument/2006/relationships/hyperlink" Target="https://product.hstatic.net/200000428801/product/e317d8ed93c549ecb888852d676f6bc0_e9dd80a80c0c48c4830118cc397c6aa2.jpg" TargetMode="External"/><Relationship Id="rId3380" Type="http://schemas.openxmlformats.org/officeDocument/2006/relationships/hyperlink" Target="https://product.hstatic.net/200000428801/product/54f963b054504eea8fe051f67e06a104_758d72f1f43e4b5d83f11b56ab5dfb0c.png" TargetMode="External"/><Relationship Id="rId4017" Type="http://schemas.openxmlformats.org/officeDocument/2006/relationships/hyperlink" Target="https://product.hstatic.net/200000428801/product/at-ibubrofen-5ml-hop-30ong-1-1-700x467_a23c4fb689c045e080fe3064426bbd22.jpg" TargetMode="External"/><Relationship Id="rId1818" Type="http://schemas.openxmlformats.org/officeDocument/2006/relationships/hyperlink" Target="https://product.hstatic.net/200000428801/product/upload_abee3deb49c64b74857683a429e56a96.jpg" TargetMode="External"/><Relationship Id="rId3033" Type="http://schemas.openxmlformats.org/officeDocument/2006/relationships/hyperlink" Target="https://product.hstatic.net/200000428801/product/upload_c29620fdabfa44d7a2318f2ebecadfce.jpg" TargetMode="External"/><Relationship Id="rId3240" Type="http://schemas.openxmlformats.org/officeDocument/2006/relationships/hyperlink" Target="https://cdn-images.kiotviet.vn/2024/11/25/giabaopharma/62e04f60538b408085c23efecb8f839b.jpg" TargetMode="External"/><Relationship Id="rId161" Type="http://schemas.openxmlformats.org/officeDocument/2006/relationships/hyperlink" Target="https://cdn2-retail-images.kiotviet.vn/2025/02/03/giabaopharma/0edba24cb17b42f5a308c8b10951f9d4.jpg" TargetMode="External"/><Relationship Id="rId2799" Type="http://schemas.openxmlformats.org/officeDocument/2006/relationships/hyperlink" Target="https://product.hstatic.net/200000428801/product/upload_2edd78302d66417680eeae327d1bdf63.jpg" TargetMode="External"/><Relationship Id="rId3100" Type="http://schemas.openxmlformats.org/officeDocument/2006/relationships/hyperlink" Target="https://product.hstatic.net/200000428801/product/70c97e3aacfb4817a3372a5d05f750a9_af6f7fd6b14f4353ae022febdafe78af.png" TargetMode="External"/><Relationship Id="rId978" Type="http://schemas.openxmlformats.org/officeDocument/2006/relationships/hyperlink" Target="https://product.hstatic.net/200000428801/product/upload_d77396d2d5fe4bbfa7487865fb5d61fe.jpg" TargetMode="External"/><Relationship Id="rId2659" Type="http://schemas.openxmlformats.org/officeDocument/2006/relationships/hyperlink" Target="https://product.hstatic.net/200000428801/product/upload_6901e7ddf7384be9b9bca162878b4308.jpg" TargetMode="External"/><Relationship Id="rId2866" Type="http://schemas.openxmlformats.org/officeDocument/2006/relationships/hyperlink" Target="https://product.hstatic.net/200000428801/product/upload_bc193caedbdb4357bb35cffc47d5405b.jpg" TargetMode="External"/><Relationship Id="rId3917" Type="http://schemas.openxmlformats.org/officeDocument/2006/relationships/hyperlink" Target="https://product.hstatic.net/200000428801/product/a81a8c60793db763ee2c_29edd3e8e7fc4b5394df39148d92fc00.png" TargetMode="External"/><Relationship Id="rId838" Type="http://schemas.openxmlformats.org/officeDocument/2006/relationships/hyperlink" Target="https://product.hstatic.net/200000428801/product/upload_2ce9a4765b4944d79307df0a4cd2bfbf.jpg" TargetMode="External"/><Relationship Id="rId1468" Type="http://schemas.openxmlformats.org/officeDocument/2006/relationships/hyperlink" Target="https://product.hstatic.net/200000428801/product/upload_7a89f6727d59454daeb6eaf659c39b99.jpg" TargetMode="External"/><Relationship Id="rId1675" Type="http://schemas.openxmlformats.org/officeDocument/2006/relationships/hyperlink" Target="https://product.hstatic.net/200000428801/product/upload_5c1f1fffc6134cb7a4c4e5e9e5e5fd1d.jpg" TargetMode="External"/><Relationship Id="rId1882" Type="http://schemas.openxmlformats.org/officeDocument/2006/relationships/hyperlink" Target="https://product.hstatic.net/200000428801/product/541_58b2f8aee4c34500a59210aab295455d.png" TargetMode="External"/><Relationship Id="rId2519" Type="http://schemas.openxmlformats.org/officeDocument/2006/relationships/hyperlink" Target="https://product.hstatic.net/200000428801/product/515141ace76a4aa397a4df5fd7f093d0_4fc54b07981948d4a0b458380b8a7b2c.png" TargetMode="External"/><Relationship Id="rId2726" Type="http://schemas.openxmlformats.org/officeDocument/2006/relationships/hyperlink" Target="https://product.hstatic.net/200000428801/product/upload_68ae23e3895045d0933316524086d84e.jpg" TargetMode="External"/><Relationship Id="rId1328" Type="http://schemas.openxmlformats.org/officeDocument/2006/relationships/hyperlink" Target="https://product.hstatic.net/200000428801/product/upload_4410ba9f52644d4689ceb48c9ab66056.jpg" TargetMode="External"/><Relationship Id="rId1535" Type="http://schemas.openxmlformats.org/officeDocument/2006/relationships/hyperlink" Target="https://product.hstatic.net/200000428801/product/upload_78485060289d45e2b0b8b296af18e7cf.jpg" TargetMode="External"/><Relationship Id="rId2933" Type="http://schemas.openxmlformats.org/officeDocument/2006/relationships/hyperlink" Target="https://product.hstatic.net/200000428801/product/upload_4559872a31624835bf9ecb02f8bc1742.jpg" TargetMode="External"/><Relationship Id="rId905" Type="http://schemas.openxmlformats.org/officeDocument/2006/relationships/hyperlink" Target="https://product.hstatic.net/200000428801/product/upload_a309fac9470d40bf9f1ac222a98c1f86.jpg" TargetMode="External"/><Relationship Id="rId1742" Type="http://schemas.openxmlformats.org/officeDocument/2006/relationships/hyperlink" Target="https://product.hstatic.net/200000428801/product/upload_88e42e373c374e23961f20f193f0ed7f.jpg" TargetMode="External"/><Relationship Id="rId34" Type="http://schemas.openxmlformats.org/officeDocument/2006/relationships/hyperlink" Target="https://cdn2-retail-images.kiotviet.vn/2025/10/29/giabaopharma/751325be35ca4356a61d7564493ce31c.jpg" TargetMode="External"/><Relationship Id="rId1602" Type="http://schemas.openxmlformats.org/officeDocument/2006/relationships/hyperlink" Target="https://product.hstatic.net/200000428801/product/upload_94a98c7846fa40a49b6747c38cf95e1d.jpg" TargetMode="External"/><Relationship Id="rId3567" Type="http://schemas.openxmlformats.org/officeDocument/2006/relationships/hyperlink" Target="https://product.hstatic.net/200000428801/product/tai_xuong_bc6750fe256e45aaa0e0f1fc1d2c37e7.jpg" TargetMode="External"/><Relationship Id="rId3774" Type="http://schemas.openxmlformats.org/officeDocument/2006/relationships/hyperlink" Target="https://product.hstatic.net/200000428801/product/db9b2501f89b3ac5638a_352312eb61aa43afb3c98e2b9b6701df.jpg" TargetMode="External"/><Relationship Id="rId3981" Type="http://schemas.openxmlformats.org/officeDocument/2006/relationships/hyperlink" Target="https://product.hstatic.net/200000428801/product/zalo_screenshot_20_11_2021_719777_ef943e9f319d43c8aff7a329a5938b5f.png" TargetMode="External"/><Relationship Id="rId488" Type="http://schemas.openxmlformats.org/officeDocument/2006/relationships/hyperlink" Target="https://product.hstatic.net/200000428801/product/upload_e731ce83808b4957ac6aa0b2dba97632.jpg" TargetMode="External"/><Relationship Id="rId695" Type="http://schemas.openxmlformats.org/officeDocument/2006/relationships/hyperlink" Target="https://product.hstatic.net/200000428801/product/upload_a80474cf0ef9454b9b074f55bab5e5ed.jpg" TargetMode="External"/><Relationship Id="rId2169" Type="http://schemas.openxmlformats.org/officeDocument/2006/relationships/hyperlink" Target="https://product.hstatic.net/200000428801/product/539_d2411fc1f92347319382af897977d9bc.png" TargetMode="External"/><Relationship Id="rId2376" Type="http://schemas.openxmlformats.org/officeDocument/2006/relationships/hyperlink" Target="https://product.hstatic.net/200000428801/product/upload_b11f7b3928e34227aab9c63ed83012c4.jpg" TargetMode="External"/><Relationship Id="rId2583" Type="http://schemas.openxmlformats.org/officeDocument/2006/relationships/hyperlink" Target="https://product.hstatic.net/200000428801/product/upload_995e36c2baa84955b3d1582356796d18.jpg" TargetMode="External"/><Relationship Id="rId2790" Type="http://schemas.openxmlformats.org/officeDocument/2006/relationships/hyperlink" Target="https://product.hstatic.net/200000428801/product/upload_0b3d87aaeb0744e4898fcf8b7cf2b9e3.jpg" TargetMode="External"/><Relationship Id="rId3427" Type="http://schemas.openxmlformats.org/officeDocument/2006/relationships/hyperlink" Target="https://product.hstatic.net/200000428801/product/7977e6b55cac4399b5fc707a5ff3f100_a38a97736c824516afd1b8aa2e774754.png" TargetMode="External"/><Relationship Id="rId3634" Type="http://schemas.openxmlformats.org/officeDocument/2006/relationships/hyperlink" Target="https://product.hstatic.net/200000428801/product/ce972e0adcfd1fa346ec_da257348bc244689b41aa0105d92a162.jpg" TargetMode="External"/><Relationship Id="rId3841" Type="http://schemas.openxmlformats.org/officeDocument/2006/relationships/hyperlink" Target="https://product.hstatic.net/200000428801/product/1f9eef651d92decc8783_ad7f05e8ebaf4669b602cd7a144cfb1f.jpg" TargetMode="External"/><Relationship Id="rId348" Type="http://schemas.openxmlformats.org/officeDocument/2006/relationships/hyperlink" Target="https://product.hstatic.net/200000428801/product/upload_e5403bd6c0d2417292b21ae99a15f837.jpg" TargetMode="External"/><Relationship Id="rId555" Type="http://schemas.openxmlformats.org/officeDocument/2006/relationships/hyperlink" Target="https://product.hstatic.net/200000428801/product/upload_2454ee212b6a4886b946f9bf4a6621ff.jpg" TargetMode="External"/><Relationship Id="rId762" Type="http://schemas.openxmlformats.org/officeDocument/2006/relationships/hyperlink" Target="https://product.hstatic.net/200000428801/product/upload_9fc52eaaa7c2454f9f4426283b499368.jpg" TargetMode="External"/><Relationship Id="rId1185" Type="http://schemas.openxmlformats.org/officeDocument/2006/relationships/hyperlink" Target="https://product.hstatic.net/200000428801/product/upload_51b2e9071e9b4dd99c07230fd202b495.jpg" TargetMode="External"/><Relationship Id="rId1392" Type="http://schemas.openxmlformats.org/officeDocument/2006/relationships/hyperlink" Target="https://product.hstatic.net/200000428801/product/upload_aa30103a7f104502ac89d7c0204076fb.jpg" TargetMode="External"/><Relationship Id="rId2029" Type="http://schemas.openxmlformats.org/officeDocument/2006/relationships/hyperlink" Target="https://product.hstatic.net/200000428801/product/5b153db9a0ef4ac1946e473c5f013ea8_09930c49d24442359d710acb1ca0c493.png" TargetMode="External"/><Relationship Id="rId2236" Type="http://schemas.openxmlformats.org/officeDocument/2006/relationships/hyperlink" Target="https://product.hstatic.net/200000428801/product/499_9aa11669a0b14ab4a2b965e7cefcff40.png" TargetMode="External"/><Relationship Id="rId2443" Type="http://schemas.openxmlformats.org/officeDocument/2006/relationships/hyperlink" Target="https://product.hstatic.net/200000428801/product/upload_1e5e895ea8c844e5b11a8999ce15fa4e.jpg" TargetMode="External"/><Relationship Id="rId2650" Type="http://schemas.openxmlformats.org/officeDocument/2006/relationships/hyperlink" Target="https://product.hstatic.net/200000428801/product/upload_0015701a3c9d47618971512ab53979b7.jpg" TargetMode="External"/><Relationship Id="rId3701" Type="http://schemas.openxmlformats.org/officeDocument/2006/relationships/hyperlink" Target="https://cdn2-retail-images.kiotviet.vn/2025/10/22/giabaopharma/4c6d95f189e04203a26464470af4dbee.jpg" TargetMode="External"/><Relationship Id="rId208" Type="http://schemas.openxmlformats.org/officeDocument/2006/relationships/hyperlink" Target="https://cdn-images.kiotviet.vn/giabaopharma/3da2514ac0b3459082db7d9a5932dc3b.png" TargetMode="External"/><Relationship Id="rId415" Type="http://schemas.openxmlformats.org/officeDocument/2006/relationships/hyperlink" Target="https://product.hstatic.net/200000428801/product/upload_a0ee23198a2a488f8809ee9ee390b8d5.jpg" TargetMode="External"/><Relationship Id="rId622" Type="http://schemas.openxmlformats.org/officeDocument/2006/relationships/hyperlink" Target="https://product.hstatic.net/200000428801/product/upload_02501324324e440db19bfbe2a364ab72.jpg" TargetMode="External"/><Relationship Id="rId1045" Type="http://schemas.openxmlformats.org/officeDocument/2006/relationships/hyperlink" Target="https://product.hstatic.net/200000428801/product/upload_ff797ec56d634fc5a95cbc95c3b3316d.jpg" TargetMode="External"/><Relationship Id="rId1252" Type="http://schemas.openxmlformats.org/officeDocument/2006/relationships/hyperlink" Target="https://product.hstatic.net/200000428801/product/upload_92469a77d277470d942e79816452e247.jpg" TargetMode="External"/><Relationship Id="rId2303" Type="http://schemas.openxmlformats.org/officeDocument/2006/relationships/hyperlink" Target="https://product.hstatic.net/200000428801/product/7b2fd9eccf3c4c72a204f9cb458e2930_660a2647ed78458a8a4bd68bc63041c9.png" TargetMode="External"/><Relationship Id="rId2510" Type="http://schemas.openxmlformats.org/officeDocument/2006/relationships/hyperlink" Target="https://product.hstatic.net/200000428801/product/upload_4844d1764ab54cedaa45326a11da7f6f.jpg" TargetMode="External"/><Relationship Id="rId1112" Type="http://schemas.openxmlformats.org/officeDocument/2006/relationships/hyperlink" Target="https://product.hstatic.net/200000428801/product/upload_f48d6570b76c47b5822dea0e59bb8368.jpg" TargetMode="External"/><Relationship Id="rId3077" Type="http://schemas.openxmlformats.org/officeDocument/2006/relationships/hyperlink" Target="https://product.hstatic.net/200000428801/product/upload_a947e9847f0747e88fed8f324102e020.jpg" TargetMode="External"/><Relationship Id="rId3284" Type="http://schemas.openxmlformats.org/officeDocument/2006/relationships/hyperlink" Target="https://product.hstatic.net/200000428801/product/f3444a1c60fd4f52b3312cd154d8df6a_8be438efa01049b4a18da3001645795a.png" TargetMode="External"/><Relationship Id="rId1929" Type="http://schemas.openxmlformats.org/officeDocument/2006/relationships/hyperlink" Target="https://product.hstatic.net/200000428801/product/upload_76b05d31032142c3a407a50eaff872c5.jpg" TargetMode="External"/><Relationship Id="rId2093" Type="http://schemas.openxmlformats.org/officeDocument/2006/relationships/hyperlink" Target="https://product.hstatic.net/200000428801/product/upload_f36809259e7140f88407a1dd739e357d.jpg" TargetMode="External"/><Relationship Id="rId3491" Type="http://schemas.openxmlformats.org/officeDocument/2006/relationships/hyperlink" Target="https://cdn2-retail-images.kiotviet.vn/2025/10/30/giabaopharma/26f0210527684a93bf230d517efd3b28.png" TargetMode="External"/><Relationship Id="rId3144" Type="http://schemas.openxmlformats.org/officeDocument/2006/relationships/hyperlink" Target="https://product.hstatic.net/200000428801/product/7381fe2c2fb94b669ed897e9eab9a6c5_566509d7c5824b3eb82bebb47ae38e4e.jpg" TargetMode="External"/><Relationship Id="rId3351" Type="http://schemas.openxmlformats.org/officeDocument/2006/relationships/hyperlink" Target="https://product.hstatic.net/200000428801/product/cf750c32018a4ad6b6f844229be833e8_12510896c7624d4c9c4c9e77c272335e.png" TargetMode="External"/><Relationship Id="rId272" Type="http://schemas.openxmlformats.org/officeDocument/2006/relationships/hyperlink" Target="https://cdn-images.kiotviet.vn/giabaopharma/c20fa84244794e798d7a65245a67aac3.png" TargetMode="External"/><Relationship Id="rId2160" Type="http://schemas.openxmlformats.org/officeDocument/2006/relationships/hyperlink" Target="https://product.hstatic.net/200000428801/product/upload_05dd854800514d1c91e08a2376f30323.jpg" TargetMode="External"/><Relationship Id="rId3004" Type="http://schemas.openxmlformats.org/officeDocument/2006/relationships/hyperlink" Target="https://product.hstatic.net/200000428801/product/upload_85da8430da9c463681a6bc1ff4cbc19c.jpg" TargetMode="External"/><Relationship Id="rId3211" Type="http://schemas.openxmlformats.org/officeDocument/2006/relationships/hyperlink" Target="https://product.hstatic.net/200000428801/product/0e7900ac28c046f0b5b418c54449f1eb_621eeced6250412e98dba2a1a67d7311.png" TargetMode="External"/><Relationship Id="rId132" Type="http://schemas.openxmlformats.org/officeDocument/2006/relationships/hyperlink" Target="https://cdn2-retail-images.kiotviet.vn/2025/03/12/giabaopharma/55f7dec9d51e4f23b7fb95b479ecfcd2.jpg,https:/cdn2-retail-images.kiotviet.vn/2025/03/12/giabaopharma/f3f99e98d6be404a95ec7f121cedab91.jpg,https:/cdn2-retail-images.kiotviet.vn/2025/03/12/giabaopharma/561385128cbb404c83a039a2f316bf67.jpg" TargetMode="External"/><Relationship Id="rId2020" Type="http://schemas.openxmlformats.org/officeDocument/2006/relationships/hyperlink" Target="https://product.hstatic.net/200000428801/product/upload_c80799b5b9bc4379a70434611be143c1.jpg" TargetMode="External"/><Relationship Id="rId1579" Type="http://schemas.openxmlformats.org/officeDocument/2006/relationships/hyperlink" Target="https://product.hstatic.net/200000428801/product/upload_ff20badf015a4369aded8d6f0344d01e.jpg" TargetMode="External"/><Relationship Id="rId2977" Type="http://schemas.openxmlformats.org/officeDocument/2006/relationships/hyperlink" Target="https://product.hstatic.net/200000428801/product/upload_6f783693b8b746929d6e27760731d275.jpg" TargetMode="External"/><Relationship Id="rId949" Type="http://schemas.openxmlformats.org/officeDocument/2006/relationships/hyperlink" Target="https://product.hstatic.net/200000428801/product/upload_9b451a028e0a4f87ac61fa4ee56c4ff9.jpg" TargetMode="External"/><Relationship Id="rId1786" Type="http://schemas.openxmlformats.org/officeDocument/2006/relationships/hyperlink" Target="https://product.hstatic.net/200000428801/product/upload_78b7b6f8f80d41b08a4b9a2c530e961b.jpg" TargetMode="External"/><Relationship Id="rId1993" Type="http://schemas.openxmlformats.org/officeDocument/2006/relationships/hyperlink" Target="https://product.hstatic.net/200000428801/product/upload_b3d00ccffbee4fe6a24f3f83548cc563.jpg" TargetMode="External"/><Relationship Id="rId2837" Type="http://schemas.openxmlformats.org/officeDocument/2006/relationships/hyperlink" Target="https://product.hstatic.net/200000428801/product/upload_a91b03494747443791130cdf0b0caec0.jpg" TargetMode="External"/><Relationship Id="rId4052" Type="http://schemas.openxmlformats.org/officeDocument/2006/relationships/hyperlink" Target="https://cdn2-retail-images.kiotviet.vn/2025/10/30/giabaopharma/27fdd4708bee4077a4f3322152d00589.png" TargetMode="External"/><Relationship Id="rId78" Type="http://schemas.openxmlformats.org/officeDocument/2006/relationships/hyperlink" Target="https://i.postimg.cc/3wYRvs6p/111f492ee4c6483b89502979d4176520.jpg" TargetMode="External"/><Relationship Id="rId809" Type="http://schemas.openxmlformats.org/officeDocument/2006/relationships/hyperlink" Target="https://cdn1-retail-images.kiotviet.vn/2026/03/11/giabaopharma/c259960f8a5f48d6b27ec8dfd1e3c88e.jpg" TargetMode="External"/><Relationship Id="rId1439" Type="http://schemas.openxmlformats.org/officeDocument/2006/relationships/hyperlink" Target="https://product.hstatic.net/200000428801/product/upload_12447bb08a6f409098803a87a711cadc.jpg" TargetMode="External"/><Relationship Id="rId1646" Type="http://schemas.openxmlformats.org/officeDocument/2006/relationships/hyperlink" Target="https://product.hstatic.net/200000428801/product/upload_003823fe43014aae897b772b7a5e2a01.jpg" TargetMode="External"/><Relationship Id="rId1853" Type="http://schemas.openxmlformats.org/officeDocument/2006/relationships/hyperlink" Target="https://product.hstatic.net/200000428801/product/upload_81c19f7623ad4d3f8aa075592c09d310.jpg" TargetMode="External"/><Relationship Id="rId2904" Type="http://schemas.openxmlformats.org/officeDocument/2006/relationships/hyperlink" Target="https://product.hstatic.net/200000428801/product/upload_303d8b76ad194642a12f0fbe18b0d73b.jpg" TargetMode="External"/><Relationship Id="rId1506" Type="http://schemas.openxmlformats.org/officeDocument/2006/relationships/hyperlink" Target="https://product.hstatic.net/200000428801/product/upload_1cc9811a6fa549a98948d52a9f267c68.jpg" TargetMode="External"/><Relationship Id="rId1713" Type="http://schemas.openxmlformats.org/officeDocument/2006/relationships/hyperlink" Target="https://product.hstatic.net/200000428801/product/10_a41542aa260f41bdacc3fbdaaefac0f4.png" TargetMode="External"/><Relationship Id="rId1920" Type="http://schemas.openxmlformats.org/officeDocument/2006/relationships/hyperlink" Target="https://product.hstatic.net/200000428801/product/upload_60c3f8eb5c2046f6bfeaf40effc2993b.jpg" TargetMode="External"/><Relationship Id="rId3678" Type="http://schemas.openxmlformats.org/officeDocument/2006/relationships/hyperlink" Target="https://product.hstatic.net/200000428801/product/0b30544af4c3349d6dd2_17f3eb5ae71449148131ff79460c7aee.jpg" TargetMode="External"/><Relationship Id="rId3885" Type="http://schemas.openxmlformats.org/officeDocument/2006/relationships/hyperlink" Target="https://product.hstatic.net/200000428801/product/8c773e0a2ae7e8b9b1f6_10e9ac448f28416e9eea94d38a391c6e.jpg" TargetMode="External"/><Relationship Id="rId599" Type="http://schemas.openxmlformats.org/officeDocument/2006/relationships/hyperlink" Target="https://product.hstatic.net/200000428801/product/upload_267fc770c8254f2d996ab5fa0f1e32cc.jpg" TargetMode="External"/><Relationship Id="rId2487" Type="http://schemas.openxmlformats.org/officeDocument/2006/relationships/hyperlink" Target="https://product.hstatic.net/200000428801/product/upload_1c58bf667e194ba38d923fecf35f766c.jpg" TargetMode="External"/><Relationship Id="rId2694" Type="http://schemas.openxmlformats.org/officeDocument/2006/relationships/hyperlink" Target="https://product.hstatic.net/200000428801/product/upload_3cb3068288f04c799d1bc5868552402c.jpg" TargetMode="External"/><Relationship Id="rId3538" Type="http://schemas.openxmlformats.org/officeDocument/2006/relationships/hyperlink" Target="https://product.hstatic.net/200000428801/product/zalo_screenshot_20_11_2021_717245_91add52b325d4bedb3f5b756c7d72da0.png" TargetMode="External"/><Relationship Id="rId3745" Type="http://schemas.openxmlformats.org/officeDocument/2006/relationships/hyperlink" Target="https://product.hstatic.net/200000428801/product/zalo_screenshot_18_11_2021_829204_ead30189fd844a31be719bd7db7773e5.png" TargetMode="External"/><Relationship Id="rId459" Type="http://schemas.openxmlformats.org/officeDocument/2006/relationships/hyperlink" Target="https://product.hstatic.net/200000428801/product/457704963e5542ea97757e1f2b658774_a2372dec6ec7412aaf81267f8832716f.jpg" TargetMode="External"/><Relationship Id="rId666" Type="http://schemas.openxmlformats.org/officeDocument/2006/relationships/hyperlink" Target="https://product.hstatic.net/200000428801/product/upload_3bb2421a5b1f46d98679d734aba9adf4.jpg" TargetMode="External"/><Relationship Id="rId873" Type="http://schemas.openxmlformats.org/officeDocument/2006/relationships/hyperlink" Target="https://product.hstatic.net/200000428801/product/upload_7fb3b99966714e4da17070e36cc5c8ad.jpg" TargetMode="External"/><Relationship Id="rId1089" Type="http://schemas.openxmlformats.org/officeDocument/2006/relationships/hyperlink" Target="https://product.hstatic.net/200000428801/product/upload_985f9d8946b34eedb283450e5b07e06f.jpg" TargetMode="External"/><Relationship Id="rId1296" Type="http://schemas.openxmlformats.org/officeDocument/2006/relationships/hyperlink" Target="https://product.hstatic.net/200000428801/product/upload_1f86c86241854650b9a8d87ace7ab763.jpg" TargetMode="External"/><Relationship Id="rId2347" Type="http://schemas.openxmlformats.org/officeDocument/2006/relationships/hyperlink" Target="https://product.hstatic.net/200000428801/product/upload_c94b1545b6b4402cabc64d3600c1e980.jpg" TargetMode="External"/><Relationship Id="rId2554" Type="http://schemas.openxmlformats.org/officeDocument/2006/relationships/hyperlink" Target="https://product.hstatic.net/200000428801/product/upload_1125e506bd4f4780bfe4f36cd47b4029.jpg" TargetMode="External"/><Relationship Id="rId3952" Type="http://schemas.openxmlformats.org/officeDocument/2006/relationships/hyperlink" Target="https://cdn2-retail-images.kiotviet.vn/2026/03/07/giabaopharma/a67f3dd312084f0c900d6357def89db9.jpg" TargetMode="External"/><Relationship Id="rId319" Type="http://schemas.openxmlformats.org/officeDocument/2006/relationships/hyperlink" Target="https://product.hstatic.net/200000428801/product/upload_3e68aacd88914bd19137d1710141725d.jpg" TargetMode="External"/><Relationship Id="rId526" Type="http://schemas.openxmlformats.org/officeDocument/2006/relationships/hyperlink" Target="https://product.hstatic.net/200000428801/product/upload_d883e7a8215e4a5b8f7a640b133ec3ae.jpg" TargetMode="External"/><Relationship Id="rId1156" Type="http://schemas.openxmlformats.org/officeDocument/2006/relationships/hyperlink" Target="https://product.hstatic.net/200000428801/product/upload_6eefb5c436af4010bbb63de867b54421.jpg" TargetMode="External"/><Relationship Id="rId1363" Type="http://schemas.openxmlformats.org/officeDocument/2006/relationships/hyperlink" Target="https://product.hstatic.net/200000428801/product/upload_5f6a594b542d49ba9585e7e32b935086.jpg" TargetMode="External"/><Relationship Id="rId2207" Type="http://schemas.openxmlformats.org/officeDocument/2006/relationships/hyperlink" Target="https://product.hstatic.net/200000428801/product/upload_a4e46caa7df245459e658c6a6b8edf28.jpg" TargetMode="External"/><Relationship Id="rId2761" Type="http://schemas.openxmlformats.org/officeDocument/2006/relationships/hyperlink" Target="https://product.hstatic.net/200000428801/product/upload_fcb58f8c5f544b619464a97ace1977c1.jpg" TargetMode="External"/><Relationship Id="rId3605" Type="http://schemas.openxmlformats.org/officeDocument/2006/relationships/hyperlink" Target="https://product.hstatic.net/200000428801/product/zalo_screenshot_20_11_2021_718241_b1d85ad840ea4473a78c3b58f5bd6a04.png" TargetMode="External"/><Relationship Id="rId3812" Type="http://schemas.openxmlformats.org/officeDocument/2006/relationships/hyperlink" Target="https://product.hstatic.net/200000428801/product/zalo_screenshot_20_11_2021_718289_075d1123d6bb4b838784984514350921.png" TargetMode="External"/><Relationship Id="rId733" Type="http://schemas.openxmlformats.org/officeDocument/2006/relationships/hyperlink" Target="https://product.hstatic.net/200000428801/product/upload_fd149fd2332b4c9cbcafc94e6c3959aa.jpg" TargetMode="External"/><Relationship Id="rId940" Type="http://schemas.openxmlformats.org/officeDocument/2006/relationships/hyperlink" Target="https://product.hstatic.net/200000428801/product/upload_61b43e93c0f94d2e8d56367aeb1b08bd.jpg" TargetMode="External"/><Relationship Id="rId1016" Type="http://schemas.openxmlformats.org/officeDocument/2006/relationships/hyperlink" Target="https://product.hstatic.net/200000428801/product/upload_7d68621cfdbb41968374623e1bdced40.jpg" TargetMode="External"/><Relationship Id="rId1570" Type="http://schemas.openxmlformats.org/officeDocument/2006/relationships/hyperlink" Target="https://product.hstatic.net/200000428801/product/upload_9080a890504e4a2e9b4594b335a76f2d.jpg" TargetMode="External"/><Relationship Id="rId2414" Type="http://schemas.openxmlformats.org/officeDocument/2006/relationships/hyperlink" Target="https://product.hstatic.net/200000428801/product/upload_69f895c2cdbd459998275a1b27198356.jpg" TargetMode="External"/><Relationship Id="rId2621" Type="http://schemas.openxmlformats.org/officeDocument/2006/relationships/hyperlink" Target="https://product.hstatic.net/200000428801/product/upload_55f2b6ae8eb14a64a06cca8c296c1a4d.jpg" TargetMode="External"/><Relationship Id="rId800" Type="http://schemas.openxmlformats.org/officeDocument/2006/relationships/hyperlink" Target="https://product.hstatic.net/200000428801/product/0bde9c4fe4b24af290f110caa93138ac_6de0420769024258be25cb9d11a28d23.jpg" TargetMode="External"/><Relationship Id="rId1223" Type="http://schemas.openxmlformats.org/officeDocument/2006/relationships/hyperlink" Target="https://product.hstatic.net/200000428801/product/upload_fba44778fb9c48a8af8b3d915575d967.jpg" TargetMode="External"/><Relationship Id="rId1430" Type="http://schemas.openxmlformats.org/officeDocument/2006/relationships/hyperlink" Target="https://product.hstatic.net/200000428801/product/ce0ec58e27454e02924b2117b73e2b0d_65b0258db6424e81a4afb0bebb6494f5.png" TargetMode="External"/><Relationship Id="rId3188" Type="http://schemas.openxmlformats.org/officeDocument/2006/relationships/hyperlink" Target="https://product.hstatic.net/200000428801/product/00f138bf4a5c4a4b930321e957d713ff_74006fddcc124727929adc597990e174.png" TargetMode="External"/><Relationship Id="rId3395" Type="http://schemas.openxmlformats.org/officeDocument/2006/relationships/hyperlink" Target="https://product.hstatic.net/200000428801/product/4008f801035d4c9ab2de0902a298cb99_1ded12e308e846019ec6579c48656caa.png" TargetMode="External"/><Relationship Id="rId3048" Type="http://schemas.openxmlformats.org/officeDocument/2006/relationships/hyperlink" Target="https://product.hstatic.net/200000428801/product/upload_68af136662ab43289df3227313b7b7f9.jpg" TargetMode="External"/><Relationship Id="rId3255" Type="http://schemas.openxmlformats.org/officeDocument/2006/relationships/hyperlink" Target="https://product.hstatic.net/200000428801/product/d861dffa0bdc4048a74b180481e66a9d_875fff8f7cbf4178a01fa9d7697c8314.png" TargetMode="External"/><Relationship Id="rId3462" Type="http://schemas.openxmlformats.org/officeDocument/2006/relationships/hyperlink" Target="https://product.hstatic.net/200000428801/product/b44a8d51cfbf4ff99acdbc1feb41403f_470590c1501249a0856bf606591ac33b.png" TargetMode="External"/><Relationship Id="rId176" Type="http://schemas.openxmlformats.org/officeDocument/2006/relationships/hyperlink" Target="https://cdn-images.kiotviet.vn/2025/05/06/giabaopharma/6ea45501b86244029447a7c17eb24baa.jpg" TargetMode="External"/><Relationship Id="rId383" Type="http://schemas.openxmlformats.org/officeDocument/2006/relationships/hyperlink" Target="https://product.hstatic.net/200000428801/product/tezkin_17339351faed4b16aa197d1ef9ea1937.jpg" TargetMode="External"/><Relationship Id="rId590" Type="http://schemas.openxmlformats.org/officeDocument/2006/relationships/hyperlink" Target="https://product.hstatic.net/200000428801/product/upload_d0317f5670d849338e30f591148f8909.jpg" TargetMode="External"/><Relationship Id="rId2064" Type="http://schemas.openxmlformats.org/officeDocument/2006/relationships/hyperlink" Target="https://product.hstatic.net/200000428801/product/upload_d74ac98609054fd099174d553b7bbfa5.jpg" TargetMode="External"/><Relationship Id="rId2271" Type="http://schemas.openxmlformats.org/officeDocument/2006/relationships/hyperlink" Target="https://product.hstatic.net/200000428801/product/465_a65c768616904010afd2245cef0e78ea.png" TargetMode="External"/><Relationship Id="rId3115" Type="http://schemas.openxmlformats.org/officeDocument/2006/relationships/hyperlink" Target="https://product.hstatic.net/200000428801/product/f91df340429d42c5817be5ba9fed2dec_fce7d588b96e4f218b7532a1983976dc.png" TargetMode="External"/><Relationship Id="rId3322" Type="http://schemas.openxmlformats.org/officeDocument/2006/relationships/hyperlink" Target="https://product.hstatic.net/200000428801/product/15e6e33bd9a8434f841940960d9b2b60_1fe4723a956042039125594da0b080f4.png" TargetMode="External"/><Relationship Id="rId243" Type="http://schemas.openxmlformats.org/officeDocument/2006/relationships/hyperlink" Target="https://cdn2-retail-images.kiotviet.vn/giabaopharma/d8f9d6e917bb4b07b523d29f00d952be.jpg,https:/cdn-images.kiotviet.vn/giabaopharma/32df601ff31e4a36a90251aab1c7f0a8.jpg,https:/cdn-images.kiotviet.vn/giabaopharma/bc530f6e29f94759b08993e6e7e4cf1d.jpg,https:/cdn-images.kiotviet.vn/giabaopharma/e435b281f23f43d7b79c788f78319170.jpg,https:/cdn-images.kiotviet.vn/giabaopharma/e08be76def9a4ee2812c0d38a70679e0.jpg" TargetMode="External"/><Relationship Id="rId450" Type="http://schemas.openxmlformats.org/officeDocument/2006/relationships/hyperlink" Target="https://product.hstatic.net/200000428801/product/20_972e3abf702349a395217070fdbba513.png" TargetMode="External"/><Relationship Id="rId1080" Type="http://schemas.openxmlformats.org/officeDocument/2006/relationships/hyperlink" Target="https://cdn2-retail-images.kiotviet.vn/2025/12/03/giabaopharma/b43426e5f853491e85b63de73ff8e14c.jpg" TargetMode="External"/><Relationship Id="rId2131" Type="http://schemas.openxmlformats.org/officeDocument/2006/relationships/hyperlink" Target="https://product.hstatic.net/200000428801/product/upload_0733a4f16d064b9994fa7ea508094b63.jpg" TargetMode="External"/><Relationship Id="rId103" Type="http://schemas.openxmlformats.org/officeDocument/2006/relationships/hyperlink" Target="https://cdn2-retail-images.kiotviet.vn/2025/04/05/giabaopharma/faddcb90a01246a1ac782fee38da10a2.jpg" TargetMode="External"/><Relationship Id="rId310" Type="http://schemas.openxmlformats.org/officeDocument/2006/relationships/hyperlink" Target="https://product.hstatic.net/200000428801/product/upload_a905cdf75f90472184d4329976e71937.jpg" TargetMode="External"/><Relationship Id="rId1897" Type="http://schemas.openxmlformats.org/officeDocument/2006/relationships/hyperlink" Target="https://product.hstatic.net/200000428801/product/upload_a14529fa59314cd2bfe63348e346b9ec.jpg" TargetMode="External"/><Relationship Id="rId2948" Type="http://schemas.openxmlformats.org/officeDocument/2006/relationships/hyperlink" Target="https://product.hstatic.net/200000428801/product/upload_51e316aef2b34a5a813b3325ce68687c.jpg" TargetMode="External"/><Relationship Id="rId1757" Type="http://schemas.openxmlformats.org/officeDocument/2006/relationships/hyperlink" Target="https://product.hstatic.net/200000428801/product/upload_c4803c4c07e94da4bc3a1330345233bf.jpg" TargetMode="External"/><Relationship Id="rId1964" Type="http://schemas.openxmlformats.org/officeDocument/2006/relationships/hyperlink" Target="https://product.hstatic.net/200000428801/product/upload_f6c146c3098d40c0950cdb072162e1bb.jpg" TargetMode="External"/><Relationship Id="rId2808" Type="http://schemas.openxmlformats.org/officeDocument/2006/relationships/hyperlink" Target="https://product.hstatic.net/200000428801/product/upload_c65d0c6ab1ed44bf834cea6192b7b959.jpg" TargetMode="External"/><Relationship Id="rId49" Type="http://schemas.openxmlformats.org/officeDocument/2006/relationships/hyperlink" Target="https://i.postimg.cc/JnMZHrbC/X-t-n-c-mu-i-bi-n-s-u-Seesalt-Baby-Kingphar-l-m-s-ch-m-i-1-chai-70ml-2.png" TargetMode="External"/><Relationship Id="rId1617" Type="http://schemas.openxmlformats.org/officeDocument/2006/relationships/hyperlink" Target="https://product.hstatic.net/200000428801/product/upload_91d7536f5e3a45a0b6d3b95f04a94761.jpg" TargetMode="External"/><Relationship Id="rId1824" Type="http://schemas.openxmlformats.org/officeDocument/2006/relationships/hyperlink" Target="https://product.hstatic.net/200000428801/product/upload_2eebb02332f943fa901984330d025a8f.jpg" TargetMode="External"/><Relationship Id="rId4023" Type="http://schemas.openxmlformats.org/officeDocument/2006/relationships/hyperlink" Target="https://product.hstatic.net/200000428801/product/zalo_screenshot_20_11_2021_628833_a713e19145c149b4a189909be0aa19f1.png" TargetMode="External"/><Relationship Id="rId3789" Type="http://schemas.openxmlformats.org/officeDocument/2006/relationships/hyperlink" Target="https://product.hstatic.net/200000428801/product/zalo_screenshot_18_11_2021_825664_9374cd6635ed4f80a23deda2fd0b869a.png" TargetMode="External"/><Relationship Id="rId2598" Type="http://schemas.openxmlformats.org/officeDocument/2006/relationships/hyperlink" Target="https://product.hstatic.net/200000428801/product/upload_6b40ef7b30224414a8faaabd22827054.jpg" TargetMode="External"/><Relationship Id="rId3996" Type="http://schemas.openxmlformats.org/officeDocument/2006/relationships/hyperlink" Target="https://product.hstatic.net/200000428801/product/8bf43d96c96e07305e7f5_2c2d127cb962404abb9e2c87697942d8.png" TargetMode="External"/><Relationship Id="rId3649" Type="http://schemas.openxmlformats.org/officeDocument/2006/relationships/hyperlink" Target="https://product.hstatic.net/200000428801/product/8c6d9a756e83a0ddf992_2e9b0636635e4522920cd0640245cc1f.png" TargetMode="External"/><Relationship Id="rId3856" Type="http://schemas.openxmlformats.org/officeDocument/2006/relationships/hyperlink" Target="https://product.hstatic.net/200000428801/product/ff_e1571e921763453484e30aa15875dd37.jpg" TargetMode="External"/><Relationship Id="rId777" Type="http://schemas.openxmlformats.org/officeDocument/2006/relationships/hyperlink" Target="https://product.hstatic.net/200000428801/product/upload_6590aba1437346588da1726ff87c567b.jpg" TargetMode="External"/><Relationship Id="rId984" Type="http://schemas.openxmlformats.org/officeDocument/2006/relationships/hyperlink" Target="https://product.hstatic.net/200000428801/product/upload_f649419da06048eb9f9083fa37d15ea7.jpg" TargetMode="External"/><Relationship Id="rId2458" Type="http://schemas.openxmlformats.org/officeDocument/2006/relationships/hyperlink" Target="https://product.hstatic.net/200000428801/product/upload_e003bdc29af24d03b47798f2183ffeaa.jpg" TargetMode="External"/><Relationship Id="rId2665" Type="http://schemas.openxmlformats.org/officeDocument/2006/relationships/hyperlink" Target="https://product.hstatic.net/200000428801/product/upload_88be3ccbfb9c4ad3866ed39fb18415b2.jpg" TargetMode="External"/><Relationship Id="rId2872" Type="http://schemas.openxmlformats.org/officeDocument/2006/relationships/hyperlink" Target="https://product.hstatic.net/200000428801/product/upload_25c8634f17be4c0f93619eaf17c403f3.jpg" TargetMode="External"/><Relationship Id="rId3509" Type="http://schemas.openxmlformats.org/officeDocument/2006/relationships/hyperlink" Target="https://product.hstatic.net/200000428801/product/8_1d71cb968cb1477188c4f790b1c52d32.png" TargetMode="External"/><Relationship Id="rId3716" Type="http://schemas.openxmlformats.org/officeDocument/2006/relationships/hyperlink" Target="https://product.hstatic.net/200000428801/product/27_0229c9e85bf54fda964bdd1cb402fdea.png" TargetMode="External"/><Relationship Id="rId3923" Type="http://schemas.openxmlformats.org/officeDocument/2006/relationships/hyperlink" Target="https://product.hstatic.net/200000428801/product/19_043b6b8eb898416bbf0dda2ad09dde77.png" TargetMode="External"/><Relationship Id="rId637" Type="http://schemas.openxmlformats.org/officeDocument/2006/relationships/hyperlink" Target="https://product.hstatic.net/200000428801/product/115_c2156b4aa1114ad5899a86fcbe8c2c88.png" TargetMode="External"/><Relationship Id="rId844" Type="http://schemas.openxmlformats.org/officeDocument/2006/relationships/hyperlink" Target="https://product.hstatic.net/200000428801/product/upload_704b0d9dd41847b09457a2238736ebd5.jpg" TargetMode="External"/><Relationship Id="rId1267" Type="http://schemas.openxmlformats.org/officeDocument/2006/relationships/hyperlink" Target="https://product.hstatic.net/200000428801/product/upload_e3a8d0b2bf4f48b2980349b3007337cd.jpg" TargetMode="External"/><Relationship Id="rId1474" Type="http://schemas.openxmlformats.org/officeDocument/2006/relationships/hyperlink" Target="https://product.hstatic.net/200000428801/product/upload_d6f46ec195524aac9a9dc72494cc4a78.jpg" TargetMode="External"/><Relationship Id="rId1681" Type="http://schemas.openxmlformats.org/officeDocument/2006/relationships/hyperlink" Target="https://product.hstatic.net/200000428801/product/upload_31f4d1d2699f43deaf92f453201acfce.jpg" TargetMode="External"/><Relationship Id="rId2318" Type="http://schemas.openxmlformats.org/officeDocument/2006/relationships/hyperlink" Target="https://product.hstatic.net/200000428801/product/upload_64a7fc7e0a0d4e5aaeba096f923186d2.jpg" TargetMode="External"/><Relationship Id="rId2525" Type="http://schemas.openxmlformats.org/officeDocument/2006/relationships/hyperlink" Target="https://product.hstatic.net/200000428801/product/upload_5d67f55ca5bb43da84abfa001de77998.jpg" TargetMode="External"/><Relationship Id="rId2732" Type="http://schemas.openxmlformats.org/officeDocument/2006/relationships/hyperlink" Target="https://cdn2-retail-images.kiotviet.vn/2024/11/02/giabaopharma/855419a04ef94cf28a002b968b9544e4.png" TargetMode="External"/><Relationship Id="rId704" Type="http://schemas.openxmlformats.org/officeDocument/2006/relationships/hyperlink" Target="https://product.hstatic.net/200000428801/product/upload_dce99115f91d43a1b7032b214bf247f8.jpg" TargetMode="External"/><Relationship Id="rId911" Type="http://schemas.openxmlformats.org/officeDocument/2006/relationships/hyperlink" Target="https://product.hstatic.net/200000428801/product/upload_0807a03a79224199b889d4798b90e29a.jpg" TargetMode="External"/><Relationship Id="rId1127" Type="http://schemas.openxmlformats.org/officeDocument/2006/relationships/hyperlink" Target="https://product.hstatic.net/200000428801/product/upload_50649e58814e44c19d6f948eeb3448f6.jpg" TargetMode="External"/><Relationship Id="rId1334" Type="http://schemas.openxmlformats.org/officeDocument/2006/relationships/hyperlink" Target="https://product.hstatic.net/200000428801/product/upload_02447acd9d4b48bfad6e0eb70d5fbd8a.jpg" TargetMode="External"/><Relationship Id="rId1541" Type="http://schemas.openxmlformats.org/officeDocument/2006/relationships/hyperlink" Target="https://product.hstatic.net/200000428801/product/upload_b691299dc78949fb9e72b6e15b187c05.jpg" TargetMode="External"/><Relationship Id="rId40" Type="http://schemas.openxmlformats.org/officeDocument/2006/relationships/hyperlink" Target="https://i.postimg.cc/5yNLSHRf/5a22299d19a644b0afccd0301af4c3b9.jpg" TargetMode="External"/><Relationship Id="rId1401" Type="http://schemas.openxmlformats.org/officeDocument/2006/relationships/hyperlink" Target="https://product.hstatic.net/200000428801/product/upload_bbb632cf283c4791b4c5caa64aea47e8.jpg" TargetMode="External"/><Relationship Id="rId3299" Type="http://schemas.openxmlformats.org/officeDocument/2006/relationships/hyperlink" Target="https://product.hstatic.net/200000428801/product/e4a53f9ed38048ab957b579002e245e4_00edf83f83e34517bf60aff58230c706.png" TargetMode="External"/><Relationship Id="rId3159" Type="http://schemas.openxmlformats.org/officeDocument/2006/relationships/hyperlink" Target="https://product.hstatic.net/200000428801/product/bbec1f3a292b410b868192e8e02b60fd_540b96aba51a465ab13c8c5fb66be85d.jpg" TargetMode="External"/><Relationship Id="rId3366" Type="http://schemas.openxmlformats.org/officeDocument/2006/relationships/hyperlink" Target="https://product.hstatic.net/200000428801/product/688760108f184622a636d129dc2a720e_7ab404b798b645fa949cc59cf4669ffb.png" TargetMode="External"/><Relationship Id="rId3573" Type="http://schemas.openxmlformats.org/officeDocument/2006/relationships/hyperlink" Target="https://product.hstatic.net/200000428801/product/8a9a4c738173432d1a62_ece253443ebf45dca1d5bbbf55ebe1fa.jpg" TargetMode="External"/><Relationship Id="rId287" Type="http://schemas.openxmlformats.org/officeDocument/2006/relationships/hyperlink" Target="https://cdn2-retail-images.kiotviet.vn/giabaopharma/28b3a63e256a4b9db33fe6f49a80548c.png" TargetMode="External"/><Relationship Id="rId494" Type="http://schemas.openxmlformats.org/officeDocument/2006/relationships/hyperlink" Target="https://product.hstatic.net/200000428801/product/upload_6c3e6341a2e645b7bf9f04a3de54ce08.jpg" TargetMode="External"/><Relationship Id="rId2175" Type="http://schemas.openxmlformats.org/officeDocument/2006/relationships/hyperlink" Target="https://product.hstatic.net/200000428801/product/upload_9fdc4782c18f4b7dae1b7075d8695ed9.jpg" TargetMode="External"/><Relationship Id="rId2382" Type="http://schemas.openxmlformats.org/officeDocument/2006/relationships/hyperlink" Target="https://product.hstatic.net/200000428801/product/upload_3e4a88ae61be46508c814757a3b15f3a.jpg" TargetMode="External"/><Relationship Id="rId3019" Type="http://schemas.openxmlformats.org/officeDocument/2006/relationships/hyperlink" Target="https://product.hstatic.net/200000428801/product/upload_cc9adba328f3472bae947b2b81ecbb75.jpg" TargetMode="External"/><Relationship Id="rId3226" Type="http://schemas.openxmlformats.org/officeDocument/2006/relationships/hyperlink" Target="https://product.hstatic.net/200000428801/product/01ebdcd18ca54e06a0949322f4780021_2a0c51b6b38a47ce9306603b7082ba54.png" TargetMode="External"/><Relationship Id="rId3780" Type="http://schemas.openxmlformats.org/officeDocument/2006/relationships/hyperlink" Target="https://cdn2-retail-images.kiotviet.vn/2025/10/23/giabaopharma/f45f8581faca42049f025bfe22f7d0a7.png" TargetMode="External"/><Relationship Id="rId147" Type="http://schemas.openxmlformats.org/officeDocument/2006/relationships/hyperlink" Target="https://cdn2-retail-images.kiotviet.vn/2025/02/22/giabaopharma/804d7d949ea8401b8caa55504531fd6e.jpg" TargetMode="External"/><Relationship Id="rId354" Type="http://schemas.openxmlformats.org/officeDocument/2006/relationships/hyperlink" Target="https://product.hstatic.net/200000428801/product/upload_a6e7abc29bc44ab9a03530cd0464db5c.jpg" TargetMode="External"/><Relationship Id="rId1191" Type="http://schemas.openxmlformats.org/officeDocument/2006/relationships/hyperlink" Target="https://product.hstatic.net/200000428801/product/upload_cb35258b2d2d4dfc97a193ec2fc0f03e.jpg" TargetMode="External"/><Relationship Id="rId2035" Type="http://schemas.openxmlformats.org/officeDocument/2006/relationships/hyperlink" Target="https://product.hstatic.net/200000428801/product/upload_28e8e2b3a72148548bdde766d5342ce8.jpg" TargetMode="External"/><Relationship Id="rId3433" Type="http://schemas.openxmlformats.org/officeDocument/2006/relationships/hyperlink" Target="https://product.hstatic.net/200000428801/product/1e5cc681496a45e19d7ca3d83911cf2b_3f15657d610740cdbf49c11b803231ac.png" TargetMode="External"/><Relationship Id="rId3640" Type="http://schemas.openxmlformats.org/officeDocument/2006/relationships/hyperlink" Target="https://product.hstatic.net/200000428801/product/thiet_ke_khong_ten__63__2db7833b52da4546831f650067c57e48.png" TargetMode="External"/><Relationship Id="rId561" Type="http://schemas.openxmlformats.org/officeDocument/2006/relationships/hyperlink" Target="https://cdn1-retail-images.kiotviet.vn/2026/01/21/giabaopharma/ca31f5086be748ca97f94542f91c1d00.jpg" TargetMode="External"/><Relationship Id="rId2242" Type="http://schemas.openxmlformats.org/officeDocument/2006/relationships/hyperlink" Target="https://product.hstatic.net/200000428801/product/upload_36de6636e8724fc6a78801aa566084a5.jpg" TargetMode="External"/><Relationship Id="rId3500" Type="http://schemas.openxmlformats.org/officeDocument/2006/relationships/hyperlink" Target="https://cdn2-retail-images.kiotviet.vn/2025/12/03/giabaopharma/b1379758ae194f5092c7e7132acfc013.jpg" TargetMode="External"/><Relationship Id="rId214" Type="http://schemas.openxmlformats.org/officeDocument/2006/relationships/hyperlink" Target="https://cdn2-retail-images.kiotviet.vn/giabaopharma/f6d1b2be96624cc9a99ae4569c55637f.jpg" TargetMode="External"/><Relationship Id="rId421" Type="http://schemas.openxmlformats.org/officeDocument/2006/relationships/hyperlink" Target="https://product.hstatic.net/200000428801/product/upload_2db2a79b1fbb426d8c3fe8b2142191ef.jpg" TargetMode="External"/><Relationship Id="rId1051" Type="http://schemas.openxmlformats.org/officeDocument/2006/relationships/hyperlink" Target="https://product.hstatic.net/200000428801/product/upload_68022d3785974204856075f06404a427.jpg" TargetMode="External"/><Relationship Id="rId2102" Type="http://schemas.openxmlformats.org/officeDocument/2006/relationships/hyperlink" Target="https://product.hstatic.net/200000428801/product/upload_234853d21971421fa4ef67deaaea4a26.jpg" TargetMode="External"/><Relationship Id="rId1868" Type="http://schemas.openxmlformats.org/officeDocument/2006/relationships/hyperlink" Target="https://product.hstatic.net/200000428801/product/upload_a891111eef1d4a01b6a70bf50dcd24e6.jpg" TargetMode="External"/><Relationship Id="rId2919" Type="http://schemas.openxmlformats.org/officeDocument/2006/relationships/hyperlink" Target="https://product.hstatic.net/200000428801/product/354_43662faed5f64d329bb7690aebb21b12.png" TargetMode="External"/><Relationship Id="rId3083" Type="http://schemas.openxmlformats.org/officeDocument/2006/relationships/hyperlink" Target="https://product.hstatic.net/200000428801/product/1b1a2f76863d44fdab4a23e5b4ff3a77_eda25fc31d274f09904bd61abf9071f0.png" TargetMode="External"/><Relationship Id="rId3290" Type="http://schemas.openxmlformats.org/officeDocument/2006/relationships/hyperlink" Target="https://product.hstatic.net/200000428801/product/bfb6fe678cca4f2db4bde3cac916d52c_1e426025e1ac482196d204a5d441896b.png" TargetMode="External"/><Relationship Id="rId1728" Type="http://schemas.openxmlformats.org/officeDocument/2006/relationships/hyperlink" Target="https://product.hstatic.net/200000428801/product/upload_2baa036e2614442183e564196191a0f4.jpg" TargetMode="External"/><Relationship Id="rId1935" Type="http://schemas.openxmlformats.org/officeDocument/2006/relationships/hyperlink" Target="https://product.hstatic.net/200000428801/product/upload_02929ea029fe49068bf0dda4c875cd9c.jpg" TargetMode="External"/><Relationship Id="rId3150" Type="http://schemas.openxmlformats.org/officeDocument/2006/relationships/hyperlink" Target="https://product.hstatic.net/200000428801/product/2f33f6918b684f6baf376dd098fe3916_c7633a2cb00d43e7a14fc64c26d11754.jpg" TargetMode="External"/><Relationship Id="rId3010" Type="http://schemas.openxmlformats.org/officeDocument/2006/relationships/hyperlink" Target="https://product.hstatic.net/200000428801/product/upload_be7505fbec674f17b69996e5237e3711.jpg" TargetMode="External"/><Relationship Id="rId3967" Type="http://schemas.openxmlformats.org/officeDocument/2006/relationships/hyperlink" Target="https://product.hstatic.net/200000428801/product/7f6705fcf8db32856bca_7c1246f2319c43cbab8444415ed19671.jpg" TargetMode="External"/><Relationship Id="rId4" Type="http://schemas.openxmlformats.org/officeDocument/2006/relationships/hyperlink" Target="https://cdn2-retail-images.kiotviet.vn/2026/03/30/giabaopharma/3634d7fbf8c34f7ea19b5c42f985c783.jpg" TargetMode="External"/><Relationship Id="rId888" Type="http://schemas.openxmlformats.org/officeDocument/2006/relationships/hyperlink" Target="https://product.hstatic.net/200000428801/product/upload_7b6b432f0a2b45faab881143e0872115.jpg" TargetMode="External"/><Relationship Id="rId2569" Type="http://schemas.openxmlformats.org/officeDocument/2006/relationships/hyperlink" Target="https://product.hstatic.net/200000428801/product/upload_4843d5b31e7d4b15b4f41daddff1245e.jpg" TargetMode="External"/><Relationship Id="rId2776" Type="http://schemas.openxmlformats.org/officeDocument/2006/relationships/hyperlink" Target="https://product.hstatic.net/200000428801/product/upload_24b25e5ffe924fc2bc2805c4372a5459.jpg" TargetMode="External"/><Relationship Id="rId2983" Type="http://schemas.openxmlformats.org/officeDocument/2006/relationships/hyperlink" Target="https://cdn2-retail-images.kiotviet.vn/2026/03/26/giabaopharma/d58ace080e7b45ffb41f85e76c0920db.jpg" TargetMode="External"/><Relationship Id="rId3827" Type="http://schemas.openxmlformats.org/officeDocument/2006/relationships/hyperlink" Target="https://product.hstatic.net/200000428801/product/f29dcaa0166ed6308f7f_43e072a2398947f19ed6d0820913218b.jpg" TargetMode="External"/><Relationship Id="rId748" Type="http://schemas.openxmlformats.org/officeDocument/2006/relationships/hyperlink" Target="https://product.hstatic.net/200000428801/product/upload_4a57e1f122674e72b3ea25c2b633b586.jpg" TargetMode="External"/><Relationship Id="rId955" Type="http://schemas.openxmlformats.org/officeDocument/2006/relationships/hyperlink" Target="https://product.hstatic.net/200000428801/product/upload_f56f0b4c7fce499b8328c212f4bf107e.jpg" TargetMode="External"/><Relationship Id="rId1378" Type="http://schemas.openxmlformats.org/officeDocument/2006/relationships/hyperlink" Target="https://product.hstatic.net/200000428801/product/upload_9f9c5fe74e124683b8a84b9440c56f4e.jpg" TargetMode="External"/><Relationship Id="rId1585" Type="http://schemas.openxmlformats.org/officeDocument/2006/relationships/hyperlink" Target="https://product.hstatic.net/200000428801/product/30_adfec3f202f449faba1643aa7fad4443.png" TargetMode="External"/><Relationship Id="rId1792" Type="http://schemas.openxmlformats.org/officeDocument/2006/relationships/hyperlink" Target="https://product.hstatic.net/200000428801/product/upload_86cbdaeb21cb4f899c6c9d098e477524.jpg" TargetMode="External"/><Relationship Id="rId2429" Type="http://schemas.openxmlformats.org/officeDocument/2006/relationships/hyperlink" Target="https://product.hstatic.net/200000428801/product/upload_5de1928a723c43b1a6cbccf7accae7cd.jpg" TargetMode="External"/><Relationship Id="rId2636" Type="http://schemas.openxmlformats.org/officeDocument/2006/relationships/hyperlink" Target="https://product.hstatic.net/200000428801/product/upload_19d5dbf8a53743188f1df4fdac24db24.jpg" TargetMode="External"/><Relationship Id="rId2843" Type="http://schemas.openxmlformats.org/officeDocument/2006/relationships/hyperlink" Target="https://product.hstatic.net/200000428801/product/upload_2fe9273cc72b40669113e948ceb0f164.jpg" TargetMode="External"/><Relationship Id="rId84" Type="http://schemas.openxmlformats.org/officeDocument/2006/relationships/hyperlink" Target="https://cdn2-retail-images.kiotviet.vn/2025/06/14/giabaopharma/661216c3c9544621acf4d001b25ad168.jpg" TargetMode="External"/><Relationship Id="rId608" Type="http://schemas.openxmlformats.org/officeDocument/2006/relationships/hyperlink" Target="https://product.hstatic.net/200000428801/product/upload_802ac030aae849e7bf6c1f57cae80925.jpg" TargetMode="External"/><Relationship Id="rId815" Type="http://schemas.openxmlformats.org/officeDocument/2006/relationships/hyperlink" Target="https://product.hstatic.net/200000428801/product/upload_fb1c00ec1e384062a0ed730b1720d48f.jpg" TargetMode="External"/><Relationship Id="rId1238" Type="http://schemas.openxmlformats.org/officeDocument/2006/relationships/hyperlink" Target="https://product.hstatic.net/200000428801/product/upload_754c999a4511408e886a01696733393f.jpg" TargetMode="External"/><Relationship Id="rId1445" Type="http://schemas.openxmlformats.org/officeDocument/2006/relationships/hyperlink" Target="https://product.hstatic.net/200000428801/product/upload_876a054557a6400385331c8476461c5f.jpg" TargetMode="External"/><Relationship Id="rId1652" Type="http://schemas.openxmlformats.org/officeDocument/2006/relationships/hyperlink" Target="https://product.hstatic.net/200000428801/product/upload_37da9b0cb5ac4171ad8363e65ff5a3d9.jpg" TargetMode="External"/><Relationship Id="rId1305" Type="http://schemas.openxmlformats.org/officeDocument/2006/relationships/hyperlink" Target="https://product.hstatic.net/200000428801/product/upload_6d8f2b45e6ff49df877423b0015712cf.jpg" TargetMode="External"/><Relationship Id="rId2703" Type="http://schemas.openxmlformats.org/officeDocument/2006/relationships/hyperlink" Target="https://product.hstatic.net/200000428801/product/upload_1e2323be570a4f6ea7740bffabd560f6.jpg" TargetMode="External"/><Relationship Id="rId2910" Type="http://schemas.openxmlformats.org/officeDocument/2006/relationships/hyperlink" Target="https://product.hstatic.net/200000428801/product/upload_00ab2247ad0f4bc78e884e6856e6dd98.jpg" TargetMode="External"/><Relationship Id="rId1512" Type="http://schemas.openxmlformats.org/officeDocument/2006/relationships/hyperlink" Target="https://product.hstatic.net/200000428801/product/upload_89535b0bf3bf41209a15ddaaea922264.jpg" TargetMode="External"/><Relationship Id="rId11" Type="http://schemas.openxmlformats.org/officeDocument/2006/relationships/hyperlink" Target="https://cdn2-retail-images.kiotviet.vn/2026/03/05/giabaopharma/c4f34e08f7924ed4b01081bd35dca45a.jpg" TargetMode="External"/><Relationship Id="rId398" Type="http://schemas.openxmlformats.org/officeDocument/2006/relationships/hyperlink" Target="https://product.hstatic.net/200000428801/product/3fbc52390c144ce58f5b377260be34a4_4ab8b51cd1e745fbb165093d920b7da1.png" TargetMode="External"/><Relationship Id="rId2079" Type="http://schemas.openxmlformats.org/officeDocument/2006/relationships/hyperlink" Target="https://product.hstatic.net/200000428801/product/7afa2570f6de2b8072cf_2b6f47d5e0f64f5a913cbf095f8ba740.jpg" TargetMode="External"/><Relationship Id="rId3477" Type="http://schemas.openxmlformats.org/officeDocument/2006/relationships/hyperlink" Target="https://product.hstatic.net/200000428801/product/85f82f4020af4f36bad601e814680896_8196426c7cea49098d80a1d8fe5b6cd8.png" TargetMode="External"/><Relationship Id="rId3684" Type="http://schemas.openxmlformats.org/officeDocument/2006/relationships/hyperlink" Target="https://product.hstatic.net/200000428801/product/31_c24ef8cc41204b78a7fd539af05c5027.png" TargetMode="External"/><Relationship Id="rId3891" Type="http://schemas.openxmlformats.org/officeDocument/2006/relationships/hyperlink" Target="https://product.hstatic.net/200000428801/product/142af6eed600125e4b11_640a8151ddc046699ded93599916ad9b.jpg" TargetMode="External"/><Relationship Id="rId2286" Type="http://schemas.openxmlformats.org/officeDocument/2006/relationships/hyperlink" Target="https://product.hstatic.net/200000428801/product/7d14b88b34bd455287ed4a1127eeaf47_6daa42a03e9348a6b603052c580beec3.png" TargetMode="External"/><Relationship Id="rId2493" Type="http://schemas.openxmlformats.org/officeDocument/2006/relationships/hyperlink" Target="https://product.hstatic.net/200000428801/product/upload_1d9af1d470b544ee861773c141577904.jpg" TargetMode="External"/><Relationship Id="rId3337" Type="http://schemas.openxmlformats.org/officeDocument/2006/relationships/hyperlink" Target="https://product.hstatic.net/200000428801/product/ed0a4051beeb4a628511a581ef08e7d1_411b705b873c44c3a55a9d7ff4bff3fc.png" TargetMode="External"/><Relationship Id="rId3544" Type="http://schemas.openxmlformats.org/officeDocument/2006/relationships/hyperlink" Target="https://product.hstatic.net/200000428801/product/30bf64019bac54f20dbd_50e528e1c94344319e84246ba88dc6a8.png" TargetMode="External"/><Relationship Id="rId3751" Type="http://schemas.openxmlformats.org/officeDocument/2006/relationships/hyperlink" Target="https://product.hstatic.net/200000428801/product/4390e879c08d03d35a9c_6a22f0a4aba04d86a2132a4d06b45d7e.jpg" TargetMode="External"/><Relationship Id="rId258" Type="http://schemas.openxmlformats.org/officeDocument/2006/relationships/hyperlink" Target="https://cdn2-retail-images.kiotviet.vn/giabaopharma/f8cea960cda24609a87c916bb61a00a3.jpg" TargetMode="External"/><Relationship Id="rId465" Type="http://schemas.openxmlformats.org/officeDocument/2006/relationships/hyperlink" Target="https://cdn-images.kiotviet.vn/giabaopharma/7e78ae6108834d639bd0526fd85f2064.jpg" TargetMode="External"/><Relationship Id="rId672" Type="http://schemas.openxmlformats.org/officeDocument/2006/relationships/hyperlink" Target="https://product.hstatic.net/200000428801/product/upload_9ef9744fa99b4f1d91a4f91cc15c69f8.jpg" TargetMode="External"/><Relationship Id="rId1095" Type="http://schemas.openxmlformats.org/officeDocument/2006/relationships/hyperlink" Target="https://product.hstatic.net/200000428801/product/upload_700d630227f34423b2f126bd3ed0b9f7.jpg" TargetMode="External"/><Relationship Id="rId2146" Type="http://schemas.openxmlformats.org/officeDocument/2006/relationships/hyperlink" Target="https://product.hstatic.net/200000428801/product/f84aea9c8bfd4692b54e8c4e20dc30d2_eb90938c2eac4be6ad0965d7b45f0bc1.png" TargetMode="External"/><Relationship Id="rId2353" Type="http://schemas.openxmlformats.org/officeDocument/2006/relationships/hyperlink" Target="https://product.hstatic.net/200000428801/product/upload_e44c52d630a8425982d682ae79094d3f.jpg" TargetMode="External"/><Relationship Id="rId2560" Type="http://schemas.openxmlformats.org/officeDocument/2006/relationships/hyperlink" Target="https://product.hstatic.net/200000428801/product/upload_4e626d00c4df45b58661805332a08835.jpg" TargetMode="External"/><Relationship Id="rId3404" Type="http://schemas.openxmlformats.org/officeDocument/2006/relationships/hyperlink" Target="https://product.hstatic.net/200000428801/product/016f8157ee2e456593b3fe5995229ada_533ab91d56a446b08b382fc2ebac329f.png" TargetMode="External"/><Relationship Id="rId3611" Type="http://schemas.openxmlformats.org/officeDocument/2006/relationships/hyperlink" Target="https://cdn2-retail-images.kiotviet.vn/2025/12/31/giabaopharma/8d5282a8a0d64b899295c033abf56bc5.jpg" TargetMode="External"/><Relationship Id="rId118" Type="http://schemas.openxmlformats.org/officeDocument/2006/relationships/hyperlink" Target="https://cdn2-retail-images.kiotviet.vn/2025/03/22/giabaopharma/9b27f6ad91254ae9a3ff7bc77de6fd5d.jpg" TargetMode="External"/><Relationship Id="rId325" Type="http://schemas.openxmlformats.org/officeDocument/2006/relationships/hyperlink" Target="https://product.hstatic.net/200000428801/product/413_0067f5d86bf64035b0403ba110c7b372.png" TargetMode="External"/><Relationship Id="rId532" Type="http://schemas.openxmlformats.org/officeDocument/2006/relationships/hyperlink" Target="https://product.hstatic.net/200000428801/product/upload_475166069c2e4ddc86eed4689a2f428d.jpg" TargetMode="External"/><Relationship Id="rId1162" Type="http://schemas.openxmlformats.org/officeDocument/2006/relationships/hyperlink" Target="https://product.hstatic.net/200000428801/product/upload_2ae1777317e34734b915b77200557587.jpg" TargetMode="External"/><Relationship Id="rId2006" Type="http://schemas.openxmlformats.org/officeDocument/2006/relationships/hyperlink" Target="https://product.hstatic.net/200000428801/product/upload_5091b55aa6da490a8bda0a3655ee199b.jpg" TargetMode="External"/><Relationship Id="rId2213" Type="http://schemas.openxmlformats.org/officeDocument/2006/relationships/hyperlink" Target="https://product.hstatic.net/200000428801/product/upload_b9392751c8f244a4bab3d3852e72f1e5.jpg" TargetMode="External"/><Relationship Id="rId2420" Type="http://schemas.openxmlformats.org/officeDocument/2006/relationships/hyperlink" Target="https://product.hstatic.net/200000428801/product/upload_b8562a9ae2934a5192fb3e03b2fb23e4.jpg" TargetMode="External"/><Relationship Id="rId1022" Type="http://schemas.openxmlformats.org/officeDocument/2006/relationships/hyperlink" Target="https://product.hstatic.net/200000428801/product/upload_cd03c29a1b6740d78605b2a5885d83a8.jpg" TargetMode="External"/><Relationship Id="rId1979" Type="http://schemas.openxmlformats.org/officeDocument/2006/relationships/hyperlink" Target="https://product.hstatic.net/200000428801/product/upload_7720933e168b4daea72c974544cc9b05.jpg" TargetMode="External"/><Relationship Id="rId3194" Type="http://schemas.openxmlformats.org/officeDocument/2006/relationships/hyperlink" Target="https://product.hstatic.net/200000428801/product/7f62fa8d9a4448bfb9be5a942fe8a284_d85da2e47cab4b2c937f211a19096513.png" TargetMode="External"/><Relationship Id="rId4038" Type="http://schemas.openxmlformats.org/officeDocument/2006/relationships/hyperlink" Target="https://product.hstatic.net/200000428801/product/zalo_screenshot_17_11_2021_953653_ce3de0b521484f88a441f02097799bc8.png" TargetMode="External"/><Relationship Id="rId1839" Type="http://schemas.openxmlformats.org/officeDocument/2006/relationships/hyperlink" Target="https://product.hstatic.net/200000428801/product/upload_3f741ba5e4bf4029a5a038a3f7d1b7b4.jpg" TargetMode="External"/><Relationship Id="rId3054" Type="http://schemas.openxmlformats.org/officeDocument/2006/relationships/hyperlink" Target="https://product.hstatic.net/200000428801/product/upload_4cb647336e5a4919a214a41f86782f4a.jpg" TargetMode="External"/><Relationship Id="rId182" Type="http://schemas.openxmlformats.org/officeDocument/2006/relationships/hyperlink" Target="https://cdn-images.kiotviet.vn/2024/12/09/giabaopharma/aa4d25c9ac934935b34d33e5977ec63f.jpg" TargetMode="External"/><Relationship Id="rId1906" Type="http://schemas.openxmlformats.org/officeDocument/2006/relationships/hyperlink" Target="https://product.hstatic.net/200000428801/product/548_55d9cef49b764f088784ac384dbbc5e5.png" TargetMode="External"/><Relationship Id="rId3261" Type="http://schemas.openxmlformats.org/officeDocument/2006/relationships/hyperlink" Target="https://product.hstatic.net/200000428801/product/b5a21a65ddb04a24bdabfa2d704aa72e_da75b1f8bb0a428b8be113f3ce10cb63.png" TargetMode="External"/><Relationship Id="rId2070" Type="http://schemas.openxmlformats.org/officeDocument/2006/relationships/hyperlink" Target="https://product.hstatic.net/200000428801/product/538_78b328817ec64d019f2e5682a20cb825.png" TargetMode="External"/><Relationship Id="rId3121" Type="http://schemas.openxmlformats.org/officeDocument/2006/relationships/hyperlink" Target="https://product.hstatic.net/200000428801/product/46d9d9117b77451797e163c0dc5ead9f_3213d87421b240eab08d716cd53ab422.png" TargetMode="External"/><Relationship Id="rId999" Type="http://schemas.openxmlformats.org/officeDocument/2006/relationships/hyperlink" Target="https://product.hstatic.net/200000428801/product/upload_c0730a68c3114e728c87d7f6968008d1.jpg" TargetMode="External"/><Relationship Id="rId2887" Type="http://schemas.openxmlformats.org/officeDocument/2006/relationships/hyperlink" Target="https://product.hstatic.net/200000428801/product/upload_f4ef2ffb84e64e19bdfe3500cf03f798.jpg" TargetMode="External"/><Relationship Id="rId859" Type="http://schemas.openxmlformats.org/officeDocument/2006/relationships/hyperlink" Target="https://product.hstatic.net/200000428801/product/598a9798c78a19d4409b_af413f6a02bb45dc92e2390eb3605838.jpg" TargetMode="External"/><Relationship Id="rId1489" Type="http://schemas.openxmlformats.org/officeDocument/2006/relationships/hyperlink" Target="https://product.hstatic.net/200000428801/product/upload_729b17ded2654c6a81e2270b8e3e3ea7.jpg" TargetMode="External"/><Relationship Id="rId1696" Type="http://schemas.openxmlformats.org/officeDocument/2006/relationships/hyperlink" Target="https://product.hstatic.net/200000428801/product/27_4102e5fd123442dfb5b6855417bd0906.png" TargetMode="External"/><Relationship Id="rId3938" Type="http://schemas.openxmlformats.org/officeDocument/2006/relationships/hyperlink" Target="https://product.hstatic.net/200000428801/product/zalo_screenshot_18_11_2021_716458_0fd01ec13d6e42259cf651543b45ea19.png" TargetMode="External"/><Relationship Id="rId1349" Type="http://schemas.openxmlformats.org/officeDocument/2006/relationships/hyperlink" Target="https://product.hstatic.net/200000428801/product/upload_c51e10f51eb24f699b3fe83142451b7e.jpg" TargetMode="External"/><Relationship Id="rId2747" Type="http://schemas.openxmlformats.org/officeDocument/2006/relationships/hyperlink" Target="https://product.hstatic.net/200000428801/product/upload_4380b6adc34749768b1dc32bfa58afe1.jpg" TargetMode="External"/><Relationship Id="rId2954" Type="http://schemas.openxmlformats.org/officeDocument/2006/relationships/hyperlink" Target="https://product.hstatic.net/200000428801/product/upload_7cd89dae148b490c868a05e4d2f566a2.jpg" TargetMode="External"/><Relationship Id="rId719" Type="http://schemas.openxmlformats.org/officeDocument/2006/relationships/hyperlink" Target="https://cdn2-retail-images.kiotviet.vn/2026/02/07/giabaopharma/2008f324072f4df3b80ee78624bbfa8b.jpg" TargetMode="External"/><Relationship Id="rId926" Type="http://schemas.openxmlformats.org/officeDocument/2006/relationships/hyperlink" Target="https://product.hstatic.net/200000428801/product/upload_3a88ddf7be3444dba5e1aff394565465.jpg" TargetMode="External"/><Relationship Id="rId1556" Type="http://schemas.openxmlformats.org/officeDocument/2006/relationships/hyperlink" Target="https://product.hstatic.net/200000428801/product/upload_6532f0b01450498584bd0a53ba6e5829.jpg" TargetMode="External"/><Relationship Id="rId1763" Type="http://schemas.openxmlformats.org/officeDocument/2006/relationships/hyperlink" Target="https://product.hstatic.net/200000428801/product/upload_6275bc04988248f5bd35a40f1c4b63fe.jpg" TargetMode="External"/><Relationship Id="rId1970" Type="http://schemas.openxmlformats.org/officeDocument/2006/relationships/hyperlink" Target="https://product.hstatic.net/200000428801/product/ba99c716b00840ba9a9093c189d642a7_684edaf0e9e74cc7b72b60e01cb9e1c1.png" TargetMode="External"/><Relationship Id="rId2607" Type="http://schemas.openxmlformats.org/officeDocument/2006/relationships/hyperlink" Target="https://product.hstatic.net/200000428801/product/upload_f06aa85c3f3c463784c1c9676f8c9b9d.jpg" TargetMode="External"/><Relationship Id="rId2814" Type="http://schemas.openxmlformats.org/officeDocument/2006/relationships/hyperlink" Target="https://product.hstatic.net/200000428801/product/upload_132dcfe459f44b6bb8ed14b126fa043c.jpg" TargetMode="External"/><Relationship Id="rId55" Type="http://schemas.openxmlformats.org/officeDocument/2006/relationships/hyperlink" Target="https://i.postimg.cc/RZ1cSJtx/z6960036079932-a403a431c9ff6df41548854d123e5d74.jpg" TargetMode="External"/><Relationship Id="rId1209" Type="http://schemas.openxmlformats.org/officeDocument/2006/relationships/hyperlink" Target="https://product.hstatic.net/200000428801/product/upload_7f6d62953e1a4b02a9247c29c2f1fbfb.jpg" TargetMode="External"/><Relationship Id="rId1416" Type="http://schemas.openxmlformats.org/officeDocument/2006/relationships/hyperlink" Target="https://product.hstatic.net/200000428801/product/51_7e18005b3e264baea2b94c66d25dc919.png" TargetMode="External"/><Relationship Id="rId1623" Type="http://schemas.openxmlformats.org/officeDocument/2006/relationships/hyperlink" Target="https://product.hstatic.net/200000428801/product/upload_ef1311ca26b147c295eed696ff40713a.jpg" TargetMode="External"/><Relationship Id="rId1830" Type="http://schemas.openxmlformats.org/officeDocument/2006/relationships/hyperlink" Target="https://product.hstatic.net/200000428801/product/upload_e2d0ddeef41e4054986eb2225f3373e3.jpg" TargetMode="External"/><Relationship Id="rId3588" Type="http://schemas.openxmlformats.org/officeDocument/2006/relationships/hyperlink" Target="https://cdn1-retail-images.kiotviet.vn/2026/03/10/giabaopharma/b4ea7d7985fe4232834a68179cdb719d.jpg" TargetMode="External"/><Relationship Id="rId3795" Type="http://schemas.openxmlformats.org/officeDocument/2006/relationships/hyperlink" Target="https://product.hstatic.net/200000428801/product/f8683ac68e804ede1791_74d6e820cb09462f81aa616535dfd934.jpg" TargetMode="External"/><Relationship Id="rId2397" Type="http://schemas.openxmlformats.org/officeDocument/2006/relationships/hyperlink" Target="https://product.hstatic.net/200000428801/product/upload_ae67ae7d294343ec8af1ff580636811e.jpg" TargetMode="External"/><Relationship Id="rId3448" Type="http://schemas.openxmlformats.org/officeDocument/2006/relationships/hyperlink" Target="https://product.hstatic.net/200000428801/product/846f9c0327be41f9b79f8968940b4dd1_dd45c1fa577448a9ad5ceaa6fa3edab7.png" TargetMode="External"/><Relationship Id="rId3655" Type="http://schemas.openxmlformats.org/officeDocument/2006/relationships/hyperlink" Target="https://cdn2-retail-images.kiotviet.vn/2025/10/23/giabaopharma/4b4f890b63114d38a8f57f31e180574e.png" TargetMode="External"/><Relationship Id="rId3862" Type="http://schemas.openxmlformats.org/officeDocument/2006/relationships/hyperlink" Target="https://product.hstatic.net/200000428801/product/f8513993f54737196e56_dcb5d329220141c9b9fed3d5b2e07866.jpg" TargetMode="External"/><Relationship Id="rId369" Type="http://schemas.openxmlformats.org/officeDocument/2006/relationships/hyperlink" Target="https://product.hstatic.net/200000428801/product/upload_ce33ce9f8830498092eec97488d8cd1d.jpg" TargetMode="External"/><Relationship Id="rId576" Type="http://schemas.openxmlformats.org/officeDocument/2006/relationships/hyperlink" Target="https://product.hstatic.net/200000428801/product/upload_c926c8f71f3c4b55a3bbfa09af4e22f5.jpg" TargetMode="External"/><Relationship Id="rId783" Type="http://schemas.openxmlformats.org/officeDocument/2006/relationships/hyperlink" Target="https://product.hstatic.net/200000428801/product/upload_d137e331313d496cb1220a11cf97c839.jpg" TargetMode="External"/><Relationship Id="rId990" Type="http://schemas.openxmlformats.org/officeDocument/2006/relationships/hyperlink" Target="https://product.hstatic.net/200000428801/product/102_7e85c48866b24b28bff12c0bc103cd85.png" TargetMode="External"/><Relationship Id="rId2257" Type="http://schemas.openxmlformats.org/officeDocument/2006/relationships/hyperlink" Target="https://product.hstatic.net/200000428801/product/upload_2dc890f1dee742e5b6a5013b6ade0a89.jpg" TargetMode="External"/><Relationship Id="rId2464" Type="http://schemas.openxmlformats.org/officeDocument/2006/relationships/hyperlink" Target="https://product.hstatic.net/200000428801/product/upload_7bba1b1b7e394c1a9269ee762d7b0c35.jpg" TargetMode="External"/><Relationship Id="rId2671" Type="http://schemas.openxmlformats.org/officeDocument/2006/relationships/hyperlink" Target="https://product.hstatic.net/200000428801/product/upload_99b2d9b0e3b74e578ea235765f58c988.jpg" TargetMode="External"/><Relationship Id="rId3308" Type="http://schemas.openxmlformats.org/officeDocument/2006/relationships/hyperlink" Target="https://product.hstatic.net/200000428801/product/658e0609ab4d449885301db63e367e90_e1ec675f782247929d6f83c0e385bb96.png" TargetMode="External"/><Relationship Id="rId3515" Type="http://schemas.openxmlformats.org/officeDocument/2006/relationships/hyperlink" Target="https://product.hstatic.net/200000428801/product/26_a7b142b67c4745d6aed7227bcd26364b.png" TargetMode="External"/><Relationship Id="rId229" Type="http://schemas.openxmlformats.org/officeDocument/2006/relationships/hyperlink" Target="https://cdn2-retail-images.kiotviet.vn/giabaopharma/2c93c56fccc546208bff25d2c38e94fc.jpg,https:/cdn-images.kiotviet.vn/giabaopharma/2365869aac0949d2bb2cdd208d53e5f2.jpg" TargetMode="External"/><Relationship Id="rId436" Type="http://schemas.openxmlformats.org/officeDocument/2006/relationships/hyperlink" Target="https://product.hstatic.net/200000428801/product/61deac9918d0400687a7c3f86bef11e2_dc7ea2d6bece4fa0838a8f2547e25c5d.png" TargetMode="External"/><Relationship Id="rId643" Type="http://schemas.openxmlformats.org/officeDocument/2006/relationships/hyperlink" Target="https://product.hstatic.net/200000428801/product/upload_ae35ea53d5d148d1970b7a4a16e49903.jpg" TargetMode="External"/><Relationship Id="rId1066" Type="http://schemas.openxmlformats.org/officeDocument/2006/relationships/hyperlink" Target="https://product.hstatic.net/200000428801/product/upload_7325192441c4405a8beb490100a0523d.jpg" TargetMode="External"/><Relationship Id="rId1273" Type="http://schemas.openxmlformats.org/officeDocument/2006/relationships/hyperlink" Target="https://product.hstatic.net/200000428801/product/upload_aa9a7aad61ce4bd792e7c91b57828b99.jpg" TargetMode="External"/><Relationship Id="rId1480" Type="http://schemas.openxmlformats.org/officeDocument/2006/relationships/hyperlink" Target="https://product.hstatic.net/200000428801/product/62_463bbe4e08384c479274cb6ed5f11124.png" TargetMode="External"/><Relationship Id="rId2117" Type="http://schemas.openxmlformats.org/officeDocument/2006/relationships/hyperlink" Target="https://product.hstatic.net/200000428801/product/upload_3196e19eb3d1464c8ed487caf0702f92.jpg" TargetMode="External"/><Relationship Id="rId2324" Type="http://schemas.openxmlformats.org/officeDocument/2006/relationships/hyperlink" Target="https://product.hstatic.net/200000428801/product/upload_d0ca699ec84b42e9a47bff4afed8d23f.jpg" TargetMode="External"/><Relationship Id="rId3722" Type="http://schemas.openxmlformats.org/officeDocument/2006/relationships/hyperlink" Target="https://product.hstatic.net/200000428801/product/24000b05a8cc6a9233dd_fea37acac83d472a853e630530db89cb.jpg" TargetMode="External"/><Relationship Id="rId850" Type="http://schemas.openxmlformats.org/officeDocument/2006/relationships/hyperlink" Target="https://product.hstatic.net/200000428801/product/upload_56286ad445eb470d85547224a3168c5d.jpg" TargetMode="External"/><Relationship Id="rId1133" Type="http://schemas.openxmlformats.org/officeDocument/2006/relationships/hyperlink" Target="https://product.hstatic.net/200000428801/product/upload_6ef9527a272a4de4807f20ad72c2ef86.jpg" TargetMode="External"/><Relationship Id="rId2531" Type="http://schemas.openxmlformats.org/officeDocument/2006/relationships/hyperlink" Target="https://product.hstatic.net/200000428801/product/upload_f15e75a350bd473ea45268b3bbd54011.jpg" TargetMode="External"/><Relationship Id="rId503" Type="http://schemas.openxmlformats.org/officeDocument/2006/relationships/hyperlink" Target="https://product.hstatic.net/200000428801/product/upload_75287b96938a41899161083c4e2e41a0.jpg" TargetMode="External"/><Relationship Id="rId710" Type="http://schemas.openxmlformats.org/officeDocument/2006/relationships/hyperlink" Target="https://product.hstatic.net/200000428801/product/upload_2ea45721f7084da19f882f89a685b440.jpg" TargetMode="External"/><Relationship Id="rId1340" Type="http://schemas.openxmlformats.org/officeDocument/2006/relationships/hyperlink" Target="https://product.hstatic.net/200000428801/product/upload_0821d501225d4dc390e095321e879293.jpg" TargetMode="External"/><Relationship Id="rId3098" Type="http://schemas.openxmlformats.org/officeDocument/2006/relationships/hyperlink" Target="https://product.hstatic.net/200000428801/product/911ac9a726f948769543ab1981cedf15_83ef393bee7d46d88e98c815047c1e55.png" TargetMode="External"/><Relationship Id="rId1200" Type="http://schemas.openxmlformats.org/officeDocument/2006/relationships/hyperlink" Target="https://product.hstatic.net/200000428801/product/upload_a92c47993f7149ee8c6e3195d71462fb.jpg" TargetMode="External"/><Relationship Id="rId3165" Type="http://schemas.openxmlformats.org/officeDocument/2006/relationships/hyperlink" Target="https://product.hstatic.net/200000428801/product/09cc13628048455c8322daebb4534e0d_474e1da2dcd64de38201bfb06a5dd219.jpg" TargetMode="External"/><Relationship Id="rId3372" Type="http://schemas.openxmlformats.org/officeDocument/2006/relationships/hyperlink" Target="https://product.hstatic.net/200000428801/product/893afb9711b44d16a9c3c8a56fcd7fda_7d582879a2f646bda91440b728a3b550.png" TargetMode="External"/><Relationship Id="rId4009" Type="http://schemas.openxmlformats.org/officeDocument/2006/relationships/hyperlink" Target="https://product.hstatic.net/200000428801/product/zalo_screenshot_18_11_2021_621903_6aa461a9921941ca9bc60bb26a2ed747.png" TargetMode="External"/><Relationship Id="rId293" Type="http://schemas.openxmlformats.org/officeDocument/2006/relationships/hyperlink" Target="https://product.hstatic.net/200000428801/product/4e0201b01aee4a269419022f6e9d90df_f5b082fb5d214b5fb600102435740c78.png" TargetMode="External"/><Relationship Id="rId2181" Type="http://schemas.openxmlformats.org/officeDocument/2006/relationships/hyperlink" Target="https://product.hstatic.net/200000428801/product/upload_1ff39fb8c58b45848f992593888fe804.jpg" TargetMode="External"/><Relationship Id="rId3025" Type="http://schemas.openxmlformats.org/officeDocument/2006/relationships/hyperlink" Target="https://product.hstatic.net/200000428801/product/upload_417af1f2bac04c52b3482534c2234d58.jpg" TargetMode="External"/><Relationship Id="rId3232" Type="http://schemas.openxmlformats.org/officeDocument/2006/relationships/hyperlink" Target="https://product.hstatic.net/200000428801/product/16f50a4df61948d7843765bd2208f7ec_1bde21aaa956494d803c6a43b1125f98.png" TargetMode="External"/><Relationship Id="rId153" Type="http://schemas.openxmlformats.org/officeDocument/2006/relationships/hyperlink" Target="https://cdn2-retail-images.kiotviet.vn/2025/02/12/giabaopharma/9e29cc075e204a54b3554d324606b786.jpg" TargetMode="External"/><Relationship Id="rId360" Type="http://schemas.openxmlformats.org/officeDocument/2006/relationships/hyperlink" Target="https://product.hstatic.net/200000428801/product/upload_c1992e4448f347f0bcb6393c15f48f03.jpg" TargetMode="External"/><Relationship Id="rId2041" Type="http://schemas.openxmlformats.org/officeDocument/2006/relationships/hyperlink" Target="https://product.hstatic.net/200000428801/product/upload_56d194c41b7644b1b6e473be94231998.jpg" TargetMode="External"/><Relationship Id="rId220" Type="http://schemas.openxmlformats.org/officeDocument/2006/relationships/hyperlink" Target="https://cdn2-retail-images.kiotviet.vn/giabaopharma/e9c265d8e71349ec8b1ed4c14040dcbe.jpg" TargetMode="External"/><Relationship Id="rId2998" Type="http://schemas.openxmlformats.org/officeDocument/2006/relationships/hyperlink" Target="https://product.hstatic.net/200000428801/product/upload_5e7d678791de46f0b258353782f02d4e.jpg" TargetMode="External"/><Relationship Id="rId2858" Type="http://schemas.openxmlformats.org/officeDocument/2006/relationships/hyperlink" Target="https://product.hstatic.net/200000428801/product/upload_0ae96f361c654d44ab01662bc0aa3c11.jpg" TargetMode="External"/><Relationship Id="rId3909" Type="http://schemas.openxmlformats.org/officeDocument/2006/relationships/hyperlink" Target="https://cdn2-retail-images.kiotviet.vn/2025/12/23/giabaopharma/ce0ed8c4e3504c69941cc131bb97231c.png" TargetMode="External"/><Relationship Id="rId99" Type="http://schemas.openxmlformats.org/officeDocument/2006/relationships/hyperlink" Target="https://cdn2-retail-images.kiotviet.vn/2025/05/19/giabaopharma/8726e7c2609b4ce18aa27f0386a078d1.jpg,https:/cdn-images.kiotviet.vn/2025/05/19/giabaopharma/c163adbb796f4e689f4ea86a31561b95.jpg,https:/cdn-images.kiotviet.vn/2025/05/19/giabaopharma/8d490384d64640a8a55666597064f18f.jpg" TargetMode="External"/><Relationship Id="rId1667" Type="http://schemas.openxmlformats.org/officeDocument/2006/relationships/hyperlink" Target="https://product.hstatic.net/200000428801/product/4_b8d66fa0fc61481c9a41fbd79f021e2f.png" TargetMode="External"/><Relationship Id="rId1874" Type="http://schemas.openxmlformats.org/officeDocument/2006/relationships/hyperlink" Target="https://product.hstatic.net/200000428801/product/upload_cc311689a3e54e3da68fa3885fbc896d.jpg" TargetMode="External"/><Relationship Id="rId2718" Type="http://schemas.openxmlformats.org/officeDocument/2006/relationships/hyperlink" Target="https://product.hstatic.net/200000428801/product/upload_df9b6892e44e4edb91a054802ab148e4.jpg" TargetMode="External"/><Relationship Id="rId2925" Type="http://schemas.openxmlformats.org/officeDocument/2006/relationships/hyperlink" Target="https://product.hstatic.net/200000428801/product/upload_53370cc5e1904019a71b4a7ed7383bf4.jpg" TargetMode="External"/><Relationship Id="rId1527" Type="http://schemas.openxmlformats.org/officeDocument/2006/relationships/hyperlink" Target="https://product.hstatic.net/200000428801/product/upload_11123ace004e48e39fb1b8455cdde32a.jpg" TargetMode="External"/><Relationship Id="rId1734" Type="http://schemas.openxmlformats.org/officeDocument/2006/relationships/hyperlink" Target="https://cdn2-retail-images.kiotviet.vn/giabaopharma/c66d612205f24c44a8823b8e572601bc.jpg" TargetMode="External"/><Relationship Id="rId1941" Type="http://schemas.openxmlformats.org/officeDocument/2006/relationships/hyperlink" Target="https://product.hstatic.net/200000428801/product/upload_759784dee1fc41dc959b08961769e3f1.jpg" TargetMode="External"/><Relationship Id="rId26" Type="http://schemas.openxmlformats.org/officeDocument/2006/relationships/hyperlink" Target="https://cdn2-retail-images.kiotviet.vn/2025/12/22/giabaopharma/583032d2b1ac40768473b1f867150520.jpg" TargetMode="External"/><Relationship Id="rId3699" Type="http://schemas.openxmlformats.org/officeDocument/2006/relationships/hyperlink" Target="https://cdn2-retail-images.kiotviet.vn/2026/03/07/giabaopharma/71c11698f77f4fb5982dd0f7e5eeb36f.jpg" TargetMode="External"/><Relationship Id="rId4000" Type="http://schemas.openxmlformats.org/officeDocument/2006/relationships/hyperlink" Target="https://product.hstatic.net/200000428801/product/a4166237eba62ef877b7_5d827fee4bc149a080ed966fabb731bb.jpg" TargetMode="External"/><Relationship Id="rId1801" Type="http://schemas.openxmlformats.org/officeDocument/2006/relationships/hyperlink" Target="https://product.hstatic.net/200000428801/product/upload_71cb102abff84b4d8624219e9e1de6f2.jpg" TargetMode="External"/><Relationship Id="rId3559" Type="http://schemas.openxmlformats.org/officeDocument/2006/relationships/hyperlink" Target="https://product.hstatic.net/200000428801/product/thiet_ke_khong_ten__2__993f4bffa7484b4b995657d1f71151e1.png" TargetMode="External"/><Relationship Id="rId687" Type="http://schemas.openxmlformats.org/officeDocument/2006/relationships/hyperlink" Target="https://product.hstatic.net/200000428801/product/upload_a1cc51629250461d8cacd084d6e2f82e.jpg" TargetMode="External"/><Relationship Id="rId2368" Type="http://schemas.openxmlformats.org/officeDocument/2006/relationships/hyperlink" Target="https://product.hstatic.net/200000428801/product/upload_bbfe32f7fd7944efa95c4f2832885361.jpg" TargetMode="External"/><Relationship Id="rId3766" Type="http://schemas.openxmlformats.org/officeDocument/2006/relationships/hyperlink" Target="https://cdn1-retail-images.kiotviet.vn/2026/01/16/giabaopharma/cde2daf5588e4556a26b0cffd356ef13.jpg" TargetMode="External"/><Relationship Id="rId3973" Type="http://schemas.openxmlformats.org/officeDocument/2006/relationships/hyperlink" Target="https://product.hstatic.net/200000428801/product/28df765916ddd5838ccc54_408cde19a7e14acda6dd8c4f5fdac396.jpg" TargetMode="External"/><Relationship Id="rId894" Type="http://schemas.openxmlformats.org/officeDocument/2006/relationships/hyperlink" Target="https://product.hstatic.net/200000428801/product/upload_4332b9d452f04533ab4f1c7e08e3584b.jpg" TargetMode="External"/><Relationship Id="rId1177" Type="http://schemas.openxmlformats.org/officeDocument/2006/relationships/hyperlink" Target="https://product.hstatic.net/200000428801/product/upload_f95352a04ce04b789958bd6c69762c22.jpg" TargetMode="External"/><Relationship Id="rId2575" Type="http://schemas.openxmlformats.org/officeDocument/2006/relationships/hyperlink" Target="https://product.hstatic.net/200000428801/product/upload_db5de09df025408db36b7c9120bdb976.jpg" TargetMode="External"/><Relationship Id="rId2782" Type="http://schemas.openxmlformats.org/officeDocument/2006/relationships/hyperlink" Target="https://product.hstatic.net/200000428801/product/upload_5a915aed8ba74947b8e155feb173c809.jpg" TargetMode="External"/><Relationship Id="rId3419" Type="http://schemas.openxmlformats.org/officeDocument/2006/relationships/hyperlink" Target="https://product.hstatic.net/200000428801/product/600f4c2a872e4a34abe06c1ec971b6da_bd93598554be49b29bc4fe83a81b5e28.png" TargetMode="External"/><Relationship Id="rId3626" Type="http://schemas.openxmlformats.org/officeDocument/2006/relationships/hyperlink" Target="https://cdn2-retail-images.kiotviet.vn/2025/06/04/giabaopharma/df4aa161b81b436190281a714f93ea78.jpg" TargetMode="External"/><Relationship Id="rId3833" Type="http://schemas.openxmlformats.org/officeDocument/2006/relationships/hyperlink" Target="https://product.hstatic.net/200000428801/product/zalo_screenshot_18_11_2021_756289_d15bcec9216b452ebb52f1a2bbd90e2f.png" TargetMode="External"/><Relationship Id="rId547" Type="http://schemas.openxmlformats.org/officeDocument/2006/relationships/hyperlink" Target="https://product.hstatic.net/200000428801/product/upload_becc0232b2a94690a8993b8a46161a12.jpg" TargetMode="External"/><Relationship Id="rId754" Type="http://schemas.openxmlformats.org/officeDocument/2006/relationships/hyperlink" Target="https://product.hstatic.net/200000428801/product/upload_fdd9dea2f3df4776a79d69ec4a3f1666.jpg" TargetMode="External"/><Relationship Id="rId961" Type="http://schemas.openxmlformats.org/officeDocument/2006/relationships/hyperlink" Target="https://product.hstatic.net/200000428801/product/upload_0f16ca14b00f4d8e8f980d526f69d136.jpg" TargetMode="External"/><Relationship Id="rId1384" Type="http://schemas.openxmlformats.org/officeDocument/2006/relationships/hyperlink" Target="https://product.hstatic.net/200000428801/product/upload_f933c83c89984d7bbdecfe0fef1ec621.jpg" TargetMode="External"/><Relationship Id="rId1591" Type="http://schemas.openxmlformats.org/officeDocument/2006/relationships/hyperlink" Target="https://product.hstatic.net/200000428801/product/upload_57bf4493ddbb43caab78d320107a1403.jpg" TargetMode="External"/><Relationship Id="rId2228" Type="http://schemas.openxmlformats.org/officeDocument/2006/relationships/hyperlink" Target="https://product.hstatic.net/200000428801/product/496_8e9bcd1fd0a24a658e7ca72ea0404bc0.png" TargetMode="External"/><Relationship Id="rId2435" Type="http://schemas.openxmlformats.org/officeDocument/2006/relationships/hyperlink" Target="https://product.hstatic.net/200000428801/product/409_14bbc2a47e284c4b8fedfe0e1c84d19f.png" TargetMode="External"/><Relationship Id="rId2642" Type="http://schemas.openxmlformats.org/officeDocument/2006/relationships/hyperlink" Target="https://product.hstatic.net/200000428801/product/upload_60438562dcb94055b8288970f944b315.jpg" TargetMode="External"/><Relationship Id="rId3900" Type="http://schemas.openxmlformats.org/officeDocument/2006/relationships/hyperlink" Target="https://product.hstatic.net/200000428801/product/14_9d3d6ce7b6b7477cb290cd150cba2d70.png" TargetMode="External"/><Relationship Id="rId90" Type="http://schemas.openxmlformats.org/officeDocument/2006/relationships/hyperlink" Target="https://cdn2-retail-images.kiotviet.vn/2025/05/29/giabaopharma/cf0449edfeeb47ebad11087d1f9eddfb.jpg,https:/cdn2-retail-images.kiotviet.vn/2025/05/29/giabaopharma/3bb3c3fd1cb44661afca64484edcbe85.jpg,https:/cdn2-retail-images.kiotviet.vn/2025/05/29/giabaopharma/981357198f9c45b6a9291face602767e.jpg,https:/cdn2-retail-images.kiotviet.vn/2025/05/29/giabaopharma/d2d38a4bcd2b40b3b4e0b57fb7505181.jpg" TargetMode="External"/><Relationship Id="rId407" Type="http://schemas.openxmlformats.org/officeDocument/2006/relationships/hyperlink" Target="https://product.hstatic.net/200000428801/product/a401b5ea397b41ccb5c7a407ef3c9029_f76790095e544209a5382eed88081ed3.png" TargetMode="External"/><Relationship Id="rId614" Type="http://schemas.openxmlformats.org/officeDocument/2006/relationships/hyperlink" Target="https://product.hstatic.net/200000428801/product/upload_22f573ce60ef4acdb0252a271bb8cb4b.jpg" TargetMode="External"/><Relationship Id="rId821" Type="http://schemas.openxmlformats.org/officeDocument/2006/relationships/hyperlink" Target="https://product.hstatic.net/200000428801/product/upload_c4a5d4712f0344ff81af66d3758947e6.jpg" TargetMode="External"/><Relationship Id="rId1037" Type="http://schemas.openxmlformats.org/officeDocument/2006/relationships/hyperlink" Target="https://product.hstatic.net/200000428801/product/upload_dcdb3434afa8433a8b126fca6ca32c73.jpg" TargetMode="External"/><Relationship Id="rId1244" Type="http://schemas.openxmlformats.org/officeDocument/2006/relationships/hyperlink" Target="https://product.hstatic.net/200000428801/product/upload_83e95fbadf7e448c9f93f2ced88f9752.jpg" TargetMode="External"/><Relationship Id="rId1451" Type="http://schemas.openxmlformats.org/officeDocument/2006/relationships/hyperlink" Target="https://product.hstatic.net/200000428801/product/upload_37a1a53afe2840519ea8d37a46ddd6db.jpg" TargetMode="External"/><Relationship Id="rId2502" Type="http://schemas.openxmlformats.org/officeDocument/2006/relationships/hyperlink" Target="https://product.hstatic.net/200000428801/product/upload_01ee1cc0d1334c438fdc364cbbe355eb.jpg" TargetMode="External"/><Relationship Id="rId1104" Type="http://schemas.openxmlformats.org/officeDocument/2006/relationships/hyperlink" Target="https://product.hstatic.net/200000428801/product/upload_dbf6062fe2ad4667940e556cb2188cd3.jpg" TargetMode="External"/><Relationship Id="rId1311" Type="http://schemas.openxmlformats.org/officeDocument/2006/relationships/hyperlink" Target="https://product.hstatic.net/200000428801/product/upload_4b84f6fcfce048a1a01eb2a4a0461493.jpg" TargetMode="External"/><Relationship Id="rId3069" Type="http://schemas.openxmlformats.org/officeDocument/2006/relationships/hyperlink" Target="https://product.hstatic.net/200000428801/product/upload_1623d966ac1d4fa385131514491c3bf8.jpg" TargetMode="External"/><Relationship Id="rId3276" Type="http://schemas.openxmlformats.org/officeDocument/2006/relationships/hyperlink" Target="https://product.hstatic.net/200000428801/product/8ed5f69914024dac8b5695b160127c44_b41774038b5f4c7e9ac4e2e713b403b7.png" TargetMode="External"/><Relationship Id="rId3483" Type="http://schemas.openxmlformats.org/officeDocument/2006/relationships/hyperlink" Target="https://product.hstatic.net/200000428801/product/ed3a06e317de4980b80268057b6b9a08_e9805cf50c1f4e5d85a6c5f3b625b613.png" TargetMode="External"/><Relationship Id="rId3690" Type="http://schemas.openxmlformats.org/officeDocument/2006/relationships/hyperlink" Target="https://product.hstatic.net/200000428801/product/zalo_screenshot_18_11_2021_90115_c206ca11e06f45a2a9c78d8ae1a73042.png" TargetMode="External"/><Relationship Id="rId197" Type="http://schemas.openxmlformats.org/officeDocument/2006/relationships/hyperlink" Target="https://cdn2-retail-images.kiotviet.vn/2025/02/25/giabaopharma/fb9d6459b03046dabfb089b5d25263d9.jpg" TargetMode="External"/><Relationship Id="rId2085" Type="http://schemas.openxmlformats.org/officeDocument/2006/relationships/hyperlink" Target="https://product.hstatic.net/200000428801/product/upload_2c90b9ef6df245f99a53873b817b8745.jpg" TargetMode="External"/><Relationship Id="rId2292" Type="http://schemas.openxmlformats.org/officeDocument/2006/relationships/hyperlink" Target="https://product.hstatic.net/200000428801/product/490dfc7cc7e143d7bb6c20a4967b410b_044c08efc8934a3d995137918008d598.png" TargetMode="External"/><Relationship Id="rId3136" Type="http://schemas.openxmlformats.org/officeDocument/2006/relationships/hyperlink" Target="https://product.hstatic.net/200000428801/product/c48d914b9de540fe996255ceddcf2eae_9b0b7e385ce14bea8dd50bb25fa15a15.png" TargetMode="External"/><Relationship Id="rId3343" Type="http://schemas.openxmlformats.org/officeDocument/2006/relationships/hyperlink" Target="https://product.hstatic.net/200000428801/product/39e4e4c5aebb45ef84e08b8432a205e6_a3ffd74dab484deaa7ca02c18702bf68.png" TargetMode="External"/><Relationship Id="rId264" Type="http://schemas.openxmlformats.org/officeDocument/2006/relationships/hyperlink" Target="https://cdn2-retail-images.kiotviet.vn/giabaopharma/cdc193731be74886bf8be3c832c00b42.png,https:/cdn2-retail-images.kiotviet.vn/giabaopharma/492b078b6af147a5b089a9a557a14c6f.png,https:/cdn2-retail-images.kiotviet.vn/giabaopharma/efd2483049814c45aba6e351d0adf36c.png,https:/cdn2-retail-images.kiotviet.vn/giabaopharma/772856ed4b3d490c80a04d333818e441.png,https:/cdn2-retail-images.kiotviet.vn/giabaopharma/9347d0efbdf84f6baba0b3d9bfb0d78b.png" TargetMode="External"/><Relationship Id="rId471" Type="http://schemas.openxmlformats.org/officeDocument/2006/relationships/hyperlink" Target="https://product.hstatic.net/200000428801/product/b68af5cf72b4a3eafaa52_af40c91a380c4441aa7c19dd88e8f8a9.jpg" TargetMode="External"/><Relationship Id="rId2152" Type="http://schemas.openxmlformats.org/officeDocument/2006/relationships/hyperlink" Target="https://product.hstatic.net/200000428801/product/c7b7ccfb8b3b46c09de7df0ad15a21b6_cf4be90ddf764e3f8786bf54ac178b4f.png" TargetMode="External"/><Relationship Id="rId3550" Type="http://schemas.openxmlformats.org/officeDocument/2006/relationships/hyperlink" Target="https://product.hstatic.net/200000428801/product/2b1c04401592d4cc8d83_268cf54d151a4e06a75e26fb8c85b8d8.jpg" TargetMode="External"/><Relationship Id="rId124" Type="http://schemas.openxmlformats.org/officeDocument/2006/relationships/hyperlink" Target="https://cdn2-retail-images.kiotviet.vn/2025/12/23/giabaopharma/e6f9d1b56ef841f2aee4bb37df9d161d.png" TargetMode="External"/><Relationship Id="rId3203" Type="http://schemas.openxmlformats.org/officeDocument/2006/relationships/hyperlink" Target="https://product.hstatic.net/200000428801/product/f9dce6329d0842548ae2998df9d3e340_ef08a483a3dc431fa6d4447a13e4c481.png" TargetMode="External"/><Relationship Id="rId3410" Type="http://schemas.openxmlformats.org/officeDocument/2006/relationships/hyperlink" Target="https://product.hstatic.net/200000428801/product/a3cd2b7c4a5f43b5b74ef2f58206c034_dad36db4b9be4113913fc4639fdb86fd.png" TargetMode="External"/><Relationship Id="rId331" Type="http://schemas.openxmlformats.org/officeDocument/2006/relationships/hyperlink" Target="https://product.hstatic.net/200000428801/product/7e8d0768db574abcbeeb6e25b541a8cd_b761b783f63a41e68ff35d52222f1c42.png" TargetMode="External"/><Relationship Id="rId2012" Type="http://schemas.openxmlformats.org/officeDocument/2006/relationships/hyperlink" Target="https://product.hstatic.net/200000428801/product/upload_391caa1b43044a5dbeeeda17ddc5ba59.jpg" TargetMode="External"/><Relationship Id="rId2969" Type="http://schemas.openxmlformats.org/officeDocument/2006/relationships/hyperlink" Target="https://product.hstatic.net/200000428801/product/upload_8f0f9dcefd0a4121b3bbea0315f005f8.jpg" TargetMode="External"/><Relationship Id="rId1778" Type="http://schemas.openxmlformats.org/officeDocument/2006/relationships/hyperlink" Target="https://product.hstatic.net/200000428801/product/upload_3899cc72aadf47fa9fc4421be89b97b9.jpg" TargetMode="External"/><Relationship Id="rId1985" Type="http://schemas.openxmlformats.org/officeDocument/2006/relationships/hyperlink" Target="https://product.hstatic.net/200000428801/product/upload_2e5cb875d21147b789e01b170ea39497.jpg" TargetMode="External"/><Relationship Id="rId2829" Type="http://schemas.openxmlformats.org/officeDocument/2006/relationships/hyperlink" Target="https://product.hstatic.net/200000428801/product/upload_3b478468e4194cae92eb172e9f5a1337.jpg" TargetMode="External"/><Relationship Id="rId1638" Type="http://schemas.openxmlformats.org/officeDocument/2006/relationships/hyperlink" Target="https://product.hstatic.net/200000428801/product/upload_34418ba158c14e3f882f504e1c49d552.jpg" TargetMode="External"/><Relationship Id="rId4044" Type="http://schemas.openxmlformats.org/officeDocument/2006/relationships/hyperlink" Target="https://product.hstatic.net/200000428801/product/zalo_screenshot_17_11_2021_949145_565d457a484d41e5a4e5dff49ab89ec5.png" TargetMode="External"/><Relationship Id="rId1845" Type="http://schemas.openxmlformats.org/officeDocument/2006/relationships/hyperlink" Target="https://product.hstatic.net/200000428801/product/upload_af194782ffc44d0daab7b653f526e4eb.jpg" TargetMode="External"/><Relationship Id="rId3060" Type="http://schemas.openxmlformats.org/officeDocument/2006/relationships/hyperlink" Target="https://product.hstatic.net/200000428801/product/c9f5b9d73c9ee1c0b88f_b1eb7b72cb574ecfa094fe4251974e20.jpg" TargetMode="External"/><Relationship Id="rId1705" Type="http://schemas.openxmlformats.org/officeDocument/2006/relationships/hyperlink" Target="https://product.hstatic.net/200000428801/product/upload_58e19f23d8054cb3b7c0f2c1da9ab947.jpg" TargetMode="External"/><Relationship Id="rId1912" Type="http://schemas.openxmlformats.org/officeDocument/2006/relationships/hyperlink" Target="https://product.hstatic.net/200000428801/product/upload_46c11e1a82fe4b40ac96213c1600ede4.jpg" TargetMode="External"/><Relationship Id="rId3877" Type="http://schemas.openxmlformats.org/officeDocument/2006/relationships/hyperlink" Target="https://product.hstatic.net/200000428801/product/72_3d2f2cb5c06641b79caf1bced6baee7b.png" TargetMode="External"/><Relationship Id="rId798" Type="http://schemas.openxmlformats.org/officeDocument/2006/relationships/hyperlink" Target="https://product.hstatic.net/200000428801/product/upload_66a049376d7d443cbb05c6531c185f2a.jpg" TargetMode="External"/><Relationship Id="rId2479" Type="http://schemas.openxmlformats.org/officeDocument/2006/relationships/hyperlink" Target="https://product.hstatic.net/200000428801/product/upload_7f2cc1a9331d4132ac8b42bbc5709870.jpg" TargetMode="External"/><Relationship Id="rId2686" Type="http://schemas.openxmlformats.org/officeDocument/2006/relationships/hyperlink" Target="https://product.hstatic.net/200000428801/product/upload_fb722b7d9bca44fa93865791b1d139c1.jpg" TargetMode="External"/><Relationship Id="rId2893" Type="http://schemas.openxmlformats.org/officeDocument/2006/relationships/hyperlink" Target="https://product.hstatic.net/200000428801/product/upload_bd09c1d3d24b4eeab0618ba5c59440b6.jpg" TargetMode="External"/><Relationship Id="rId3737" Type="http://schemas.openxmlformats.org/officeDocument/2006/relationships/hyperlink" Target="https://product.hstatic.net/200000428801/product/maxx-gold-glucosamin_3bd53ea81f2f4f529e7c717c7f92b177.jpg" TargetMode="External"/><Relationship Id="rId3944" Type="http://schemas.openxmlformats.org/officeDocument/2006/relationships/hyperlink" Target="https://product.hstatic.net/200000428801/product/ff198c62a4826bdc3293__1__ded3bc2ff9fa4d84a0c13c7e3e5d618e.jpg" TargetMode="External"/><Relationship Id="rId658" Type="http://schemas.openxmlformats.org/officeDocument/2006/relationships/hyperlink" Target="https://product.hstatic.net/200000428801/product/upload_4a09a358cdbf4838823efb814e2096e7.jpg" TargetMode="External"/><Relationship Id="rId865" Type="http://schemas.openxmlformats.org/officeDocument/2006/relationships/hyperlink" Target="https://product.hstatic.net/200000428801/product/upload_c44589c6249140ffb40851f315f66070.jpg" TargetMode="External"/><Relationship Id="rId1288" Type="http://schemas.openxmlformats.org/officeDocument/2006/relationships/hyperlink" Target="https://product.hstatic.net/200000428801/product/upload_194830e1a6b2435ab96c79ed6c9dea1c.jpg" TargetMode="External"/><Relationship Id="rId1495" Type="http://schemas.openxmlformats.org/officeDocument/2006/relationships/hyperlink" Target="https://product.hstatic.net/200000428801/product/upload_1c8f9d7666d84c5087a6355eee88ec6b.jpg" TargetMode="External"/><Relationship Id="rId2339" Type="http://schemas.openxmlformats.org/officeDocument/2006/relationships/hyperlink" Target="https://product.hstatic.net/200000428801/product/upload_75ca31866e0c47e59563250d0d6f3f23.jpg" TargetMode="External"/><Relationship Id="rId2546" Type="http://schemas.openxmlformats.org/officeDocument/2006/relationships/hyperlink" Target="https://product.hstatic.net/200000428801/product/upload_85da68fee52145c69fee0d16a3bdc301.jpg" TargetMode="External"/><Relationship Id="rId2753" Type="http://schemas.openxmlformats.org/officeDocument/2006/relationships/hyperlink" Target="https://product.hstatic.net/200000428801/product/374_f0b486e75ed34dd9ad03b699690084d2.png" TargetMode="External"/><Relationship Id="rId2960" Type="http://schemas.openxmlformats.org/officeDocument/2006/relationships/hyperlink" Target="https://product.hstatic.net/200000428801/product/upload_cca50322057345118713e1dd8967814e.jpg" TargetMode="External"/><Relationship Id="rId3804" Type="http://schemas.openxmlformats.org/officeDocument/2006/relationships/hyperlink" Target="https://product.hstatic.net/200000428801/product/6ba172079c665c380577_1b5745a5d1f640168086bcb312552e16.jpg" TargetMode="External"/><Relationship Id="rId518" Type="http://schemas.openxmlformats.org/officeDocument/2006/relationships/hyperlink" Target="https://product.hstatic.net/200000428801/product/upload_9ee9bb25b76441eab48aa63ccc8b93d3.jpg" TargetMode="External"/><Relationship Id="rId725" Type="http://schemas.openxmlformats.org/officeDocument/2006/relationships/hyperlink" Target="https://product.hstatic.net/200000428801/product/upload_fac9706968304db68e6f9036f766bf71.jpg" TargetMode="External"/><Relationship Id="rId932" Type="http://schemas.openxmlformats.org/officeDocument/2006/relationships/hyperlink" Target="https://product.hstatic.net/200000428801/product/upload_30104886f737463385817082a1c96702.jpg" TargetMode="External"/><Relationship Id="rId1148" Type="http://schemas.openxmlformats.org/officeDocument/2006/relationships/hyperlink" Target="https://product.hstatic.net/200000428801/product/upload_6b3099a359134c0fae3d960ec05b2b77.jpg" TargetMode="External"/><Relationship Id="rId1355" Type="http://schemas.openxmlformats.org/officeDocument/2006/relationships/hyperlink" Target="https://product.hstatic.net/200000428801/product/upload_1c61d154645445fa9fcab897d117487c.jpg" TargetMode="External"/><Relationship Id="rId1562" Type="http://schemas.openxmlformats.org/officeDocument/2006/relationships/hyperlink" Target="https://product.hstatic.net/200000428801/product/upload_107d1f4bc2014ba685f76a5aedf45305.jpg" TargetMode="External"/><Relationship Id="rId2406" Type="http://schemas.openxmlformats.org/officeDocument/2006/relationships/hyperlink" Target="https://product.hstatic.net/200000428801/product/413_0067f5d86bf64035b0403ba110c7b372.png" TargetMode="External"/><Relationship Id="rId2613" Type="http://schemas.openxmlformats.org/officeDocument/2006/relationships/hyperlink" Target="https://product.hstatic.net/200000428801/product/upload_531d25f910f7477d951506e0f2b2528b.jpg" TargetMode="External"/><Relationship Id="rId1008" Type="http://schemas.openxmlformats.org/officeDocument/2006/relationships/hyperlink" Target="https://product.hstatic.net/200000428801/product/upload_d6c97b6c1ac5454f9876c68fad11da3f.jpg" TargetMode="External"/><Relationship Id="rId1215" Type="http://schemas.openxmlformats.org/officeDocument/2006/relationships/hyperlink" Target="https://product.hstatic.net/200000428801/product/upload_7a4054fd815d41129f8549e94101f7d9.jpg" TargetMode="External"/><Relationship Id="rId1422" Type="http://schemas.openxmlformats.org/officeDocument/2006/relationships/hyperlink" Target="https://product.hstatic.net/200000428801/product/upload_24307adc60d0451d86985990e987c9f0.jpg" TargetMode="External"/><Relationship Id="rId2820" Type="http://schemas.openxmlformats.org/officeDocument/2006/relationships/hyperlink" Target="https://product.hstatic.net/200000428801/product/upload_8c3b6d687f734deba0c0514b9599fa2f.jpg" TargetMode="External"/><Relationship Id="rId61" Type="http://schemas.openxmlformats.org/officeDocument/2006/relationships/hyperlink" Target="https://i.postimg.cc/nzWmRvyQ/z7073077393721-4ef51f72113a681e1360e3a5baf93b3f-removebg-preview.png" TargetMode="External"/><Relationship Id="rId3387" Type="http://schemas.openxmlformats.org/officeDocument/2006/relationships/hyperlink" Target="https://product.hstatic.net/200000428801/product/3551d55ac27f4262b42d4dc65de0ec45_7d816ef1d5d34e13b2cd55950629669a.png" TargetMode="External"/><Relationship Id="rId2196" Type="http://schemas.openxmlformats.org/officeDocument/2006/relationships/hyperlink" Target="https://product.hstatic.net/200000428801/product/upload_afd19d18ea514ee59af9cee0af524d52.jpg" TargetMode="External"/><Relationship Id="rId3594" Type="http://schemas.openxmlformats.org/officeDocument/2006/relationships/hyperlink" Target="https://cdn2-retail-images.kiotviet.vn/2025/10/30/giabaopharma/c4cc7015c4bb4508b392fbc9051667d5.png" TargetMode="External"/><Relationship Id="rId168" Type="http://schemas.openxmlformats.org/officeDocument/2006/relationships/hyperlink" Target="https://cdn2-retail-images.kiotviet.vn/2024/12/25/giabaopharma/4c227cdeea414cbfacfee281a8a85d2a.jpg" TargetMode="External"/><Relationship Id="rId3247" Type="http://schemas.openxmlformats.org/officeDocument/2006/relationships/hyperlink" Target="https://product.hstatic.net/200000428801/product/10fb71b14ff04e3ea23aad5bcdf5f3a4_dbb19355e4924254bbada33f2976babe.png" TargetMode="External"/><Relationship Id="rId3454" Type="http://schemas.openxmlformats.org/officeDocument/2006/relationships/hyperlink" Target="https://product.hstatic.net/200000428801/product/82398707f7b9479bac362182e5c6da6f_cd6634c16cf046c289e74476daba2d6c.png" TargetMode="External"/><Relationship Id="rId3661" Type="http://schemas.openxmlformats.org/officeDocument/2006/relationships/hyperlink" Target="https://product.hstatic.net/200000428801/product/54ef8e63f9cd389361dc_b3275c2bed8743789310027162b41a10.jpg" TargetMode="External"/><Relationship Id="rId375" Type="http://schemas.openxmlformats.org/officeDocument/2006/relationships/hyperlink" Target="https://product.hstatic.net/200000428801/product/0a27fb92024e4b8eb00b5eebe49450d6_966fac5c320349c9bad0afde6efc6275.png" TargetMode="External"/><Relationship Id="rId582" Type="http://schemas.openxmlformats.org/officeDocument/2006/relationships/hyperlink" Target="https://product.hstatic.net/200000428801/product/upload_702d1c6ebf5446358feb9ec1142815f1.jpg" TargetMode="External"/><Relationship Id="rId2056" Type="http://schemas.openxmlformats.org/officeDocument/2006/relationships/hyperlink" Target="https://product.hstatic.net/200000428801/product/upload_6b1c0758401c4577ae214ba78ca968a1.jpg" TargetMode="External"/><Relationship Id="rId2263" Type="http://schemas.openxmlformats.org/officeDocument/2006/relationships/hyperlink" Target="https://product.hstatic.net/200000428801/product/upload_e40cf63003e8463e97af101add500427.jpg" TargetMode="External"/><Relationship Id="rId2470" Type="http://schemas.openxmlformats.org/officeDocument/2006/relationships/hyperlink" Target="https://product.hstatic.net/200000428801/product/upload_65e289dcd7b247bc8706f4e0fa26c883.jpg" TargetMode="External"/><Relationship Id="rId3107" Type="http://schemas.openxmlformats.org/officeDocument/2006/relationships/hyperlink" Target="https://product.hstatic.net/200000428801/product/e622a385c7d34b9c82ed370db3e737e3_3c18a01516aa4e9b9e7ef8518e979968.png" TargetMode="External"/><Relationship Id="rId3314" Type="http://schemas.openxmlformats.org/officeDocument/2006/relationships/hyperlink" Target="https://product.hstatic.net/200000428801/product/462bdb8f9fe748a696d96f671361b55c_c0a678f666554a2093b4c4e14955e782.png" TargetMode="External"/><Relationship Id="rId3521" Type="http://schemas.openxmlformats.org/officeDocument/2006/relationships/hyperlink" Target="https://cdn1-retail-images.kiotviet.vn/2026/01/07/giabaopharma/33f26010434541878f312a293a488c27.jpg" TargetMode="External"/><Relationship Id="rId235" Type="http://schemas.openxmlformats.org/officeDocument/2006/relationships/hyperlink" Target="https://cdn2-retail-images.kiotviet.vn/giabaopharma/c3157d72594c42dba8ac49362279f563.jpg" TargetMode="External"/><Relationship Id="rId442" Type="http://schemas.openxmlformats.org/officeDocument/2006/relationships/hyperlink" Target="https://product.hstatic.net/200000428801/product/af973a22898047c7bbc6071bd487839f_2e78d88f68534377afdc238627ae66a5.jpg" TargetMode="External"/><Relationship Id="rId1072" Type="http://schemas.openxmlformats.org/officeDocument/2006/relationships/hyperlink" Target="https://product.hstatic.net/200000428801/product/upload_99df353bc1584f5f8f58970751b26641.jpg" TargetMode="External"/><Relationship Id="rId2123" Type="http://schemas.openxmlformats.org/officeDocument/2006/relationships/hyperlink" Target="https://product.hstatic.net/200000428801/product/upload_aae215c65a5941528291c7e84c5d2ffb.jpg" TargetMode="External"/><Relationship Id="rId2330" Type="http://schemas.openxmlformats.org/officeDocument/2006/relationships/hyperlink" Target="https://product.hstatic.net/200000428801/product/upload_f9ce67aa317e4c11ae41ac47c56dc0f8.jpg" TargetMode="External"/><Relationship Id="rId302" Type="http://schemas.openxmlformats.org/officeDocument/2006/relationships/hyperlink" Target="https://product.hstatic.net/200000428801/product/9586719cdc5e441391451f472c5c2368_35632f0f92aa42d0b7337900c74153ef.png" TargetMode="External"/><Relationship Id="rId1889" Type="http://schemas.openxmlformats.org/officeDocument/2006/relationships/hyperlink" Target="https://product.hstatic.net/200000428801/product/upload_18ffd6870fa94982b4427b72e7538214.jpg" TargetMode="External"/><Relationship Id="rId1749" Type="http://schemas.openxmlformats.org/officeDocument/2006/relationships/hyperlink" Target="https://product.hstatic.net/200000428801/product/upload_7a1e60fb058f4d278fe50fd13a07a0aa.jpg" TargetMode="External"/><Relationship Id="rId1956" Type="http://schemas.openxmlformats.org/officeDocument/2006/relationships/hyperlink" Target="https://product.hstatic.net/200000428801/product/525_bfdc96070a36458ba3a6f451c1826617.png" TargetMode="External"/><Relationship Id="rId3171" Type="http://schemas.openxmlformats.org/officeDocument/2006/relationships/hyperlink" Target="https://product.hstatic.net/200000428801/product/55706f0f168d4e7dbd6616c4b2c68d51_0e4c0fdb8c904148a545254bcc3e34ca.jpg" TargetMode="External"/><Relationship Id="rId4015" Type="http://schemas.openxmlformats.org/officeDocument/2006/relationships/hyperlink" Target="https://product.hstatic.net/200000428801/product/a9bee4ff40e48abad3f5_88e308b45786446197c3838d377b3138.jpg" TargetMode="External"/><Relationship Id="rId1609" Type="http://schemas.openxmlformats.org/officeDocument/2006/relationships/hyperlink" Target="https://product.hstatic.net/200000428801/product/upload_54aff290f8d643689d77013ff0048087.jpg" TargetMode="External"/><Relationship Id="rId1816" Type="http://schemas.openxmlformats.org/officeDocument/2006/relationships/hyperlink" Target="https://product.hstatic.net/200000428801/product/upload_40bf9bf23dd948e9a897b627bbe712f9.jpg" TargetMode="External"/><Relationship Id="rId3031" Type="http://schemas.openxmlformats.org/officeDocument/2006/relationships/hyperlink" Target="https://product.hstatic.net/200000428801/product/upload_45a324a8261e4f38b3697a7f64f9b496.jpg" TargetMode="External"/><Relationship Id="rId3988" Type="http://schemas.openxmlformats.org/officeDocument/2006/relationships/hyperlink" Target="https://product.hstatic.net/200000428801/product/36_6ae541bcc9e04e0cac51a6ac2e81c2e1.png" TargetMode="External"/><Relationship Id="rId2797" Type="http://schemas.openxmlformats.org/officeDocument/2006/relationships/hyperlink" Target="https://product.hstatic.net/200000428801/product/upload_a7b84770055944ac9dfc96574bbbe5f7.jpg" TargetMode="External"/><Relationship Id="rId3848" Type="http://schemas.openxmlformats.org/officeDocument/2006/relationships/hyperlink" Target="https://product.hstatic.net/200000428801/product/20211211_142551_ce518ded7d2b4e4f8a0d9cfc8d2f08b9.png" TargetMode="External"/><Relationship Id="rId769" Type="http://schemas.openxmlformats.org/officeDocument/2006/relationships/hyperlink" Target="https://product.hstatic.net/200000428801/product/upload_8519bfea88de43fa81faec713547da72.jpg" TargetMode="External"/><Relationship Id="rId976" Type="http://schemas.openxmlformats.org/officeDocument/2006/relationships/hyperlink" Target="https://product.hstatic.net/200000428801/product/upload_832d67a56422416888fe3ce9eebeffa6.jpg" TargetMode="External"/><Relationship Id="rId1399" Type="http://schemas.openxmlformats.org/officeDocument/2006/relationships/hyperlink" Target="https://product.hstatic.net/200000428801/product/upload_02431571d68d4df582f6c1259c244615.jpg" TargetMode="External"/><Relationship Id="rId2657" Type="http://schemas.openxmlformats.org/officeDocument/2006/relationships/hyperlink" Target="https://product.hstatic.net/200000428801/product/upload_cebf3456bd704a2f969daf355fc63151.jpg" TargetMode="External"/><Relationship Id="rId629" Type="http://schemas.openxmlformats.org/officeDocument/2006/relationships/hyperlink" Target="https://product.hstatic.net/200000428801/product/upload_2ed70564ee5d48058cec2190d1ea4fd0.jpg" TargetMode="External"/><Relationship Id="rId1259" Type="http://schemas.openxmlformats.org/officeDocument/2006/relationships/hyperlink" Target="https://product.hstatic.net/200000428801/product/upload_8fe120c5fbec4fc698b7a7e31d84d85c.jpg" TargetMode="External"/><Relationship Id="rId1466" Type="http://schemas.openxmlformats.org/officeDocument/2006/relationships/hyperlink" Target="https://product.hstatic.net/200000428801/product/upload_ad5a906a078d496688704e5d85253126.jpg" TargetMode="External"/><Relationship Id="rId2864" Type="http://schemas.openxmlformats.org/officeDocument/2006/relationships/hyperlink" Target="https://product.hstatic.net/200000428801/product/upload_3e1a1f97c1924ae0acd9dca332ab146e.jpg" TargetMode="External"/><Relationship Id="rId3708" Type="http://schemas.openxmlformats.org/officeDocument/2006/relationships/hyperlink" Target="https://product.hstatic.net/200000428801/product/zalo_screenshot_18_11_2021_832816_cf6c25df226d419cb6b0a36da2d3b2d9.png" TargetMode="External"/><Relationship Id="rId3915" Type="http://schemas.openxmlformats.org/officeDocument/2006/relationships/hyperlink" Target="https://product.hstatic.net/200000428801/product/zalo_screenshot_20_11_2021_638477_56c7f0e89ec2439382c0937ec7a61cf4.png" TargetMode="External"/><Relationship Id="rId836" Type="http://schemas.openxmlformats.org/officeDocument/2006/relationships/hyperlink" Target="https://product.hstatic.net/200000428801/product/upload_dd81765efceb4d95a10a692f4aae271e.jpg" TargetMode="External"/><Relationship Id="rId1119" Type="http://schemas.openxmlformats.org/officeDocument/2006/relationships/hyperlink" Target="https://product.hstatic.net/200000428801/product/upload_ea3a507f5c534c68948daa6a7fb941c0.jpg" TargetMode="External"/><Relationship Id="rId1673" Type="http://schemas.openxmlformats.org/officeDocument/2006/relationships/hyperlink" Target="https://product.hstatic.net/200000428801/product/upload_0ea7cee5a79a409199a1a8d3014275a0.jpg" TargetMode="External"/><Relationship Id="rId1880" Type="http://schemas.openxmlformats.org/officeDocument/2006/relationships/hyperlink" Target="https://product.hstatic.net/200000428801/product/upload_26b4f4222fbb4851bbc406f3b7611a94.jpg" TargetMode="External"/><Relationship Id="rId2517" Type="http://schemas.openxmlformats.org/officeDocument/2006/relationships/hyperlink" Target="https://product.hstatic.net/200000428801/product/upload_9ec123402b1b4b53a08d3cde1a5e79a5.jpg" TargetMode="External"/><Relationship Id="rId2724" Type="http://schemas.openxmlformats.org/officeDocument/2006/relationships/hyperlink" Target="https://product.hstatic.net/200000428801/product/upload_fb9687ba55494e3a88a66acd79a88bc3.jpg" TargetMode="External"/><Relationship Id="rId2931" Type="http://schemas.openxmlformats.org/officeDocument/2006/relationships/hyperlink" Target="https://product.hstatic.net/200000428801/product/upload_c2b7b757addc4d88bf261bc497150e13.jpg" TargetMode="External"/><Relationship Id="rId903" Type="http://schemas.openxmlformats.org/officeDocument/2006/relationships/hyperlink" Target="https://product.hstatic.net/200000428801/product/upload_5820dfd7eddb4bbcb050c09d8bfa911a.jpg" TargetMode="External"/><Relationship Id="rId1326" Type="http://schemas.openxmlformats.org/officeDocument/2006/relationships/hyperlink" Target="https://product.hstatic.net/200000428801/product/upload_5feb3f63323b4e49838e432c0a670dd0.jpg" TargetMode="External"/><Relationship Id="rId1533" Type="http://schemas.openxmlformats.org/officeDocument/2006/relationships/hyperlink" Target="https://product.hstatic.net/200000428801/product/d561a02c52df8e81d7ce_78a8360bcef24416ac7c3e3f2a0a178d.jpg" TargetMode="External"/><Relationship Id="rId1740" Type="http://schemas.openxmlformats.org/officeDocument/2006/relationships/hyperlink" Target="https://product.hstatic.net/200000428801/product/upload_f091141dde354f1f8c712fd8d3d8798e.jpg" TargetMode="External"/><Relationship Id="rId32" Type="http://schemas.openxmlformats.org/officeDocument/2006/relationships/hyperlink" Target="https://cdn2-retail-images.kiotviet.vn/2025/11/06/giabaopharma/8478895b04e744fdb8bfc52c1fe09830.jpg" TargetMode="External"/><Relationship Id="rId1600" Type="http://schemas.openxmlformats.org/officeDocument/2006/relationships/hyperlink" Target="https://product.hstatic.net/200000428801/product/upload_c2303151c45c42ce8a91460dbd25604f.jpg" TargetMode="External"/><Relationship Id="rId3498" Type="http://schemas.openxmlformats.org/officeDocument/2006/relationships/hyperlink" Target="https://product.hstatic.net/200000428801/product/7fe383bc73e146bc85ef554332212a7e_19790de540d6454ea0e756bd79792616.jpg" TargetMode="External"/><Relationship Id="rId3358" Type="http://schemas.openxmlformats.org/officeDocument/2006/relationships/hyperlink" Target="https://product.hstatic.net/200000428801/product/2443ab5a375b49889dbcd7e1633bca88_ba3f486a999d433aaffb0c2cdcc05824.png" TargetMode="External"/><Relationship Id="rId3565" Type="http://schemas.openxmlformats.org/officeDocument/2006/relationships/hyperlink" Target="https://product.hstatic.net/200000428801/product/zalo_screenshot_20_11_2021_721855_330974328a7e4782be96a8569c806143.png" TargetMode="External"/><Relationship Id="rId3772" Type="http://schemas.openxmlformats.org/officeDocument/2006/relationships/hyperlink" Target="https://product.hstatic.net/200000428801/product/zalo_screenshot_18_11_2021_82720_e5245d3f6e3645d29abd59705fc18556.png" TargetMode="External"/><Relationship Id="rId279" Type="http://schemas.openxmlformats.org/officeDocument/2006/relationships/hyperlink" Target="https://cdn-images.kiotviet.vn/giabaopharma/cb95607d9556427f8bfd055e791b0863.png,https:/cdn-images.kiotviet.vn/giabaopharma/fdd25faef33b4e6693076532c248595c.png,https:/cdn-images.kiotviet.vn/giabaopharma/c86b6a8640f54d259d018129cf059d22.png,https:/cdn-images.kiotviet.vn/giabaopharma/5c12f7d7cb7f4ecc8193ed992eab010b.png,https:/cdn-images.kiotviet.vn/giabaopharma/fb43c9818fa3452184d8a148142493d6.png" TargetMode="External"/><Relationship Id="rId486" Type="http://schemas.openxmlformats.org/officeDocument/2006/relationships/hyperlink" Target="https://product.hstatic.net/200000428801/product/upload_2886547726894444a316a63b965036cc.jpg" TargetMode="External"/><Relationship Id="rId693" Type="http://schemas.openxmlformats.org/officeDocument/2006/relationships/hyperlink" Target="https://product.hstatic.net/200000428801/product/upload_d26d80d033e24d73b110cc8d6ed79794.jpg" TargetMode="External"/><Relationship Id="rId2167" Type="http://schemas.openxmlformats.org/officeDocument/2006/relationships/hyperlink" Target="https://product.hstatic.net/200000428801/product/upload_0a76cee8bc924f64bb6fcd38f37c23f6.jpg" TargetMode="External"/><Relationship Id="rId2374" Type="http://schemas.openxmlformats.org/officeDocument/2006/relationships/hyperlink" Target="https://product.hstatic.net/200000428801/product/upload_90be1fbae6134fce8a07a0a3ca0686dc.jpg" TargetMode="External"/><Relationship Id="rId2581" Type="http://schemas.openxmlformats.org/officeDocument/2006/relationships/hyperlink" Target="https://product.hstatic.net/200000428801/product/upload_8132b6f18e17409b8ae2aed6515bc967.jpg" TargetMode="External"/><Relationship Id="rId3218" Type="http://schemas.openxmlformats.org/officeDocument/2006/relationships/hyperlink" Target="https://product.hstatic.net/200000428801/product/c25fb6c997f949d791dedd563560d624_f0af429dc3b84c6c969285e3a13c6b06.png" TargetMode="External"/><Relationship Id="rId3425" Type="http://schemas.openxmlformats.org/officeDocument/2006/relationships/hyperlink" Target="https://cdn2-retail-images.kiotviet.vn/2025/02/25/giabaopharma/55b353a5e3d540029cb4064bc24358f8.jpg" TargetMode="External"/><Relationship Id="rId3632" Type="http://schemas.openxmlformats.org/officeDocument/2006/relationships/hyperlink" Target="https://cdn2-retail-images.kiotviet.vn/giabaopharma/685d8f8fce2d4666b2b9fad05e610cc0.png" TargetMode="External"/><Relationship Id="rId139" Type="http://schemas.openxmlformats.org/officeDocument/2006/relationships/hyperlink" Target="https://cdn2-retail-images.kiotviet.vn/2025/03/03/giabaopharma/baa9e9c428a4459895f77c7bb7e0c1ed.jpg" TargetMode="External"/><Relationship Id="rId346" Type="http://schemas.openxmlformats.org/officeDocument/2006/relationships/hyperlink" Target="https://product.hstatic.net/200000428801/product/58_4fa58b02f00845fe8aa9f70ba8e690ec.png" TargetMode="External"/><Relationship Id="rId553" Type="http://schemas.openxmlformats.org/officeDocument/2006/relationships/hyperlink" Target="https://product.hstatic.net/200000428801/product/upload_ffa4d28a7636459db1bcc14bf3adb2b5.jpg" TargetMode="External"/><Relationship Id="rId760" Type="http://schemas.openxmlformats.org/officeDocument/2006/relationships/hyperlink" Target="https://product.hstatic.net/200000428801/product/upload_f7c930d457eb42dfa9bc6571d3d53270.jpg" TargetMode="External"/><Relationship Id="rId1183" Type="http://schemas.openxmlformats.org/officeDocument/2006/relationships/hyperlink" Target="https://product.hstatic.net/200000428801/product/80_9b13c00e4e444f91b93f0675fdb1d72a.png" TargetMode="External"/><Relationship Id="rId1390" Type="http://schemas.openxmlformats.org/officeDocument/2006/relationships/hyperlink" Target="https://product.hstatic.net/200000428801/product/58_4fa58b02f00845fe8aa9f70ba8e690ec.png" TargetMode="External"/><Relationship Id="rId2027" Type="http://schemas.openxmlformats.org/officeDocument/2006/relationships/hyperlink" Target="https://product.hstatic.net/200000428801/product/upload_b064f5c57bc449e684b1857a37b91a82.jpg" TargetMode="External"/><Relationship Id="rId2234" Type="http://schemas.openxmlformats.org/officeDocument/2006/relationships/hyperlink" Target="https://product.hstatic.net/200000428801/product/upload_16443ecb21864b38887b55b09b32ae78.jpg" TargetMode="External"/><Relationship Id="rId2441" Type="http://schemas.openxmlformats.org/officeDocument/2006/relationships/hyperlink" Target="https://cdn2-retail-images.kiotviet.vn/2025/02/11/giabaopharma/c5a7d79a9418416fb69f7394f4735980.jpg" TargetMode="External"/><Relationship Id="rId206" Type="http://schemas.openxmlformats.org/officeDocument/2006/relationships/hyperlink" Target="https://cdn-images.kiotviet.vn/giabaopharma/8663983cfcb64834a74261574a613e6e.png" TargetMode="External"/><Relationship Id="rId413" Type="http://schemas.openxmlformats.org/officeDocument/2006/relationships/hyperlink" Target="https://product.hstatic.net/200000428801/product/upload_da76634d25ac4756a10d3cd7a21b8353.jpg" TargetMode="External"/><Relationship Id="rId1043" Type="http://schemas.openxmlformats.org/officeDocument/2006/relationships/hyperlink" Target="https://product.hstatic.net/200000428801/product/upload_f5eb82f9b0014564860528a707738c70.jpg" TargetMode="External"/><Relationship Id="rId620" Type="http://schemas.openxmlformats.org/officeDocument/2006/relationships/hyperlink" Target="https://product.hstatic.net/200000428801/product/upload_0a95c872950544c693f2ba9aff19c843.jpg" TargetMode="External"/><Relationship Id="rId1250" Type="http://schemas.openxmlformats.org/officeDocument/2006/relationships/hyperlink" Target="https://product.hstatic.net/200000428801/product/upload_750d3a292bfb4a06a33ebb09ea3922c6.jpg" TargetMode="External"/><Relationship Id="rId2301" Type="http://schemas.openxmlformats.org/officeDocument/2006/relationships/hyperlink" Target="https://product.hstatic.net/200000428801/product/bccf933959664600b8c113036f6d5542_be48bda90994462faaf70127571304c9.png" TargetMode="External"/><Relationship Id="rId1110" Type="http://schemas.openxmlformats.org/officeDocument/2006/relationships/hyperlink" Target="https://product.hstatic.net/200000428801/product/87_0fe8e5b9467b4c4f82703765849b3a78.png" TargetMode="External"/><Relationship Id="rId1927" Type="http://schemas.openxmlformats.org/officeDocument/2006/relationships/hyperlink" Target="https://product.hstatic.net/200000428801/product/upload_f65688cfd3ef446aa2f4a75505ac8d6d.jpg" TargetMode="External"/><Relationship Id="rId3075" Type="http://schemas.openxmlformats.org/officeDocument/2006/relationships/hyperlink" Target="https://product.hstatic.net/200000428801/product/upload_49cbd3608d7e4097b5846868cf38c50c.jpg" TargetMode="External"/><Relationship Id="rId3282" Type="http://schemas.openxmlformats.org/officeDocument/2006/relationships/hyperlink" Target="https://product.hstatic.net/200000428801/product/745a06621f314a319830bf1c2d82086e_b8f9d0dfcb0c4f289f7d6443ca3b6911.png" TargetMode="External"/><Relationship Id="rId2091" Type="http://schemas.openxmlformats.org/officeDocument/2006/relationships/hyperlink" Target="https://product.hstatic.net/200000428801/product/upload_9f24cbc77d834a66853185049f336154.jpg" TargetMode="External"/><Relationship Id="rId3142" Type="http://schemas.openxmlformats.org/officeDocument/2006/relationships/hyperlink" Target="https://product.hstatic.net/200000428801/product/b0913c9daf37463cac06ee918c8ff753_01efb700b70f4def8ced85934f7bef13.jpg" TargetMode="External"/><Relationship Id="rId270" Type="http://schemas.openxmlformats.org/officeDocument/2006/relationships/hyperlink" Target="https://cdn-images.kiotviet.vn/giabaopharma/07fe8fef98224feabab4147e63ff994a.png" TargetMode="External"/><Relationship Id="rId3002" Type="http://schemas.openxmlformats.org/officeDocument/2006/relationships/hyperlink" Target="https://product.hstatic.net/200000428801/product/upload_d9d731677de14eb9911022541be476fe.jpg" TargetMode="External"/><Relationship Id="rId130" Type="http://schemas.openxmlformats.org/officeDocument/2006/relationships/hyperlink" Target="https://cdn2-retail-images.kiotviet.vn/2025/03/13/giabaopharma/3ce159cb9c554557b1b7219ca907989e.jpg" TargetMode="External"/><Relationship Id="rId3959" Type="http://schemas.openxmlformats.org/officeDocument/2006/relationships/hyperlink" Target="https://product.hstatic.net/200000428801/product/thiet_ke_khong_ten__1__500c675b48714fc2b51014c601d30bd6.png" TargetMode="External"/><Relationship Id="rId2768" Type="http://schemas.openxmlformats.org/officeDocument/2006/relationships/hyperlink" Target="https://product.hstatic.net/200000428801/product/upload_ec3e172632614ca3b7f841fb121e59c6.jpg" TargetMode="External"/><Relationship Id="rId2975" Type="http://schemas.openxmlformats.org/officeDocument/2006/relationships/hyperlink" Target="https://product.hstatic.net/200000428801/product/upload_273a9a8cf26a42bda2e68a1736157851.jpg" TargetMode="External"/><Relationship Id="rId3819" Type="http://schemas.openxmlformats.org/officeDocument/2006/relationships/hyperlink" Target="https://product.hstatic.net/200000428801/product/01bc67fa1881dadf8390_67a14e400d2645b4b655ed278182f468.jpg" TargetMode="External"/><Relationship Id="rId947" Type="http://schemas.openxmlformats.org/officeDocument/2006/relationships/hyperlink" Target="https://product.hstatic.net/200000428801/product/upload_561f2570995f422e8b3b4d27dccb5679.jpg" TargetMode="External"/><Relationship Id="rId1577" Type="http://schemas.openxmlformats.org/officeDocument/2006/relationships/hyperlink" Target="https://product.hstatic.net/200000428801/product/upload_4aa2741bd47b43d0a9becdc013a744fc.jpg" TargetMode="External"/><Relationship Id="rId1784" Type="http://schemas.openxmlformats.org/officeDocument/2006/relationships/hyperlink" Target="https://product.hstatic.net/200000428801/product/upload_1a34c9f38ee64f1f972ce7ff7a01cb0e.jpg" TargetMode="External"/><Relationship Id="rId1991" Type="http://schemas.openxmlformats.org/officeDocument/2006/relationships/hyperlink" Target="https://product.hstatic.net/200000428801/product/upload_d07294bee49446f0ac125d3bc8e5a505.jpg" TargetMode="External"/><Relationship Id="rId2628" Type="http://schemas.openxmlformats.org/officeDocument/2006/relationships/hyperlink" Target="https://product.hstatic.net/200000428801/product/upload_1e920765475a48e1a06e33bcbdee050d.jpg" TargetMode="External"/><Relationship Id="rId2835" Type="http://schemas.openxmlformats.org/officeDocument/2006/relationships/hyperlink" Target="https://product.hstatic.net/200000428801/product/upload_abe3b64c139a4663b226638da09e5542.jpg" TargetMode="External"/><Relationship Id="rId76" Type="http://schemas.openxmlformats.org/officeDocument/2006/relationships/hyperlink" Target="https://i.postimg.cc/nc9CbY7g/1020187ead6a4aa5ae3ed8ca196d8e57.jpg" TargetMode="External"/><Relationship Id="rId807" Type="http://schemas.openxmlformats.org/officeDocument/2006/relationships/hyperlink" Target="https://product.hstatic.net/200000428801/product/upload_c36f571f72e84bbd98a7abb779d8a3eb.jpg" TargetMode="External"/><Relationship Id="rId1437" Type="http://schemas.openxmlformats.org/officeDocument/2006/relationships/hyperlink" Target="https://product.hstatic.net/200000428801/product/upload_c664ab10873646a88c52462ae8bf1b90.jpg" TargetMode="External"/><Relationship Id="rId1644" Type="http://schemas.openxmlformats.org/officeDocument/2006/relationships/hyperlink" Target="https://product.hstatic.net/200000428801/product/16_f2551acacb244d3ca5d9379c4c946d1f.png" TargetMode="External"/><Relationship Id="rId1851" Type="http://schemas.openxmlformats.org/officeDocument/2006/relationships/hyperlink" Target="https://product.hstatic.net/200000428801/product/upload_bd36f783c1904e4b84df668ecf21133b.jpg" TargetMode="External"/><Relationship Id="rId2902" Type="http://schemas.openxmlformats.org/officeDocument/2006/relationships/hyperlink" Target="https://product.hstatic.net/200000428801/product/upload_8ac5e87c9d0c453bae290926d24b2791.jpg" TargetMode="External"/><Relationship Id="rId4050" Type="http://schemas.openxmlformats.org/officeDocument/2006/relationships/hyperlink" Target="https://product.hstatic.net/200000428801/product/zalo_screenshot_17_11_2021_939460_9054c996e4924889970e09c9f3cf073f.png" TargetMode="External"/><Relationship Id="rId1504" Type="http://schemas.openxmlformats.org/officeDocument/2006/relationships/hyperlink" Target="https://product.hstatic.net/200000428801/product/upload_10fe287179974265b8b39304d14209d9.jpg" TargetMode="External"/><Relationship Id="rId1711" Type="http://schemas.openxmlformats.org/officeDocument/2006/relationships/hyperlink" Target="https://product.hstatic.net/200000428801/product/upload_7391202afb8e4ba2b9b3e04503ed4d27.jpg" TargetMode="External"/><Relationship Id="rId3469" Type="http://schemas.openxmlformats.org/officeDocument/2006/relationships/hyperlink" Target="https://product.hstatic.net/200000428801/product/5492071bd4154be9bfe60bce418ae90a_9bcde0cb05bf4b1ea2059cb5007361bb.png" TargetMode="External"/><Relationship Id="rId3676" Type="http://schemas.openxmlformats.org/officeDocument/2006/relationships/hyperlink" Target="https://product.hstatic.net/200000428801/product/30089fd00d3bc865912a_c2908c4b31ee4e3385f6bf56cdd69a36.jpg" TargetMode="External"/><Relationship Id="rId597" Type="http://schemas.openxmlformats.org/officeDocument/2006/relationships/hyperlink" Target="https://product.hstatic.net/200000428801/product/upload_510621b9674749b4a659a7a17dac7a26.jpg" TargetMode="External"/><Relationship Id="rId2278" Type="http://schemas.openxmlformats.org/officeDocument/2006/relationships/hyperlink" Target="https://product.hstatic.net/200000428801/product/upload_55e819050f5741a38c0f07ceba56b28a.jpg" TargetMode="External"/><Relationship Id="rId2485" Type="http://schemas.openxmlformats.org/officeDocument/2006/relationships/hyperlink" Target="https://product.hstatic.net/200000428801/product/upload_3e68aacd88914bd19137d1710141725d.jpg" TargetMode="External"/><Relationship Id="rId3329" Type="http://schemas.openxmlformats.org/officeDocument/2006/relationships/hyperlink" Target="https://product.hstatic.net/200000428801/product/6fc6ec92a306431c98c9f3a15efde12d_c0824518ee224148b6a94b4bddefc5b0.png" TargetMode="External"/><Relationship Id="rId3883" Type="http://schemas.openxmlformats.org/officeDocument/2006/relationships/hyperlink" Target="https://cdn2-retail-images.kiotviet.vn/2026/03/07/giabaopharma/1f9423a56e0343bb851cd91d61ede22d.jpg" TargetMode="External"/><Relationship Id="rId457" Type="http://schemas.openxmlformats.org/officeDocument/2006/relationships/hyperlink" Target="https://product.hstatic.net/200000428801/product/d12de2e35a6f4ab4a2565ec73c7219d9_14a2dfb86cd048d8983c33944efab73d.png" TargetMode="External"/><Relationship Id="rId1087" Type="http://schemas.openxmlformats.org/officeDocument/2006/relationships/hyperlink" Target="https://product.hstatic.net/200000428801/product/upload_53c94faa8c4b4a0fb170809ee50781d7.jpg" TargetMode="External"/><Relationship Id="rId1294" Type="http://schemas.openxmlformats.org/officeDocument/2006/relationships/hyperlink" Target="https://product.hstatic.net/200000428801/product/upload_3f3ef929b777434b91d530631031bbc4.jpg" TargetMode="External"/><Relationship Id="rId2138" Type="http://schemas.openxmlformats.org/officeDocument/2006/relationships/hyperlink" Target="https://product.hstatic.net/200000428801/product/upload_f42ae37a8f254fed86f39c0baf527729.jpg" TargetMode="External"/><Relationship Id="rId2692" Type="http://schemas.openxmlformats.org/officeDocument/2006/relationships/hyperlink" Target="https://product.hstatic.net/200000428801/product/upload_ae04e550ca064928aae091b6c8bca3d4.jpg" TargetMode="External"/><Relationship Id="rId3536" Type="http://schemas.openxmlformats.org/officeDocument/2006/relationships/hyperlink" Target="https://product.hstatic.net/200000428801/product/9e24b292766bb635ef7a_ae0452dc4b974bbf943c984196543cf1.jpg" TargetMode="External"/><Relationship Id="rId3743" Type="http://schemas.openxmlformats.org/officeDocument/2006/relationships/hyperlink" Target="https://cdn2-retail-images.kiotviet.vn/2025/11/15/giabaopharma/a81fc70e7493405993c141d7a633c616.png" TargetMode="External"/><Relationship Id="rId3950" Type="http://schemas.openxmlformats.org/officeDocument/2006/relationships/hyperlink" Target="https://product.hstatic.net/200000428801/product/7f69fed0be55740b2d44_aec874c4e9314e2cab286f782ebd94e5.jpg" TargetMode="External"/><Relationship Id="rId664" Type="http://schemas.openxmlformats.org/officeDocument/2006/relationships/hyperlink" Target="https://product.hstatic.net/200000428801/product/upload_e3bb03b88cfb437a9688c28ea1408b7c.jpg" TargetMode="External"/><Relationship Id="rId871" Type="http://schemas.openxmlformats.org/officeDocument/2006/relationships/hyperlink" Target="https://product.hstatic.net/200000428801/product/upload_65007b1694394ccdbe5e16c710a3abea.jpg" TargetMode="External"/><Relationship Id="rId2345" Type="http://schemas.openxmlformats.org/officeDocument/2006/relationships/hyperlink" Target="https://product.hstatic.net/200000428801/product/upload_6cfb91e9ebb04620ba63ca81adffb8c2.jpg" TargetMode="External"/><Relationship Id="rId2552" Type="http://schemas.openxmlformats.org/officeDocument/2006/relationships/hyperlink" Target="https://product.hstatic.net/200000428801/product/upload_bc903febbfab489ebebb6cf28e1dbf48.jpg" TargetMode="External"/><Relationship Id="rId3603" Type="http://schemas.openxmlformats.org/officeDocument/2006/relationships/hyperlink" Target="https://product.hstatic.net/200000428801/product/zalo_screenshot_19_11_2021_627711_92be634e53604ea684066df0f60b0ddd.png" TargetMode="External"/><Relationship Id="rId3810" Type="http://schemas.openxmlformats.org/officeDocument/2006/relationships/hyperlink" Target="https://product.hstatic.net/200000428801/product/4a552ea92744e31aba55_b4a1fcfe4b54430d8b3eeb8376a89b0c.jpg" TargetMode="External"/><Relationship Id="rId317" Type="http://schemas.openxmlformats.org/officeDocument/2006/relationships/hyperlink" Target="https://product.hstatic.net/200000428801/product/upload_1ba65ee193e744909602e0fe8f59b81d.jpg" TargetMode="External"/><Relationship Id="rId524" Type="http://schemas.openxmlformats.org/officeDocument/2006/relationships/hyperlink" Target="https://product.hstatic.net/200000428801/product/cotripro-gel-25g-kem-boi-giup-co-va-san-se-bui-tri-1620296992_0b93fe2274df4d85bda5e173461f83dc.png" TargetMode="External"/><Relationship Id="rId731" Type="http://schemas.openxmlformats.org/officeDocument/2006/relationships/hyperlink" Target="https://product.hstatic.net/200000428801/product/upload_63feb9ee0b8540b280000d59d5288d01.jpg" TargetMode="External"/><Relationship Id="rId1154" Type="http://schemas.openxmlformats.org/officeDocument/2006/relationships/hyperlink" Target="https://product.hstatic.net/200000428801/product/upload_e9ba494d696e4e129260805ff252b89e.jpg" TargetMode="External"/><Relationship Id="rId1361" Type="http://schemas.openxmlformats.org/officeDocument/2006/relationships/hyperlink" Target="https://product.hstatic.net/200000428801/product/upload_3c8cad7afaa44a34950a6000f3960b3b.jpg" TargetMode="External"/><Relationship Id="rId2205" Type="http://schemas.openxmlformats.org/officeDocument/2006/relationships/hyperlink" Target="https://product.hstatic.net/200000428801/product/upload_e9a3c929a1724f88b0544e320fdb08f1.jpg" TargetMode="External"/><Relationship Id="rId2412" Type="http://schemas.openxmlformats.org/officeDocument/2006/relationships/hyperlink" Target="https://product.hstatic.net/200000428801/product/upload_513e983b8a824b88aa1c057ebf197c91.jpg" TargetMode="External"/><Relationship Id="rId1014" Type="http://schemas.openxmlformats.org/officeDocument/2006/relationships/hyperlink" Target="https://product.hstatic.net/200000428801/product/236d35817193afcdf682_f3cdc1ffca364a57b1d6d6dcf70cf36b.jpg" TargetMode="External"/><Relationship Id="rId1221" Type="http://schemas.openxmlformats.org/officeDocument/2006/relationships/hyperlink" Target="https://product.hstatic.net/200000428801/product/upload_52485719b6784021a7dd71d229c0aa56.jpg" TargetMode="External"/><Relationship Id="rId3186" Type="http://schemas.openxmlformats.org/officeDocument/2006/relationships/hyperlink" Target="https://product.hstatic.net/200000428801/product/1bbc2d9d124242e9b292bf5c63ff25f7_6717cbd9657f45e2a95d679517340ea4.jpg" TargetMode="External"/><Relationship Id="rId3393" Type="http://schemas.openxmlformats.org/officeDocument/2006/relationships/hyperlink" Target="https://product.hstatic.net/200000428801/product/d298ea3db82242b7a8450fb317222be1_cc046b9aa3954edd847874a12fbb2a7b.png" TargetMode="External"/><Relationship Id="rId3046" Type="http://schemas.openxmlformats.org/officeDocument/2006/relationships/hyperlink" Target="https://product.hstatic.net/200000428801/product/upload_b141eb486bf545deac700d7efa063d39.jpg" TargetMode="External"/><Relationship Id="rId3253" Type="http://schemas.openxmlformats.org/officeDocument/2006/relationships/hyperlink" Target="https://product.hstatic.net/200000428801/product/ac02a904d1694e5d9d803545f3343438_f7d69f40b0bc414e8a3b20e8c0a4c07b.png" TargetMode="External"/><Relationship Id="rId3460" Type="http://schemas.openxmlformats.org/officeDocument/2006/relationships/hyperlink" Target="https://product.hstatic.net/200000428801/product/d55b35c8f69e46038c5382baaf800827_bbb843ea98cd4e85b6459dbc75b354d8.png" TargetMode="External"/><Relationship Id="rId174" Type="http://schemas.openxmlformats.org/officeDocument/2006/relationships/hyperlink" Target="https://cdn-images.kiotviet.vn/2025/05/06/giabaopharma/21465c52068a472dbcb1c12535b45cf5.jpg" TargetMode="External"/><Relationship Id="rId381" Type="http://schemas.openxmlformats.org/officeDocument/2006/relationships/hyperlink" Target="https://product.hstatic.net/200000428801/product/29_daf2f187ac6d4fab975c58ee1871ff8d.png" TargetMode="External"/><Relationship Id="rId2062" Type="http://schemas.openxmlformats.org/officeDocument/2006/relationships/hyperlink" Target="https://product.hstatic.net/200000428801/product/upload_19a0e640fc754dc0bb204e0c2b3aae54.jpg" TargetMode="External"/><Relationship Id="rId3113" Type="http://schemas.openxmlformats.org/officeDocument/2006/relationships/hyperlink" Target="https://product.hstatic.net/200000428801/product/6d547f95350b45379ec932322250b981_a84aa496c8d24c2a8dd406fba08c2489.jpg" TargetMode="External"/><Relationship Id="rId241" Type="http://schemas.openxmlformats.org/officeDocument/2006/relationships/hyperlink" Target="https://cdn-images.kiotviet.vn/giabaopharma/93eafbc40838470090f3535dab0aceae.jpg" TargetMode="External"/><Relationship Id="rId3320" Type="http://schemas.openxmlformats.org/officeDocument/2006/relationships/hyperlink" Target="https://product.hstatic.net/200000428801/product/3a0e027002ac487ab17fa64ce7bd0546_8b3900ef046b48df8786f1226f97eccf.png" TargetMode="External"/><Relationship Id="rId2879" Type="http://schemas.openxmlformats.org/officeDocument/2006/relationships/hyperlink" Target="https://product.hstatic.net/200000428801/product/upload_7a23c037bd1b4e8ea33b60c953e55109.jpg" TargetMode="External"/><Relationship Id="rId101" Type="http://schemas.openxmlformats.org/officeDocument/2006/relationships/hyperlink" Target="https://cdn2-retail-images.kiotviet.vn/2025/04/17/giabaopharma/26aba8de5d874954b9c359087e028629.jpg" TargetMode="External"/><Relationship Id="rId1688" Type="http://schemas.openxmlformats.org/officeDocument/2006/relationships/hyperlink" Target="https://product.hstatic.net/200000428801/product/upload_40b036fa7a7d415f900eb82f6b530ad0.jpg" TargetMode="External"/><Relationship Id="rId1895" Type="http://schemas.openxmlformats.org/officeDocument/2006/relationships/hyperlink" Target="https://product.hstatic.net/200000428801/product/556_9552e0c7408544d8bb56504500202187.png" TargetMode="External"/><Relationship Id="rId2739" Type="http://schemas.openxmlformats.org/officeDocument/2006/relationships/hyperlink" Target="https://product.hstatic.net/200000428801/product/upload_e61a39f49a3446f39b03ffcc7054451f.jpg" TargetMode="External"/><Relationship Id="rId2946" Type="http://schemas.openxmlformats.org/officeDocument/2006/relationships/hyperlink" Target="https://product.hstatic.net/200000428801/product/347_7f66d5547a0f467689b9f26525848cd5.png" TargetMode="External"/><Relationship Id="rId918" Type="http://schemas.openxmlformats.org/officeDocument/2006/relationships/hyperlink" Target="https://product.hstatic.net/200000428801/product/upload_518f02619980408aa7a95d3626cee9a4.jpg" TargetMode="External"/><Relationship Id="rId1548" Type="http://schemas.openxmlformats.org/officeDocument/2006/relationships/hyperlink" Target="https://product.hstatic.net/200000428801/product/upload_e7932456535f4af89e99dd3a1f709b50.jpg" TargetMode="External"/><Relationship Id="rId1755" Type="http://schemas.openxmlformats.org/officeDocument/2006/relationships/hyperlink" Target="https://product.hstatic.net/200000428801/product/1_c11a7e14fac64cb2a2341d28a75141a2.png" TargetMode="External"/><Relationship Id="rId1408" Type="http://schemas.openxmlformats.org/officeDocument/2006/relationships/hyperlink" Target="https://product.hstatic.net/200000428801/product/upload_d569f6777ae540ecb20d1dc8dee02362.jpg" TargetMode="External"/><Relationship Id="rId1962" Type="http://schemas.openxmlformats.org/officeDocument/2006/relationships/hyperlink" Target="https://product.hstatic.net/200000428801/product/upload_a12253329f574118a406f92fcb81433b.jpg" TargetMode="External"/><Relationship Id="rId2806" Type="http://schemas.openxmlformats.org/officeDocument/2006/relationships/hyperlink" Target="https://product.hstatic.net/200000428801/product/upload_1196d139c6d5486a99dfc0439e7da177.jpg" TargetMode="External"/><Relationship Id="rId4021" Type="http://schemas.openxmlformats.org/officeDocument/2006/relationships/hyperlink" Target="https://product.hstatic.net/200000428801/product/387_987fa13fc3314277b0e0c3a28b85bd05.png" TargetMode="External"/><Relationship Id="rId47" Type="http://schemas.openxmlformats.org/officeDocument/2006/relationships/hyperlink" Target="https://i.postimg.cc/1tGBb7KS/Vi-n-u-ng-Huy-t-ng-gi-m-nguy-c-ng-huy-t-cao-1-L-40-vi-n-2.png" TargetMode="External"/><Relationship Id="rId1615" Type="http://schemas.openxmlformats.org/officeDocument/2006/relationships/hyperlink" Target="https://product.hstatic.net/200000428801/product/31_ffb88549e6364f8b81eb9e9eee921720.png" TargetMode="External"/><Relationship Id="rId1822" Type="http://schemas.openxmlformats.org/officeDocument/2006/relationships/hyperlink" Target="https://product.hstatic.net/200000428801/product/upload_3ae4ccde8d0943c7a5bee8e91effa0cd.jpg" TargetMode="External"/><Relationship Id="rId3787" Type="http://schemas.openxmlformats.org/officeDocument/2006/relationships/hyperlink" Target="https://product.hstatic.net/200000428801/product/4262f0db4b6e8b30d27f_d73242b8bd7c46928a86f08ceaf23376.jpg" TargetMode="External"/><Relationship Id="rId3994" Type="http://schemas.openxmlformats.org/officeDocument/2006/relationships/hyperlink" Target="https://product.hstatic.net/200000428801/product/75_101caee8ed714f86a75b0949eccfb100.png" TargetMode="External"/><Relationship Id="rId2389" Type="http://schemas.openxmlformats.org/officeDocument/2006/relationships/hyperlink" Target="https://product.hstatic.net/200000428801/product/upload_f7b01e9c28d047e9a5a7c77f87708b66.jpg" TargetMode="External"/><Relationship Id="rId2596" Type="http://schemas.openxmlformats.org/officeDocument/2006/relationships/hyperlink" Target="https://product.hstatic.net/200000428801/product/upload_b96f35c84b704cc680f621798cd0892d.jpg" TargetMode="External"/><Relationship Id="rId3647" Type="http://schemas.openxmlformats.org/officeDocument/2006/relationships/hyperlink" Target="https://product.hstatic.net/200000428801/product/zalo_screenshot_18_11_2021_94303_90962bf2dccc46f5b78b4068a1997d44.png" TargetMode="External"/><Relationship Id="rId3854" Type="http://schemas.openxmlformats.org/officeDocument/2006/relationships/hyperlink" Target="https://cdn2-retail-images.kiotviet.vn/2025/11/07/giabaopharma/eb85852f51394b32ac316c9737a558ae.jpg" TargetMode="External"/><Relationship Id="rId568" Type="http://schemas.openxmlformats.org/officeDocument/2006/relationships/hyperlink" Target="https://product.hstatic.net/200000428801/product/upload_aba315d9c550451aafa8cbaa4c3d9851.jpg" TargetMode="External"/><Relationship Id="rId775" Type="http://schemas.openxmlformats.org/officeDocument/2006/relationships/hyperlink" Target="https://product.hstatic.net/200000428801/product/upload_bbce15a5338342dcba1ae3ac7c513046.jpg" TargetMode="External"/><Relationship Id="rId982" Type="http://schemas.openxmlformats.org/officeDocument/2006/relationships/hyperlink" Target="https://product.hstatic.net/200000428801/product/upload_9d89570525e04dfe8524d1b7896891fa.jpg" TargetMode="External"/><Relationship Id="rId1198" Type="http://schemas.openxmlformats.org/officeDocument/2006/relationships/hyperlink" Target="https://product.hstatic.net/200000428801/product/upload_2e5d27abd0d54bbd92b775f97c50251a.jpg" TargetMode="External"/><Relationship Id="rId2249" Type="http://schemas.openxmlformats.org/officeDocument/2006/relationships/hyperlink" Target="https://product.hstatic.net/200000428801/product/upload_2cb89812c1794a9996499ea0dbacb8bb.jpg" TargetMode="External"/><Relationship Id="rId2456" Type="http://schemas.openxmlformats.org/officeDocument/2006/relationships/hyperlink" Target="https://product.hstatic.net/200000428801/product/424_9eca81bc97ae4fa9938a706c11d3e582.png" TargetMode="External"/><Relationship Id="rId2663" Type="http://schemas.openxmlformats.org/officeDocument/2006/relationships/hyperlink" Target="https://product.hstatic.net/200000428801/product/upload_bd0f6b7bc59f48d484ea6f69f066474c.jpg" TargetMode="External"/><Relationship Id="rId2870" Type="http://schemas.openxmlformats.org/officeDocument/2006/relationships/hyperlink" Target="https://product.hstatic.net/200000428801/product/upload_17f9288208da4ba5abbe8f937bdefa1b.jpg" TargetMode="External"/><Relationship Id="rId3507" Type="http://schemas.openxmlformats.org/officeDocument/2006/relationships/hyperlink" Target="https://product.hstatic.net/200000428801/product/69_cbd15fd38e934b29a726db467946f941.png" TargetMode="External"/><Relationship Id="rId3714" Type="http://schemas.openxmlformats.org/officeDocument/2006/relationships/hyperlink" Target="https://cdn1-retail-images.kiotviet.vn/2026/01/20/giabaopharma/58ebbae77c0b4f7db3061abeda979996.jpg" TargetMode="External"/><Relationship Id="rId3921" Type="http://schemas.openxmlformats.org/officeDocument/2006/relationships/hyperlink" Target="https://product.hstatic.net/200000428801/product/zalo_screenshot_18_11_2021_722513_3539d04bf2ac430fab9ef4dc0563ec04.png" TargetMode="External"/><Relationship Id="rId428" Type="http://schemas.openxmlformats.org/officeDocument/2006/relationships/hyperlink" Target="https://product.hstatic.net/200000428801/product/60_c4307bfe6f1d4cdbb402ee77f981bef6.png" TargetMode="External"/><Relationship Id="rId635" Type="http://schemas.openxmlformats.org/officeDocument/2006/relationships/hyperlink" Target="https://product.hstatic.net/200000428801/product/upload_065d69b47bc64477a0860bc12d11717f.jpg" TargetMode="External"/><Relationship Id="rId842" Type="http://schemas.openxmlformats.org/officeDocument/2006/relationships/hyperlink" Target="https://product.hstatic.net/200000428801/product/upload_ddb92a6b35fe45f9bd174dcc51ab26dd.jpg" TargetMode="External"/><Relationship Id="rId1058" Type="http://schemas.openxmlformats.org/officeDocument/2006/relationships/hyperlink" Target="https://product.hstatic.net/200000428801/product/upload_b9b89c65e6d64b569f9c8837264d7429.jpg" TargetMode="External"/><Relationship Id="rId1265" Type="http://schemas.openxmlformats.org/officeDocument/2006/relationships/hyperlink" Target="https://product.hstatic.net/200000428801/product/upload_1d00ee49f1e2468e9b8181fe62811f01.jpg" TargetMode="External"/><Relationship Id="rId1472" Type="http://schemas.openxmlformats.org/officeDocument/2006/relationships/hyperlink" Target="https://product.hstatic.net/200000428801/product/upload_255d109023824eed835e0c32bd4c8171.jpg" TargetMode="External"/><Relationship Id="rId2109" Type="http://schemas.openxmlformats.org/officeDocument/2006/relationships/hyperlink" Target="https://product.hstatic.net/200000428801/product/upload_8a038f0630d24325b695a271b6d84cbc.jpg" TargetMode="External"/><Relationship Id="rId2316" Type="http://schemas.openxmlformats.org/officeDocument/2006/relationships/hyperlink" Target="https://product.hstatic.net/200000428801/product/upload_82add1a4ba044b10a2a336a03196512f.jpg" TargetMode="External"/><Relationship Id="rId2523" Type="http://schemas.openxmlformats.org/officeDocument/2006/relationships/hyperlink" Target="https://cdn2-retail-images.kiotviet.vn/2025/02/11/giabaopharma/1bbc4434501d414794d303e44c7a5053.jpg" TargetMode="External"/><Relationship Id="rId2730" Type="http://schemas.openxmlformats.org/officeDocument/2006/relationships/hyperlink" Target="https://product.hstatic.net/200000428801/product/upload_280bf471e8d94c4c9184c1f03267d86e.jpg" TargetMode="External"/><Relationship Id="rId702" Type="http://schemas.openxmlformats.org/officeDocument/2006/relationships/hyperlink" Target="https://cdn2-retail-images.kiotviet.vn/giabaopharma/b0206a51af9e458bbaeeb65bae787185.jpg" TargetMode="External"/><Relationship Id="rId1125" Type="http://schemas.openxmlformats.org/officeDocument/2006/relationships/hyperlink" Target="https://product.hstatic.net/200000428801/product/upload_8849249607d745698501eda2b8c3abd7.jpg" TargetMode="External"/><Relationship Id="rId1332" Type="http://schemas.openxmlformats.org/officeDocument/2006/relationships/hyperlink" Target="https://product.hstatic.net/200000428801/product/upload_6bba6ec50b7b40cea2a1936724b935d3.jpg" TargetMode="External"/><Relationship Id="rId3297" Type="http://schemas.openxmlformats.org/officeDocument/2006/relationships/hyperlink" Target="https://product.hstatic.net/200000428801/product/b91feee5285b48e88bd5f5e00144c1e0_d9ef58c0da56487cbb8278237ca3f100.png" TargetMode="External"/><Relationship Id="rId3157" Type="http://schemas.openxmlformats.org/officeDocument/2006/relationships/hyperlink" Target="https://product.hstatic.net/200000428801/product/35676e9003584205ab7872f34db18918_a61df50c1aee4eb9960437a088161f3b.jpg" TargetMode="External"/><Relationship Id="rId285" Type="http://schemas.openxmlformats.org/officeDocument/2006/relationships/hyperlink" Target="https://cdn2-retail-images.kiotviet.vn/giabaopharma/0ba7f37f313341619706bb25f221c47b.png,https:/cdn2-retail-images.kiotviet.vn/giabaopharma/234be488af944e4bb51c85be35cba2a9.png,https:/cdn2-retail-images.kiotviet.vn/giabaopharma/2a0d0c9aaf0841dc859fdee13012f33d.png,https:/cdn2-retail-images.kiotviet.vn/giabaopharma/46d2fdafb4d74007ad4dd110d4bf3b7e.png,https:/cdn2-retail-images.kiotviet.vn/giabaopharma/1a4c309dfff34ecda5614510ee1e3737.png" TargetMode="External"/><Relationship Id="rId3364" Type="http://schemas.openxmlformats.org/officeDocument/2006/relationships/hyperlink" Target="https://product.hstatic.net/200000428801/product/69aacf317a2c4b2cbee9e929daf05c65_9852d54719a646aabe5e4f2073aae5c9.png" TargetMode="External"/><Relationship Id="rId3571" Type="http://schemas.openxmlformats.org/officeDocument/2006/relationships/hyperlink" Target="https://product.hstatic.net/200000428801/product/59f257a56f55a50bfc44_93ff4ee05c5b43dbb5a1e79628004cd0.jpg" TargetMode="External"/><Relationship Id="rId492" Type="http://schemas.openxmlformats.org/officeDocument/2006/relationships/hyperlink" Target="https://product.hstatic.net/200000428801/product/119_e84b8d12e23c45eba448066408c90a61.png" TargetMode="External"/><Relationship Id="rId2173" Type="http://schemas.openxmlformats.org/officeDocument/2006/relationships/hyperlink" Target="https://product.hstatic.net/200000428801/product/upload_0f00979a135d46fdb4e173a15fa443e3.jpg" TargetMode="External"/><Relationship Id="rId2380" Type="http://schemas.openxmlformats.org/officeDocument/2006/relationships/hyperlink" Target="https://product.hstatic.net/200000428801/product/upload_a35b1bec2926464b92742af2f8fac83a.jpg" TargetMode="External"/><Relationship Id="rId3017" Type="http://schemas.openxmlformats.org/officeDocument/2006/relationships/hyperlink" Target="https://product.hstatic.net/200000428801/product/upload_30e2e0e6e3df4d9bbbcf4c4e43eb6a2f.jpg" TargetMode="External"/><Relationship Id="rId3224" Type="http://schemas.openxmlformats.org/officeDocument/2006/relationships/hyperlink" Target="https://product.hstatic.net/200000428801/product/4a792b819f9f4f0fa68f96bd24d2ae42_5ba6b181ea49408d8dfddd2d8612e638.png" TargetMode="External"/><Relationship Id="rId3431" Type="http://schemas.openxmlformats.org/officeDocument/2006/relationships/hyperlink" Target="https://product.hstatic.net/200000428801/product/335886b79e3c4b47aa0c2432678ffb42_28804a2816814079964ed73d47502cb5.png" TargetMode="External"/><Relationship Id="rId145" Type="http://schemas.openxmlformats.org/officeDocument/2006/relationships/hyperlink" Target="https://cdn2-retail-images.kiotviet.vn/2025/02/28/giabaopharma/f45755b654494820a584590eab1373e3.jpg" TargetMode="External"/><Relationship Id="rId352" Type="http://schemas.openxmlformats.org/officeDocument/2006/relationships/hyperlink" Target="https://product.hstatic.net/200000428801/product/upload_f95352a04ce04b789958bd6c69762c22.jpg" TargetMode="External"/><Relationship Id="rId2033" Type="http://schemas.openxmlformats.org/officeDocument/2006/relationships/hyperlink" Target="https://product.hstatic.net/200000428801/product/upload_8d09b762838343cc9e36cc991e6c165a.jpg" TargetMode="External"/><Relationship Id="rId2240" Type="http://schemas.openxmlformats.org/officeDocument/2006/relationships/hyperlink" Target="https://product.hstatic.net/200000428801/product/513_e1f2dbe0321742068f3d92b26f48cdb9.png" TargetMode="External"/><Relationship Id="rId212" Type="http://schemas.openxmlformats.org/officeDocument/2006/relationships/hyperlink" Target="https://cdn2-retail-images.kiotviet.vn/giabaopharma/68bb4e32fd3b411390e91a8e8573b0af.jpg" TargetMode="External"/><Relationship Id="rId1799" Type="http://schemas.openxmlformats.org/officeDocument/2006/relationships/hyperlink" Target="https://product.hstatic.net/200000428801/product/upload_0f01332cd83e4db9b3f9cf694856b2ee.jpg" TargetMode="External"/><Relationship Id="rId2100" Type="http://schemas.openxmlformats.org/officeDocument/2006/relationships/hyperlink" Target="https://product.hstatic.net/200000428801/product/upload_ce570a5e7b814ce39f37f5a32b441f9d.jpg" TargetMode="External"/><Relationship Id="rId1659" Type="http://schemas.openxmlformats.org/officeDocument/2006/relationships/hyperlink" Target="https://product.hstatic.net/200000428801/product/upload_f9ce663ee07643c3959a23eeff2d8c87.jpg" TargetMode="External"/><Relationship Id="rId1866" Type="http://schemas.openxmlformats.org/officeDocument/2006/relationships/hyperlink" Target="https://product.hstatic.net/200000428801/product/550_52bae827ba584f33846f8035cee3f007.png" TargetMode="External"/><Relationship Id="rId2917" Type="http://schemas.openxmlformats.org/officeDocument/2006/relationships/hyperlink" Target="https://product.hstatic.net/200000428801/product/upload_706d1078c79141c3934fccf46caead05.jpg" TargetMode="External"/><Relationship Id="rId3081" Type="http://schemas.openxmlformats.org/officeDocument/2006/relationships/hyperlink" Target="https://product.hstatic.net/200000428801/product/9e83abdd715b497890bcc03988429d7c_9c78e2280a414974b1ee6044df388727.png" TargetMode="External"/><Relationship Id="rId1519" Type="http://schemas.openxmlformats.org/officeDocument/2006/relationships/hyperlink" Target="https://product.hstatic.net/200000428801/product/upload_adfeb1c4986445b98d7a34ea7f9b01da.jpg" TargetMode="External"/><Relationship Id="rId1726" Type="http://schemas.openxmlformats.org/officeDocument/2006/relationships/hyperlink" Target="https://product.hstatic.net/200000428801/product/23_a1bca3e1ba6a4a76b2799b1b44562f6b.png" TargetMode="External"/><Relationship Id="rId1933" Type="http://schemas.openxmlformats.org/officeDocument/2006/relationships/hyperlink" Target="https://product.hstatic.net/200000428801/product/upload_8434fdd9b3154bf88d7734ff489e3009.jpg" TargetMode="External"/><Relationship Id="rId18" Type="http://schemas.openxmlformats.org/officeDocument/2006/relationships/hyperlink" Target="https://cdn1-retail-images.kiotviet.vn/2026/01/07/giabaopharma/71052f7d31d24e27aa69984874606fc0.jpg" TargetMode="External"/><Relationship Id="rId3898" Type="http://schemas.openxmlformats.org/officeDocument/2006/relationships/hyperlink" Target="https://product.hstatic.net/200000428801/product/thiet_ke_khong_ten__4__7686216da65f4a6781b49c5af9002c78.png" TargetMode="External"/><Relationship Id="rId3758" Type="http://schemas.openxmlformats.org/officeDocument/2006/relationships/hyperlink" Target="https://cdn2-retail-images.kiotviet.vn/2025/10/30/giabaopharma/f78b3e53e447430ca5df71aa619af12f.png" TargetMode="External"/><Relationship Id="rId3965" Type="http://schemas.openxmlformats.org/officeDocument/2006/relationships/hyperlink" Target="https://cdn2-retail-images.kiotviet.vn/2025/10/09/giabaopharma/4c13d71f94e34b05863b00671ebdc309.jpg" TargetMode="External"/><Relationship Id="rId679" Type="http://schemas.openxmlformats.org/officeDocument/2006/relationships/hyperlink" Target="https://product.hstatic.net/200000428801/product/upload_6647168340ef4d988c4e692a62ac587a.jpg" TargetMode="External"/><Relationship Id="rId886" Type="http://schemas.openxmlformats.org/officeDocument/2006/relationships/hyperlink" Target="https://product.hstatic.net/200000428801/product/upload_3adaac0c95604d46b2796760fa5e31bf.jpg" TargetMode="External"/><Relationship Id="rId2567" Type="http://schemas.openxmlformats.org/officeDocument/2006/relationships/hyperlink" Target="https://product.hstatic.net/200000428801/product/upload_4de1f0edd22746c49c53eb8ab51feb9d.jpg" TargetMode="External"/><Relationship Id="rId2774" Type="http://schemas.openxmlformats.org/officeDocument/2006/relationships/hyperlink" Target="https://product.hstatic.net/200000428801/product/upload_5ce44a4e3e654f5792737ce6f80e1e3f.jpg" TargetMode="External"/><Relationship Id="rId3618" Type="http://schemas.openxmlformats.org/officeDocument/2006/relationships/hyperlink" Target="https://product.hstatic.net/200000428801/product/zalo_screenshot_19_11_2021_626157_dee49ebd222140ecb06347a40e49252f.png" TargetMode="External"/><Relationship Id="rId2" Type="http://schemas.openxmlformats.org/officeDocument/2006/relationships/hyperlink" Target="https://cdn2-retail-images.kiotviet.vn/2026/03/31/giabaopharma/5f52ab13ad864281bb1ff46064eac7ce.jpg,https:/cdn2-retail-images.kiotviet.vn/2026/03/31/giabaopharma/1ba022e70e0548d99452df74cc18ab74.jpeg,https:/cdn2-retail-images.kiotviet.vn/2026/03/31/giabaopharma/f63c2250d31d4aac82e373246f5f4caf.jpeg" TargetMode="External"/><Relationship Id="rId539" Type="http://schemas.openxmlformats.org/officeDocument/2006/relationships/hyperlink" Target="https://product.hstatic.net/200000428801/product/upload_1c11785a88a24de48dc8d16c7e6d0312.jpg" TargetMode="External"/><Relationship Id="rId746" Type="http://schemas.openxmlformats.org/officeDocument/2006/relationships/hyperlink" Target="https://product.hstatic.net/200000428801/product/upload_d9d2407752954387813932383a08a31b.jpg" TargetMode="External"/><Relationship Id="rId1169" Type="http://schemas.openxmlformats.org/officeDocument/2006/relationships/hyperlink" Target="https://product.hstatic.net/200000428801/product/upload_f1600597300a409aa3ac6b90f69bf824.jpg" TargetMode="External"/><Relationship Id="rId1376" Type="http://schemas.openxmlformats.org/officeDocument/2006/relationships/hyperlink" Target="https://product.hstatic.net/200000428801/product/upload_984b3fd802754ffbae81ee131d67883a.jpg" TargetMode="External"/><Relationship Id="rId1583" Type="http://schemas.openxmlformats.org/officeDocument/2006/relationships/hyperlink" Target="https://product.hstatic.net/200000428801/product/45_435862a02a0b42f3b61f0f7c78423068.png" TargetMode="External"/><Relationship Id="rId2427" Type="http://schemas.openxmlformats.org/officeDocument/2006/relationships/hyperlink" Target="https://product.hstatic.net/200000428801/product/upload_0b86a3b3b59a4a07929091a40c70ce25.jpg" TargetMode="External"/><Relationship Id="rId2981" Type="http://schemas.openxmlformats.org/officeDocument/2006/relationships/hyperlink" Target="https://product.hstatic.net/200000428801/product/upload_aec5c5f89cbc4141856d3ce460e84241.jpg" TargetMode="External"/><Relationship Id="rId3825" Type="http://schemas.openxmlformats.org/officeDocument/2006/relationships/hyperlink" Target="https://product.hstatic.net/200000428801/product/thiet_ke_khong_ten__94__fa78edd71d1a43699650a01489381b9d.png" TargetMode="External"/><Relationship Id="rId953" Type="http://schemas.openxmlformats.org/officeDocument/2006/relationships/hyperlink" Target="https://product.hstatic.net/200000428801/product/upload_f75f5ba4ca5d46db81b1010867df351f.jpg" TargetMode="External"/><Relationship Id="rId1029" Type="http://schemas.openxmlformats.org/officeDocument/2006/relationships/hyperlink" Target="https://product.hstatic.net/200000428801/product/upload_66e73515be8a4240a636a43d4e4c618c.jpg" TargetMode="External"/><Relationship Id="rId1236" Type="http://schemas.openxmlformats.org/officeDocument/2006/relationships/hyperlink" Target="https://product.hstatic.net/200000428801/product/c36cfced36b4e9eab0a511_96630c9ffe644708925a340352889374.jpg" TargetMode="External"/><Relationship Id="rId1790" Type="http://schemas.openxmlformats.org/officeDocument/2006/relationships/hyperlink" Target="https://product.hstatic.net/200000428801/product/558_57b7aff6c0a74347adfe505c3a759384.png" TargetMode="External"/><Relationship Id="rId2634" Type="http://schemas.openxmlformats.org/officeDocument/2006/relationships/hyperlink" Target="https://product.hstatic.net/200000428801/product/upload_09e44b2abdb14ed1b5d872067042fa6a.jpg" TargetMode="External"/><Relationship Id="rId2841" Type="http://schemas.openxmlformats.org/officeDocument/2006/relationships/hyperlink" Target="https://product.hstatic.net/200000428801/product/upload_a51da6bcd0804e43b57a6b8c0f6896db.jpg" TargetMode="External"/><Relationship Id="rId82" Type="http://schemas.openxmlformats.org/officeDocument/2006/relationships/hyperlink" Target="https://i.postimg.cc/Kj6cvwLC/04f5f82aca034e919f23f172e689804b.jpg" TargetMode="External"/><Relationship Id="rId606" Type="http://schemas.openxmlformats.org/officeDocument/2006/relationships/hyperlink" Target="https://product.hstatic.net/200000428801/product/110_21522ee41d554c979059c3890e8054cb.png" TargetMode="External"/><Relationship Id="rId813" Type="http://schemas.openxmlformats.org/officeDocument/2006/relationships/hyperlink" Target="https://product.hstatic.net/200000428801/product/upload_afb7f614eb4349918bf88e560e72a438.jpg" TargetMode="External"/><Relationship Id="rId1443" Type="http://schemas.openxmlformats.org/officeDocument/2006/relationships/hyperlink" Target="https://product.hstatic.net/200000428801/product/upload_5f3d88026b994e118159fa0d7ae3a906.jpg" TargetMode="External"/><Relationship Id="rId1650" Type="http://schemas.openxmlformats.org/officeDocument/2006/relationships/hyperlink" Target="https://product.hstatic.net/200000428801/product/upload_abc59bf94b9e4fdb8e4ee6ef72b5df7c.jpg" TargetMode="External"/><Relationship Id="rId2701" Type="http://schemas.openxmlformats.org/officeDocument/2006/relationships/hyperlink" Target="https://product.hstatic.net/200000428801/product/upload_de6e6a956cb64031b5090b6d563d152d.jpg" TargetMode="External"/><Relationship Id="rId1303" Type="http://schemas.openxmlformats.org/officeDocument/2006/relationships/hyperlink" Target="https://product.hstatic.net/200000428801/product/upload_31fd1cd2ae0547b193440014c7f37ab9.jpg" TargetMode="External"/><Relationship Id="rId1510" Type="http://schemas.openxmlformats.org/officeDocument/2006/relationships/hyperlink" Target="https://product.hstatic.net/200000428801/product/upload_91a944ab3ca342149787ec220180e026.jpg" TargetMode="External"/><Relationship Id="rId3268" Type="http://schemas.openxmlformats.org/officeDocument/2006/relationships/hyperlink" Target="https://product.hstatic.net/200000428801/product/d4a3e614deb74ef1ab95f247df2de115_f395800e52ae4c5fbfa8b5d18a2826cf.png" TargetMode="External"/><Relationship Id="rId3475" Type="http://schemas.openxmlformats.org/officeDocument/2006/relationships/hyperlink" Target="https://product.hstatic.net/200000428801/product/0b273c194d49436bb40a2d20f0123381_a81b4474d3724721bf25035091a04835.png" TargetMode="External"/><Relationship Id="rId3682" Type="http://schemas.openxmlformats.org/officeDocument/2006/relationships/hyperlink" Target="https://product.hstatic.net/200000428801/product/thiet_ke_khong_ten__14__bae8423348a04c5a82ad4cb266129098.png" TargetMode="External"/><Relationship Id="rId189" Type="http://schemas.openxmlformats.org/officeDocument/2006/relationships/hyperlink" Target="https://cdn2-retail-images.kiotviet.vn/2024/11/15/giabaopharma/c0dc46cf0e1947c9a8473ef7c8a02501.png" TargetMode="External"/><Relationship Id="rId396" Type="http://schemas.openxmlformats.org/officeDocument/2006/relationships/hyperlink" Target="https://product.hstatic.net/200000428801/product/acac7c7c398c49539756254aead8fc65_b706ec44ad1e49fe8586d13558097848.png" TargetMode="External"/><Relationship Id="rId2077" Type="http://schemas.openxmlformats.org/officeDocument/2006/relationships/hyperlink" Target="https://product.hstatic.net/200000428801/product/upload_3bf562b1b07341e7b7b2e9918b659718.jpg" TargetMode="External"/><Relationship Id="rId2284" Type="http://schemas.openxmlformats.org/officeDocument/2006/relationships/hyperlink" Target="https://product.hstatic.net/200000428801/product/1d8aebb8542c45439a84a47a36bab161_308730c6895e4c83a9faf688b83ad5db.png" TargetMode="External"/><Relationship Id="rId2491" Type="http://schemas.openxmlformats.org/officeDocument/2006/relationships/hyperlink" Target="https://product.hstatic.net/200000428801/product/upload_6cb2831adddb4eb397c4d1097ccf07c5.jpg" TargetMode="External"/><Relationship Id="rId3128" Type="http://schemas.openxmlformats.org/officeDocument/2006/relationships/hyperlink" Target="https://product.hstatic.net/200000428801/product/7cd662dcd1e744e8961f3f47d0cbb497_9376ccda0af347aba6d102f967856028.png" TargetMode="External"/><Relationship Id="rId3335" Type="http://schemas.openxmlformats.org/officeDocument/2006/relationships/hyperlink" Target="https://product.hstatic.net/200000428801/product/261cb19cb9674aeab6279232df34c239_227e64442a3b47989b3972a245c1941c.png" TargetMode="External"/><Relationship Id="rId3542" Type="http://schemas.openxmlformats.org/officeDocument/2006/relationships/hyperlink" Target="https://product.hstatic.net/200000428801/product/51a89950aa13654d3c02_cf5c43a2caea45b5b81c5c4f224ba23e.jpg" TargetMode="External"/><Relationship Id="rId256" Type="http://schemas.openxmlformats.org/officeDocument/2006/relationships/hyperlink" Target="https://cdn-images.kiotviet.vn/giabaopharma/c79a34841a904422961aadf56cadd4bc.png" TargetMode="External"/><Relationship Id="rId463" Type="http://schemas.openxmlformats.org/officeDocument/2006/relationships/hyperlink" Target="https://product.hstatic.net/200000428801/product/bf5db122ad17476797e4e27424fb154f_a419229513bb4f8496895fbb229498cf.png" TargetMode="External"/><Relationship Id="rId670" Type="http://schemas.openxmlformats.org/officeDocument/2006/relationships/hyperlink" Target="https://product.hstatic.net/200000428801/product/upload_094a1845195a4efdb3ebfebe1efbf8ae.jpg" TargetMode="External"/><Relationship Id="rId1093" Type="http://schemas.openxmlformats.org/officeDocument/2006/relationships/hyperlink" Target="https://product.hstatic.net/200000428801/product/upload_32529083032343909dadbd4768e6ff90.jpg" TargetMode="External"/><Relationship Id="rId2144" Type="http://schemas.openxmlformats.org/officeDocument/2006/relationships/hyperlink" Target="https://product.hstatic.net/200000428801/product/9c057afab0034805b72cde0b06b6dc14_b89175ca07f34c6e91cf796f97650f23.png" TargetMode="External"/><Relationship Id="rId2351" Type="http://schemas.openxmlformats.org/officeDocument/2006/relationships/hyperlink" Target="https://product.hstatic.net/200000428801/product/474_b88f0d42b50e4ba5a5acb9dfff75c3bd.png" TargetMode="External"/><Relationship Id="rId3402" Type="http://schemas.openxmlformats.org/officeDocument/2006/relationships/hyperlink" Target="https://product.hstatic.net/200000428801/product/b8408fe6981647b5b8b8bb47f7a93b20_b422ce39b8ba4a78a68d4e9c10e9fd95.png" TargetMode="External"/><Relationship Id="rId116" Type="http://schemas.openxmlformats.org/officeDocument/2006/relationships/hyperlink" Target="https://cdn2-retail-images.kiotviet.vn/2025/03/24/giabaopharma/7faf6361e7264e499f933cbd9b7318ac.jpg,https:/cdn2-retail-images.kiotviet.vn/2025/05/29/giabaopharma/2ce22d088ff2488eaae9ddb579a4920a.jpg,https:/cdn2-retail-images.kiotviet.vn/2025/05/29/giabaopharma/315274f1b33d4e428adbee5b4aff515a.jpg" TargetMode="External"/><Relationship Id="rId323" Type="http://schemas.openxmlformats.org/officeDocument/2006/relationships/hyperlink" Target="https://product.hstatic.net/200000428801/product/upload_7e131e9eebc7461c90ba6c20dafe558a.jpg" TargetMode="External"/><Relationship Id="rId530" Type="http://schemas.openxmlformats.org/officeDocument/2006/relationships/hyperlink" Target="https://product.hstatic.net/200000428801/product/upload_0dac8bab20734a66a1aee88cb08c5258.jpg" TargetMode="External"/><Relationship Id="rId1160" Type="http://schemas.openxmlformats.org/officeDocument/2006/relationships/hyperlink" Target="https://product.hstatic.net/200000428801/product/upload_cb5039166dba4f63bbff96abc86b2dc7.jpg" TargetMode="External"/><Relationship Id="rId2004" Type="http://schemas.openxmlformats.org/officeDocument/2006/relationships/hyperlink" Target="https://product.hstatic.net/200000428801/product/upload_b77094c37faa48c09230775a2d6fe3ba.jpg" TargetMode="External"/><Relationship Id="rId2211" Type="http://schemas.openxmlformats.org/officeDocument/2006/relationships/hyperlink" Target="https://product.hstatic.net/200000428801/product/upload_d9e08d30033e4381ac5021347809f600.jpg" TargetMode="External"/><Relationship Id="rId1020" Type="http://schemas.openxmlformats.org/officeDocument/2006/relationships/hyperlink" Target="https://product.hstatic.net/200000428801/product/upload_b18af3aef11840969ec571c1bf337c9e.jpg" TargetMode="External"/><Relationship Id="rId1977" Type="http://schemas.openxmlformats.org/officeDocument/2006/relationships/hyperlink" Target="https://product.hstatic.net/200000428801/product/upload_596c9cdc837344f097f4e54d2b81a7e1.jpg" TargetMode="External"/><Relationship Id="rId1837" Type="http://schemas.openxmlformats.org/officeDocument/2006/relationships/hyperlink" Target="https://product.hstatic.net/200000428801/product/upload_d1739107e1e647668567c982475e53b2.jpg" TargetMode="External"/><Relationship Id="rId3192" Type="http://schemas.openxmlformats.org/officeDocument/2006/relationships/hyperlink" Target="https://product.hstatic.net/200000428801/product/2c7c1a7b8bc2476c8fe381d9d793ad39_8d47fbb79a244a61a1df9097fe40e08c.png" TargetMode="External"/><Relationship Id="rId4036" Type="http://schemas.openxmlformats.org/officeDocument/2006/relationships/hyperlink" Target="https://product.hstatic.net/200000428801/product/f95aa069edec27b27efd_6281f52d35844ca3b318119d8c31f02a.jpg" TargetMode="External"/><Relationship Id="rId3052" Type="http://schemas.openxmlformats.org/officeDocument/2006/relationships/hyperlink" Target="https://product.hstatic.net/200000428801/product/upload_faf0259b003041d09066ad4005d4d2fe.jpg" TargetMode="External"/><Relationship Id="rId180" Type="http://schemas.openxmlformats.org/officeDocument/2006/relationships/hyperlink" Target="https://cdn-images.kiotviet.vn/2024/12/12/giabaopharma/c9179ac74d184909a07c7ebfee9331de.jpg" TargetMode="External"/><Relationship Id="rId1904" Type="http://schemas.openxmlformats.org/officeDocument/2006/relationships/hyperlink" Target="https://product.hstatic.net/200000428801/product/upload_3ad7f85ba9c047f4860a46bcbeacc7ca.jpg" TargetMode="External"/><Relationship Id="rId3869" Type="http://schemas.openxmlformats.org/officeDocument/2006/relationships/hyperlink" Target="https://product.hstatic.net/200000428801/product/d0d550fec154000a5945_bb18439fee964317acb44bb7100f4885.jpg" TargetMode="External"/><Relationship Id="rId997" Type="http://schemas.openxmlformats.org/officeDocument/2006/relationships/hyperlink" Target="https://product.hstatic.net/200000428801/product/upload_21142f13aa404a87bb87d2375ce99dd5.jpg" TargetMode="External"/><Relationship Id="rId2678" Type="http://schemas.openxmlformats.org/officeDocument/2006/relationships/hyperlink" Target="https://product.hstatic.net/200000428801/product/upload_9db1cf9c64e94291b9943746ba337751.jpg" TargetMode="External"/><Relationship Id="rId2885" Type="http://schemas.openxmlformats.org/officeDocument/2006/relationships/hyperlink" Target="https://product.hstatic.net/200000428801/product/upload_d24974ce9e1148fb8a94943a3839b0b2.jpg" TargetMode="External"/><Relationship Id="rId3729" Type="http://schemas.openxmlformats.org/officeDocument/2006/relationships/hyperlink" Target="https://product.hstatic.net/200000428801/product/14_8151033c5f344db1bc7e152d2a3ac6bd.png" TargetMode="External"/><Relationship Id="rId3936" Type="http://schemas.openxmlformats.org/officeDocument/2006/relationships/hyperlink" Target="https://product.hstatic.net/200000428801/product/zalo_screenshot_18_11_2021_719673_4a8fcda20dec4a488715f908ee082149.png" TargetMode="External"/><Relationship Id="rId857" Type="http://schemas.openxmlformats.org/officeDocument/2006/relationships/hyperlink" Target="https://product.hstatic.net/200000428801/product/upload_2fb16d315b8849b39d6494a9aa5cd8c3.jpg" TargetMode="External"/><Relationship Id="rId1487" Type="http://schemas.openxmlformats.org/officeDocument/2006/relationships/hyperlink" Target="https://product.hstatic.net/200000428801/product/upload_1cca2ddb341b4ba69cb9972dd58cab5f.jpg" TargetMode="External"/><Relationship Id="rId1694" Type="http://schemas.openxmlformats.org/officeDocument/2006/relationships/hyperlink" Target="https://product.hstatic.net/200000428801/product/upload_34e5cb7ae2f24206b6ff3c1abbae512a.jpg" TargetMode="External"/><Relationship Id="rId2538" Type="http://schemas.openxmlformats.org/officeDocument/2006/relationships/hyperlink" Target="https://product.hstatic.net/200000428801/product/upload_69deb8b5fd3643a58f22c3110cd80cbe.jpg" TargetMode="External"/><Relationship Id="rId2745" Type="http://schemas.openxmlformats.org/officeDocument/2006/relationships/hyperlink" Target="https://product.hstatic.net/200000428801/product/upload_a18903a98b5d4093b5d5c9ae15c641fc.jpg" TargetMode="External"/><Relationship Id="rId2952" Type="http://schemas.openxmlformats.org/officeDocument/2006/relationships/hyperlink" Target="https://product.hstatic.net/200000428801/product/upload_7fd175a932144449b1f17d9af090de04.jpg" TargetMode="External"/><Relationship Id="rId717" Type="http://schemas.openxmlformats.org/officeDocument/2006/relationships/hyperlink" Target="https://product.hstatic.net/200000428801/product/upload_0310addd42a14aa7aa272b39430cadef.jpg" TargetMode="External"/><Relationship Id="rId924" Type="http://schemas.openxmlformats.org/officeDocument/2006/relationships/hyperlink" Target="https://product.hstatic.net/200000428801/product/upload_71e040f6eed4420abafe9aa0676ba512.jpg" TargetMode="External"/><Relationship Id="rId1347" Type="http://schemas.openxmlformats.org/officeDocument/2006/relationships/hyperlink" Target="https://product.hstatic.net/200000428801/product/upload_117f112ba6db4a6c8f6f1335ec18f1ef.jpg" TargetMode="External"/><Relationship Id="rId1554" Type="http://schemas.openxmlformats.org/officeDocument/2006/relationships/hyperlink" Target="https://product.hstatic.net/200000428801/product/upload_a56d43771c5b44e1a5d1db3cc0410b15.jpg" TargetMode="External"/><Relationship Id="rId1761" Type="http://schemas.openxmlformats.org/officeDocument/2006/relationships/hyperlink" Target="https://product.hstatic.net/200000428801/product/3_47e021d29c694a58b35e7067a4e1643f.png" TargetMode="External"/><Relationship Id="rId2605" Type="http://schemas.openxmlformats.org/officeDocument/2006/relationships/hyperlink" Target="https://product.hstatic.net/200000428801/product/upload_ccae8bf7873f4812ad23197a69dfd8ec.jpg" TargetMode="External"/><Relationship Id="rId2812" Type="http://schemas.openxmlformats.org/officeDocument/2006/relationships/hyperlink" Target="https://product.hstatic.net/200000428801/product/upload_cd862408c9ca49ee84be92f9b25f518b.jpg" TargetMode="External"/><Relationship Id="rId53" Type="http://schemas.openxmlformats.org/officeDocument/2006/relationships/hyperlink" Target="https://i.postimg.cc/0jtBHH80/425.png" TargetMode="External"/><Relationship Id="rId1207" Type="http://schemas.openxmlformats.org/officeDocument/2006/relationships/hyperlink" Target="https://product.hstatic.net/200000428801/product/upload_e54fe20a9fa74be6a3537b5a83fea29e.jpg" TargetMode="External"/><Relationship Id="rId1414" Type="http://schemas.openxmlformats.org/officeDocument/2006/relationships/hyperlink" Target="https://product.hstatic.net/200000428801/product/upload_12149d5c7d304ad7b8c643a36ce99c34.jpg" TargetMode="External"/><Relationship Id="rId1621" Type="http://schemas.openxmlformats.org/officeDocument/2006/relationships/hyperlink" Target="https://product.hstatic.net/200000428801/product/upload_200d2a7c9775420db52431f448ba2e07.jpg" TargetMode="External"/><Relationship Id="rId3379" Type="http://schemas.openxmlformats.org/officeDocument/2006/relationships/hyperlink" Target="https://product.hstatic.net/200000428801/product/2202a747683846919bd3c7abf262fe10_a684ddabfb344d0f9ab152d7c42e1c4b.png" TargetMode="External"/><Relationship Id="rId3586" Type="http://schemas.openxmlformats.org/officeDocument/2006/relationships/hyperlink" Target="https://product.hstatic.net/200000428801/product/91_910ff517582843feb23338319bacc0de.png" TargetMode="External"/><Relationship Id="rId3793" Type="http://schemas.openxmlformats.org/officeDocument/2006/relationships/hyperlink" Target="https://product.hstatic.net/200000428801/product/zalo_screenshot_18_11_2021_825162_383e33a5d50e4a439b6a5f92bc0bce55.png" TargetMode="External"/><Relationship Id="rId2188" Type="http://schemas.openxmlformats.org/officeDocument/2006/relationships/hyperlink" Target="https://product.hstatic.net/200000428801/product/upload_b53cabbb73924f34bde91d69166e8e3a.jpg" TargetMode="External"/><Relationship Id="rId2395" Type="http://schemas.openxmlformats.org/officeDocument/2006/relationships/hyperlink" Target="https://product.hstatic.net/200000428801/product/423_20ddf4674ca34911bf86b05dff38d7cd.png" TargetMode="External"/><Relationship Id="rId3239" Type="http://schemas.openxmlformats.org/officeDocument/2006/relationships/hyperlink" Target="https://cdn2-retail-images.kiotviet.vn/2026/03/26/giabaopharma/93734c03d20c4b998cfc63fd2df565b5.jpg" TargetMode="External"/><Relationship Id="rId3446" Type="http://schemas.openxmlformats.org/officeDocument/2006/relationships/hyperlink" Target="https://product.hstatic.net/200000428801/product/ce8925bcbcc64b8b8468a1db095a3653_5291c72c287643109e2a0261a594ed13.png" TargetMode="External"/><Relationship Id="rId367" Type="http://schemas.openxmlformats.org/officeDocument/2006/relationships/hyperlink" Target="https://product.hstatic.net/200000428801/product/upload_3bf5f2974e4b418bb2582a864d304ea9.jpg" TargetMode="External"/><Relationship Id="rId574" Type="http://schemas.openxmlformats.org/officeDocument/2006/relationships/hyperlink" Target="https://product.hstatic.net/200000428801/product/upload_27586c5da0c64a3687352386d5a255aa.jpg" TargetMode="External"/><Relationship Id="rId2048" Type="http://schemas.openxmlformats.org/officeDocument/2006/relationships/hyperlink" Target="https://product.hstatic.net/200000428801/product/upload_d14899f2b42a44fb8a1653b354f28e71.jpg" TargetMode="External"/><Relationship Id="rId2255" Type="http://schemas.openxmlformats.org/officeDocument/2006/relationships/hyperlink" Target="https://product.hstatic.net/200000428801/product/upload_028559c032124b25b13e073048faa3d1.jpg" TargetMode="External"/><Relationship Id="rId3653" Type="http://schemas.openxmlformats.org/officeDocument/2006/relationships/hyperlink" Target="https://product.hstatic.net/200000428801/product/zalo_screenshot_18_11_2021_93743_536af5c11679407e8ffc7a369eb5bc15.png" TargetMode="External"/><Relationship Id="rId3860" Type="http://schemas.openxmlformats.org/officeDocument/2006/relationships/hyperlink" Target="https://cdn2-retail-images.kiotviet.vn/2025/12/06/giabaopharma/7576f32d27cb41ceb0144342bee804a7.jpg" TargetMode="External"/><Relationship Id="rId227" Type="http://schemas.openxmlformats.org/officeDocument/2006/relationships/hyperlink" Target="https://cdn2-retail-images.kiotviet.vn/giabaopharma/c96516e3bd4449ef8ba79b6c18ad26e7.png" TargetMode="External"/><Relationship Id="rId781" Type="http://schemas.openxmlformats.org/officeDocument/2006/relationships/hyperlink" Target="https://product.hstatic.net/200000428801/product/upload_50490e07a77e4188abebcc6972c4e417.jpg" TargetMode="External"/><Relationship Id="rId2462" Type="http://schemas.openxmlformats.org/officeDocument/2006/relationships/hyperlink" Target="https://product.hstatic.net/200000428801/product/upload_eabeba1914004267bf96e92df9937d5f.jpg" TargetMode="External"/><Relationship Id="rId3306" Type="http://schemas.openxmlformats.org/officeDocument/2006/relationships/hyperlink" Target="https://product.hstatic.net/200000428801/product/d846ea86a3314435bd3a2d5d8e6990e3_b8480b594d814cd1b00f56f0006d51a7.png" TargetMode="External"/><Relationship Id="rId3513" Type="http://schemas.openxmlformats.org/officeDocument/2006/relationships/hyperlink" Target="https://product.hstatic.net/200000428801/product/23_e693ebaa9c5b47a095aa10b9114b1fa8.png" TargetMode="External"/><Relationship Id="rId3720" Type="http://schemas.openxmlformats.org/officeDocument/2006/relationships/hyperlink" Target="https://product.hstatic.net/200000428801/product/e1fde0e285f647a81ee7_a468d7bff37d437589f0c5bb2f1e14b1.jpg" TargetMode="External"/><Relationship Id="rId434" Type="http://schemas.openxmlformats.org/officeDocument/2006/relationships/hyperlink" Target="https://product.hstatic.net/200000428801/product/upload_38d3aea6293246acbf8247a36b7ce6a8.jpg" TargetMode="External"/><Relationship Id="rId641" Type="http://schemas.openxmlformats.org/officeDocument/2006/relationships/hyperlink" Target="https://product.hstatic.net/200000428801/product/upload_03fcde2391614fc2860d9058c5b9c2f7.jpg" TargetMode="External"/><Relationship Id="rId1064" Type="http://schemas.openxmlformats.org/officeDocument/2006/relationships/hyperlink" Target="https://product.hstatic.net/200000428801/product/upload_2125cc9dcd454e95b2aa036d0a918571.jpg" TargetMode="External"/><Relationship Id="rId1271" Type="http://schemas.openxmlformats.org/officeDocument/2006/relationships/hyperlink" Target="https://product.hstatic.net/200000428801/product/upload_a8ed53e1e822467e8e5d71b12c5555ce.jpg" TargetMode="External"/><Relationship Id="rId2115" Type="http://schemas.openxmlformats.org/officeDocument/2006/relationships/hyperlink" Target="https://product.hstatic.net/200000428801/product/upload_eff04e2f3875446aa48921b4a2a2cf22.jpg" TargetMode="External"/><Relationship Id="rId2322" Type="http://schemas.openxmlformats.org/officeDocument/2006/relationships/hyperlink" Target="https://product.hstatic.net/200000428801/product/429_62c48e66ffd44db283b4b13366355467.png" TargetMode="External"/><Relationship Id="rId501" Type="http://schemas.openxmlformats.org/officeDocument/2006/relationships/hyperlink" Target="https://product.hstatic.net/200000428801/product/upload_37e2e93dbfdf4b6e9b51ed713a5d6905.jpg" TargetMode="External"/><Relationship Id="rId1131" Type="http://schemas.openxmlformats.org/officeDocument/2006/relationships/hyperlink" Target="https://product.hstatic.net/200000428801/product/upload_5b18dcfd59b949639bc9635d3e326f2b.jpg" TargetMode="External"/><Relationship Id="rId3096" Type="http://schemas.openxmlformats.org/officeDocument/2006/relationships/hyperlink" Target="https://product.hstatic.net/200000428801/product/9e5059f4524c48ef906e5323830acd99_d8491953c753400f99a1c8860e6e2f9b.png" TargetMode="External"/><Relationship Id="rId1948" Type="http://schemas.openxmlformats.org/officeDocument/2006/relationships/hyperlink" Target="https://product.hstatic.net/200000428801/product/upload_9cf684c580b14ee18b0b6043a1d6b1a9.jpg" TargetMode="External"/><Relationship Id="rId3163" Type="http://schemas.openxmlformats.org/officeDocument/2006/relationships/hyperlink" Target="https://product.hstatic.net/200000428801/product/3e4a7d0307e4468d82b3e4c37c9ebef9_720943e2383b4394b4054cf03f549c54.jpg" TargetMode="External"/><Relationship Id="rId3370" Type="http://schemas.openxmlformats.org/officeDocument/2006/relationships/hyperlink" Target="https://product.hstatic.net/200000428801/product/c383c5dacd48487ca06a87a316268227_d8e8cf3ed74b4d80b9853e15bd53db40.png" TargetMode="External"/><Relationship Id="rId4007" Type="http://schemas.openxmlformats.org/officeDocument/2006/relationships/hyperlink" Target="https://product.hstatic.net/200000428801/product/ea95bb68dbb81ae643a9_92fb4d21dcbc40339ca7e5990bc8b465.jpg" TargetMode="External"/><Relationship Id="rId291" Type="http://schemas.openxmlformats.org/officeDocument/2006/relationships/hyperlink" Target="https://product.hstatic.net/200000428801/product/7684f3abf7f348c2949632e532efd833_61bbfbf1ab3f404b9a75560bda1497ec.png" TargetMode="External"/><Relationship Id="rId1808" Type="http://schemas.openxmlformats.org/officeDocument/2006/relationships/hyperlink" Target="https://product.hstatic.net/200000428801/product/upload_add3a64b88954a2780fd2fbf37ae9c38.jpg" TargetMode="External"/><Relationship Id="rId3023" Type="http://schemas.openxmlformats.org/officeDocument/2006/relationships/hyperlink" Target="https://product.hstatic.net/200000428801/product/upload_d513d2a9e9f94bfcb9026f0ed17d8631.jpg" TargetMode="External"/><Relationship Id="rId151" Type="http://schemas.openxmlformats.org/officeDocument/2006/relationships/hyperlink" Target="https://cdn2-retail-images.kiotviet.vn/2025/02/12/giabaopharma/ad99a96b85a442b08487550cb0268fb2.jpg" TargetMode="External"/><Relationship Id="rId3230" Type="http://schemas.openxmlformats.org/officeDocument/2006/relationships/hyperlink" Target="https://product.hstatic.net/200000428801/product/4d2144194aa640d9a1e3f1370a9cff4d_497c3a8e94d440e5a4e58a7f67ddb3ac.png" TargetMode="External"/><Relationship Id="rId2789" Type="http://schemas.openxmlformats.org/officeDocument/2006/relationships/hyperlink" Target="https://product.hstatic.net/200000428801/product/upload_56b5dafa43d9400db3e86f4f8077205b.jpg" TargetMode="External"/><Relationship Id="rId2996" Type="http://schemas.openxmlformats.org/officeDocument/2006/relationships/hyperlink" Target="https://product.hstatic.net/200000428801/product/upload_8332a25bdbac432382766f9382453aaa.jpg" TargetMode="External"/><Relationship Id="rId968" Type="http://schemas.openxmlformats.org/officeDocument/2006/relationships/hyperlink" Target="https://product.hstatic.net/200000428801/product/upload_875e529c5c6240f5a871aae6d3f6f7cb.jpg" TargetMode="External"/><Relationship Id="rId1598" Type="http://schemas.openxmlformats.org/officeDocument/2006/relationships/hyperlink" Target="https://product.hstatic.net/200000428801/product/upload_fdaff592fc9341e081a57d19eee9c2ee.jpg" TargetMode="External"/><Relationship Id="rId2649" Type="http://schemas.openxmlformats.org/officeDocument/2006/relationships/hyperlink" Target="https://product.hstatic.net/200000428801/product/upload_5f820b620013424c9824b13fc95752d8.jpg" TargetMode="External"/><Relationship Id="rId2856" Type="http://schemas.openxmlformats.org/officeDocument/2006/relationships/hyperlink" Target="https://product.hstatic.net/200000428801/product/upload_c8d3627699c54674b7b332bc60c18ded.jpg" TargetMode="External"/><Relationship Id="rId3907" Type="http://schemas.openxmlformats.org/officeDocument/2006/relationships/hyperlink" Target="https://cdn2-retail-images.kiotviet.vn/2025/12/30/giabaopharma/167859d7e9fa400ebe4ba42d5abb56b2.jpg" TargetMode="External"/><Relationship Id="rId97" Type="http://schemas.openxmlformats.org/officeDocument/2006/relationships/hyperlink" Target="https://cdn-images.kiotviet.vn/2025/05/20/giabaopharma/8fafb841fc924217a9380a62a40e17a4.jpg,https:/cdn-images.kiotviet.vn/2025/05/20/giabaopharma/b4e2da4c6b1745f2be316db082acf079.jpg,https:/cdn-images.kiotviet.vn/2025/05/20/giabaopharma/e1c26f261ea642669f134cdf6d83ac19.jpg,https:/cdn-images.kiotviet.vn/2025/05/20/giabaopharma/6a474ef67970427bb5df761de69ec7b9.jpg" TargetMode="External"/><Relationship Id="rId828" Type="http://schemas.openxmlformats.org/officeDocument/2006/relationships/hyperlink" Target="https://product.hstatic.net/200000428801/product/upload_9f6b61a7bbc749fcb8186d7aa89e2944.jpg" TargetMode="External"/><Relationship Id="rId1458" Type="http://schemas.openxmlformats.org/officeDocument/2006/relationships/hyperlink" Target="https://product.hstatic.net/200000428801/product/upload_1cf75d3d582740c89609e6fe96ba5e4d.jpg" TargetMode="External"/><Relationship Id="rId1665" Type="http://schemas.openxmlformats.org/officeDocument/2006/relationships/hyperlink" Target="https://product.hstatic.net/200000428801/product/upload_360cc80af9a846faa55896172cf57be8.jpg" TargetMode="External"/><Relationship Id="rId1872" Type="http://schemas.openxmlformats.org/officeDocument/2006/relationships/hyperlink" Target="https://product.hstatic.net/200000428801/product/upload_4e1a9431829548a99b0adf5f4dda01ad.jpg" TargetMode="External"/><Relationship Id="rId2509" Type="http://schemas.openxmlformats.org/officeDocument/2006/relationships/hyperlink" Target="https://product.hstatic.net/200000428801/product/396_0266d4dc17f64019bc488c4c9c72c8ed.png" TargetMode="External"/><Relationship Id="rId2716" Type="http://schemas.openxmlformats.org/officeDocument/2006/relationships/hyperlink" Target="https://product.hstatic.net/200000428801/product/upload_939c01427dea4573844f579e5fd5043a.jpg" TargetMode="External"/><Relationship Id="rId1318" Type="http://schemas.openxmlformats.org/officeDocument/2006/relationships/hyperlink" Target="https://product.hstatic.net/200000428801/product/upload_c647d680617d496db628d653d225e6c2.jpg" TargetMode="External"/><Relationship Id="rId1525" Type="http://schemas.openxmlformats.org/officeDocument/2006/relationships/hyperlink" Target="https://product.hstatic.net/200000428801/product/099a3d36b9f765a93ce6_c1b749c085a54b7f95f343d97f6a61b3.jpg" TargetMode="External"/><Relationship Id="rId2923" Type="http://schemas.openxmlformats.org/officeDocument/2006/relationships/hyperlink" Target="https://product.hstatic.net/200000428801/product/upload_e635da1b6a12404390333a3c3c6da758.jpg" TargetMode="External"/><Relationship Id="rId1732" Type="http://schemas.openxmlformats.org/officeDocument/2006/relationships/hyperlink" Target="https://product.hstatic.net/200000428801/product/upload_ce7a8f41df88491ab6bad1ab99a9b163.jpg" TargetMode="External"/><Relationship Id="rId24" Type="http://schemas.openxmlformats.org/officeDocument/2006/relationships/hyperlink" Target="https://cdn2-retail-images.kiotviet.vn/2025/12/24/giabaopharma/be9b45d1b8094d04834f32b0b28bcc76.jpg" TargetMode="External"/><Relationship Id="rId2299" Type="http://schemas.openxmlformats.org/officeDocument/2006/relationships/hyperlink" Target="https://product.hstatic.net/200000428801/product/4eb89fa3db044616bf438caa4a9212d6_cc0a7dc2fb4d49e3ba27e74ddfb25315.png" TargetMode="External"/><Relationship Id="rId3697" Type="http://schemas.openxmlformats.org/officeDocument/2006/relationships/hyperlink" Target="https://product.hstatic.net/200000428801/product/10_d0d6da238b09419dacd419e62aef272b.png" TargetMode="External"/><Relationship Id="rId3557" Type="http://schemas.openxmlformats.org/officeDocument/2006/relationships/hyperlink" Target="https://product.hstatic.net/200000428801/product/zalo_screenshot_19_11_2021_639756_d57f43440a014d168f8fcb04ec539ee2.png" TargetMode="External"/><Relationship Id="rId3764" Type="http://schemas.openxmlformats.org/officeDocument/2006/relationships/hyperlink" Target="https://product.hstatic.net/200000428801/product/zalo_screenshot_18_11_2021_827260_01d73f28ff4145829b61e05391ca373e.png" TargetMode="External"/><Relationship Id="rId3971" Type="http://schemas.openxmlformats.org/officeDocument/2006/relationships/hyperlink" Target="https://product.hstatic.net/200000428801/product/27fbaeaa67d1a48ffdc0_fd9386417f5b4d35be5edee6ca128838.jpg" TargetMode="External"/><Relationship Id="rId478" Type="http://schemas.openxmlformats.org/officeDocument/2006/relationships/hyperlink" Target="https://product.hstatic.net/200000428801/product/upload_ff88103055d641acb94cd16787e0b999.jpg" TargetMode="External"/><Relationship Id="rId685" Type="http://schemas.openxmlformats.org/officeDocument/2006/relationships/hyperlink" Target="https://product.hstatic.net/200000428801/product/upload_f6438dc2be88421eafdaaa18376a0a86.jpg" TargetMode="External"/><Relationship Id="rId892" Type="http://schemas.openxmlformats.org/officeDocument/2006/relationships/hyperlink" Target="https://product.hstatic.net/200000428801/product/upload_db7b8c242a044dcab9772d77216d5e02.jpg" TargetMode="External"/><Relationship Id="rId2159" Type="http://schemas.openxmlformats.org/officeDocument/2006/relationships/hyperlink" Target="https://product.hstatic.net/200000428801/product/upload_7575bdec9e0045b6b98161651c839b6c.jpg" TargetMode="External"/><Relationship Id="rId2366" Type="http://schemas.openxmlformats.org/officeDocument/2006/relationships/hyperlink" Target="https://product.hstatic.net/200000428801/product/upload_5e1f23a96bf84013a18900f89aa06d43.jpg" TargetMode="External"/><Relationship Id="rId2573" Type="http://schemas.openxmlformats.org/officeDocument/2006/relationships/hyperlink" Target="https://product.hstatic.net/200000428801/product/upload_62fdfbc1a97b44a4b4b1af39089205eb.jpg" TargetMode="External"/><Relationship Id="rId2780" Type="http://schemas.openxmlformats.org/officeDocument/2006/relationships/hyperlink" Target="https://product.hstatic.net/200000428801/product/upload_519a632fc90444e6af9d1a24190983c5.jpg" TargetMode="External"/><Relationship Id="rId3417" Type="http://schemas.openxmlformats.org/officeDocument/2006/relationships/hyperlink" Target="https://product.hstatic.net/200000428801/product/fb2859734bb44031ab831caa7cf3de56_b057f490867d46d5a5839bb4d9b6968e.png" TargetMode="External"/><Relationship Id="rId3624" Type="http://schemas.openxmlformats.org/officeDocument/2006/relationships/hyperlink" Target="https://product.hstatic.net/200000428801/product/d603bea324b8eae6b3a9_40232a62ba0d4666a0cae39f3fe204cb.jpg" TargetMode="External"/><Relationship Id="rId3831" Type="http://schemas.openxmlformats.org/officeDocument/2006/relationships/hyperlink" Target="https://cdn2-retail-images.kiotviet.vn/2025/11/29/giabaopharma/bbf4dd24767d496095c0606991b452e0.jpg" TargetMode="External"/><Relationship Id="rId338" Type="http://schemas.openxmlformats.org/officeDocument/2006/relationships/hyperlink" Target="https://product.hstatic.net/200000428801/product/3_47e021d29c694a58b35e7067a4e1643f.png" TargetMode="External"/><Relationship Id="rId545" Type="http://schemas.openxmlformats.org/officeDocument/2006/relationships/hyperlink" Target="https://product.hstatic.net/200000428801/product/upload_2d4e75821260476bb634061d822f4ce8.jpg" TargetMode="External"/><Relationship Id="rId752" Type="http://schemas.openxmlformats.org/officeDocument/2006/relationships/hyperlink" Target="https://product.hstatic.net/200000428801/product/upload_9dac4a6eaa71408d9e45f90cc88ea707.jpg" TargetMode="External"/><Relationship Id="rId1175" Type="http://schemas.openxmlformats.org/officeDocument/2006/relationships/hyperlink" Target="https://product.hstatic.net/200000428801/product/upload_a6e7abc29bc44ab9a03530cd0464db5c.jpg" TargetMode="External"/><Relationship Id="rId1382" Type="http://schemas.openxmlformats.org/officeDocument/2006/relationships/hyperlink" Target="https://product.hstatic.net/200000428801/product/upload_ef10f5c19cda43f08fe8275f501c3bf0.jpg" TargetMode="External"/><Relationship Id="rId2019" Type="http://schemas.openxmlformats.org/officeDocument/2006/relationships/hyperlink" Target="https://product.hstatic.net/200000428801/product/upload_792cebd19cdc4f3d99f0f7324d811364.jpg" TargetMode="External"/><Relationship Id="rId2226" Type="http://schemas.openxmlformats.org/officeDocument/2006/relationships/hyperlink" Target="https://product.hstatic.net/200000428801/product/494_592fcf461f114c83a1e18d4969e9abfe.png" TargetMode="External"/><Relationship Id="rId2433" Type="http://schemas.openxmlformats.org/officeDocument/2006/relationships/hyperlink" Target="https://product.hstatic.net/200000428801/product/upload_8d6019d249fd42d783fb52d22625649c.jpg" TargetMode="External"/><Relationship Id="rId2640" Type="http://schemas.openxmlformats.org/officeDocument/2006/relationships/hyperlink" Target="https://product.hstatic.net/200000428801/product/upload_b57017698e704951b96d779514d9b43e.jpg" TargetMode="External"/><Relationship Id="rId405" Type="http://schemas.openxmlformats.org/officeDocument/2006/relationships/hyperlink" Target="https://product.hstatic.net/200000428801/product/10435117e9034430b5b39160fe526483_cbdea4ee1765488c8bfc8130068e5e91.png" TargetMode="External"/><Relationship Id="rId612" Type="http://schemas.openxmlformats.org/officeDocument/2006/relationships/hyperlink" Target="https://product.hstatic.net/200000428801/product/upload_3f92529f76424dfd823f3db3c1137bbf.jpg" TargetMode="External"/><Relationship Id="rId1035" Type="http://schemas.openxmlformats.org/officeDocument/2006/relationships/hyperlink" Target="https://product.hstatic.net/200000428801/product/upload_a09bee90d1c64e8db80e8352e3a13b79.jpg" TargetMode="External"/><Relationship Id="rId1242" Type="http://schemas.openxmlformats.org/officeDocument/2006/relationships/hyperlink" Target="https://product.hstatic.net/200000428801/product/upload_bd804e44e2d14eed93347d3d320c8e15.jpg" TargetMode="External"/><Relationship Id="rId2500" Type="http://schemas.openxmlformats.org/officeDocument/2006/relationships/hyperlink" Target="https://product.hstatic.net/200000428801/product/upload_0fb6e352544f4e798aeaa00650600157.jpg" TargetMode="External"/><Relationship Id="rId1102" Type="http://schemas.openxmlformats.org/officeDocument/2006/relationships/hyperlink" Target="https://product.hstatic.net/200000428801/product/upload_b4d5b06b29154ce1808063366b8821e5.jpg" TargetMode="External"/><Relationship Id="rId3067" Type="http://schemas.openxmlformats.org/officeDocument/2006/relationships/hyperlink" Target="https://product.hstatic.net/200000428801/product/upload_9246e30067d84297989fa1962c4325c7.jpg" TargetMode="External"/><Relationship Id="rId3274" Type="http://schemas.openxmlformats.org/officeDocument/2006/relationships/hyperlink" Target="https://product.hstatic.net/200000428801/product/192_e6bb8ce8a9e943cb8c140240fc2c9f01.png" TargetMode="External"/><Relationship Id="rId195" Type="http://schemas.openxmlformats.org/officeDocument/2006/relationships/hyperlink" Target="https://cdn2-retail-images.kiotviet.vn/2024/09/24/giabaopharma/c4d5a86ceb59444f9eb61adf422619bb.png" TargetMode="External"/><Relationship Id="rId1919" Type="http://schemas.openxmlformats.org/officeDocument/2006/relationships/hyperlink" Target="https://product.hstatic.net/200000428801/product/upload_729123fb5c6d4323a1e4403f32ba6aa8.jpg" TargetMode="External"/><Relationship Id="rId3481" Type="http://schemas.openxmlformats.org/officeDocument/2006/relationships/hyperlink" Target="https://product.hstatic.net/200000428801/product/9c4977fb1a664884be8a8bd05d6b25de_667db24a810e44479a11c1b3b640bf3f.png" TargetMode="External"/><Relationship Id="rId2083" Type="http://schemas.openxmlformats.org/officeDocument/2006/relationships/hyperlink" Target="https://product.hstatic.net/200000428801/product/upload_1494fb5017204ca8b2002aee5b6e3ce3.jpg" TargetMode="External"/><Relationship Id="rId2290" Type="http://schemas.openxmlformats.org/officeDocument/2006/relationships/hyperlink" Target="https://product.hstatic.net/200000428801/product/080758f503a44d45be57cb236e6bdd4b_04f858a817504ff7884f4765af75b790.png" TargetMode="External"/><Relationship Id="rId3134" Type="http://schemas.openxmlformats.org/officeDocument/2006/relationships/hyperlink" Target="https://product.hstatic.net/200000428801/product/9db91bb667634adfa47892a98d34a7b6_b999852333094f70be85bb4e29be5e6f.png" TargetMode="External"/><Relationship Id="rId3341" Type="http://schemas.openxmlformats.org/officeDocument/2006/relationships/hyperlink" Target="https://product.hstatic.net/200000428801/product/25e53442ce664738a2cf44402e97c927_bc0d83a85c1b4341b92d4a6affcb06a3.png" TargetMode="External"/><Relationship Id="rId262" Type="http://schemas.openxmlformats.org/officeDocument/2006/relationships/hyperlink" Target="https://cdn-images.kiotviet.vn/giabaopharma/0419cfde9aae439d8287d7614c4c9c9f.jpg" TargetMode="External"/><Relationship Id="rId2150" Type="http://schemas.openxmlformats.org/officeDocument/2006/relationships/hyperlink" Target="https://product.hstatic.net/200000428801/product/b637dd4a3ba945bfbe8fe3bc32d39116_824c6fafe781499d8a3223de853ff78a.png" TargetMode="External"/><Relationship Id="rId3201" Type="http://schemas.openxmlformats.org/officeDocument/2006/relationships/hyperlink" Target="https://product.hstatic.net/200000428801/product/b264e15e5eda4c19afe039110f1794e5_9778e183c5344d8eb4e9899f3e33ac9f.png" TargetMode="External"/><Relationship Id="rId122" Type="http://schemas.openxmlformats.org/officeDocument/2006/relationships/hyperlink" Target="https://cdn2-retail-images.kiotviet.vn/2025/12/23/giabaopharma/8887ac99b81949618e65338405d9c58b.png" TargetMode="External"/><Relationship Id="rId2010" Type="http://schemas.openxmlformats.org/officeDocument/2006/relationships/hyperlink" Target="https://product.hstatic.net/200000428801/product/upload_845e0d4e4c924d1bb8a4b634edf46735.jpg" TargetMode="External"/><Relationship Id="rId1569" Type="http://schemas.openxmlformats.org/officeDocument/2006/relationships/hyperlink" Target="https://product.hstatic.net/200000428801/product/upload_c27e5dde387c40acadf7094359b81368.jpg" TargetMode="External"/><Relationship Id="rId2967" Type="http://schemas.openxmlformats.org/officeDocument/2006/relationships/hyperlink" Target="https://product.hstatic.net/200000428801/product/upload_1af4d546e6ac44aea29b15f5bf53bddc.jpg" TargetMode="External"/><Relationship Id="rId939" Type="http://schemas.openxmlformats.org/officeDocument/2006/relationships/hyperlink" Target="https://product.hstatic.net/200000428801/product/upload_63c9f9904dff4bfe822085b13bac2342.jpg" TargetMode="External"/><Relationship Id="rId1776" Type="http://schemas.openxmlformats.org/officeDocument/2006/relationships/hyperlink" Target="https://product.hstatic.net/200000428801/product/upload_4c9d79971b5c4741a579128be1ab714f.jpg" TargetMode="External"/><Relationship Id="rId1983" Type="http://schemas.openxmlformats.org/officeDocument/2006/relationships/hyperlink" Target="https://product.hstatic.net/200000428801/product/upload_a255f8eab08548dba474797e2e0e0454.jpg" TargetMode="External"/><Relationship Id="rId2827" Type="http://schemas.openxmlformats.org/officeDocument/2006/relationships/hyperlink" Target="https://product.hstatic.net/200000428801/product/upload_8ca89ff2a64a4ba89ea9362cb523c0dd.jpg" TargetMode="External"/><Relationship Id="rId4042" Type="http://schemas.openxmlformats.org/officeDocument/2006/relationships/hyperlink" Target="https://product.hstatic.net/200000428801/product/zalo_screenshot_17_11_2021_950921_e54d5f29afc0474da8b33dad61594dc0.png" TargetMode="External"/><Relationship Id="rId68" Type="http://schemas.openxmlformats.org/officeDocument/2006/relationships/hyperlink" Target="https://i.postimg.cc/nhdq9b3Q/ng-Canxi-D3-K2-Kingphar-h-tr-b-sung-canxi-vitamin-D3-cho-tr-em-H-p-4-v-x-5-ng-2.png" TargetMode="External"/><Relationship Id="rId1429" Type="http://schemas.openxmlformats.org/officeDocument/2006/relationships/hyperlink" Target="https://product.hstatic.net/200000428801/product/39f7c9cec06449239ee75980ca916a31_ed42f426362c4b4ebf1179a90015e25e.png" TargetMode="External"/><Relationship Id="rId1636" Type="http://schemas.openxmlformats.org/officeDocument/2006/relationships/hyperlink" Target="https://product.hstatic.net/200000428801/product/upload_3380036391f149da97d2af9d248249e7.jpg" TargetMode="External"/><Relationship Id="rId1843" Type="http://schemas.openxmlformats.org/officeDocument/2006/relationships/hyperlink" Target="https://product.hstatic.net/200000428801/product/upload_5629f8525bd345e39bbb1cc5a9044ffc.jpg" TargetMode="External"/><Relationship Id="rId1703" Type="http://schemas.openxmlformats.org/officeDocument/2006/relationships/hyperlink" Target="https://product.hstatic.net/200000428801/product/25_445e2adf40684db8b5ed659672d0badb.png" TargetMode="External"/><Relationship Id="rId1910" Type="http://schemas.openxmlformats.org/officeDocument/2006/relationships/hyperlink" Target="https://product.hstatic.net/200000428801/product/67c80e7e32374f6788e7f492b67a0f9e_28da79052cfd430b8715b75a29aaec07.jpg" TargetMode="External"/><Relationship Id="rId3668" Type="http://schemas.openxmlformats.org/officeDocument/2006/relationships/hyperlink" Target="https://product.hstatic.net/200000428801/product/_1000x1000__paralmax_cam_cum_180v_bc2c8070053a4614a5fc5a796e67c780.jpg" TargetMode="External"/><Relationship Id="rId3875" Type="http://schemas.openxmlformats.org/officeDocument/2006/relationships/hyperlink" Target="https://product.hstatic.net/200000428801/product/eff_0f6a457db77c49a5a6790f44fbe8f8cc.jpg" TargetMode="External"/><Relationship Id="rId589" Type="http://schemas.openxmlformats.org/officeDocument/2006/relationships/hyperlink" Target="https://product.hstatic.net/200000428801/product/upload_95fd5d9571884a4cafe0fa39fb36bc91.jpg" TargetMode="External"/><Relationship Id="rId796" Type="http://schemas.openxmlformats.org/officeDocument/2006/relationships/hyperlink" Target="https://product.hstatic.net/200000428801/product/upload_d0390642f10b48b59e01645cb7b5516e.jpg" TargetMode="External"/><Relationship Id="rId2477" Type="http://schemas.openxmlformats.org/officeDocument/2006/relationships/hyperlink" Target="https://product.hstatic.net/200000428801/product/upload_0c3788a9c31b462abb15f2d49e784088.jpg" TargetMode="External"/><Relationship Id="rId2684" Type="http://schemas.openxmlformats.org/officeDocument/2006/relationships/hyperlink" Target="https://product.hstatic.net/200000428801/product/upload_d4de3e4165e4451ebbb0ec1e70cac1b1.jpg" TargetMode="External"/><Relationship Id="rId3528" Type="http://schemas.openxmlformats.org/officeDocument/2006/relationships/hyperlink" Target="https://product.hstatic.net/200000428801/product/01c73350058ec9d0909f_64c94ef166054602808a2d8b94106a50.jpg" TargetMode="External"/><Relationship Id="rId3735" Type="http://schemas.openxmlformats.org/officeDocument/2006/relationships/hyperlink" Target="https://product.hstatic.net/200000428801/product/thiet_ke_khong_ten__9__e2d5dc6be6f1412fac8841e77382bdee.png" TargetMode="External"/><Relationship Id="rId449" Type="http://schemas.openxmlformats.org/officeDocument/2006/relationships/hyperlink" Target="https://product.hstatic.net/200000428801/product/36_8e7968518b4a4555943f76438766a405.png" TargetMode="External"/><Relationship Id="rId656" Type="http://schemas.openxmlformats.org/officeDocument/2006/relationships/hyperlink" Target="https://product.hstatic.net/200000428801/product/upload_db4ebed2112246dda8d8926fcaa51f82.jpg" TargetMode="External"/><Relationship Id="rId863" Type="http://schemas.openxmlformats.org/officeDocument/2006/relationships/hyperlink" Target="https://product.hstatic.net/200000428801/product/upload_66164624f0ba493db7fd63e81dc4b373.jpg" TargetMode="External"/><Relationship Id="rId1079" Type="http://schemas.openxmlformats.org/officeDocument/2006/relationships/hyperlink" Target="https://product.hstatic.net/200000428801/product/upload_769fcc7a7f034f0f96dd2f538a20fe24.jpg" TargetMode="External"/><Relationship Id="rId1286" Type="http://schemas.openxmlformats.org/officeDocument/2006/relationships/hyperlink" Target="https://product.hstatic.net/200000428801/product/upload_ed9a47de257045e1b5903cb9a85a63e0.jpg" TargetMode="External"/><Relationship Id="rId1493" Type="http://schemas.openxmlformats.org/officeDocument/2006/relationships/hyperlink" Target="https://product.hstatic.net/200000428801/product/upload_26d7b85f40344a0fa8fb9f5fb94f29bf.jpg" TargetMode="External"/><Relationship Id="rId2337" Type="http://schemas.openxmlformats.org/officeDocument/2006/relationships/hyperlink" Target="https://product.hstatic.net/200000428801/product/upload_dde8d4a8964c4044ac10483e024a48c1.jpg" TargetMode="External"/><Relationship Id="rId2544" Type="http://schemas.openxmlformats.org/officeDocument/2006/relationships/hyperlink" Target="https://product.hstatic.net/200000428801/product/upload_73d0d47bfa704ea0a35a3a8e61b79436.jpg" TargetMode="External"/><Relationship Id="rId2891" Type="http://schemas.openxmlformats.org/officeDocument/2006/relationships/hyperlink" Target="https://product.hstatic.net/200000428801/product/upload_7740dba838b84e54858ca14444fd52a3.jpg" TargetMode="External"/><Relationship Id="rId3942" Type="http://schemas.openxmlformats.org/officeDocument/2006/relationships/hyperlink" Target="https://product.hstatic.net/200000428801/product/zalo_screenshot_18_11_2021_74506_91711901892a4620bd79cfb396c6edfa.png" TargetMode="External"/><Relationship Id="rId309" Type="http://schemas.openxmlformats.org/officeDocument/2006/relationships/hyperlink" Target="https://product.hstatic.net/200000428801/product/upload_94853373e7d84a50a7f88317f94d2914.jpg" TargetMode="External"/><Relationship Id="rId516" Type="http://schemas.openxmlformats.org/officeDocument/2006/relationships/hyperlink" Target="https://product.hstatic.net/200000428801/product/upload_4dc3c1b34d2e45e1ab5d9ec96fc304e0.jpg" TargetMode="External"/><Relationship Id="rId1146" Type="http://schemas.openxmlformats.org/officeDocument/2006/relationships/hyperlink" Target="https://product.hstatic.net/200000428801/product/upload_e4321ef03716401598f157b8dd5e3406.jpg" TargetMode="External"/><Relationship Id="rId2751" Type="http://schemas.openxmlformats.org/officeDocument/2006/relationships/hyperlink" Target="https://product.hstatic.net/200000428801/product/upload_1d6f98b2902243c6ad0a19d273baa8f7.jpg" TargetMode="External"/><Relationship Id="rId3802" Type="http://schemas.openxmlformats.org/officeDocument/2006/relationships/hyperlink" Target="https://product.hstatic.net/200000428801/product/hoat_huyet_hakinton_extra__2__1e6f6ab0b9a94dad875ee9ffa6e0cb77.png" TargetMode="External"/><Relationship Id="rId723" Type="http://schemas.openxmlformats.org/officeDocument/2006/relationships/hyperlink" Target="https://product.hstatic.net/200000428801/product/upload_e782fbde2b2b4eaebbde67693cb98c65.jpg" TargetMode="External"/><Relationship Id="rId930" Type="http://schemas.openxmlformats.org/officeDocument/2006/relationships/hyperlink" Target="https://product.hstatic.net/200000428801/product/upload_b47fee341e564a248c0326e97786ef46.jpg" TargetMode="External"/><Relationship Id="rId1006" Type="http://schemas.openxmlformats.org/officeDocument/2006/relationships/hyperlink" Target="https://product.hstatic.net/200000428801/product/upload_fd8a43b29bb74a4fb4c213a2d45a6760.jpg" TargetMode="External"/><Relationship Id="rId1353" Type="http://schemas.openxmlformats.org/officeDocument/2006/relationships/hyperlink" Target="https://product.hstatic.net/200000428801/product/upload_c435f4ad34b1418b8ba8d181e7b5f32c.jpg" TargetMode="External"/><Relationship Id="rId1560" Type="http://schemas.openxmlformats.org/officeDocument/2006/relationships/hyperlink" Target="https://product.hstatic.net/200000428801/product/upload_eed8dd874b3241d3b04ad97c6d75b1d0.jpg" TargetMode="External"/><Relationship Id="rId2404" Type="http://schemas.openxmlformats.org/officeDocument/2006/relationships/hyperlink" Target="https://product.hstatic.net/200000428801/product/upload_5c30a48a5a5149d4ae9b1bd1cc1b2288.jpg" TargetMode="External"/><Relationship Id="rId2611" Type="http://schemas.openxmlformats.org/officeDocument/2006/relationships/hyperlink" Target="https://product.hstatic.net/200000428801/product/upload_f79344fa9f9d4a64811b0948b72734e9.jpg" TargetMode="External"/><Relationship Id="rId1213" Type="http://schemas.openxmlformats.org/officeDocument/2006/relationships/hyperlink" Target="https://product.hstatic.net/200000428801/product/upload_589834dde1a14af2b84989198344b61e.jpg" TargetMode="External"/><Relationship Id="rId1420" Type="http://schemas.openxmlformats.org/officeDocument/2006/relationships/hyperlink" Target="https://product.hstatic.net/200000428801/product/upload_9534d64d54da4d058aea261e6850ba3e.jpg" TargetMode="External"/><Relationship Id="rId3178" Type="http://schemas.openxmlformats.org/officeDocument/2006/relationships/hyperlink" Target="https://product.hstatic.net/200000428801/product/4bcb6dcb6c4b42208efc00a4f60729a9_c3fab4535a0a4b98a4bfdcf84251f252.jpg" TargetMode="External"/><Relationship Id="rId3385" Type="http://schemas.openxmlformats.org/officeDocument/2006/relationships/hyperlink" Target="https://cdn-images.kiotviet.vn/2025/05/20/giabaopharma/fa596ec49ba34cff8f46cbafe7b2fa5e.jpg" TargetMode="External"/><Relationship Id="rId3592" Type="http://schemas.openxmlformats.org/officeDocument/2006/relationships/hyperlink" Target="https://product.hstatic.net/200000428801/product/tezkin_17339351faed4b16aa197d1ef9ea1937.jpg" TargetMode="External"/><Relationship Id="rId2194" Type="http://schemas.openxmlformats.org/officeDocument/2006/relationships/hyperlink" Target="https://product.hstatic.net/200000428801/product/upload_30d8368ea4b447d09a901882dd391ce5.jpg" TargetMode="External"/><Relationship Id="rId3038" Type="http://schemas.openxmlformats.org/officeDocument/2006/relationships/hyperlink" Target="https://product.hstatic.net/200000428801/product/upload_da3fa555a2d947c8b17d93883706f711.jpg" TargetMode="External"/><Relationship Id="rId3245" Type="http://schemas.openxmlformats.org/officeDocument/2006/relationships/hyperlink" Target="https://product.hstatic.net/200000428801/product/c1396a7959604d68921ebf8370c76162_b3e6a7e3a47d4cc0a19252a77d45cb68.png" TargetMode="External"/><Relationship Id="rId3452" Type="http://schemas.openxmlformats.org/officeDocument/2006/relationships/hyperlink" Target="https://product.hstatic.net/200000428801/product/8567ded63be54c868b68aeff667b48c2_a912de5493294c47b72a6b0967f7c655.png" TargetMode="External"/><Relationship Id="rId166" Type="http://schemas.openxmlformats.org/officeDocument/2006/relationships/hyperlink" Target="https://cdn2-retail-images.kiotviet.vn/2024/12/28/giabaopharma/8df076e9edbc4b188e961852e6fb474d.jpg" TargetMode="External"/><Relationship Id="rId373" Type="http://schemas.openxmlformats.org/officeDocument/2006/relationships/hyperlink" Target="https://product.hstatic.net/200000428801/product/upload_6d6d6132c40249739a82364ce2ab7e0b.jpg" TargetMode="External"/><Relationship Id="rId580" Type="http://schemas.openxmlformats.org/officeDocument/2006/relationships/hyperlink" Target="https://product.hstatic.net/200000428801/product/upload_b9630912540248c883efcc2a865f622f.jpg" TargetMode="External"/><Relationship Id="rId2054" Type="http://schemas.openxmlformats.org/officeDocument/2006/relationships/hyperlink" Target="https://product.hstatic.net/200000428801/product/upload_a84da70706954048bebeb50341a3f88b.jpg" TargetMode="External"/><Relationship Id="rId2261" Type="http://schemas.openxmlformats.org/officeDocument/2006/relationships/hyperlink" Target="https://cdn2-retail-images.kiotviet.vn/2024/10/02/giabaopharma/a220752267b44990ac5f9e7253bb2175.png" TargetMode="External"/><Relationship Id="rId3105" Type="http://schemas.openxmlformats.org/officeDocument/2006/relationships/hyperlink" Target="https://product.hstatic.net/200000428801/product/b20c370a841440149bd7c9232cb31776_5056f6b6414446e682803398f8319e47.png" TargetMode="External"/><Relationship Id="rId3312" Type="http://schemas.openxmlformats.org/officeDocument/2006/relationships/hyperlink" Target="https://product.hstatic.net/200000428801/product/d2fd329c1aa2496b87672ed3f3177619_7cdbee138e2a412cb6e0271231fd697d.png" TargetMode="External"/><Relationship Id="rId233" Type="http://schemas.openxmlformats.org/officeDocument/2006/relationships/hyperlink" Target="https://cdn2-retail-images.kiotviet.vn/giabaopharma/2f76ed94f9214e5db4e7a0b1f9ac5707.jpg" TargetMode="External"/><Relationship Id="rId440" Type="http://schemas.openxmlformats.org/officeDocument/2006/relationships/hyperlink" Target="https://cdn2-retail-images.kiotviet.vn/giabaopharma/45d2933a759b4a1298f78b27aec29f62.png" TargetMode="External"/><Relationship Id="rId1070" Type="http://schemas.openxmlformats.org/officeDocument/2006/relationships/hyperlink" Target="https://product.hstatic.net/200000428801/product/upload_488dce5729af4beb8fa1ab59d2220467.jpg" TargetMode="External"/><Relationship Id="rId2121" Type="http://schemas.openxmlformats.org/officeDocument/2006/relationships/hyperlink" Target="https://product.hstatic.net/200000428801/product/upload_bf917282ca3549559d367d6b3805c0af.jpg" TargetMode="External"/><Relationship Id="rId300" Type="http://schemas.openxmlformats.org/officeDocument/2006/relationships/hyperlink" Target="https://product.hstatic.net/200000428801/product/00432bfd726f4ab197b0c2e0d6963e9c_0507e865540c4aa1aeae75cf40a3c558.png" TargetMode="External"/><Relationship Id="rId1887" Type="http://schemas.openxmlformats.org/officeDocument/2006/relationships/hyperlink" Target="https://product.hstatic.net/200000428801/product/upload_9cc00119099341c8a54646e80a4d718c.jpg" TargetMode="External"/><Relationship Id="rId2938" Type="http://schemas.openxmlformats.org/officeDocument/2006/relationships/hyperlink" Target="https://product.hstatic.net/200000428801/product/upload_c293b99f82cd4704baa82ee03da4b3dc.jpg" TargetMode="External"/><Relationship Id="rId1747" Type="http://schemas.openxmlformats.org/officeDocument/2006/relationships/hyperlink" Target="https://product.hstatic.net/200000428801/product/upload_617f614554d3412fb4f83d1d2999facc.jpg" TargetMode="External"/><Relationship Id="rId1954" Type="http://schemas.openxmlformats.org/officeDocument/2006/relationships/hyperlink" Target="https://product.hstatic.net/200000428801/product/upload_e9de1cf0774a43cabc615e91eadfa3d2.jpg" TargetMode="External"/><Relationship Id="rId39" Type="http://schemas.openxmlformats.org/officeDocument/2006/relationships/hyperlink" Target="https://i.postimg.cc/gk0Jpxt5/Vi-n-u-ng-C-ng-g-n-c-t-vai-g-y-h-tr-m-nh-g-n-c-t-gi-m-au-nh-c-kh-p-1-L-40-vi-n-3.png" TargetMode="External"/><Relationship Id="rId1607" Type="http://schemas.openxmlformats.org/officeDocument/2006/relationships/hyperlink" Target="https://product.hstatic.net/200000428801/product/38_b78c246a248a41f0bde926fca07e8282.png" TargetMode="External"/><Relationship Id="rId1814" Type="http://schemas.openxmlformats.org/officeDocument/2006/relationships/hyperlink" Target="https://product.hstatic.net/200000428801/product/upload_bc2f020896894571811258d64e64ba4a.jpg" TargetMode="External"/><Relationship Id="rId4013" Type="http://schemas.openxmlformats.org/officeDocument/2006/relationships/hyperlink" Target="https://cdn2-retail-images.kiotviet.vn/2026/02/07/giabaopharma/b8b6d847937244619f2a6b37d52f4433.jpg" TargetMode="External"/><Relationship Id="rId3779" Type="http://schemas.openxmlformats.org/officeDocument/2006/relationships/hyperlink" Target="https://product.hstatic.net/200000428801/product/kh_3b5b501ee1da4021bc59ecf672b20167.jpg" TargetMode="External"/><Relationship Id="rId2588" Type="http://schemas.openxmlformats.org/officeDocument/2006/relationships/hyperlink" Target="https://product.hstatic.net/200000428801/product/upload_cd8d59c1bf1e4042a6338f36097e8250.jpg" TargetMode="External"/><Relationship Id="rId3986" Type="http://schemas.openxmlformats.org/officeDocument/2006/relationships/hyperlink" Target="https://cdn2-retail-images.kiotviet.vn/2025/12/23/giabaopharma/0a80cf1c6f5f4c16b456d0f2ce18b10a.png" TargetMode="External"/><Relationship Id="rId1397" Type="http://schemas.openxmlformats.org/officeDocument/2006/relationships/hyperlink" Target="https://product.hstatic.net/200000428801/product/upload_6cbd660b9d7140f99c456f9f57ef6849.jpg" TargetMode="External"/><Relationship Id="rId2795" Type="http://schemas.openxmlformats.org/officeDocument/2006/relationships/hyperlink" Target="https://product.hstatic.net/200000428801/product/upload_2e8bf7a1f5aa432c87d85f66ff8e04cc.jpg" TargetMode="External"/><Relationship Id="rId3639" Type="http://schemas.openxmlformats.org/officeDocument/2006/relationships/hyperlink" Target="https://product.hstatic.net/200000428801/product/1a4f648e280be255bb1a_a3245681ea0844d991d0ae011829c874.jpg" TargetMode="External"/><Relationship Id="rId3846" Type="http://schemas.openxmlformats.org/officeDocument/2006/relationships/hyperlink" Target="https://cdn2-retail-images.kiotviet.vn/2026/03/07/giabaopharma/5dc385132bd2466c84cadfe8667f6b01.jpg" TargetMode="External"/><Relationship Id="rId767" Type="http://schemas.openxmlformats.org/officeDocument/2006/relationships/hyperlink" Target="https://product.hstatic.net/200000428801/product/upload_90a30e27d6de417e890e73f93d6c88d9.jpg" TargetMode="External"/><Relationship Id="rId974" Type="http://schemas.openxmlformats.org/officeDocument/2006/relationships/hyperlink" Target="https://product.hstatic.net/200000428801/product/upload_de0217645da941d18f16dc64a092c9be.jpg" TargetMode="External"/><Relationship Id="rId2448" Type="http://schemas.openxmlformats.org/officeDocument/2006/relationships/hyperlink" Target="https://product.hstatic.net/200000428801/product/417_795e5ea85ea44160bd0dfa9ff4ad93e8.png" TargetMode="External"/><Relationship Id="rId2655" Type="http://schemas.openxmlformats.org/officeDocument/2006/relationships/hyperlink" Target="https://product.hstatic.net/200000428801/product/upload_4580a7c4e983456e9bb2043e7d7a1a50.jpg" TargetMode="External"/><Relationship Id="rId2862" Type="http://schemas.openxmlformats.org/officeDocument/2006/relationships/hyperlink" Target="https://product.hstatic.net/200000428801/product/upload_a58247e36aba49b58b1465508985305c.jpg" TargetMode="External"/><Relationship Id="rId3706" Type="http://schemas.openxmlformats.org/officeDocument/2006/relationships/hyperlink" Target="https://cdn2-retail-images.kiotviet.vn/2025/11/10/giabaopharma/8c4808d00b964d14a4c4ab16e83443de.jpg" TargetMode="External"/><Relationship Id="rId3913" Type="http://schemas.openxmlformats.org/officeDocument/2006/relationships/hyperlink" Target="https://product.hstatic.net/200000428801/product/zalo_screenshot_20_11_2021_638612_c619b369fe4a4416b1d52065cbfa5c59.png" TargetMode="External"/><Relationship Id="rId627" Type="http://schemas.openxmlformats.org/officeDocument/2006/relationships/hyperlink" Target="https://product.hstatic.net/200000428801/product/upload_e3aaaabfecd741c49644c8be7e8813b7.jpg" TargetMode="External"/><Relationship Id="rId834" Type="http://schemas.openxmlformats.org/officeDocument/2006/relationships/hyperlink" Target="https://product.hstatic.net/200000428801/product/6aa28f7a0f55d10b8844_5291155434dd4deab4dc15d24209be71.jpg" TargetMode="External"/><Relationship Id="rId1257" Type="http://schemas.openxmlformats.org/officeDocument/2006/relationships/hyperlink" Target="https://product.hstatic.net/200000428801/product/upload_7a5fd3d2bdf3408e8b114d400cd4c501.jpg" TargetMode="External"/><Relationship Id="rId1464" Type="http://schemas.openxmlformats.org/officeDocument/2006/relationships/hyperlink" Target="https://product.hstatic.net/200000428801/product/upload_184a7c631cb84a58afb20d61f4b43843.jpg" TargetMode="External"/><Relationship Id="rId1671" Type="http://schemas.openxmlformats.org/officeDocument/2006/relationships/hyperlink" Target="https://product.hstatic.net/200000428801/product/7_c2cfac41bae94cb48b01dab889979d4e.png" TargetMode="External"/><Relationship Id="rId2308" Type="http://schemas.openxmlformats.org/officeDocument/2006/relationships/hyperlink" Target="https://product.hstatic.net/200000428801/product/upload_1fe92e2e78634e70ad03bc4b5213d5cc.jpg" TargetMode="External"/><Relationship Id="rId2515" Type="http://schemas.openxmlformats.org/officeDocument/2006/relationships/hyperlink" Target="https://product.hstatic.net/200000428801/product/392_bb11285492a74dc49ebfabb5eb2ad6c6.png" TargetMode="External"/><Relationship Id="rId2722" Type="http://schemas.openxmlformats.org/officeDocument/2006/relationships/hyperlink" Target="https://product.hstatic.net/200000428801/product/upload_1531524b9fb84994a8696fa9dec77308.jpg" TargetMode="External"/><Relationship Id="rId901" Type="http://schemas.openxmlformats.org/officeDocument/2006/relationships/hyperlink" Target="https://product.hstatic.net/200000428801/product/28d6cfb673b74137b0a68161ec898bbe_c95a0a19b6bc405b9b4ee7b606f12ff0.png" TargetMode="External"/><Relationship Id="rId1117" Type="http://schemas.openxmlformats.org/officeDocument/2006/relationships/hyperlink" Target="https://product.hstatic.net/200000428801/product/upload_cb6344be7a54431ea0fce20ab6318fbf.jpg" TargetMode="External"/><Relationship Id="rId1324" Type="http://schemas.openxmlformats.org/officeDocument/2006/relationships/hyperlink" Target="https://product.hstatic.net/200000428801/product/upload_a70544fee5e64183b8877c4c4c5a4000.jpg" TargetMode="External"/><Relationship Id="rId1531" Type="http://schemas.openxmlformats.org/officeDocument/2006/relationships/hyperlink" Target="https://product.hstatic.net/200000428801/product/upload_149ced5539ed4d55a3deee00b4b725ad.jpg" TargetMode="External"/><Relationship Id="rId30" Type="http://schemas.openxmlformats.org/officeDocument/2006/relationships/hyperlink" Target="https://cdn2-retail-images.kiotviet.vn/2025/11/15/giabaopharma/7cbd3baa838d45d3bfbda5f82b554d2d.jpg" TargetMode="External"/><Relationship Id="rId3289" Type="http://schemas.openxmlformats.org/officeDocument/2006/relationships/hyperlink" Target="https://product.hstatic.net/200000428801/product/4d752d736b0e4670a63d9130f465a2d0_fc55e1ae0134426d9504ac25f9f0d89d.png" TargetMode="External"/><Relationship Id="rId3496" Type="http://schemas.openxmlformats.org/officeDocument/2006/relationships/hyperlink" Target="https://product.hstatic.net/200000428801/product/5c192ce293a2418aaaf9723dbf072ad5_373ec7c2c2da49d4a6e315a2b32c624b.png" TargetMode="External"/><Relationship Id="rId2098" Type="http://schemas.openxmlformats.org/officeDocument/2006/relationships/hyperlink" Target="https://product.hstatic.net/200000428801/product/upload_90076a16cd3542e2843de28ba8b38d5a.jpg" TargetMode="External"/><Relationship Id="rId3149" Type="http://schemas.openxmlformats.org/officeDocument/2006/relationships/hyperlink" Target="https://product.hstatic.net/200000428801/product/c976f9034088419db7c5051cb61435dd_82a7e1b40fa94c5a9ca55ee4528f75ee.jpg" TargetMode="External"/><Relationship Id="rId3356" Type="http://schemas.openxmlformats.org/officeDocument/2006/relationships/hyperlink" Target="https://product.hstatic.net/200000428801/product/3d2b714f3c5c42d1a13c7a1f02da1c98_8da99d989ed94bb89d13bb2ba1d4af85.png" TargetMode="External"/><Relationship Id="rId3563" Type="http://schemas.openxmlformats.org/officeDocument/2006/relationships/hyperlink" Target="https://product.hstatic.net/200000428801/product/5_a0540c42f0664520897604b1713129fd.png" TargetMode="External"/><Relationship Id="rId277" Type="http://schemas.openxmlformats.org/officeDocument/2006/relationships/hyperlink" Target="https://cdn-images.kiotviet.vn/giabaopharma/a87d863cb0394e8c9f8f7a63c4df70da.png,https:/cdn-images.kiotviet.vn/giabaopharma/64f4d5d89f1447dcba34877e6ed23871.png,https:/cdn-images.kiotviet.vn/giabaopharma/80d1dcf3a1364dd19cf797686e9f04a3.png,https:/cdn-images.kiotviet.vn/giabaopharma/cb846ee0a7814e90b680875dd197b637.png,https:/cdn-images.kiotviet.vn/giabaopharma/eb3656b011c040a99b6b0bfc97501ab5.png" TargetMode="External"/><Relationship Id="rId484" Type="http://schemas.openxmlformats.org/officeDocument/2006/relationships/hyperlink" Target="https://product.hstatic.net/200000428801/product/upload_0116ecddd4ae4f7785ddd08eb1d63989.jpg" TargetMode="External"/><Relationship Id="rId2165" Type="http://schemas.openxmlformats.org/officeDocument/2006/relationships/hyperlink" Target="https://product.hstatic.net/200000428801/product/upload_4b34ac36fab0402494a1014b4a7ae087.jpg" TargetMode="External"/><Relationship Id="rId3009" Type="http://schemas.openxmlformats.org/officeDocument/2006/relationships/hyperlink" Target="https://product.hstatic.net/200000428801/product/upload_a8a0df4639e14115900d7367fc8ae254.jpg" TargetMode="External"/><Relationship Id="rId3216" Type="http://schemas.openxmlformats.org/officeDocument/2006/relationships/hyperlink" Target="https://product.hstatic.net/200000428801/product/b6c36f1a069d43d9837538cb7495c801_f9e19004fb39476bb814af4b17f4a9cc.png" TargetMode="External"/><Relationship Id="rId3770" Type="http://schemas.openxmlformats.org/officeDocument/2006/relationships/hyperlink" Target="https://product.hstatic.net/200000428801/product/f3b477387ffebea0e7ef_220d3675648b45a888168a72441f044a.jpg" TargetMode="External"/><Relationship Id="rId137" Type="http://schemas.openxmlformats.org/officeDocument/2006/relationships/hyperlink" Target="https://cdn2-retail-images.kiotviet.vn/2025/03/07/giabaopharma/ad0d59a876254c24af0a38606f783a2d.jpg" TargetMode="External"/><Relationship Id="rId344" Type="http://schemas.openxmlformats.org/officeDocument/2006/relationships/hyperlink" Target="https://product.hstatic.net/200000428801/product/upload_d569f6777ae540ecb20d1dc8dee02362.jpg" TargetMode="External"/><Relationship Id="rId691" Type="http://schemas.openxmlformats.org/officeDocument/2006/relationships/hyperlink" Target="https://product.hstatic.net/200000428801/product/upload_a94c4999e753457d9fdee2319759162b.jpg" TargetMode="External"/><Relationship Id="rId2025" Type="http://schemas.openxmlformats.org/officeDocument/2006/relationships/hyperlink" Target="https://product.hstatic.net/200000428801/product/upload_98957ea5d0c54fc7989b92eee2c80df1.jpg" TargetMode="External"/><Relationship Id="rId2372" Type="http://schemas.openxmlformats.org/officeDocument/2006/relationships/hyperlink" Target="https://product.hstatic.net/200000428801/product/upload_06e6ee15f8a642bca4f5ef315cd9d972.jpg" TargetMode="External"/><Relationship Id="rId3423" Type="http://schemas.openxmlformats.org/officeDocument/2006/relationships/hyperlink" Target="https://product.hstatic.net/200000428801/product/455c359afe5a45d085eb2fe2ecc65a17_38e61bbc77394990be55a5448bb7ba21.png" TargetMode="External"/><Relationship Id="rId3630" Type="http://schemas.openxmlformats.org/officeDocument/2006/relationships/hyperlink" Target="https://cdn1-retail-images.kiotviet.vn/2026/04/01/giabaopharma/d949fe8ac32c4e95a3c4de67b0c6cbb6.jpg" TargetMode="External"/><Relationship Id="rId551" Type="http://schemas.openxmlformats.org/officeDocument/2006/relationships/hyperlink" Target="https://product.hstatic.net/200000428801/product/upload_ab67dcf4c3a048c39bf7f66c2a470d78.jpg" TargetMode="External"/><Relationship Id="rId1181" Type="http://schemas.openxmlformats.org/officeDocument/2006/relationships/hyperlink" Target="https://product.hstatic.net/200000428801/product/upload_b66dfd9b64a94265baaea88fc7af14f5.jpg" TargetMode="External"/><Relationship Id="rId2232" Type="http://schemas.openxmlformats.org/officeDocument/2006/relationships/hyperlink" Target="https://product.hstatic.net/200000428801/product/upload_b53d5314fe6640f69d454da2a43a77a6.jpg" TargetMode="External"/><Relationship Id="rId204" Type="http://schemas.openxmlformats.org/officeDocument/2006/relationships/hyperlink" Target="https://cdn2-retail-images.kiotviet.vn/2025/02/26/giabaopharma/799a3a9d915e4edfa9b4987e3052cf29.jpg" TargetMode="External"/><Relationship Id="rId411" Type="http://schemas.openxmlformats.org/officeDocument/2006/relationships/hyperlink" Target="https://product.hstatic.net/200000428801/product/upload_dbd0d92f444a46b5ae39d841804c4e8c.jpg" TargetMode="External"/><Relationship Id="rId1041" Type="http://schemas.openxmlformats.org/officeDocument/2006/relationships/hyperlink" Target="https://cdn2-retail-images.kiotviet.vn/giabaopharma/c4cf11bb14b4470696e67f8f5d0df0db.jpg" TargetMode="External"/><Relationship Id="rId1998" Type="http://schemas.openxmlformats.org/officeDocument/2006/relationships/hyperlink" Target="https://product.hstatic.net/200000428801/product/510_ed9468d82ea74fbb8fb2026882197477.png" TargetMode="External"/><Relationship Id="rId1858" Type="http://schemas.openxmlformats.org/officeDocument/2006/relationships/hyperlink" Target="https://product.hstatic.net/200000428801/product/upload_ae95c1726fd64dfbbcc6607df8e34fbc.jpg" TargetMode="External"/><Relationship Id="rId2909" Type="http://schemas.openxmlformats.org/officeDocument/2006/relationships/hyperlink" Target="https://product.hstatic.net/200000428801/product/upload_0c38daa2a6f649f5bb2fe28856131e97.jpg" TargetMode="External"/><Relationship Id="rId3073" Type="http://schemas.openxmlformats.org/officeDocument/2006/relationships/hyperlink" Target="https://product.hstatic.net/200000428801/product/upload_9e22fe3a3a8a48c393ba27d9dcd96be0.jpg" TargetMode="External"/><Relationship Id="rId3280" Type="http://schemas.openxmlformats.org/officeDocument/2006/relationships/hyperlink" Target="https://product.hstatic.net/200000428801/product/abaefb20d3b247e1b8972aeaf86616bf_9db69d1dd80f49ecaadedb48090e6623.png" TargetMode="External"/><Relationship Id="rId1718" Type="http://schemas.openxmlformats.org/officeDocument/2006/relationships/hyperlink" Target="https://product.hstatic.net/200000428801/product/upload_4ad1540754754b7186a48bdd264be5ef.jpg" TargetMode="External"/><Relationship Id="rId1925" Type="http://schemas.openxmlformats.org/officeDocument/2006/relationships/hyperlink" Target="https://product.hstatic.net/200000428801/product/533_ecaa8e662ef543f3b0edff1c9ec27247.png" TargetMode="External"/><Relationship Id="rId3140" Type="http://schemas.openxmlformats.org/officeDocument/2006/relationships/hyperlink" Target="https://product.hstatic.net/200000428801/product/0d391e66da6243f090b144039658657b_06d0a2698e3f43a9b0f15bd75266959c.jpg" TargetMode="External"/><Relationship Id="rId2699" Type="http://schemas.openxmlformats.org/officeDocument/2006/relationships/hyperlink" Target="https://product.hstatic.net/200000428801/product/upload_2d9dafaf88ba4d1dacf467b855c0dde0.jpg" TargetMode="External"/><Relationship Id="rId3000" Type="http://schemas.openxmlformats.org/officeDocument/2006/relationships/hyperlink" Target="https://product.hstatic.net/200000428801/product/upload_46ef95d4d7cb4067a6856c5d6991ffb0.jpg" TargetMode="External"/><Relationship Id="rId3957" Type="http://schemas.openxmlformats.org/officeDocument/2006/relationships/hyperlink" Target="https://product.hstatic.net/200000428801/product/clotrimazol__7__6a7a60d1b3ef4f9fb437795fd8c0361c.png" TargetMode="External"/><Relationship Id="rId878" Type="http://schemas.openxmlformats.org/officeDocument/2006/relationships/hyperlink" Target="https://product.hstatic.net/200000428801/product/upload_5d4dd1fb0d9d41cba95cbf526c260562.jpg" TargetMode="External"/><Relationship Id="rId2559" Type="http://schemas.openxmlformats.org/officeDocument/2006/relationships/hyperlink" Target="https://product.hstatic.net/200000428801/product/upload_398c612733a24c5db73c158f1d000cce.jpg" TargetMode="External"/><Relationship Id="rId2766" Type="http://schemas.openxmlformats.org/officeDocument/2006/relationships/hyperlink" Target="https://product.hstatic.net/200000428801/product/upload_7442f1ff5fc946b28c6d087dfff4d6fa.jpg" TargetMode="External"/><Relationship Id="rId2973" Type="http://schemas.openxmlformats.org/officeDocument/2006/relationships/hyperlink" Target="https://product.hstatic.net/200000428801/product/9b97b9f23fb445aea9af065e92fc2094_78a04e499e884ca9b86fcb42e8fd6826.png" TargetMode="External"/><Relationship Id="rId3817" Type="http://schemas.openxmlformats.org/officeDocument/2006/relationships/hyperlink" Target="https://product.hstatic.net/200000428801/product/h1_2553a7f152334453953833a33ecb8724.jpg" TargetMode="External"/><Relationship Id="rId738" Type="http://schemas.openxmlformats.org/officeDocument/2006/relationships/hyperlink" Target="https://product.hstatic.net/200000428801/product/upload_672b69a3a6394f59a064c3a7c5a94cfc.jpg" TargetMode="External"/><Relationship Id="rId945" Type="http://schemas.openxmlformats.org/officeDocument/2006/relationships/hyperlink" Target="https://product.hstatic.net/200000428801/product/upload_897db2842a8d42028ed649a5ed7de5b3.jpg" TargetMode="External"/><Relationship Id="rId1368" Type="http://schemas.openxmlformats.org/officeDocument/2006/relationships/hyperlink" Target="https://product.hstatic.net/200000428801/product/upload_d3a6b74f9ba34a0297fc341d10fccf08.jpg" TargetMode="External"/><Relationship Id="rId1575" Type="http://schemas.openxmlformats.org/officeDocument/2006/relationships/hyperlink" Target="https://product.hstatic.net/200000428801/product/upload_f3e440f282c74c89888bbda1c1310faf.jpg" TargetMode="External"/><Relationship Id="rId1782" Type="http://schemas.openxmlformats.org/officeDocument/2006/relationships/hyperlink" Target="https://product.hstatic.net/200000428801/product/upload_80ec2076b9f344aaa0b7a869bf0993f3.jpg" TargetMode="External"/><Relationship Id="rId2419" Type="http://schemas.openxmlformats.org/officeDocument/2006/relationships/hyperlink" Target="https://product.hstatic.net/200000428801/product/upload_9e4a08792464405995b36ddd4aded67f.jpg" TargetMode="External"/><Relationship Id="rId2626" Type="http://schemas.openxmlformats.org/officeDocument/2006/relationships/hyperlink" Target="https://product.hstatic.net/200000428801/product/upload_a009d49f4f44410a820e5d868211115e.jpg" TargetMode="External"/><Relationship Id="rId2833" Type="http://schemas.openxmlformats.org/officeDocument/2006/relationships/hyperlink" Target="https://product.hstatic.net/200000428801/product/upload_1e125c0f7b274d3da00092881a8b132c.jpg" TargetMode="External"/><Relationship Id="rId74" Type="http://schemas.openxmlformats.org/officeDocument/2006/relationships/hyperlink" Target="https://i.postimg.cc/d1WLv55s/c4fdb9e532a74a849000fc9e71568541.jpg" TargetMode="External"/><Relationship Id="rId805" Type="http://schemas.openxmlformats.org/officeDocument/2006/relationships/hyperlink" Target="https://product.hstatic.net/200000428801/product/upload_ce33ce9f8830498092eec97488d8cd1d.jpg" TargetMode="External"/><Relationship Id="rId1228" Type="http://schemas.openxmlformats.org/officeDocument/2006/relationships/hyperlink" Target="https://product.hstatic.net/200000428801/product/81_713ec158b7f243148ac35d376fd5b230.png" TargetMode="External"/><Relationship Id="rId1435" Type="http://schemas.openxmlformats.org/officeDocument/2006/relationships/hyperlink" Target="https://product.hstatic.net/200000428801/product/149e4d5c3cafe0f1b9be_f599723fe94149cd87db61c6b19bb387.jpg" TargetMode="External"/><Relationship Id="rId1642" Type="http://schemas.openxmlformats.org/officeDocument/2006/relationships/hyperlink" Target="https://product.hstatic.net/200000428801/product/upload_8285bfd83aa14e969bf0f803d1b6729e.jpg" TargetMode="External"/><Relationship Id="rId2900" Type="http://schemas.openxmlformats.org/officeDocument/2006/relationships/hyperlink" Target="https://product.hstatic.net/200000428801/product/upload_0ac90454a52647cf8ed931926857a661.jpg" TargetMode="External"/><Relationship Id="rId1502" Type="http://schemas.openxmlformats.org/officeDocument/2006/relationships/hyperlink" Target="https://product.hstatic.net/200000428801/product/upload_8f8b1a4290764f709f3213d2c5dec780.jpg" TargetMode="External"/><Relationship Id="rId388" Type="http://schemas.openxmlformats.org/officeDocument/2006/relationships/hyperlink" Target="https://product.hstatic.net/200000428801/product/f8944911729d45249ce11f47695eb9cc_b9105dd79f614890865ed564cd5e23ea.png" TargetMode="External"/><Relationship Id="rId2069" Type="http://schemas.openxmlformats.org/officeDocument/2006/relationships/hyperlink" Target="https://product.hstatic.net/200000428801/product/537_1154653f1a0e41e692dac7dfa6796183.png" TargetMode="External"/><Relationship Id="rId3467" Type="http://schemas.openxmlformats.org/officeDocument/2006/relationships/hyperlink" Target="https://product.hstatic.net/200000428801/product/7405f7d143674d708634ce08ec6b14da_530d0885d0644bea89198d814668600a.png" TargetMode="External"/><Relationship Id="rId3674" Type="http://schemas.openxmlformats.org/officeDocument/2006/relationships/hyperlink" Target="https://cdn2-retail-images.kiotviet.vn/giabaopharma/6421b1a2fbe14b849bc1269ae9d68654.png,https:/cdn2-retail-images.kiotviet.vn/giabaopharma/27879413e0844e879300652b39b51bd6.png,https:/cdn2-retail-images.kiotviet.vn/giabaopharma/e726b14e4dbf4411804b50c12054a450.png,https:/cdn2-retail-images.kiotviet.vn/giabaopharma/52e5103b0a23453b946756624a16d96e.png,https:/cdn2-retail-images.kiotviet.vn/giabaopharma/52f8ce69a98c4ca09592fdff2577aefe.png" TargetMode="External"/><Relationship Id="rId3881" Type="http://schemas.openxmlformats.org/officeDocument/2006/relationships/hyperlink" Target="https://product.hstatic.net/200000428801/product/585471af602aac74f53b_bd278d068da14bd897813699fa2b8415.jpg" TargetMode="External"/><Relationship Id="rId595" Type="http://schemas.openxmlformats.org/officeDocument/2006/relationships/hyperlink" Target="https://product.hstatic.net/200000428801/product/upload_6d6d6132c40249739a82364ce2ab7e0b.jpg" TargetMode="External"/><Relationship Id="rId2276" Type="http://schemas.openxmlformats.org/officeDocument/2006/relationships/hyperlink" Target="https://product.hstatic.net/200000428801/product/467_96ebf18ea58d45a98a6bd08ecf065316.png" TargetMode="External"/><Relationship Id="rId2483" Type="http://schemas.openxmlformats.org/officeDocument/2006/relationships/hyperlink" Target="https://product.hstatic.net/200000428801/product/upload_5d86e4b9475e489a8e4898c4bc40b798.jpg" TargetMode="External"/><Relationship Id="rId2690" Type="http://schemas.openxmlformats.org/officeDocument/2006/relationships/hyperlink" Target="https://product.hstatic.net/200000428801/product/upload_938cb00292ab4d9ab90374f46c557677.jpg" TargetMode="External"/><Relationship Id="rId3327" Type="http://schemas.openxmlformats.org/officeDocument/2006/relationships/hyperlink" Target="https://product.hstatic.net/200000428801/product/3b5d1bdfd4704538bb0031d6d8b08e73_bc7d5d602f9f436c949ebeb219ef91c7.png" TargetMode="External"/><Relationship Id="rId3534" Type="http://schemas.openxmlformats.org/officeDocument/2006/relationships/hyperlink" Target="https://cdn2-retail-images.kiotviet.vn/2025/10/27/giabaopharma/b8dc07a8e1a94c0dad1bbc88e7ccede1.jpg" TargetMode="External"/><Relationship Id="rId3741" Type="http://schemas.openxmlformats.org/officeDocument/2006/relationships/hyperlink" Target="https://product.hstatic.net/200000428801/product/majegra-100mg-1_1332aa65f31043b68be9d1ca269b9fd6.jpg" TargetMode="External"/><Relationship Id="rId248" Type="http://schemas.openxmlformats.org/officeDocument/2006/relationships/hyperlink" Target="https://cdn-images.kiotviet.vn/giabaopharma/ccab6efbb75446c489478d87e4b1b81a.jpg" TargetMode="External"/><Relationship Id="rId455" Type="http://schemas.openxmlformats.org/officeDocument/2006/relationships/hyperlink" Target="https://product.hstatic.net/200000428801/product/3_ec87caf451d94e31b801f9db6cf56d03.png" TargetMode="External"/><Relationship Id="rId662" Type="http://schemas.openxmlformats.org/officeDocument/2006/relationships/hyperlink" Target="https://product.hstatic.net/200000428801/product/upload_f02e098ab12b4e81aec9f41c710199fe.jpg" TargetMode="External"/><Relationship Id="rId1085" Type="http://schemas.openxmlformats.org/officeDocument/2006/relationships/hyperlink" Target="https://product.hstatic.net/200000428801/product/upload_c18e5717f2c2421c870a8b432f325711.jpg" TargetMode="External"/><Relationship Id="rId1292" Type="http://schemas.openxmlformats.org/officeDocument/2006/relationships/hyperlink" Target="https://product.hstatic.net/200000428801/product/upload_1c7683eb4ebc4122a262b3aba72a307a.jpg" TargetMode="External"/><Relationship Id="rId2136" Type="http://schemas.openxmlformats.org/officeDocument/2006/relationships/hyperlink" Target="https://product.hstatic.net/200000428801/product/00020272-katrypsin-khapharco-10x10-4389-60f5_large_883726d61a1043e3a9902772fe3a645b.jpg" TargetMode="External"/><Relationship Id="rId2343" Type="http://schemas.openxmlformats.org/officeDocument/2006/relationships/hyperlink" Target="https://product.hstatic.net/200000428801/product/430_1a0488ef004b4f51bb458da4b12950ff.png" TargetMode="External"/><Relationship Id="rId2550" Type="http://schemas.openxmlformats.org/officeDocument/2006/relationships/hyperlink" Target="https://product.hstatic.net/200000428801/product/upload_17b31428f39a4f418fd1f492562f7868.jpg" TargetMode="External"/><Relationship Id="rId3601" Type="http://schemas.openxmlformats.org/officeDocument/2006/relationships/hyperlink" Target="https://product.hstatic.net/200000428801/product/zalo_screenshot_19_11_2021_627194_fdbbf51d7c164567a9fc1382b280a765.png" TargetMode="External"/><Relationship Id="rId108" Type="http://schemas.openxmlformats.org/officeDocument/2006/relationships/hyperlink" Target="https://cdn2-retail-images.kiotviet.vn/2025/03/31/giabaopharma/e0db80b07bac471a89c083db758e0d0a.jpg" TargetMode="External"/><Relationship Id="rId315" Type="http://schemas.openxmlformats.org/officeDocument/2006/relationships/hyperlink" Target="https://product.hstatic.net/200000428801/product/394_7d239bea908b4afba6330692535ed13c.png" TargetMode="External"/><Relationship Id="rId522" Type="http://schemas.openxmlformats.org/officeDocument/2006/relationships/hyperlink" Target="https://product.hstatic.net/200000428801/product/upload_21cca0be457347a9b72ec36b62c08109.jpg" TargetMode="External"/><Relationship Id="rId1152" Type="http://schemas.openxmlformats.org/officeDocument/2006/relationships/hyperlink" Target="https://product.hstatic.net/200000428801/product/upload_46356aeba4e94ba4b48f706c71754da7.jpg" TargetMode="External"/><Relationship Id="rId2203" Type="http://schemas.openxmlformats.org/officeDocument/2006/relationships/hyperlink" Target="https://product.hstatic.net/200000428801/product/upload_d1b933ee818c4a03abc97c3a636c7597.jpg" TargetMode="External"/><Relationship Id="rId2410" Type="http://schemas.openxmlformats.org/officeDocument/2006/relationships/hyperlink" Target="https://product.hstatic.net/200000428801/product/upload_2dc989dc16f84afa9c95d202c234ad79.jpg" TargetMode="External"/><Relationship Id="rId1012" Type="http://schemas.openxmlformats.org/officeDocument/2006/relationships/hyperlink" Target="https://product.hstatic.net/200000428801/product/upload_5c3bf32d479b4e2ea5a25eb2127bbb51.jpg" TargetMode="External"/><Relationship Id="rId1969" Type="http://schemas.openxmlformats.org/officeDocument/2006/relationships/hyperlink" Target="https://product.hstatic.net/200000428801/product/4d0de5c834e045cebd8b68a0286f89ba_ff469a376b424daab98aa4d050a081d8.png" TargetMode="External"/><Relationship Id="rId3184" Type="http://schemas.openxmlformats.org/officeDocument/2006/relationships/hyperlink" Target="https://product.hstatic.net/200000428801/product/b16f8dd78c6b42c3ac45ff51559887bc_7946eedaf32a4980ae91a0f00418ad3e.jpg" TargetMode="External"/><Relationship Id="rId4028" Type="http://schemas.openxmlformats.org/officeDocument/2006/relationships/hyperlink" Target="https://product.hstatic.net/200000428801/product/zalo_screenshot_20_11_2021_627132_bd057c59fe8f4d1f93da13bb79ca6502.png,https:/cdn2-retail-images.kiotviet.vn/2025/05/12/giabaopharma/b8f5a8a3ee464f36927c15510fd25cdc.jpg" TargetMode="External"/><Relationship Id="rId1829" Type="http://schemas.openxmlformats.org/officeDocument/2006/relationships/hyperlink" Target="https://product.hstatic.net/200000428801/product/upload_aefb8986dde84347b98227528f4e2c4d.jpg" TargetMode="External"/><Relationship Id="rId3391" Type="http://schemas.openxmlformats.org/officeDocument/2006/relationships/hyperlink" Target="https://product.hstatic.net/200000428801/product/6607662bdba34ea7a8e0673cecae4441_d441a77974a0466e90e2fe689faa27f2.png" TargetMode="External"/><Relationship Id="rId3044" Type="http://schemas.openxmlformats.org/officeDocument/2006/relationships/hyperlink" Target="https://product.hstatic.net/200000428801/product/upload_c2a4291874d5401ca43e4351c8dd76ef.jpg" TargetMode="External"/><Relationship Id="rId3251" Type="http://schemas.openxmlformats.org/officeDocument/2006/relationships/hyperlink" Target="https://product.hstatic.net/200000428801/product/d08ac4ba94144d8ba78299ceb1f617c8_50c2807c06554cd8a313d48f7ff2a3e0.png" TargetMode="External"/><Relationship Id="rId172" Type="http://schemas.openxmlformats.org/officeDocument/2006/relationships/hyperlink" Target="https://cdn-images.kiotviet.vn/2024/12/18/giabaopharma/ef3ebae77a584ccb82ee70c00ff9f7b3.jpg" TargetMode="External"/><Relationship Id="rId2060" Type="http://schemas.openxmlformats.org/officeDocument/2006/relationships/hyperlink" Target="https://product.hstatic.net/200000428801/product/536_616d67fd3bf84324bf98eef29182fe93.png" TargetMode="External"/><Relationship Id="rId3111" Type="http://schemas.openxmlformats.org/officeDocument/2006/relationships/hyperlink" Target="https://product.hstatic.net/200000428801/product/00a9a18f8dfc4797800cf38d12b4488e_5bba47e7f46641548f88605baf9bc301.png" TargetMode="External"/><Relationship Id="rId989" Type="http://schemas.openxmlformats.org/officeDocument/2006/relationships/hyperlink" Target="https://product.hstatic.net/200000428801/product/100_24cf2222981e47ebb011c082fb0d8f26.png" TargetMode="External"/><Relationship Id="rId2877" Type="http://schemas.openxmlformats.org/officeDocument/2006/relationships/hyperlink" Target="https://product.hstatic.net/200000428801/product/upload_1ebd872bc8f14fea8271d767e8a9c6de.jpg" TargetMode="External"/><Relationship Id="rId849" Type="http://schemas.openxmlformats.org/officeDocument/2006/relationships/hyperlink" Target="https://product.hstatic.net/200000428801/product/upload_3940ce92c01e4e60bf48ca39350e14bc.jpg" TargetMode="External"/><Relationship Id="rId1479" Type="http://schemas.openxmlformats.org/officeDocument/2006/relationships/hyperlink" Target="https://product.hstatic.net/200000428801/product/9641d7ab7797abc9f286_b149eb1c3b334629a0fbdfd2b1280c64.jpg" TargetMode="External"/><Relationship Id="rId1686" Type="http://schemas.openxmlformats.org/officeDocument/2006/relationships/hyperlink" Target="https://product.hstatic.net/200000428801/product/upload_210a666171974177a6d3d9204b2b49ad.jpg" TargetMode="External"/><Relationship Id="rId3928" Type="http://schemas.openxmlformats.org/officeDocument/2006/relationships/hyperlink" Target="https://product.hstatic.net/200000428801/product/730832d425dfe581bcce_0b4ed0c334734405974a30453705f94f.jpg" TargetMode="External"/><Relationship Id="rId1339" Type="http://schemas.openxmlformats.org/officeDocument/2006/relationships/hyperlink" Target="https://product.hstatic.net/200000428801/product/upload_57425cee3df34e748ed5d1fd6bacea8a.jpg" TargetMode="External"/><Relationship Id="rId1893" Type="http://schemas.openxmlformats.org/officeDocument/2006/relationships/hyperlink" Target="https://product.hstatic.net/200000428801/product/upload_5cc624e262f64ab0b7fa380475112037.jpg" TargetMode="External"/><Relationship Id="rId2737" Type="http://schemas.openxmlformats.org/officeDocument/2006/relationships/hyperlink" Target="https://product.hstatic.net/200000428801/product/375_041d58e3f4184109b967b3be85dd8783.png" TargetMode="External"/><Relationship Id="rId2944" Type="http://schemas.openxmlformats.org/officeDocument/2006/relationships/hyperlink" Target="https://product.hstatic.net/200000428801/product/upload_bc458239c5364496b085c7abc5948073.jpg" TargetMode="External"/><Relationship Id="rId709" Type="http://schemas.openxmlformats.org/officeDocument/2006/relationships/hyperlink" Target="https://product.hstatic.net/200000428801/product/upload_ab7154a1c54d45cd9e9534482c312b7f.jpg" TargetMode="External"/><Relationship Id="rId916" Type="http://schemas.openxmlformats.org/officeDocument/2006/relationships/hyperlink" Target="https://product.hstatic.net/200000428801/product/upload_20fa8318766146c08b4cdb18d7423779.jpg" TargetMode="External"/><Relationship Id="rId1546" Type="http://schemas.openxmlformats.org/officeDocument/2006/relationships/hyperlink" Target="https://product.hstatic.net/200000428801/product/upload_91103f6407e44883821256f5d9d4fd76.jpg" TargetMode="External"/><Relationship Id="rId1753" Type="http://schemas.openxmlformats.org/officeDocument/2006/relationships/hyperlink" Target="https://product.hstatic.net/200000428801/product/14_fbb8b398d57e4a699b0a223fdfab78f2.png" TargetMode="External"/><Relationship Id="rId1960" Type="http://schemas.openxmlformats.org/officeDocument/2006/relationships/hyperlink" Target="https://product.hstatic.net/200000428801/product/upload_ba0547838459405d82908e9d7e7fd568.jpg" TargetMode="External"/><Relationship Id="rId2804" Type="http://schemas.openxmlformats.org/officeDocument/2006/relationships/hyperlink" Target="https://product.hstatic.net/200000428801/product/upload_a8ee0b4cca4d4dd2a0a9c7cfb4051ce4.jpg" TargetMode="External"/><Relationship Id="rId45" Type="http://schemas.openxmlformats.org/officeDocument/2006/relationships/hyperlink" Target="https://cdn2-retail-images.kiotviet.vn/2025/10/23/giabaopharma/1122b2fd615944d2b793d3dcb92bc2c2.png" TargetMode="External"/><Relationship Id="rId1406" Type="http://schemas.openxmlformats.org/officeDocument/2006/relationships/hyperlink" Target="https://product.hstatic.net/200000428801/product/upload_5a76dbad10184aa08c34d83cf4b34aac.jpg" TargetMode="External"/><Relationship Id="rId1613" Type="http://schemas.openxmlformats.org/officeDocument/2006/relationships/hyperlink" Target="https://product.hstatic.net/200000428801/product/upload_1aafe92f610843ff8f08d878aef0f506.jpg" TargetMode="External"/><Relationship Id="rId1820" Type="http://schemas.openxmlformats.org/officeDocument/2006/relationships/hyperlink" Target="https://product.hstatic.net/200000428801/product/upload_91dc4d1fbbb64037b6776ba75f8d4718.jpg" TargetMode="External"/><Relationship Id="rId3578" Type="http://schemas.openxmlformats.org/officeDocument/2006/relationships/hyperlink" Target="https://cdn2-retail-images.kiotviet.vn/2026/03/31/giabaopharma/1068154801b1418ebb32d4e5937d36c7.jpg" TargetMode="External"/><Relationship Id="rId3785" Type="http://schemas.openxmlformats.org/officeDocument/2006/relationships/hyperlink" Target="https://cdn1-retail-images.kiotviet.vn/2026/01/16/giabaopharma/1f3620d7c3b444d7b73b242be3b918d2.jpg" TargetMode="External"/><Relationship Id="rId3992" Type="http://schemas.openxmlformats.org/officeDocument/2006/relationships/hyperlink" Target="https://product.hstatic.net/200000428801/product/truline_44e0cd6ff7f0457f83680700a3d87e96.jpg" TargetMode="External"/><Relationship Id="rId499" Type="http://schemas.openxmlformats.org/officeDocument/2006/relationships/hyperlink" Target="https://product.hstatic.net/200000428801/product/upload_774bf579efd64834874d688055abd3cc.jpg" TargetMode="External"/><Relationship Id="rId2387" Type="http://schemas.openxmlformats.org/officeDocument/2006/relationships/hyperlink" Target="https://product.hstatic.net/200000428801/product/upload_805972df43e445cda5ba0a756ce8dfd8.jpg" TargetMode="External"/><Relationship Id="rId2594" Type="http://schemas.openxmlformats.org/officeDocument/2006/relationships/hyperlink" Target="https://product.hstatic.net/200000428801/product/upload_f6678982a4a140309faa593720c02f0e.jpg" TargetMode="External"/><Relationship Id="rId3438" Type="http://schemas.openxmlformats.org/officeDocument/2006/relationships/hyperlink" Target="https://product.hstatic.net/200000428801/product/55fbf2acff1f4ab1a51d3e621c1a88a6_c0e19a792d3c44cda65bfb1c250916cd.png" TargetMode="External"/><Relationship Id="rId3645" Type="http://schemas.openxmlformats.org/officeDocument/2006/relationships/hyperlink" Target="https://product.hstatic.net/200000428801/product/bf47feeb1bcad89481db_886af90df7824ef182a91f7a4f26ae3a.jpg" TargetMode="External"/><Relationship Id="rId3852" Type="http://schemas.openxmlformats.org/officeDocument/2006/relationships/hyperlink" Target="https://cdn2-retail-images.kiotviet.vn/2025/05/29/giabaopharma/5976033a522b49eb8d5abe73752e56b1.jpg,https:/cdn2-retail-images.kiotviet.vn/2025/05/29/giabaopharma/5ff53766c83646448bc23e204de334e8.jpg" TargetMode="External"/><Relationship Id="rId359" Type="http://schemas.openxmlformats.org/officeDocument/2006/relationships/hyperlink" Target="https://cdn2-retail-images.kiotviet.vn/giabaopharma/781aa01847204ff3a8643edb77108fac.jpg" TargetMode="External"/><Relationship Id="rId566" Type="http://schemas.openxmlformats.org/officeDocument/2006/relationships/hyperlink" Target="https://product.hstatic.net/200000428801/product/upload_6c09df21704c4fed99d34f134ace9ce0.jpg" TargetMode="External"/><Relationship Id="rId773" Type="http://schemas.openxmlformats.org/officeDocument/2006/relationships/hyperlink" Target="https://product.hstatic.net/200000428801/product/upload_763492a21ad44f7cabd5724f5fdeb435.jpg" TargetMode="External"/><Relationship Id="rId1196" Type="http://schemas.openxmlformats.org/officeDocument/2006/relationships/hyperlink" Target="https://product.hstatic.net/200000428801/product/upload_b5190389ade44a07832406fe4e5ff2bd.jpg" TargetMode="External"/><Relationship Id="rId2247" Type="http://schemas.openxmlformats.org/officeDocument/2006/relationships/hyperlink" Target="https://product.hstatic.net/200000428801/product/upload_f628f41cb33641968c2d1360ffddc9b1.jpg" TargetMode="External"/><Relationship Id="rId2454" Type="http://schemas.openxmlformats.org/officeDocument/2006/relationships/hyperlink" Target="https://product.hstatic.net/200000428801/product/upload_51d84c3abe8f4bbab7233e3afad360b0.jpg" TargetMode="External"/><Relationship Id="rId3505" Type="http://schemas.openxmlformats.org/officeDocument/2006/relationships/hyperlink" Target="https://cdn2-retail-images.kiotviet.vn/2025/10/30/giabaopharma/39eb4ea0689b4186a566cfc2e05eb9bd.png" TargetMode="External"/><Relationship Id="rId219" Type="http://schemas.openxmlformats.org/officeDocument/2006/relationships/hyperlink" Target="https://cdn-images.kiotviet.vn/2025/08/14/giabaopharma/25076de3fe004befbcb7407fee6a5a52.jpg" TargetMode="External"/><Relationship Id="rId426" Type="http://schemas.openxmlformats.org/officeDocument/2006/relationships/hyperlink" Target="https://product.hstatic.net/200000428801/product/upload_e40cf63003e8463e97af101add500427.jpg" TargetMode="External"/><Relationship Id="rId633" Type="http://schemas.openxmlformats.org/officeDocument/2006/relationships/hyperlink" Target="https://cdn1-retail-images.kiotviet.vn/2026/01/15/giabaopharma/00e4094912de4012b72ca788782fed61.jpg" TargetMode="External"/><Relationship Id="rId980" Type="http://schemas.openxmlformats.org/officeDocument/2006/relationships/hyperlink" Target="https://product.hstatic.net/200000428801/product/upload_8ca3b08de49e408e9a07b83648a530ae.jpg" TargetMode="External"/><Relationship Id="rId1056" Type="http://schemas.openxmlformats.org/officeDocument/2006/relationships/hyperlink" Target="https://product.hstatic.net/200000428801/product/upload_7df39374f4844ef39636e04e27654838.jpg" TargetMode="External"/><Relationship Id="rId1263" Type="http://schemas.openxmlformats.org/officeDocument/2006/relationships/hyperlink" Target="https://product.hstatic.net/200000428801/product/upload_6c1520438ac24687be348e18026994a6.jpg" TargetMode="External"/><Relationship Id="rId2107" Type="http://schemas.openxmlformats.org/officeDocument/2006/relationships/hyperlink" Target="https://product.hstatic.net/200000428801/product/55434aa8a0067d582417_f690ba3112d94d28ae92df4ab8e0db92.jpg" TargetMode="External"/><Relationship Id="rId2314" Type="http://schemas.openxmlformats.org/officeDocument/2006/relationships/hyperlink" Target="https://product.hstatic.net/200000428801/product/upload_40e9e7ddd0bb4e49b38c83603861a659.jpg" TargetMode="External"/><Relationship Id="rId2661" Type="http://schemas.openxmlformats.org/officeDocument/2006/relationships/hyperlink" Target="https://product.hstatic.net/200000428801/product/upload_7c8d96dd998e4e4a8f08139c41407056.jpg" TargetMode="External"/><Relationship Id="rId3712" Type="http://schemas.openxmlformats.org/officeDocument/2006/relationships/hyperlink" Target="https://product.hstatic.net/200000428801/product/nanoo_c637adbe190b4653afd3ac89efc3d766.jpg" TargetMode="External"/><Relationship Id="rId840" Type="http://schemas.openxmlformats.org/officeDocument/2006/relationships/hyperlink" Target="https://product.hstatic.net/200000428801/product/upload_9396b1b585f749b9b86018abf9aa0f00.jpg" TargetMode="External"/><Relationship Id="rId1470" Type="http://schemas.openxmlformats.org/officeDocument/2006/relationships/hyperlink" Target="https://product.hstatic.net/200000428801/product/upload_8be3baa69aca49d89497a49e975aa1ef.jpg" TargetMode="External"/><Relationship Id="rId2521" Type="http://schemas.openxmlformats.org/officeDocument/2006/relationships/hyperlink" Target="https://product.hstatic.net/200000428801/product/upload_da5554317cad4665a3ccf6db3d54dc13.jpg" TargetMode="External"/><Relationship Id="rId700" Type="http://schemas.openxmlformats.org/officeDocument/2006/relationships/hyperlink" Target="https://product.hstatic.net/200000428801/product/upload_3930b8e21a554fc8bf7518e3f73d871d.jpg" TargetMode="External"/><Relationship Id="rId1123" Type="http://schemas.openxmlformats.org/officeDocument/2006/relationships/hyperlink" Target="https://product.hstatic.net/200000428801/product/upload_b9a647e1ba824ff2b01dbd247da427d7.jpg" TargetMode="External"/><Relationship Id="rId1330" Type="http://schemas.openxmlformats.org/officeDocument/2006/relationships/hyperlink" Target="https://product.hstatic.net/200000428801/product/upload_b277cf1065e9465b94e58448d00a0533.jpg" TargetMode="External"/><Relationship Id="rId3088" Type="http://schemas.openxmlformats.org/officeDocument/2006/relationships/hyperlink" Target="https://product.hstatic.net/200000428801/product/f49fcb79c1fb44ed9182d660a514be32_c97300cdcd9b4271b292b8c642a469d8.png" TargetMode="External"/><Relationship Id="rId3295" Type="http://schemas.openxmlformats.org/officeDocument/2006/relationships/hyperlink" Target="https://product.hstatic.net/200000428801/product/35a056b62b27493e97bc1e8e3919f3fb_90c1f3a65fec407a915cf7f145c411f3.png" TargetMode="External"/><Relationship Id="rId3155" Type="http://schemas.openxmlformats.org/officeDocument/2006/relationships/hyperlink" Target="https://product.hstatic.net/200000428801/product/6c9812ce5c6c4d43a4548bf98b963358_09db7434aa6b41dda6ddf89a7557823e.jpg" TargetMode="External"/><Relationship Id="rId3362" Type="http://schemas.openxmlformats.org/officeDocument/2006/relationships/hyperlink" Target="https://product.hstatic.net/200000428801/product/328a1bd0ecd74549880f5b01f4cb5bda_a0594918487b4e928ea56158502f8f9e.png" TargetMode="External"/><Relationship Id="rId283" Type="http://schemas.openxmlformats.org/officeDocument/2006/relationships/hyperlink" Target="https://cdn2-retail-images.kiotviet.vn/giabaopharma/018958e61c9d42538bee7e52ebdce939.png" TargetMode="External"/><Relationship Id="rId490" Type="http://schemas.openxmlformats.org/officeDocument/2006/relationships/hyperlink" Target="https://product.hstatic.net/200000428801/product/upload_66c9191e537e41e89852daf3d15773dc.jpg" TargetMode="External"/><Relationship Id="rId2171" Type="http://schemas.openxmlformats.org/officeDocument/2006/relationships/hyperlink" Target="https://product.hstatic.net/200000428801/product/upload_ec549d91e88f41a493a990292512cbcb.jpg" TargetMode="External"/><Relationship Id="rId3015" Type="http://schemas.openxmlformats.org/officeDocument/2006/relationships/hyperlink" Target="https://product.hstatic.net/200000428801/product/upload_74806f52f38b4abea6ab593e242f6c23.jpg" TargetMode="External"/><Relationship Id="rId3222" Type="http://schemas.openxmlformats.org/officeDocument/2006/relationships/hyperlink" Target="https://product.hstatic.net/200000428801/product/246_62f225c952724e04be8035f6d489b783.png" TargetMode="External"/><Relationship Id="rId143" Type="http://schemas.openxmlformats.org/officeDocument/2006/relationships/hyperlink" Target="https://cdn2-retail-images.kiotviet.vn/2025/02/28/giabaopharma/f62f56d04c6b4ed5874ba24907c273ef.jpg" TargetMode="External"/><Relationship Id="rId350" Type="http://schemas.openxmlformats.org/officeDocument/2006/relationships/hyperlink" Target="https://cdn2-retail-images.kiotviet.vn/giabaopharma/4ce1f2befb9e41b89574a7924c66adca.png,https:/cdn2-retail-images.kiotviet.vn/giabaopharma/1637bcbc7dcc4c9b804d152a12253bee.png,https:/cdn2-retail-images.kiotviet.vn/giabaopharma/2204a1a5d6894a30bb516dd563ad06f0.png,https:/cdn2-retail-images.kiotviet.vn/giabaopharma/3f11fa7cbedb451d8d127b6a9986bc23.png,https:/cdn2-retail-images.kiotviet.vn/giabaopharma/8928e79c083642a5942e298dc5cb9452.png" TargetMode="External"/><Relationship Id="rId2031" Type="http://schemas.openxmlformats.org/officeDocument/2006/relationships/hyperlink" Target="https://product.hstatic.net/200000428801/product/upload_c76fb8a236c14670986340fc0c4abe0a.jpg" TargetMode="External"/><Relationship Id="rId9" Type="http://schemas.openxmlformats.org/officeDocument/2006/relationships/hyperlink" Target="https://cdn2-retail-images.kiotviet.vn/2026/03/09/giabaopharma/eda3c2a5da9c4587a5a284a0d9e3f2d6.jpg" TargetMode="External"/><Relationship Id="rId210" Type="http://schemas.openxmlformats.org/officeDocument/2006/relationships/hyperlink" Target="https://cdn2-retail-images.kiotviet.vn/giabaopharma/7519640700cd489c80334a91790b456a.jpg" TargetMode="External"/><Relationship Id="rId2988" Type="http://schemas.openxmlformats.org/officeDocument/2006/relationships/hyperlink" Target="https://product.hstatic.net/200000428801/product/upload_dbd0d92f444a46b5ae39d841804c4e8c.jpg" TargetMode="External"/><Relationship Id="rId1797" Type="http://schemas.openxmlformats.org/officeDocument/2006/relationships/hyperlink" Target="https://product.hstatic.net/200000428801/product/upload_7ebd18cf00744541b720181388a83b8e.jpg" TargetMode="External"/><Relationship Id="rId2848" Type="http://schemas.openxmlformats.org/officeDocument/2006/relationships/hyperlink" Target="https://product.hstatic.net/200000428801/product/upload_69997de7199948f68f1bd385d3b9fb57.jpg" TargetMode="External"/><Relationship Id="rId89" Type="http://schemas.openxmlformats.org/officeDocument/2006/relationships/hyperlink" Target="https://cdn2-retail-images.kiotviet.vn/2025/05/29/giabaopharma/b34946fe952b4743bcc6207c69b5d402.jpg,https:/cdn2-retail-images.kiotviet.vn/2025/05/29/giabaopharma/16f749c8eeb94af788b9b9a6a638bca5.jpg,https:/cdn2-retail-images.kiotviet.vn/2025/05/29/giabaopharma/bcaf98ec6110487292a839b4337e1a90.jpg,https:/cdn2-retail-images.kiotviet.vn/2025/05/29/giabaopharma/afdd85e7778247a38864267d3eed6dc3.jpg" TargetMode="External"/><Relationship Id="rId1657" Type="http://schemas.openxmlformats.org/officeDocument/2006/relationships/hyperlink" Target="https://product.hstatic.net/200000428801/product/upload_9b86fc7870be43709d786616d95ce6f7.jpg" TargetMode="External"/><Relationship Id="rId1864" Type="http://schemas.openxmlformats.org/officeDocument/2006/relationships/hyperlink" Target="https://product.hstatic.net/200000428801/product/upload_a2be893eef6a446890ed49a8d3fc8a04.jpg" TargetMode="External"/><Relationship Id="rId2708" Type="http://schemas.openxmlformats.org/officeDocument/2006/relationships/hyperlink" Target="https://product.hstatic.net/200000428801/product/upload_4fd489a556934eb0bdb0262da8c23b2f.jpg" TargetMode="External"/><Relationship Id="rId2915" Type="http://schemas.openxmlformats.org/officeDocument/2006/relationships/hyperlink" Target="https://product.hstatic.net/200000428801/product/upload_bfcdac957ac84dc1a3bc1ab2b8653d9a.jpg" TargetMode="External"/><Relationship Id="rId1517" Type="http://schemas.openxmlformats.org/officeDocument/2006/relationships/hyperlink" Target="https://product.hstatic.net/200000428801/product/upload_7f78bea6113948409e4a8728651f9d87.jpg" TargetMode="External"/><Relationship Id="rId1724" Type="http://schemas.openxmlformats.org/officeDocument/2006/relationships/hyperlink" Target="https://product.hstatic.net/200000428801/product/upload_7477cc8a4fa34e1d82cbdf01dc74f2b6.jpg" TargetMode="External"/><Relationship Id="rId16" Type="http://schemas.openxmlformats.org/officeDocument/2006/relationships/hyperlink" Target="https://cdn1-retail-images.kiotviet.vn/2026/01/10/giabaopharma/370efe5b0dbc48ffab519b285a0ca6b2.jpg" TargetMode="External"/><Relationship Id="rId1931" Type="http://schemas.openxmlformats.org/officeDocument/2006/relationships/hyperlink" Target="https://product.hstatic.net/200000428801/product/upload_d81a782cf4a94bdda45b73f9255ebc0a.jpg" TargetMode="External"/><Relationship Id="rId3689" Type="http://schemas.openxmlformats.org/officeDocument/2006/relationships/hyperlink" Target="https://cdn2-retail-images.kiotviet.vn/2025/12/17/giabaopharma/8a1b13aa335645c980127f2c31630df6.jpg" TargetMode="External"/><Relationship Id="rId3896" Type="http://schemas.openxmlformats.org/officeDocument/2006/relationships/hyperlink" Target="https://product.hstatic.net/200000428801/product/zalo_screenshot_18_11_2021_741561_01859b1ede744ba2a0bf46cfdae32e96.png" TargetMode="External"/><Relationship Id="rId2498" Type="http://schemas.openxmlformats.org/officeDocument/2006/relationships/hyperlink" Target="https://product.hstatic.net/200000428801/product/398_27c7c1695f084208a98ed48a2fca9cff.png" TargetMode="External"/><Relationship Id="rId3549" Type="http://schemas.openxmlformats.org/officeDocument/2006/relationships/hyperlink" Target="https://product.hstatic.net/200000428801/product/vite_94975ebb06c74005808dce7242e26a91.jpg" TargetMode="External"/><Relationship Id="rId677" Type="http://schemas.openxmlformats.org/officeDocument/2006/relationships/hyperlink" Target="https://product.hstatic.net/200000428801/product/upload_9d78a90c41ec483ab5f40e375e228f64.jpg" TargetMode="External"/><Relationship Id="rId2358" Type="http://schemas.openxmlformats.org/officeDocument/2006/relationships/hyperlink" Target="https://product.hstatic.net/200000428801/product/1c3bd90b09d248c1b7b419e74716ad00_baaa8981d42b4ec4b7365b6c2c7451de.png" TargetMode="External"/><Relationship Id="rId3756" Type="http://schemas.openxmlformats.org/officeDocument/2006/relationships/hyperlink" Target="https://product.hstatic.net/200000428801/product/zalo_screenshot_18_11_2021_828820_fed748ffd3fc47e9bb0bc3b759e6d63a.png" TargetMode="External"/><Relationship Id="rId3963" Type="http://schemas.openxmlformats.org/officeDocument/2006/relationships/hyperlink" Target="https://product.hstatic.net/200000428801/product/zalo_screenshot_18_11_2021_64358_4b2f754335c748bc95441d28bae0ceda.png" TargetMode="External"/><Relationship Id="rId884" Type="http://schemas.openxmlformats.org/officeDocument/2006/relationships/hyperlink" Target="https://product.hstatic.net/200000428801/product/upload_325370b6fe8f4e56a6a9f97a8829fa97.jpg" TargetMode="External"/><Relationship Id="rId2565" Type="http://schemas.openxmlformats.org/officeDocument/2006/relationships/hyperlink" Target="https://product.hstatic.net/200000428801/product/upload_625bd08d45dc4cdfa8960d1bd970addc.jpg" TargetMode="External"/><Relationship Id="rId2772" Type="http://schemas.openxmlformats.org/officeDocument/2006/relationships/hyperlink" Target="https://product.hstatic.net/200000428801/product/f2a6f4a3262446ba9ad44151106f7456_e9dafbb5af2e4bd583a36f3e317812d6.png" TargetMode="External"/><Relationship Id="rId3409" Type="http://schemas.openxmlformats.org/officeDocument/2006/relationships/hyperlink" Target="https://cdn2-retail-images.kiotviet.vn/2026/02/07/giabaopharma/fd2907687fd6406692b9d4431efa9ef7.png" TargetMode="External"/><Relationship Id="rId3616" Type="http://schemas.openxmlformats.org/officeDocument/2006/relationships/hyperlink" Target="https://cdn2-retail-images.kiotviet.vn/2025/11/15/giabaopharma/9f4d79f1f36948eeabfab9258ef31c08.jpg" TargetMode="External"/><Relationship Id="rId3823" Type="http://schemas.openxmlformats.org/officeDocument/2006/relationships/hyperlink" Target="https://product.hstatic.net/200000428801/product/333_2cd6ef22c11e491cbe24dbb6b7c380b7.jpg" TargetMode="External"/><Relationship Id="rId537" Type="http://schemas.openxmlformats.org/officeDocument/2006/relationships/hyperlink" Target="https://product.hstatic.net/200000428801/product/upload_48521550403b4de994445db1b5c8bef7.jpg" TargetMode="External"/><Relationship Id="rId744" Type="http://schemas.openxmlformats.org/officeDocument/2006/relationships/hyperlink" Target="https://product.hstatic.net/200000428801/product/upload_328a4abacb08405f8dc86f94fa1d5d27.jpg" TargetMode="External"/><Relationship Id="rId951" Type="http://schemas.openxmlformats.org/officeDocument/2006/relationships/hyperlink" Target="https://product.hstatic.net/200000428801/product/upload_f9d03d6004b04ff2ab3469103cee39ec.jpg" TargetMode="External"/><Relationship Id="rId1167" Type="http://schemas.openxmlformats.org/officeDocument/2006/relationships/hyperlink" Target="https://product.hstatic.net/200000428801/product/upload_e537296ecdee438f8e53dd9f11cc9bfa.jpg" TargetMode="External"/><Relationship Id="rId1374" Type="http://schemas.openxmlformats.org/officeDocument/2006/relationships/hyperlink" Target="https://product.hstatic.net/200000428801/product/upload_4215f64817f84a38a0343f3f523c2a6d.jpg" TargetMode="External"/><Relationship Id="rId1581" Type="http://schemas.openxmlformats.org/officeDocument/2006/relationships/hyperlink" Target="https://product.hstatic.net/200000428801/product/upload_37cfea2f1c9746faa46b42c1c659bc3e.jpg" TargetMode="External"/><Relationship Id="rId2218" Type="http://schemas.openxmlformats.org/officeDocument/2006/relationships/hyperlink" Target="https://product.hstatic.net/200000428801/product/upload_45640818471c44fe88d48f763afc10ff.jpg" TargetMode="External"/><Relationship Id="rId2425" Type="http://schemas.openxmlformats.org/officeDocument/2006/relationships/hyperlink" Target="https://product.hstatic.net/200000428801/product/upload_549c4ade68664e4493458b7727f637cf.jpg" TargetMode="External"/><Relationship Id="rId2632" Type="http://schemas.openxmlformats.org/officeDocument/2006/relationships/hyperlink" Target="https://product.hstatic.net/200000428801/product/upload_89f1680968624f44ba0a777e634ebc83.jpg" TargetMode="External"/><Relationship Id="rId80" Type="http://schemas.openxmlformats.org/officeDocument/2006/relationships/hyperlink" Target="https://cdn-images.kiotviet.vn/2025/06/19/giabaopharma/483aaff6b2274282b8812ec112d8d40d.jpg,https:/cdn2-retail-images.kiotviet.vn/2025/06/19/giabaopharma/5b34b4cda11544e1b39b696705b57545.jpg,https:/cdn-images.kiotviet.vn/2025/06/19/giabaopharma/5f8f84e06eca4155a57471d2cc17cc86.jpg" TargetMode="External"/><Relationship Id="rId604" Type="http://schemas.openxmlformats.org/officeDocument/2006/relationships/hyperlink" Target="https://product.hstatic.net/200000428801/product/upload_0d93674a6218400994ae5145f5deed32.jpg" TargetMode="External"/><Relationship Id="rId811" Type="http://schemas.openxmlformats.org/officeDocument/2006/relationships/hyperlink" Target="https://product.hstatic.net/200000428801/product/upload_827e2a7435b24ffbb3834e5fe021b966.jpg" TargetMode="External"/><Relationship Id="rId1027" Type="http://schemas.openxmlformats.org/officeDocument/2006/relationships/hyperlink" Target="https://product.hstatic.net/200000428801/product/upload_436a732b75be4042a2405ca54b9281be.jpg" TargetMode="External"/><Relationship Id="rId1234" Type="http://schemas.openxmlformats.org/officeDocument/2006/relationships/hyperlink" Target="https://product.hstatic.net/200000428801/product/339ebdf69dfb4126b7117e86fd36b0a7_76e72c548dc64a6f83040c6d86fb0bac.png" TargetMode="External"/><Relationship Id="rId1441" Type="http://schemas.openxmlformats.org/officeDocument/2006/relationships/hyperlink" Target="https://product.hstatic.net/200000428801/product/upload_26ca8a87604140ad970d06c1bbce76a8.jpg" TargetMode="External"/><Relationship Id="rId1301" Type="http://schemas.openxmlformats.org/officeDocument/2006/relationships/hyperlink" Target="https://product.hstatic.net/200000428801/product/upload_0da351dded90410aa5c3c631e9ef5660.jpg" TargetMode="External"/><Relationship Id="rId3199" Type="http://schemas.openxmlformats.org/officeDocument/2006/relationships/hyperlink" Target="https://product.hstatic.net/200000428801/product/00432bfd726f4ab197b0c2e0d6963e9c_0507e865540c4aa1aeae75cf40a3c558.png" TargetMode="External"/><Relationship Id="rId3059" Type="http://schemas.openxmlformats.org/officeDocument/2006/relationships/hyperlink" Target="https://product.hstatic.net/200000428801/product/upload_c56cde45097140e4910f6b48a6fb298d.jpg" TargetMode="External"/><Relationship Id="rId3266" Type="http://schemas.openxmlformats.org/officeDocument/2006/relationships/hyperlink" Target="https://product.hstatic.net/200000428801/product/10435117e9034430b5b39160fe526483_cbdea4ee1765488c8bfc8130068e5e91.png" TargetMode="External"/><Relationship Id="rId3473" Type="http://schemas.openxmlformats.org/officeDocument/2006/relationships/hyperlink" Target="https://product.hstatic.net/200000428801/product/17d55ccb68714e7db20cd58bd40b8591_f27c1a0011c3434990ee80c817528f0a.png" TargetMode="External"/><Relationship Id="rId187" Type="http://schemas.openxmlformats.org/officeDocument/2006/relationships/hyperlink" Target="https://cdn2-retail-images.kiotviet.vn/2025/10/23/giabaopharma/2a413176a57f4eddbed528e9a543c1f3.jpg" TargetMode="External"/><Relationship Id="rId394" Type="http://schemas.openxmlformats.org/officeDocument/2006/relationships/hyperlink" Target="https://product.hstatic.net/200000428801/product/ddbff55201474b0e9723c24658b429e9_66403845c8a641508427014847c552d9.png" TargetMode="External"/><Relationship Id="rId2075" Type="http://schemas.openxmlformats.org/officeDocument/2006/relationships/hyperlink" Target="https://product.hstatic.net/200000428801/product/upload_aae0bee9bfb74cb4a1736c77b4ee228e.jpg" TargetMode="External"/><Relationship Id="rId2282" Type="http://schemas.openxmlformats.org/officeDocument/2006/relationships/hyperlink" Target="https://product.hstatic.net/200000428801/product/upload_e15996ca93ba418395a617ed6c13fdaa.jpg" TargetMode="External"/><Relationship Id="rId3126" Type="http://schemas.openxmlformats.org/officeDocument/2006/relationships/hyperlink" Target="https://product.hstatic.net/200000428801/product/5873222ed3f94639a1e9ae10b078a52a_c796e1335e9c4acbb97615f83378bd80.png" TargetMode="External"/><Relationship Id="rId3680" Type="http://schemas.openxmlformats.org/officeDocument/2006/relationships/hyperlink" Target="https://cdn2-retail-images.kiotviet.vn/2026/02/07/giabaopharma/d432893395b94fee823e1cb9ba3c8ec3.png" TargetMode="External"/><Relationship Id="rId254" Type="http://schemas.openxmlformats.org/officeDocument/2006/relationships/hyperlink" Target="https://cdn-images.kiotviet.vn/giabaopharma/a946a808851643c7b72679a537b6c976.png,https:/cdn-images.kiotviet.vn/giabaopharma/8652982d458547eb93bef3f7dc614ae9.png,https:/cdn-images.kiotviet.vn/giabaopharma/407918bd1eec4beb82680c66b43bb893.png,https:/cdn-images.kiotviet.vn/giabaopharma/0ff559fb41aa48418f692a126430f974.png,https:/cdn-images.kiotviet.vn/giabaopharma/c1ae5ec170b8486ab435a280756726a8.png" TargetMode="External"/><Relationship Id="rId1091" Type="http://schemas.openxmlformats.org/officeDocument/2006/relationships/hyperlink" Target="https://product.hstatic.net/200000428801/product/upload_d5cf2b864a1644e49ed5fe071ce8b277.jpg" TargetMode="External"/><Relationship Id="rId3333" Type="http://schemas.openxmlformats.org/officeDocument/2006/relationships/hyperlink" Target="https://product.hstatic.net/200000428801/product/2b4ad5b54d2a4928911741735114a8bb_0d10291e8736425a8d8e29c06c69e943.png" TargetMode="External"/><Relationship Id="rId3540" Type="http://schemas.openxmlformats.org/officeDocument/2006/relationships/hyperlink" Target="https://product.hstatic.net/200000428801/product/2b7f4a5722cded93b4dc_07f99518f66a4e67970755028395b083.jpg" TargetMode="External"/><Relationship Id="rId114" Type="http://schemas.openxmlformats.org/officeDocument/2006/relationships/hyperlink" Target="https://cdn2-retail-images.kiotviet.vn/2025/04/10/giabaopharma/109662ece21943139493e1eef052465c.png,https:/cdn2-retail-images.kiotviet.vn/2025/04/10/giabaopharma/be8dfe1dbbd7484c889edf670d940775.png,https:/cdn2-retail-images.kiotviet.vn/2025/04/10/giabaopharma/20d7ca0795314e94a852ecc000290887.png,https:/cdn2-retail-images.kiotviet.vn/2025/04/10/giabaopharma/2af0631f48ec4ffb927595deac907b5f.png,https:/cdn2-retail-images.kiotviet.vn/2025/04/10/giabaopharma/6040e602a1cd4d9aae1ff269c98e93e2.png" TargetMode="External"/><Relationship Id="rId461" Type="http://schemas.openxmlformats.org/officeDocument/2006/relationships/hyperlink" Target="https://product.hstatic.net/200000428801/product/b0641f9b949e4c38b2778f4d0e4fbd97_5f99b01012ae4694b97a0456ee3ff23e.jpg" TargetMode="External"/><Relationship Id="rId2142" Type="http://schemas.openxmlformats.org/officeDocument/2006/relationships/hyperlink" Target="https://cdn1-retail-images.kiotviet.vn/2026/03/10/giabaopharma/3eca5f5b03044c6e94152722c219f0a7.jpg" TargetMode="External"/><Relationship Id="rId3400" Type="http://schemas.openxmlformats.org/officeDocument/2006/relationships/hyperlink" Target="https://product.hstatic.net/200000428801/product/90c451a6908346da816cc567f352e934_28be99b9d3e4465a91580c668e84b3ad.png" TargetMode="External"/><Relationship Id="rId321" Type="http://schemas.openxmlformats.org/officeDocument/2006/relationships/hyperlink" Target="https://product.hstatic.net/200000428801/product/upload_e7abc3ee754c400b9066825864451949.jpg" TargetMode="External"/><Relationship Id="rId2002" Type="http://schemas.openxmlformats.org/officeDocument/2006/relationships/hyperlink" Target="https://product.hstatic.net/200000428801/product/upload_3ce158d0e61e48a3a512c2599003b8ac.jpg" TargetMode="External"/><Relationship Id="rId2959" Type="http://schemas.openxmlformats.org/officeDocument/2006/relationships/hyperlink" Target="https://product.hstatic.net/200000428801/product/upload_51f0f6efb8fc4ef8b73ce055323ff993.jpg" TargetMode="External"/><Relationship Id="rId1768" Type="http://schemas.openxmlformats.org/officeDocument/2006/relationships/hyperlink" Target="https://product.hstatic.net/200000428801/product/upload_60524382740a4296a21f0a9306041aa0.jpg" TargetMode="External"/><Relationship Id="rId2819" Type="http://schemas.openxmlformats.org/officeDocument/2006/relationships/hyperlink" Target="https://product.hstatic.net/200000428801/product/upload_31a7483dc2644314a2e6046f2c0cf0f7.jpg" TargetMode="External"/><Relationship Id="rId1628" Type="http://schemas.openxmlformats.org/officeDocument/2006/relationships/hyperlink" Target="https://product.hstatic.net/200000428801/product/upload_867c376f600945e7b63de9e56972a8bc.jpg" TargetMode="External"/><Relationship Id="rId1975" Type="http://schemas.openxmlformats.org/officeDocument/2006/relationships/hyperlink" Target="https://product.hstatic.net/200000428801/product/507_7300c7d3396a4d59999962c30e6a4701.png" TargetMode="External"/><Relationship Id="rId3190" Type="http://schemas.openxmlformats.org/officeDocument/2006/relationships/hyperlink" Target="https://product.hstatic.net/200000428801/product/4df481d6c12740e5be75c376407a1c8b_776655b9d8294fcf99473a6901c0173a.jpg" TargetMode="External"/><Relationship Id="rId4034" Type="http://schemas.openxmlformats.org/officeDocument/2006/relationships/hyperlink" Target="https://product.hstatic.net/200000428801/product/0643b28a7a76ba28e367_98fd6e61c79249fb967ec5ac57b56443.jpg" TargetMode="External"/><Relationship Id="rId1835" Type="http://schemas.openxmlformats.org/officeDocument/2006/relationships/hyperlink" Target="https://product.hstatic.net/200000428801/product/upload_6f29adb321174238a6e4a7618208066d.jpg" TargetMode="External"/><Relationship Id="rId3050" Type="http://schemas.openxmlformats.org/officeDocument/2006/relationships/hyperlink" Target="https://product.hstatic.net/200000428801/product/upload_4debbf569d13468b9b863fb52ac6199d.jpg" TargetMode="External"/><Relationship Id="rId1902" Type="http://schemas.openxmlformats.org/officeDocument/2006/relationships/hyperlink" Target="https://product.hstatic.net/200000428801/product/upload_08e21dcc6c6941678c19e4d9af5cfc95.jpg" TargetMode="External"/><Relationship Id="rId3867" Type="http://schemas.openxmlformats.org/officeDocument/2006/relationships/hyperlink" Target="https://product.hstatic.net/200000428801/product/1298c40709a9cbf792b8_c7c40c74a1474db7a7c02ce8376e9dbc.jpg" TargetMode="External"/><Relationship Id="rId788" Type="http://schemas.openxmlformats.org/officeDocument/2006/relationships/hyperlink" Target="https://product.hstatic.net/200000428801/product/upload_c2bfbbe7dd3f45c8b4202d35a656231b.jpg" TargetMode="External"/><Relationship Id="rId995" Type="http://schemas.openxmlformats.org/officeDocument/2006/relationships/hyperlink" Target="https://product.hstatic.net/200000428801/product/upload_3a5e1d2ad9294ee18d25063530b32b53.jpg" TargetMode="External"/><Relationship Id="rId2469" Type="http://schemas.openxmlformats.org/officeDocument/2006/relationships/hyperlink" Target="https://product.hstatic.net/200000428801/product/upload_970db014fdb140bcbf03991f756325b7.jpg" TargetMode="External"/><Relationship Id="rId2676" Type="http://schemas.openxmlformats.org/officeDocument/2006/relationships/hyperlink" Target="https://product.hstatic.net/200000428801/product/381_a6f4552c944e4d82bc6a14087d5005ff.png" TargetMode="External"/><Relationship Id="rId2883" Type="http://schemas.openxmlformats.org/officeDocument/2006/relationships/hyperlink" Target="https://product.hstatic.net/200000428801/product/upload_3ce06acc360542b793e4c436bca7307e.jpg" TargetMode="External"/><Relationship Id="rId3727" Type="http://schemas.openxmlformats.org/officeDocument/2006/relationships/hyperlink" Target="https://cdn1-retail-images.kiotviet.vn/2026/01/09/giabaopharma/cb53cf1cc7e948b98317775e37236587.jpg" TargetMode="External"/><Relationship Id="rId3934" Type="http://schemas.openxmlformats.org/officeDocument/2006/relationships/hyperlink" Target="https://cdn2-retail-images.kiotviet.vn/2026/03/07/giabaopharma/e08acc2c19b84e87a1659f64dfbe4658.jpg" TargetMode="External"/><Relationship Id="rId648" Type="http://schemas.openxmlformats.org/officeDocument/2006/relationships/hyperlink" Target="https://product.hstatic.net/200000428801/product/upload_3f22c81dc3a247d9960e7139ca9a17d6.jpg" TargetMode="External"/><Relationship Id="rId855" Type="http://schemas.openxmlformats.org/officeDocument/2006/relationships/hyperlink" Target="https://product.hstatic.net/200000428801/product/902c9ca256134e43820fad6fb8d0ea49_b8500c3ae6e54a73b9b6a2410264f846.png" TargetMode="External"/><Relationship Id="rId1278" Type="http://schemas.openxmlformats.org/officeDocument/2006/relationships/hyperlink" Target="https://product.hstatic.net/200000428801/product/db5acc96199ac7c49e8b_456827a2d2084259962e950881f1c41c.jpg" TargetMode="External"/><Relationship Id="rId1485" Type="http://schemas.openxmlformats.org/officeDocument/2006/relationships/hyperlink" Target="https://product.hstatic.net/200000428801/product/upload_fb9ed04804634493a625f07d7ad4bbc9.jpg" TargetMode="External"/><Relationship Id="rId1692" Type="http://schemas.openxmlformats.org/officeDocument/2006/relationships/hyperlink" Target="https://product.hstatic.net/200000428801/product/9ea52515f7df474d91eced0487c8df8e_3e223674b23e4dc09214ac3d60c0ec40.png" TargetMode="External"/><Relationship Id="rId2329" Type="http://schemas.openxmlformats.org/officeDocument/2006/relationships/hyperlink" Target="https://product.hstatic.net/200000428801/product/upload_bb9086e5388146f2a74856555c1063f1.jpg" TargetMode="External"/><Relationship Id="rId2536" Type="http://schemas.openxmlformats.org/officeDocument/2006/relationships/hyperlink" Target="https://product.hstatic.net/200000428801/product/upload_eb52a79d7ad248329ffddfbe47942432.jpg" TargetMode="External"/><Relationship Id="rId2743" Type="http://schemas.openxmlformats.org/officeDocument/2006/relationships/hyperlink" Target="https://product.hstatic.net/200000428801/product/367_a89cb8f87e8342f6888612a9aae9f5a9.png" TargetMode="External"/><Relationship Id="rId508" Type="http://schemas.openxmlformats.org/officeDocument/2006/relationships/hyperlink" Target="https://product.hstatic.net/200000428801/product/upload_bdbb495546034a1a991fc17a904b873c.jpg" TargetMode="External"/><Relationship Id="rId715" Type="http://schemas.openxmlformats.org/officeDocument/2006/relationships/hyperlink" Target="https://product.hstatic.net/200000428801/product/upload_5dda8737cb6846d1954013c58ddbca8f.jpg" TargetMode="External"/><Relationship Id="rId922" Type="http://schemas.openxmlformats.org/officeDocument/2006/relationships/hyperlink" Target="https://product.hstatic.net/200000428801/product/upload_c30d2408c10b4c639468b1b9d372d069.jpg" TargetMode="External"/><Relationship Id="rId1138" Type="http://schemas.openxmlformats.org/officeDocument/2006/relationships/hyperlink" Target="https://product.hstatic.net/200000428801/product/upload_cdb39183198548e78389ecd6e9a3e179.jpg" TargetMode="External"/><Relationship Id="rId1345" Type="http://schemas.openxmlformats.org/officeDocument/2006/relationships/hyperlink" Target="https://product.hstatic.net/200000428801/product/upload_49f68aeb620b4a7d87556905ccbc421c.jpg" TargetMode="External"/><Relationship Id="rId1552" Type="http://schemas.openxmlformats.org/officeDocument/2006/relationships/hyperlink" Target="https://product.hstatic.net/200000428801/product/upload_47c3aed84dba476eb84554a904d19801.jpg" TargetMode="External"/><Relationship Id="rId2603" Type="http://schemas.openxmlformats.org/officeDocument/2006/relationships/hyperlink" Target="https://product.hstatic.net/200000428801/product/upload_cc78adcbdb01419d9c77cd2178a0d1e6.jpg" TargetMode="External"/><Relationship Id="rId2950" Type="http://schemas.openxmlformats.org/officeDocument/2006/relationships/hyperlink" Target="https://cdn2-retail-images.kiotviet.vn/2026/02/07/giabaopharma/fa5cfdfae41c4deca8981d2376029f7f.jpg" TargetMode="External"/><Relationship Id="rId1205" Type="http://schemas.openxmlformats.org/officeDocument/2006/relationships/hyperlink" Target="https://product.hstatic.net/200000428801/product/upload_34f3104e674c425b8088b4d641e6494f.jpg" TargetMode="External"/><Relationship Id="rId2810" Type="http://schemas.openxmlformats.org/officeDocument/2006/relationships/hyperlink" Target="https://product.hstatic.net/200000428801/product/upload_5290ac64ee30468c8d2109ae9ab4b97f.jpg" TargetMode="External"/><Relationship Id="rId51" Type="http://schemas.openxmlformats.org/officeDocument/2006/relationships/hyperlink" Target="https://i.postimg.cc/hvJjf63R/Vi-n-m-m-u-Kingphar-gi-m-m-m-u-gi-m-nguy-c-x-v-a-ng-m-ch-1-L-40-vi-n-3-min.png" TargetMode="External"/><Relationship Id="rId1412" Type="http://schemas.openxmlformats.org/officeDocument/2006/relationships/hyperlink" Target="https://product.hstatic.net/200000428801/product/upload_3643c3d65cda47efa0fa2fae12408bb2.jpg" TargetMode="External"/><Relationship Id="rId3377" Type="http://schemas.openxmlformats.org/officeDocument/2006/relationships/hyperlink" Target="https://product.hstatic.net/200000428801/product/8085a1be950146df9713adcf09352ccd_dcb53667c6724b27a4883c03bbf62671.png" TargetMode="External"/><Relationship Id="rId298" Type="http://schemas.openxmlformats.org/officeDocument/2006/relationships/hyperlink" Target="https://product.hstatic.net/200000428801/product/d4a3e614deb74ef1ab95f247df2de115_f395800e52ae4c5fbfa8b5d18a2826cf.png" TargetMode="External"/><Relationship Id="rId3584" Type="http://schemas.openxmlformats.org/officeDocument/2006/relationships/hyperlink" Target="https://product.hstatic.net/200000428801/product/16_85240c8fc4694ddcb5b9c5d636f0074c.png" TargetMode="External"/><Relationship Id="rId3791" Type="http://schemas.openxmlformats.org/officeDocument/2006/relationships/hyperlink" Target="https://cdn2-retail-images.kiotviet.vn/2025/10/30/giabaopharma/dba8ba024eb143e687b6b88a9eecfc16.png" TargetMode="External"/><Relationship Id="rId158" Type="http://schemas.openxmlformats.org/officeDocument/2006/relationships/hyperlink" Target="https://cdn2-retail-images.kiotviet.vn/2025/02/06/giabaopharma/8797c6c5779c411ebb9cf965edc4d4cd.jpg" TargetMode="External"/><Relationship Id="rId2186" Type="http://schemas.openxmlformats.org/officeDocument/2006/relationships/hyperlink" Target="https://product.hstatic.net/200000428801/product/upload_34e88ff2afb34543afcc5409a5330a96.jpg" TargetMode="External"/><Relationship Id="rId2393" Type="http://schemas.openxmlformats.org/officeDocument/2006/relationships/hyperlink" Target="https://product.hstatic.net/200000428801/product/upload_3958de65eb7848d18a78b589924fee35.jpg" TargetMode="External"/><Relationship Id="rId3237" Type="http://schemas.openxmlformats.org/officeDocument/2006/relationships/hyperlink" Target="https://product.hstatic.net/200000428801/product/ed0baae928f24c258f503d8f56f3a77f_d08b1093793e408c9bd782bd6ad92b47.png" TargetMode="External"/><Relationship Id="rId3444" Type="http://schemas.openxmlformats.org/officeDocument/2006/relationships/hyperlink" Target="https://product.hstatic.net/200000428801/product/7caced09c68d4d67b36b9feb9a79cc64_5cf7b510623f4d66a6216066491b53a8.png" TargetMode="External"/><Relationship Id="rId3651" Type="http://schemas.openxmlformats.org/officeDocument/2006/relationships/hyperlink" Target="https://cdn-images.kiotviet.vn/giabaopharma/738e99b46751481ba890a8b7f58b9736.png,https:/cdn-images.kiotviet.vn/giabaopharma/01551dc239ba4c8b8485a169ece31854.png,https:/cdn-images.kiotviet.vn/giabaopharma/4fb151c6b5254678bb3cd0111227e080.png,https:/cdn-images.kiotviet.vn/giabaopharma/e9a5a2b875d64af7a1008d01d490d954.png,https:/cdn-images.kiotviet.vn/giabaopharma/bff5c78f780341d29b8ab474a47fa3b6.png" TargetMode="External"/><Relationship Id="rId365" Type="http://schemas.openxmlformats.org/officeDocument/2006/relationships/hyperlink" Target="https://product.hstatic.net/200000428801/product/upload_90a6df01c8be44079aa2bd805d6a3ff6.jpg" TargetMode="External"/><Relationship Id="rId572" Type="http://schemas.openxmlformats.org/officeDocument/2006/relationships/hyperlink" Target="https://product.hstatic.net/200000428801/product/upload_84b15c6aa483404aa42cdd615d726adc.jpg" TargetMode="External"/><Relationship Id="rId2046" Type="http://schemas.openxmlformats.org/officeDocument/2006/relationships/hyperlink" Target="https://product.hstatic.net/200000428801/product/1ad6444098ee45b01cff_eaf3fc7f49fb46dc87660840dc671b1d.jpg" TargetMode="External"/><Relationship Id="rId2253" Type="http://schemas.openxmlformats.org/officeDocument/2006/relationships/hyperlink" Target="https://product.hstatic.net/200000428801/product/upload_1c856664096b4f97ad2de22f8ad47174.jpg" TargetMode="External"/><Relationship Id="rId2460" Type="http://schemas.openxmlformats.org/officeDocument/2006/relationships/hyperlink" Target="https://product.hstatic.net/200000428801/product/upload_bb2b725db3c2429db7ae59c54a5f9829.jpg" TargetMode="External"/><Relationship Id="rId3304" Type="http://schemas.openxmlformats.org/officeDocument/2006/relationships/hyperlink" Target="https://product.hstatic.net/200000428801/product/010abbe3788e4a2895fa488d4254146f_7b12c1bf683c40979f37c1b4f11e1436.png" TargetMode="External"/><Relationship Id="rId3511" Type="http://schemas.openxmlformats.org/officeDocument/2006/relationships/hyperlink" Target="https://product.hstatic.net/200000428801/product/c9ede9ca26f6f8a8a1e719_1210a5bcfad64c74afff718374728796.jpg" TargetMode="External"/><Relationship Id="rId225" Type="http://schemas.openxmlformats.org/officeDocument/2006/relationships/hyperlink" Target="https://cdn2-retail-images.kiotviet.vn/giabaopharma/d5853bcbcc644883b33ffc8bc820859a.jpg" TargetMode="External"/><Relationship Id="rId432" Type="http://schemas.openxmlformats.org/officeDocument/2006/relationships/hyperlink" Target="https://product.hstatic.net/200000428801/product/upload_959064c2149d424ca3c4438d7168eee0.jpg" TargetMode="External"/><Relationship Id="rId1062" Type="http://schemas.openxmlformats.org/officeDocument/2006/relationships/hyperlink" Target="https://product.hstatic.net/200000428801/product/upload_6d8ecdfce40a49f79696805c9167b009.jpg" TargetMode="External"/><Relationship Id="rId2113" Type="http://schemas.openxmlformats.org/officeDocument/2006/relationships/hyperlink" Target="https://product.hstatic.net/200000428801/product/upload_b6a33dda426c486aa8f2e6af46f1be60.jpg" TargetMode="External"/><Relationship Id="rId2320" Type="http://schemas.openxmlformats.org/officeDocument/2006/relationships/hyperlink" Target="https://product.hstatic.net/200000428801/product/upload_92386288950944e8b9611ae9eed93176.jpg" TargetMode="External"/><Relationship Id="rId1879" Type="http://schemas.openxmlformats.org/officeDocument/2006/relationships/hyperlink" Target="https://cdn2-retail-images.kiotviet.vn/giabaopharma/9a01c308a3e3423c970170142cb4cb2e.jpg" TargetMode="External"/><Relationship Id="rId3094" Type="http://schemas.openxmlformats.org/officeDocument/2006/relationships/hyperlink" Target="https://product.hstatic.net/200000428801/product/ca471b00f45443e4bd82901f8037f0d5_00fa21ef07214f98927562a76bb1668b.png" TargetMode="External"/><Relationship Id="rId1739" Type="http://schemas.openxmlformats.org/officeDocument/2006/relationships/hyperlink" Target="https://product.hstatic.net/200000428801/product/upload_9e5970f339fe4dd4bc38d79fd3e3aeea.jpg" TargetMode="External"/><Relationship Id="rId1946" Type="http://schemas.openxmlformats.org/officeDocument/2006/relationships/hyperlink" Target="https://product.hstatic.net/200000428801/product/upload_29bb9b0d51a447e586c6cf289fa3c0ae.jpg" TargetMode="External"/><Relationship Id="rId4005" Type="http://schemas.openxmlformats.org/officeDocument/2006/relationships/hyperlink" Target="https://product.hstatic.net/200000428801/product/dre_e10a32f6693c4bdead0b1f74420fef16.jpg" TargetMode="External"/><Relationship Id="rId1806" Type="http://schemas.openxmlformats.org/officeDocument/2006/relationships/hyperlink" Target="https://product.hstatic.net/200000428801/product/upload_d4d8128bfed34166b2a7bc5c85d717a7.jpg" TargetMode="External"/><Relationship Id="rId3161" Type="http://schemas.openxmlformats.org/officeDocument/2006/relationships/hyperlink" Target="https://product.hstatic.net/200000428801/product/6cfa4845015b43f098e6a088d9e6a1b0_031c0eb01b4843318a4d0e6e22b76566.jpg" TargetMode="External"/><Relationship Id="rId3021" Type="http://schemas.openxmlformats.org/officeDocument/2006/relationships/hyperlink" Target="https://product.hstatic.net/200000428801/product/upload_ce5e3d2fe2e94a47adcfa9a4a68186d3.jpg" TargetMode="External"/><Relationship Id="rId3978" Type="http://schemas.openxmlformats.org/officeDocument/2006/relationships/hyperlink" Target="https://product.hstatic.net/200000428801/product/thiet_ke_khong_ten__61__5a7002d0abce440a99ce82930d847c18.png" TargetMode="External"/><Relationship Id="rId899" Type="http://schemas.openxmlformats.org/officeDocument/2006/relationships/hyperlink" Target="https://product.hstatic.net/200000428801/product/upload_ee765384235944048f6678efeb4f127b.jpg" TargetMode="External"/><Relationship Id="rId2787" Type="http://schemas.openxmlformats.org/officeDocument/2006/relationships/hyperlink" Target="https://product.hstatic.net/200000428801/product/upload_0408495cc1e54648b1f4c5618d5dadfe.jpg" TargetMode="External"/><Relationship Id="rId3838" Type="http://schemas.openxmlformats.org/officeDocument/2006/relationships/hyperlink" Target="https://cdn1-retail-images.kiotviet.vn/2026/01/10/giabaopharma/c1b21370d64d42b8bcc2110a9e401a21.jpg" TargetMode="External"/><Relationship Id="rId759" Type="http://schemas.openxmlformats.org/officeDocument/2006/relationships/hyperlink" Target="https://product.hstatic.net/200000428801/product/upload_a3c4c2d6d9ba4d31b0b4bf4fba1015b7.jpg" TargetMode="External"/><Relationship Id="rId966" Type="http://schemas.openxmlformats.org/officeDocument/2006/relationships/hyperlink" Target="https://product.hstatic.net/200000428801/product/upload_401a4f395bd4452fb80695f19768d614.jpg" TargetMode="External"/><Relationship Id="rId1389" Type="http://schemas.openxmlformats.org/officeDocument/2006/relationships/hyperlink" Target="https://product.hstatic.net/200000428801/product/57_77c0d79c40584d4c835607f6435d7336.png" TargetMode="External"/><Relationship Id="rId1596" Type="http://schemas.openxmlformats.org/officeDocument/2006/relationships/hyperlink" Target="https://product.hstatic.net/200000428801/product/upload_4ab2b9d723044b78b9f3abc2b4fd94b5.jpg" TargetMode="External"/><Relationship Id="rId2647" Type="http://schemas.openxmlformats.org/officeDocument/2006/relationships/hyperlink" Target="https://product.hstatic.net/200000428801/product/upload_b125ef1d42234cb48bb1aec533ad1909.jpg" TargetMode="External"/><Relationship Id="rId2994" Type="http://schemas.openxmlformats.org/officeDocument/2006/relationships/hyperlink" Target="https://product.hstatic.net/200000428801/product/upload_78c944d9d87b477d95dc29ad11d6c7fa.jpg" TargetMode="External"/><Relationship Id="rId619" Type="http://schemas.openxmlformats.org/officeDocument/2006/relationships/hyperlink" Target="https://product.hstatic.net/200000428801/product/upload_d12d5edba9214a85835bafa0eefb5476.jpg" TargetMode="External"/><Relationship Id="rId1249" Type="http://schemas.openxmlformats.org/officeDocument/2006/relationships/hyperlink" Target="https://product.hstatic.net/200000428801/product/2b1ea405d5020b5c5213_7bd16d7dbbe0417a91880479adf58f9d.jpg" TargetMode="External"/><Relationship Id="rId2854" Type="http://schemas.openxmlformats.org/officeDocument/2006/relationships/hyperlink" Target="https://product.hstatic.net/200000428801/product/358_03548bf2dd694c808dc9efbdc1a813f8.png" TargetMode="External"/><Relationship Id="rId3905" Type="http://schemas.openxmlformats.org/officeDocument/2006/relationships/hyperlink" Target="https://product.hstatic.net/200000428801/product/zalo_screenshot_20_11_2021_716944_47979e2c6e544456aeeb9a46d6b84926.png" TargetMode="External"/><Relationship Id="rId95" Type="http://schemas.openxmlformats.org/officeDocument/2006/relationships/hyperlink" Target="https://cdn-images.kiotviet.vn/2025/05/20/giabaopharma/7bb3dbf1460347299ef0e717b93170b9.jpg,https:/cdn-images.kiotviet.vn/2025/05/20/giabaopharma/aad723b66cf3403c9d21aafee0cc95c8.jpg,https:/cdn2-retail-images.kiotviet.vn/2025/05/20/giabaopharma/713cd3598d89447e9ea4d49a77bebef7.jpg,https:/cdn-images.kiotviet.vn/2025/05/20/giabaopharma/44062ce46d794d0893e948fd84792cef.jpg" TargetMode="External"/><Relationship Id="rId826" Type="http://schemas.openxmlformats.org/officeDocument/2006/relationships/hyperlink" Target="https://product.hstatic.net/200000428801/product/upload_8044a8f8971646d898dbaf1cad3e8d46.jpg" TargetMode="External"/><Relationship Id="rId1109" Type="http://schemas.openxmlformats.org/officeDocument/2006/relationships/hyperlink" Target="https://product.hstatic.net/200000428801/product/upload_c7c50cca6f374244879bdf4974c36f25.jpg" TargetMode="External"/><Relationship Id="rId1456" Type="http://schemas.openxmlformats.org/officeDocument/2006/relationships/hyperlink" Target="https://cdn2-retail-images.kiotviet.vn/2024/08/29/giabaopharma/e03ad58ee77341cfab69dfc24a0a20ca.jpg" TargetMode="External"/><Relationship Id="rId1663" Type="http://schemas.openxmlformats.org/officeDocument/2006/relationships/hyperlink" Target="https://product.hstatic.net/200000428801/product/upload_232c464f78ed4c71824c454d3b68a7d5.jpg" TargetMode="External"/><Relationship Id="rId1870" Type="http://schemas.openxmlformats.org/officeDocument/2006/relationships/hyperlink" Target="https://product.hstatic.net/200000428801/product/upload_1c181dffdce14498b11a3bc5d8d09ee4.jpg" TargetMode="External"/><Relationship Id="rId2507" Type="http://schemas.openxmlformats.org/officeDocument/2006/relationships/hyperlink" Target="https://product.hstatic.net/200000428801/product/upload_2368956156374c458d0b56a967db46b4.jpg" TargetMode="External"/><Relationship Id="rId2714" Type="http://schemas.openxmlformats.org/officeDocument/2006/relationships/hyperlink" Target="https://product.hstatic.net/200000428801/product/upload_de9883b58918437a83db02abf6a6fae6.jpg" TargetMode="External"/><Relationship Id="rId2921" Type="http://schemas.openxmlformats.org/officeDocument/2006/relationships/hyperlink" Target="https://product.hstatic.net/200000428801/product/353_2e324dfe46a44e9c98258e7f3005f2bb.png" TargetMode="External"/><Relationship Id="rId1316" Type="http://schemas.openxmlformats.org/officeDocument/2006/relationships/hyperlink" Target="https://product.hstatic.net/200000428801/product/upload_b9405f364b02492faff6e382f37a39c9.jpg" TargetMode="External"/><Relationship Id="rId1523" Type="http://schemas.openxmlformats.org/officeDocument/2006/relationships/hyperlink" Target="https://product.hstatic.net/200000428801/product/upload_652ec1d0382a41de82c84bc12306ec29.jpg" TargetMode="External"/><Relationship Id="rId1730" Type="http://schemas.openxmlformats.org/officeDocument/2006/relationships/hyperlink" Target="https://product.hstatic.net/200000428801/product/upload_c0826f9929484abfa7b8876a28c51600.jpg" TargetMode="External"/><Relationship Id="rId22" Type="http://schemas.openxmlformats.org/officeDocument/2006/relationships/hyperlink" Target="https://cdn2-retail-images.kiotviet.vn/2025/12/30/giabaopharma/6584ee3c3c0648668bc71c7c800baf04.png,https:/cdn2-retail-images.kiotviet.vn/2025/12/30/giabaopharma/b291ec684f1a4d0eb2389c43c9fde0b9.png,https:/cdn2-retail-images.kiotviet.vn/2025/12/30/giabaopharma/c74e5058a3d84e969f231db6ffd448f7.png,https:/cdn2-retail-images.kiotviet.vn/2025/12/30/giabaopharma/ca0c1ff42bee4e3bab67f8006de8f7b3.png" TargetMode="External"/><Relationship Id="rId3488" Type="http://schemas.openxmlformats.org/officeDocument/2006/relationships/hyperlink" Target="https://product.hstatic.net/200000428801/product/23_74e2806b27b6451f9a26264b3fb89959.png" TargetMode="External"/><Relationship Id="rId3695" Type="http://schemas.openxmlformats.org/officeDocument/2006/relationships/hyperlink" Target="https://product.hstatic.net/200000428801/product/24_b8ed1d478a7b48e6802bd66dd1093c75.png" TargetMode="External"/><Relationship Id="rId2297" Type="http://schemas.openxmlformats.org/officeDocument/2006/relationships/hyperlink" Target="https://product.hstatic.net/200000428801/product/6f679e595f864d628ba4f0458c7943e8_e84be469701940438bbafa47b7a3bff0.png" TargetMode="External"/><Relationship Id="rId3348" Type="http://schemas.openxmlformats.org/officeDocument/2006/relationships/hyperlink" Target="https://product.hstatic.net/200000428801/product/ffe608233b234948b2f04f0f83901fc7_a38d6386940349a8912f64917cd7cec4.png" TargetMode="External"/><Relationship Id="rId3555" Type="http://schemas.openxmlformats.org/officeDocument/2006/relationships/hyperlink" Target="https://product.hstatic.net/200000428801/product/a5ecbd2bc0f10caf55e0_e398031c402c49a78ffa8677bb34718c.jpg" TargetMode="External"/><Relationship Id="rId3762" Type="http://schemas.openxmlformats.org/officeDocument/2006/relationships/hyperlink" Target="https://product.hstatic.net/200000428801/product/a001c1e8351ff641af0e_fe6ea2bafe994b568a4fb90a5c9c8986.jpg" TargetMode="External"/><Relationship Id="rId269" Type="http://schemas.openxmlformats.org/officeDocument/2006/relationships/hyperlink" Target="https://cdn-images.kiotviet.vn/giabaopharma/cd86235ebe96488a86a72980bacea4ad.png" TargetMode="External"/><Relationship Id="rId476" Type="http://schemas.openxmlformats.org/officeDocument/2006/relationships/hyperlink" Target="https://product.hstatic.net/200000428801/product/61deac9918d0400687a7c3f86bef11e2_dc7ea2d6bece4fa0838a8f2547e25c5d.png" TargetMode="External"/><Relationship Id="rId683" Type="http://schemas.openxmlformats.org/officeDocument/2006/relationships/hyperlink" Target="https://product.hstatic.net/200000428801/product/upload_a1980e0c6c87438998ce3a4f3ea3f94f.jpg" TargetMode="External"/><Relationship Id="rId890" Type="http://schemas.openxmlformats.org/officeDocument/2006/relationships/hyperlink" Target="https://product.hstatic.net/200000428801/product/upload_a8e21c2d7ccd4cf6929dcb5cc986f436.jpg" TargetMode="External"/><Relationship Id="rId2157" Type="http://schemas.openxmlformats.org/officeDocument/2006/relationships/hyperlink" Target="https://product.hstatic.net/200000428801/product/upload_954784b711424a868f7b8499590e0711.jpg" TargetMode="External"/><Relationship Id="rId2364" Type="http://schemas.openxmlformats.org/officeDocument/2006/relationships/hyperlink" Target="https://product.hstatic.net/200000428801/product/9faab63a013a4ed19c1228d87e0e9a11_bc929d4b63554282a06b4ef9bd1fb208.png" TargetMode="External"/><Relationship Id="rId2571" Type="http://schemas.openxmlformats.org/officeDocument/2006/relationships/hyperlink" Target="https://product.hstatic.net/200000428801/product/upload_5f21585204e6417f9586c2a569048814.jpg" TargetMode="External"/><Relationship Id="rId3208" Type="http://schemas.openxmlformats.org/officeDocument/2006/relationships/hyperlink" Target="https://product.hstatic.net/200000428801/product/a081e872419d47c5af8c131756661323_addd2027885e4e8781078e62a8f9e9f0.png" TargetMode="External"/><Relationship Id="rId3415" Type="http://schemas.openxmlformats.org/officeDocument/2006/relationships/hyperlink" Target="https://product.hstatic.net/200000428801/product/3ddee199be964b098b7da9d5ce06c99f_f5e8698ed82a458ca67c76d6990d4326.png" TargetMode="External"/><Relationship Id="rId129" Type="http://schemas.openxmlformats.org/officeDocument/2006/relationships/hyperlink" Target="https://cdn2-retail-images.kiotviet.vn/2025/03/13/giabaopharma/9480a7a432e643b481b6e35bd636e6ab.jpg" TargetMode="External"/><Relationship Id="rId336" Type="http://schemas.openxmlformats.org/officeDocument/2006/relationships/hyperlink" Target="https://product.hstatic.net/200000428801/product/upload_9cf684c580b14ee18b0b6043a1d6b1a9.jpg" TargetMode="External"/><Relationship Id="rId543" Type="http://schemas.openxmlformats.org/officeDocument/2006/relationships/hyperlink" Target="https://product.hstatic.net/200000428801/product/upload_0d7892c67dfd4341b18ce497af219cbe.jpg" TargetMode="External"/><Relationship Id="rId1173" Type="http://schemas.openxmlformats.org/officeDocument/2006/relationships/hyperlink" Target="https://product.hstatic.net/200000428801/product/upload_900a71c167a64fde8d7e46d02fa02db7.jpg" TargetMode="External"/><Relationship Id="rId1380" Type="http://schemas.openxmlformats.org/officeDocument/2006/relationships/hyperlink" Target="https://product.hstatic.net/200000428801/product/upload_6960245bf8814eaca33b3fed35c61263.jpg" TargetMode="External"/><Relationship Id="rId2017" Type="http://schemas.openxmlformats.org/officeDocument/2006/relationships/hyperlink" Target="https://product.hstatic.net/200000428801/product/514_a85d9c04ffa743b1824a3cf65620698b.png" TargetMode="External"/><Relationship Id="rId2224" Type="http://schemas.openxmlformats.org/officeDocument/2006/relationships/hyperlink" Target="https://product.hstatic.net/200000428801/product/540_b98ae7220c8c4d46911b306338caeba2.png" TargetMode="External"/><Relationship Id="rId3622" Type="http://schemas.openxmlformats.org/officeDocument/2006/relationships/hyperlink" Target="https://product.hstatic.net/200000428801/product/zalo_screenshot_19_11_2021_626862_acc8c21e671c415880851aa8bb974d8f.png" TargetMode="External"/><Relationship Id="rId403" Type="http://schemas.openxmlformats.org/officeDocument/2006/relationships/hyperlink" Target="https://product.hstatic.net/200000428801/product/3a0e027002ac487ab17fa64ce7bd0546_8b3900ef046b48df8786f1226f97eccf.png" TargetMode="External"/><Relationship Id="rId750" Type="http://schemas.openxmlformats.org/officeDocument/2006/relationships/hyperlink" Target="https://product.hstatic.net/200000428801/product/upload_e0ec80620fd845b195f926965e11b672.jpg" TargetMode="External"/><Relationship Id="rId1033" Type="http://schemas.openxmlformats.org/officeDocument/2006/relationships/hyperlink" Target="https://product.hstatic.net/200000428801/product/63c21ce74ff591abc8e4_09912fa21903429f8caf2d8136071595.jpg" TargetMode="External"/><Relationship Id="rId2431" Type="http://schemas.openxmlformats.org/officeDocument/2006/relationships/hyperlink" Target="https://product.hstatic.net/200000428801/product/upload_32a99a3480ed433eb4e0573599cf39d4.jpg" TargetMode="External"/><Relationship Id="rId610" Type="http://schemas.openxmlformats.org/officeDocument/2006/relationships/hyperlink" Target="https://product.hstatic.net/200000428801/product/upload_5c26b169e07a4bfeab8653d3425e7f91.jpg" TargetMode="External"/><Relationship Id="rId1240" Type="http://schemas.openxmlformats.org/officeDocument/2006/relationships/hyperlink" Target="https://product.hstatic.net/200000428801/product/upload_e18b33cb4f584968b6535e64e1a1148e.jpg" TargetMode="External"/><Relationship Id="rId4049" Type="http://schemas.openxmlformats.org/officeDocument/2006/relationships/hyperlink" Target="https://product.hstatic.net/200000428801/product/zalo_screenshot_17_11_2021_941709_41f68449853a4ba790be4bbbb029359c.png" TargetMode="External"/><Relationship Id="rId1100" Type="http://schemas.openxmlformats.org/officeDocument/2006/relationships/hyperlink" Target="https://product.hstatic.net/200000428801/product/upload_de39885b27624bc7810cafac143789cb.jpg" TargetMode="External"/><Relationship Id="rId1917" Type="http://schemas.openxmlformats.org/officeDocument/2006/relationships/hyperlink" Target="https://product.hstatic.net/200000428801/product/upload_f16e09e5b74d422d9df3a49be2d9eb0d.jpg" TargetMode="External"/><Relationship Id="rId3065" Type="http://schemas.openxmlformats.org/officeDocument/2006/relationships/hyperlink" Target="https://product.hstatic.net/200000428801/product/upload_a1a1bba3d5af4175ab009be0a5b534c7.jpg" TargetMode="External"/><Relationship Id="rId3272" Type="http://schemas.openxmlformats.org/officeDocument/2006/relationships/hyperlink" Target="https://product.hstatic.net/200000428801/product/9eb54c7607f7450ea277cbab4443b2b2_37ee9eb3f05440a78e07e760b11733f8.png" TargetMode="External"/><Relationship Id="rId193" Type="http://schemas.openxmlformats.org/officeDocument/2006/relationships/hyperlink" Target="https://cdn2-retail-images.kiotviet.vn/2024/10/10/giabaopharma/58ee22d30b7345c29a28af64032f9c40.png" TargetMode="External"/><Relationship Id="rId2081" Type="http://schemas.openxmlformats.org/officeDocument/2006/relationships/hyperlink" Target="https://product.hstatic.net/200000428801/product/upload_1ba8485b0a8348eaa134e7cd0a0c5651.jpg" TargetMode="External"/><Relationship Id="rId3132" Type="http://schemas.openxmlformats.org/officeDocument/2006/relationships/hyperlink" Target="https://product.hstatic.net/200000428801/product/4391f7f6417243a6b1260b928c237d4c_fea1f05a00944a268701f40141889164.png" TargetMode="External"/><Relationship Id="rId260" Type="http://schemas.openxmlformats.org/officeDocument/2006/relationships/hyperlink" Target="https://cdn2-retail-images.kiotviet.vn/giabaopharma/ca900d6b28fa4a95ae981c9f22089741.jpg" TargetMode="External"/><Relationship Id="rId120" Type="http://schemas.openxmlformats.org/officeDocument/2006/relationships/hyperlink" Target="https://cdn2-retail-images.kiotviet.vn/2025/03/22/giabaopharma/5f2bd4e84bbe42f39d45252b767d0136.jpg" TargetMode="External"/><Relationship Id="rId2898" Type="http://schemas.openxmlformats.org/officeDocument/2006/relationships/hyperlink" Target="https://product.hstatic.net/200000428801/product/upload_b784df3044844d6181b013e0318d3137.jpg" TargetMode="External"/><Relationship Id="rId3949" Type="http://schemas.openxmlformats.org/officeDocument/2006/relationships/hyperlink" Target="https://product.hstatic.net/200000428801/product/008773956778a526fc69_a4d75c07514544f3a75fb978dcb8ad8d.jpg" TargetMode="External"/><Relationship Id="rId2758" Type="http://schemas.openxmlformats.org/officeDocument/2006/relationships/hyperlink" Target="https://product.hstatic.net/200000428801/product/03e191e05d6646bcb9f7d30b89a95cd2_c62a9375bbfb43c59d52b49e1a9b6ea1.png" TargetMode="External"/><Relationship Id="rId2965" Type="http://schemas.openxmlformats.org/officeDocument/2006/relationships/hyperlink" Target="https://product.hstatic.net/200000428801/product/upload_fb21a9d21242404483abe5dd70925fbb.jpg" TargetMode="External"/><Relationship Id="rId3809" Type="http://schemas.openxmlformats.org/officeDocument/2006/relationships/hyperlink" Target="https://product.hstatic.net/200000428801/product/72dcf2bfceb20dec54a3_f0860424993649f4b790e6e6b78efa59.jpg" TargetMode="External"/><Relationship Id="rId937" Type="http://schemas.openxmlformats.org/officeDocument/2006/relationships/hyperlink" Target="https://product.hstatic.net/200000428801/product/upload_60b775c1931a434d93aad2d15d74c52f.jpg" TargetMode="External"/><Relationship Id="rId1567" Type="http://schemas.openxmlformats.org/officeDocument/2006/relationships/hyperlink" Target="https://product.hstatic.net/200000428801/product/bf8cb49bc45a1804414b_08215efbdaa44c838cab78da9cccd4a5.jpg" TargetMode="External"/><Relationship Id="rId1774" Type="http://schemas.openxmlformats.org/officeDocument/2006/relationships/hyperlink" Target="https://product.hstatic.net/200000428801/product/upload_e93cb0be4bae4a45aca4e4de906463a3.jpg" TargetMode="External"/><Relationship Id="rId1981" Type="http://schemas.openxmlformats.org/officeDocument/2006/relationships/hyperlink" Target="https://product.hstatic.net/200000428801/product/upload_913f06bb2b1748e796248c917e241ba1.jpg" TargetMode="External"/><Relationship Id="rId2618" Type="http://schemas.openxmlformats.org/officeDocument/2006/relationships/hyperlink" Target="https://product.hstatic.net/200000428801/product/378_605b64b2a52f4fa5bfab3620b6970ed9.png" TargetMode="External"/><Relationship Id="rId2825" Type="http://schemas.openxmlformats.org/officeDocument/2006/relationships/hyperlink" Target="https://product.hstatic.net/200000428801/product/upload_e7f29ca0c3bd46b6ba800a4ffb453643.jpg" TargetMode="External"/><Relationship Id="rId66" Type="http://schemas.openxmlformats.org/officeDocument/2006/relationships/hyperlink" Target="https://i.postimg.cc/Gp2JXh4P/Vi-n-u-ng-Ho-t-Huy-t-Euzofa-h-tr-ho-t-huy-t-t-ng-tu-n-ho-n-m-u-n-o-DATE-02-2027-H-p-30-vi-n.png" TargetMode="External"/><Relationship Id="rId1427" Type="http://schemas.openxmlformats.org/officeDocument/2006/relationships/hyperlink" Target="https://product.hstatic.net/200000428801/product/upload_2d0d48db2a1b4e20a9a1b40982396adb.jpg" TargetMode="External"/><Relationship Id="rId1634" Type="http://schemas.openxmlformats.org/officeDocument/2006/relationships/hyperlink" Target="https://product.hstatic.net/200000428801/product/upload_ed8ed48b6bbd4a2b850010929397d0b3.jpg" TargetMode="External"/><Relationship Id="rId1841" Type="http://schemas.openxmlformats.org/officeDocument/2006/relationships/hyperlink" Target="https://product.hstatic.net/200000428801/product/upload_d70c1bf99d404c60ac5d04a172900582.jpg" TargetMode="External"/><Relationship Id="rId4040" Type="http://schemas.openxmlformats.org/officeDocument/2006/relationships/hyperlink" Target="https://cdn1-retail-images.kiotviet.vn/2026/01/10/giabaopharma/b58d8739dd59442488ee355d40103620.jpg" TargetMode="External"/><Relationship Id="rId3599" Type="http://schemas.openxmlformats.org/officeDocument/2006/relationships/hyperlink" Target="https://product.hstatic.net/200000428801/product/a34a40324c678239db76_2f6496bfe2144524bfc6b4936f0f7604.jpg" TargetMode="External"/><Relationship Id="rId1701" Type="http://schemas.openxmlformats.org/officeDocument/2006/relationships/hyperlink" Target="https://product.hstatic.net/200000428801/product/upload_5e411d5f6e3d4fc4910cc18b2e416bb4.jpg" TargetMode="External"/><Relationship Id="rId3459" Type="http://schemas.openxmlformats.org/officeDocument/2006/relationships/hyperlink" Target="https://cdn2-retail-images.kiotviet.vn/2025/02/25/giabaopharma/a83119e79fef4379a886348048bb39e5.jpg" TargetMode="External"/><Relationship Id="rId3666" Type="http://schemas.openxmlformats.org/officeDocument/2006/relationships/hyperlink" Target="https://product.hstatic.net/200000428801/product/b4a82ae13f8bfcd5a59a_fa4160db6ffb461c801ccfacb5c1ece5.jpg" TargetMode="External"/><Relationship Id="rId587" Type="http://schemas.openxmlformats.org/officeDocument/2006/relationships/hyperlink" Target="https://product.hstatic.net/200000428801/product/c1da5b1869fab7a4eeeb_fb16ea8222cd467ebeeab7ba920fcdfa.jpg" TargetMode="External"/><Relationship Id="rId2268" Type="http://schemas.openxmlformats.org/officeDocument/2006/relationships/hyperlink" Target="https://product.hstatic.net/200000428801/product/471_50efb7c04a7e49f59e00feefa9fb89f0.png" TargetMode="External"/><Relationship Id="rId3319" Type="http://schemas.openxmlformats.org/officeDocument/2006/relationships/hyperlink" Target="https://product.hstatic.net/200000428801/product/4e12eea567e7434b9d7dc5390d013085_0be4c2674a2548cc9d77b5d0fe21f6ac.png" TargetMode="External"/><Relationship Id="rId3873" Type="http://schemas.openxmlformats.org/officeDocument/2006/relationships/hyperlink" Target="https://product.hstatic.net/200000428801/product/4e23e922da8715d94c96_21f8999a8abf455c995d913fe66344b6.jpg" TargetMode="External"/><Relationship Id="rId447" Type="http://schemas.openxmlformats.org/officeDocument/2006/relationships/hyperlink" Target="https://product.hstatic.net/200000428801/product/27_3b0a5f46068847ae8b0cd4c5d6b69511.png" TargetMode="External"/><Relationship Id="rId794" Type="http://schemas.openxmlformats.org/officeDocument/2006/relationships/hyperlink" Target="https://product.hstatic.net/200000428801/product/upload_097c048f36f247f881377db92e714a5e.jpg" TargetMode="External"/><Relationship Id="rId1077" Type="http://schemas.openxmlformats.org/officeDocument/2006/relationships/hyperlink" Target="https://product.hstatic.net/200000428801/product/upload_1e3fe2e59eb5472b9c6cc03581ea045c.jpg" TargetMode="External"/><Relationship Id="rId2128" Type="http://schemas.openxmlformats.org/officeDocument/2006/relationships/hyperlink" Target="https://product.hstatic.net/200000428801/product/upload_c82cc38723d94eb497a8304ce1195862.jpg" TargetMode="External"/><Relationship Id="rId2475" Type="http://schemas.openxmlformats.org/officeDocument/2006/relationships/hyperlink" Target="https://product.hstatic.net/200000428801/product/upload_e6a41456576e43f9a7bda6dd9ef3695a.jpg" TargetMode="External"/><Relationship Id="rId2682" Type="http://schemas.openxmlformats.org/officeDocument/2006/relationships/hyperlink" Target="https://product.hstatic.net/200000428801/product/upload_4d967d0fe9c643a793b4df8f94152b1b.jpg" TargetMode="External"/><Relationship Id="rId3526" Type="http://schemas.openxmlformats.org/officeDocument/2006/relationships/hyperlink" Target="https://product.hstatic.net/200000428801/product/6fa927504e14894ad005_f9ec466979374b968957319f1a9f233f.jpg" TargetMode="External"/><Relationship Id="rId3733" Type="http://schemas.openxmlformats.org/officeDocument/2006/relationships/hyperlink" Target="https://product.hstatic.net/200000428801/product/zalo_screenshot_18_11_2021_829584_67c8711d26d04d62bf06f8dcd47958cf.png" TargetMode="External"/><Relationship Id="rId3940" Type="http://schemas.openxmlformats.org/officeDocument/2006/relationships/hyperlink" Target="https://product.hstatic.net/200000428801/product/zalo_screenshot_18_11_2021_715106_7ef1bedeba06410ba22dca297464ad5d.png" TargetMode="External"/><Relationship Id="rId654" Type="http://schemas.openxmlformats.org/officeDocument/2006/relationships/hyperlink" Target="https://product.hstatic.net/200000428801/product/upload_0d760334d6c04c72b5ba2ab687aaf587.jpg" TargetMode="External"/><Relationship Id="rId861" Type="http://schemas.openxmlformats.org/officeDocument/2006/relationships/hyperlink" Target="https://product.hstatic.net/200000428801/product/upload_f40fc20fbcb44fc4a12d8166d048f08e.jpg" TargetMode="External"/><Relationship Id="rId1284" Type="http://schemas.openxmlformats.org/officeDocument/2006/relationships/hyperlink" Target="https://product.hstatic.net/200000428801/product/upload_e11a8b75b76045abac860c9d2e4691b1.jpg" TargetMode="External"/><Relationship Id="rId1491" Type="http://schemas.openxmlformats.org/officeDocument/2006/relationships/hyperlink" Target="https://product.hstatic.net/200000428801/product/upload_21facded947b458cbc1b2be7655250fd.jpg" TargetMode="External"/><Relationship Id="rId2335" Type="http://schemas.openxmlformats.org/officeDocument/2006/relationships/hyperlink" Target="https://product.hstatic.net/200000428801/product/upload_aa63330ba4374df59e2649a32cc32d03.jpg" TargetMode="External"/><Relationship Id="rId2542" Type="http://schemas.openxmlformats.org/officeDocument/2006/relationships/hyperlink" Target="https://product.hstatic.net/200000428801/product/394_7d239bea908b4afba6330692535ed13c.png" TargetMode="External"/><Relationship Id="rId3800" Type="http://schemas.openxmlformats.org/officeDocument/2006/relationships/hyperlink" Target="https://product.hstatic.net/200000428801/product/zalo_screenshot_18_11_2021_75972_3dcb08305bb44700bdbdf14476c864eb.png" TargetMode="External"/><Relationship Id="rId307" Type="http://schemas.openxmlformats.org/officeDocument/2006/relationships/hyperlink" Target="https://product.hstatic.net/200000428801/product/upload_1af4d546e6ac44aea29b15f5bf53bddc.jpg" TargetMode="External"/><Relationship Id="rId514" Type="http://schemas.openxmlformats.org/officeDocument/2006/relationships/hyperlink" Target="https://product.hstatic.net/200000428801/product/upload_481ee3f0f7ff402baccf8d3efb863ad2.jpg" TargetMode="External"/><Relationship Id="rId721" Type="http://schemas.openxmlformats.org/officeDocument/2006/relationships/hyperlink" Target="https://product.hstatic.net/200000428801/product/upload_6b5cb822aebc456f8ce1bd221e06e672.jpg" TargetMode="External"/><Relationship Id="rId1144" Type="http://schemas.openxmlformats.org/officeDocument/2006/relationships/hyperlink" Target="https://product.hstatic.net/200000428801/product/upload_e2566e7839d341218e4a3f4a5ba9fe02.jpg" TargetMode="External"/><Relationship Id="rId1351" Type="http://schemas.openxmlformats.org/officeDocument/2006/relationships/hyperlink" Target="https://product.hstatic.net/200000428801/product/upload_635e1c2d96394ac987dec1ce93b56d3a.jpg" TargetMode="External"/><Relationship Id="rId2402" Type="http://schemas.openxmlformats.org/officeDocument/2006/relationships/hyperlink" Target="https://product.hstatic.net/200000428801/product/upload_1372787ea64d4f6481ddaf566dae0988.jpg" TargetMode="External"/><Relationship Id="rId1004" Type="http://schemas.openxmlformats.org/officeDocument/2006/relationships/hyperlink" Target="https://product.hstatic.net/200000428801/product/upload_ae9756c29d0745ab8285fbe52437b6b1.jpg" TargetMode="External"/><Relationship Id="rId1211" Type="http://schemas.openxmlformats.org/officeDocument/2006/relationships/hyperlink" Target="https://product.hstatic.net/200000428801/product/upload_3940bca9489948538b3573db2e1989e2.jpg" TargetMode="External"/><Relationship Id="rId3176" Type="http://schemas.openxmlformats.org/officeDocument/2006/relationships/hyperlink" Target="https://product.hstatic.net/200000428801/product/8f13c43fa36848d7a4b6c5a7b5e3b096_d5f431cc85114ce19d159f5a8d27fceb.jpg" TargetMode="External"/><Relationship Id="rId3383" Type="http://schemas.openxmlformats.org/officeDocument/2006/relationships/hyperlink" Target="https://product.hstatic.net/200000428801/product/81f49518f02f4e4e8459fc83a61158ff_293a556da447490f9a3d912beda4d51b.png" TargetMode="External"/><Relationship Id="rId3590" Type="http://schemas.openxmlformats.org/officeDocument/2006/relationships/hyperlink" Target="https://product.hstatic.net/200000428801/product/a10dac361821d67f8f30_b724ba22139244a399e257acd45085a3.png" TargetMode="External"/><Relationship Id="rId2192" Type="http://schemas.openxmlformats.org/officeDocument/2006/relationships/hyperlink" Target="https://product.hstatic.net/200000428801/product/492_d136fa705cf240d8aef57fb8ebea1039.png" TargetMode="External"/><Relationship Id="rId3036" Type="http://schemas.openxmlformats.org/officeDocument/2006/relationships/hyperlink" Target="https://product.hstatic.net/200000428801/product/ae819bb408fdd5a38cec_03dad1d527d140a58b8e73f0b9334fb8.jpg" TargetMode="External"/><Relationship Id="rId3243" Type="http://schemas.openxmlformats.org/officeDocument/2006/relationships/hyperlink" Target="https://product.hstatic.net/200000428801/product/dbb283fe348d4a39b2a7717b805de6fe_9d855b9063cd4e9e998b6b2ca5a84a3e.png" TargetMode="External"/><Relationship Id="rId164" Type="http://schemas.openxmlformats.org/officeDocument/2006/relationships/hyperlink" Target="https://cdn2-retail-images.kiotviet.vn/2025/01/06/giabaopharma/930259eb014645d5b3dbbfea6f3b80ee.jpg" TargetMode="External"/><Relationship Id="rId371" Type="http://schemas.openxmlformats.org/officeDocument/2006/relationships/hyperlink" Target="https://product.hstatic.net/200000428801/product/upload_50490e07a77e4188abebcc6972c4e417.jpg" TargetMode="External"/><Relationship Id="rId2052" Type="http://schemas.openxmlformats.org/officeDocument/2006/relationships/hyperlink" Target="https://product.hstatic.net/200000428801/product/upload_01fb5e0b97374215ae9d92cd4382ce86.jpg" TargetMode="External"/><Relationship Id="rId3450" Type="http://schemas.openxmlformats.org/officeDocument/2006/relationships/hyperlink" Target="https://product.hstatic.net/200000428801/product/13aebcf458064f3499ffdac38e5da75c_ae6bfe4572d84cba9f10276770af64c2.png" TargetMode="External"/><Relationship Id="rId3103" Type="http://schemas.openxmlformats.org/officeDocument/2006/relationships/hyperlink" Target="https://product.hstatic.net/200000428801/product/8f5caff138cc4e67b91ff107c52f9eb3_792bc2d793d0476d8116fe988da6ade8.png" TargetMode="External"/><Relationship Id="rId3310" Type="http://schemas.openxmlformats.org/officeDocument/2006/relationships/hyperlink" Target="https://product.hstatic.net/200000428801/product/083d1bcd59bc443d9f3389480e1ba340_07396d46d4fd4956ac365463b8e36b60.png" TargetMode="External"/><Relationship Id="rId231" Type="http://schemas.openxmlformats.org/officeDocument/2006/relationships/hyperlink" Target="https://cdn-images.kiotviet.vn/giabaopharma/9b57dd6bb2574b21847326821664335d.png" TargetMode="External"/><Relationship Id="rId2869" Type="http://schemas.openxmlformats.org/officeDocument/2006/relationships/hyperlink" Target="https://product.hstatic.net/200000428801/product/upload_5b7b506f7ccc407aa4bcbf3070bb3e92.jpg" TargetMode="External"/><Relationship Id="rId1678" Type="http://schemas.openxmlformats.org/officeDocument/2006/relationships/hyperlink" Target="https://product.hstatic.net/200000428801/product/upload_f4869a83dc65409291339e9b2f92bd30.jpg" TargetMode="External"/><Relationship Id="rId1885" Type="http://schemas.openxmlformats.org/officeDocument/2006/relationships/hyperlink" Target="https://product.hstatic.net/200000428801/product/upload_9975c9ddac0c4e3c8aae983707d80702.jpg" TargetMode="External"/><Relationship Id="rId2729" Type="http://schemas.openxmlformats.org/officeDocument/2006/relationships/hyperlink" Target="https://product.hstatic.net/200000428801/product/upload_61805675375f40d4a05d408f33040753.jpg" TargetMode="External"/><Relationship Id="rId2936" Type="http://schemas.openxmlformats.org/officeDocument/2006/relationships/hyperlink" Target="https://product.hstatic.net/200000428801/product/upload_a923962a9fbe47fd81e5c0d3e7bce50f.jpg" TargetMode="External"/><Relationship Id="rId908" Type="http://schemas.openxmlformats.org/officeDocument/2006/relationships/hyperlink" Target="https://product.hstatic.net/200000428801/product/upload_1f5d3ee1138440f69aedcf1604ecbfca.jpg" TargetMode="External"/><Relationship Id="rId1538" Type="http://schemas.openxmlformats.org/officeDocument/2006/relationships/hyperlink" Target="https://product.hstatic.net/200000428801/product/upload_8cdd01eee8164f34bb7a8a2775cad73a.jpg" TargetMode="External"/><Relationship Id="rId1745" Type="http://schemas.openxmlformats.org/officeDocument/2006/relationships/hyperlink" Target="https://product.hstatic.net/200000428801/product/upload_b84033c3a169471facf33acbe13dfaa7.jpg" TargetMode="External"/><Relationship Id="rId1952" Type="http://schemas.openxmlformats.org/officeDocument/2006/relationships/hyperlink" Target="https://product.hstatic.net/200000428801/product/upload_e5de8c04a25b441cb380d37e3562c4c5.jpg" TargetMode="External"/><Relationship Id="rId4011" Type="http://schemas.openxmlformats.org/officeDocument/2006/relationships/hyperlink" Target="https://product.hstatic.net/200000428801/product/521c637002a0c3fe9ab1_cfdee4322d9b480d93f8ae2f3ecbf1fb.jpg" TargetMode="External"/><Relationship Id="rId37" Type="http://schemas.openxmlformats.org/officeDocument/2006/relationships/hyperlink" Target="https://i.postimg.cc/FzyjQ7PY/Vi-n-u-ng-gout-Urique-Kingphar-gi-m-acid-uric-m-u-gi-m-nguy-c-vi-m-kh-p-do-gout-1-L-40-vi-n-4.png" TargetMode="External"/><Relationship Id="rId1605" Type="http://schemas.openxmlformats.org/officeDocument/2006/relationships/hyperlink" Target="https://product.hstatic.net/200000428801/product/upload_1972f0e1aa684eb38af938230c451c4e.jpg" TargetMode="External"/><Relationship Id="rId1812" Type="http://schemas.openxmlformats.org/officeDocument/2006/relationships/hyperlink" Target="https://product.hstatic.net/200000428801/product/arximuoc-c100v-donai-1_231321edbfe0434cb19d52611b794b3b.png" TargetMode="External"/><Relationship Id="rId3777" Type="http://schemas.openxmlformats.org/officeDocument/2006/relationships/hyperlink" Target="https://cdn2-retail-images.kiotviet.vn/giabaopharma/37fbe26e30e64088a5a3baf09246aa7e.png" TargetMode="External"/><Relationship Id="rId3984" Type="http://schemas.openxmlformats.org/officeDocument/2006/relationships/hyperlink" Target="https://product.hstatic.net/200000428801/product/bio_c3bde12b3c8f4b489514054a92e087c6.jpg" TargetMode="External"/><Relationship Id="rId698" Type="http://schemas.openxmlformats.org/officeDocument/2006/relationships/hyperlink" Target="https://product.hstatic.net/200000428801/product/upload_8629aca496764a47b8a92787952dc557.jpg" TargetMode="External"/><Relationship Id="rId2379" Type="http://schemas.openxmlformats.org/officeDocument/2006/relationships/hyperlink" Target="https://product.hstatic.net/200000428801/product/upload_73d7e94f59c041bb8d608657a3c1e10a.jpg" TargetMode="External"/><Relationship Id="rId2586" Type="http://schemas.openxmlformats.org/officeDocument/2006/relationships/hyperlink" Target="https://product.hstatic.net/200000428801/product/upload_f3a9825e9b26413f8154bfbb62ea456b.jpg" TargetMode="External"/><Relationship Id="rId2793" Type="http://schemas.openxmlformats.org/officeDocument/2006/relationships/hyperlink" Target="https://product.hstatic.net/200000428801/product/upload_e1db078e170d4c76b8a3aa54e1ebf8f6.jpg" TargetMode="External"/><Relationship Id="rId3637" Type="http://schemas.openxmlformats.org/officeDocument/2006/relationships/hyperlink" Target="https://product.hstatic.net/200000428801/product/thiet_ke_khong_ten__34__7436a24270ba4ad48a6069c0b992db53.png" TargetMode="External"/><Relationship Id="rId3844" Type="http://schemas.openxmlformats.org/officeDocument/2006/relationships/hyperlink" Target="https://product.hstatic.net/200000428801/product/9ac53e9b9bd2598c00c3_c7082ad52640463290bbdefc5f36bcf6.jpg" TargetMode="External"/><Relationship Id="rId558" Type="http://schemas.openxmlformats.org/officeDocument/2006/relationships/hyperlink" Target="https://product.hstatic.net/200000428801/product/upload_cbb3f62003d645e7b104c36460c01e7a.jpg" TargetMode="External"/><Relationship Id="rId765" Type="http://schemas.openxmlformats.org/officeDocument/2006/relationships/hyperlink" Target="https://product.hstatic.net/200000428801/product/upload_dfabff07179744da9b4762591bdc8fdb.jpg" TargetMode="External"/><Relationship Id="rId972" Type="http://schemas.openxmlformats.org/officeDocument/2006/relationships/hyperlink" Target="https://product.hstatic.net/200000428801/product/upload_1c82a53850904e7f914a8010ca113808.jpg" TargetMode="External"/><Relationship Id="rId1188" Type="http://schemas.openxmlformats.org/officeDocument/2006/relationships/hyperlink" Target="https://product.hstatic.net/200000428801/product/upload_cdd04a2f200c4c07bb05d5544ae68af6.jpg" TargetMode="External"/><Relationship Id="rId1395" Type="http://schemas.openxmlformats.org/officeDocument/2006/relationships/hyperlink" Target="https://product.hstatic.net/200000428801/product/upload_31c1ceb3c09445f6a736eef3c726701b.jpg" TargetMode="External"/><Relationship Id="rId2239" Type="http://schemas.openxmlformats.org/officeDocument/2006/relationships/hyperlink" Target="https://product.hstatic.net/200000428801/product/upload_0b3c297871904dc99863c1b52cfa0896.jpg" TargetMode="External"/><Relationship Id="rId2446" Type="http://schemas.openxmlformats.org/officeDocument/2006/relationships/hyperlink" Target="https://product.hstatic.net/200000428801/product/upload_0ef1a3da531441e49247d11064a0b3b1.jpg" TargetMode="External"/><Relationship Id="rId2653" Type="http://schemas.openxmlformats.org/officeDocument/2006/relationships/hyperlink" Target="https://product.hstatic.net/200000428801/product/upload_e644b32a3b9c4b678afa6c48d4a2ff51.jpg" TargetMode="External"/><Relationship Id="rId2860" Type="http://schemas.openxmlformats.org/officeDocument/2006/relationships/hyperlink" Target="https://product.hstatic.net/200000428801/product/upload_bfb656bb8dfd43fb8abcbd9963e3aaa7.jpg" TargetMode="External"/><Relationship Id="rId3704" Type="http://schemas.openxmlformats.org/officeDocument/2006/relationships/hyperlink" Target="https://cdn2-retail-images.kiotviet.vn/2025/10/30/giabaopharma/85f0f45612a74afb90073b3a3bf72e25.png" TargetMode="External"/><Relationship Id="rId418" Type="http://schemas.openxmlformats.org/officeDocument/2006/relationships/hyperlink" Target="https://product.hstatic.net/200000428801/product/upload_ba1ee19c4a8449bb93c2089984e3f1a2.jpg" TargetMode="External"/><Relationship Id="rId625" Type="http://schemas.openxmlformats.org/officeDocument/2006/relationships/hyperlink" Target="https://product.hstatic.net/200000428801/product/upload_7895986a06ec4ba5b044e501031806dd.jpg" TargetMode="External"/><Relationship Id="rId832" Type="http://schemas.openxmlformats.org/officeDocument/2006/relationships/hyperlink" Target="https://product.hstatic.net/200000428801/product/upload_c41df0428a2e4c4ca9155055c4be62f1.jpg" TargetMode="External"/><Relationship Id="rId1048" Type="http://schemas.openxmlformats.org/officeDocument/2006/relationships/hyperlink" Target="https://product.hstatic.net/200000428801/product/upload_8b0be0b99c0c4423aec3b3d7f4f3e910.jpg" TargetMode="External"/><Relationship Id="rId1255" Type="http://schemas.openxmlformats.org/officeDocument/2006/relationships/hyperlink" Target="https://product.hstatic.net/200000428801/product/upload_c6b9dd98c5dc4ed4a42af74160448480.jpg" TargetMode="External"/><Relationship Id="rId1462" Type="http://schemas.openxmlformats.org/officeDocument/2006/relationships/hyperlink" Target="https://product.hstatic.net/200000428801/product/upload_7746dcf621b14177a00279c512571d66.jpg" TargetMode="External"/><Relationship Id="rId2306" Type="http://schemas.openxmlformats.org/officeDocument/2006/relationships/hyperlink" Target="https://product.hstatic.net/200000428801/product/upload_5a48164bcb61411cbe14d14f1506a47b.jpg" TargetMode="External"/><Relationship Id="rId2513" Type="http://schemas.openxmlformats.org/officeDocument/2006/relationships/hyperlink" Target="https://product.hstatic.net/200000428801/product/393_7c3acf94ed6c4ff8b371100b90a8bba6.png" TargetMode="External"/><Relationship Id="rId3911" Type="http://schemas.openxmlformats.org/officeDocument/2006/relationships/hyperlink" Target="https://product.hstatic.net/200000428801/product/1c_a3432138767f4ea5b101901940fe9342.jpg" TargetMode="External"/><Relationship Id="rId1115" Type="http://schemas.openxmlformats.org/officeDocument/2006/relationships/hyperlink" Target="https://product.hstatic.net/200000428801/product/upload_78c6856dacac4f0cb8b94ca5720ad796.jpg" TargetMode="External"/><Relationship Id="rId1322" Type="http://schemas.openxmlformats.org/officeDocument/2006/relationships/hyperlink" Target="https://product.hstatic.net/200000428801/product/upload_ae7faefae0844d698768f60f1ff5b476.jpg" TargetMode="External"/><Relationship Id="rId2720" Type="http://schemas.openxmlformats.org/officeDocument/2006/relationships/hyperlink" Target="https://product.hstatic.net/200000428801/product/upload_3ed3c60b69134cafadb91cbc927919ff.jpg" TargetMode="External"/><Relationship Id="rId3287" Type="http://schemas.openxmlformats.org/officeDocument/2006/relationships/hyperlink" Target="https://product.hstatic.net/200000428801/product/424286ddf9ca4bebaa9c4dcf03067831_4a6ac3ff7f6e4633a185d2f2456371b6.png" TargetMode="External"/><Relationship Id="rId2096" Type="http://schemas.openxmlformats.org/officeDocument/2006/relationships/hyperlink" Target="https://product.hstatic.net/200000428801/product/upload_e54581c8c74f4eca836fa95ffb7696f5.jpg" TargetMode="External"/><Relationship Id="rId3494" Type="http://schemas.openxmlformats.org/officeDocument/2006/relationships/hyperlink" Target="https://product.hstatic.net/200000428801/product/cc3038f5063c4db5912f23aeffc2b845_8be15829bd6b42d5a76c9b32d4dbca32.png" TargetMode="External"/><Relationship Id="rId3147" Type="http://schemas.openxmlformats.org/officeDocument/2006/relationships/hyperlink" Target="https://product.hstatic.net/200000428801/product/6e73caea5bf044eab2f7288bef9ed61c_ac20b56bcf0b4cf58833cf2841b21527.jpg" TargetMode="External"/><Relationship Id="rId3354" Type="http://schemas.openxmlformats.org/officeDocument/2006/relationships/hyperlink" Target="https://cdn2-retail-images.kiotviet.vn/2026/03/07/giabaopharma/7f983f912de14ae5b5568df31ae8d6db.jpg" TargetMode="External"/><Relationship Id="rId3561" Type="http://schemas.openxmlformats.org/officeDocument/2006/relationships/hyperlink" Target="https://cdn2-retail-images.kiotviet.vn/2026/04/01/giabaopharma/a6307061fe0d4e9db3b67bc0961f70e9.jpg" TargetMode="External"/><Relationship Id="rId275" Type="http://schemas.openxmlformats.org/officeDocument/2006/relationships/hyperlink" Target="https://cdn2-retail-images.kiotviet.vn/giabaopharma/b5dbd40da3604357ba26101670ff96b8.png,https:/cdn2-retail-images.kiotviet.vn/giabaopharma/04638f80b2844107babffe872bf3d508.png,https:/cdn2-retail-images.kiotviet.vn/giabaopharma/9266a7452e8945e58e6b32cf8577c852.png,https:/cdn2-retail-images.kiotviet.vn/giabaopharma/91d89e4dadc44e249c36f10d484aa4f3.png,https:/cdn2-retail-images.kiotviet.vn/giabaopharma/6e2de8ea6d304976b6b964b76cd0d3a7.png" TargetMode="External"/><Relationship Id="rId482" Type="http://schemas.openxmlformats.org/officeDocument/2006/relationships/hyperlink" Target="https://product.hstatic.net/200000428801/product/db23f47865394de8b1c7a29c1ebe0ac8_924607e05d7f49e4a68a5203e2044052.png" TargetMode="External"/><Relationship Id="rId2163" Type="http://schemas.openxmlformats.org/officeDocument/2006/relationships/hyperlink" Target="https://product.hstatic.net/200000428801/product/upload_b6af1f07ea5c4d1fb31d066b538c204b.jpg" TargetMode="External"/><Relationship Id="rId2370" Type="http://schemas.openxmlformats.org/officeDocument/2006/relationships/hyperlink" Target="https://product.hstatic.net/200000428801/product/420_a83a59b0294b4c3cb01b5a0d64065dbd.png" TargetMode="External"/><Relationship Id="rId3007" Type="http://schemas.openxmlformats.org/officeDocument/2006/relationships/hyperlink" Target="https://product.hstatic.net/200000428801/product/upload_104cd8500fd24a8ca4ef287d434cfa39.jpg" TargetMode="External"/><Relationship Id="rId3214" Type="http://schemas.openxmlformats.org/officeDocument/2006/relationships/hyperlink" Target="https://product.hstatic.net/200000428801/product/805527a03a8041a18d1daf5e5ae2a4c9_c71a11ade1594d8ea46bdd9a630155e2.png" TargetMode="External"/><Relationship Id="rId3421" Type="http://schemas.openxmlformats.org/officeDocument/2006/relationships/hyperlink" Target="https://product.hstatic.net/200000428801/product/f8548d3dbc3749e6b3c6329c727c01ef_248b53507aaf404ba367a611a40dd588.png" TargetMode="External"/><Relationship Id="rId135" Type="http://schemas.openxmlformats.org/officeDocument/2006/relationships/hyperlink" Target="https://cdn2-retail-images.kiotviet.vn/2025/03/12/giabaopharma/20e014b490ea4ff4a2ba1ae8f60acaa2.jpg,https:/cdn2-retail-images.kiotviet.vn/2025/03/12/giabaopharma/b9fe378ace1d4e44b7938c0be1023009.jpg" TargetMode="External"/><Relationship Id="rId342" Type="http://schemas.openxmlformats.org/officeDocument/2006/relationships/hyperlink" Target="https://product.hstatic.net/200000428801/product/upload_fabc4455bc6046bf95a9a1c89122eed4.jpg" TargetMode="External"/><Relationship Id="rId2023" Type="http://schemas.openxmlformats.org/officeDocument/2006/relationships/hyperlink" Target="https://product.hstatic.net/200000428801/product/upload_68f56a71a57b4cc4b3d00c939727692b.jpg" TargetMode="External"/><Relationship Id="rId2230" Type="http://schemas.openxmlformats.org/officeDocument/2006/relationships/hyperlink" Target="https://product.hstatic.net/200000428801/product/upload_ae8e7f1c57424d41a259e308fb8a0cbe.jpg" TargetMode="External"/><Relationship Id="rId202" Type="http://schemas.openxmlformats.org/officeDocument/2006/relationships/hyperlink" Target="https://cdn2-retail-images.kiotviet.vn/giabaopharma/41ded983f07441f2bcdcddde51759a71.jpg" TargetMode="External"/><Relationship Id="rId1789" Type="http://schemas.openxmlformats.org/officeDocument/2006/relationships/hyperlink" Target="https://product.hstatic.net/200000428801/product/upload_3fd125071cbb4bb89bce43c45e86a792.jpg" TargetMode="External"/><Relationship Id="rId1996" Type="http://schemas.openxmlformats.org/officeDocument/2006/relationships/hyperlink" Target="https://product.hstatic.net/200000428801/product/508_808ba050cb374e2695a6e64a6e5c8a90.png" TargetMode="External"/><Relationship Id="rId4055" Type="http://schemas.openxmlformats.org/officeDocument/2006/relationships/hyperlink" Target="https://product.hstatic.net/200000428801/product/6234057550bb90e5c9aa_04ab1617c0ee4224a4d38dc65cc015f0.jpg" TargetMode="External"/><Relationship Id="rId1649" Type="http://schemas.openxmlformats.org/officeDocument/2006/relationships/hyperlink" Target="https://product.hstatic.net/200000428801/product/upload_91743b74572c404ea4117fd2271033ea.jpg" TargetMode="External"/><Relationship Id="rId1856" Type="http://schemas.openxmlformats.org/officeDocument/2006/relationships/hyperlink" Target="https://product.hstatic.net/200000428801/product/543_c1520d17bc7f433893ca6778a5842c2b.png" TargetMode="External"/><Relationship Id="rId2907" Type="http://schemas.openxmlformats.org/officeDocument/2006/relationships/hyperlink" Target="https://product.hstatic.net/200000428801/product/upload_32712308a3f34518b42f707f82c702b4.jpg" TargetMode="External"/><Relationship Id="rId3071" Type="http://schemas.openxmlformats.org/officeDocument/2006/relationships/hyperlink" Target="https://product.hstatic.net/200000428801/product/upload_3a90360556954113b6a389b15ef836b7.jpg" TargetMode="External"/><Relationship Id="rId1509" Type="http://schemas.openxmlformats.org/officeDocument/2006/relationships/hyperlink" Target="https://product.hstatic.net/200000428801/product/281d44b5f3462f187657_ff4724027e17438b843cc70500030dfc.jpg" TargetMode="External"/><Relationship Id="rId1716" Type="http://schemas.openxmlformats.org/officeDocument/2006/relationships/hyperlink" Target="https://product.hstatic.net/200000428801/product/upload_f1ebf573f56141e7a20c6eb70168d19d.jpg" TargetMode="External"/><Relationship Id="rId1923" Type="http://schemas.openxmlformats.org/officeDocument/2006/relationships/hyperlink" Target="https://product.hstatic.net/200000428801/product/upload_af8bfedc9b1a4d91ad6e08b4c8b7acc3.jpg" TargetMode="External"/><Relationship Id="rId3888" Type="http://schemas.openxmlformats.org/officeDocument/2006/relationships/hyperlink" Target="https://product.hstatic.net/200000428801/product/89decdd53f22fc7ca533_a1a28a35c62f4c5eb415e59fc8b5737e.jpg" TargetMode="External"/><Relationship Id="rId2697" Type="http://schemas.openxmlformats.org/officeDocument/2006/relationships/hyperlink" Target="https://product.hstatic.net/200000428801/product/upload_2718176e29134510a060105a8067ecd0.jpg" TargetMode="External"/><Relationship Id="rId3748" Type="http://schemas.openxmlformats.org/officeDocument/2006/relationships/hyperlink" Target="https://product.hstatic.net/200000428801/product/06280d3825cce692bfdd_6d082e6d9da14390abfb9716082d81fa.jpg" TargetMode="External"/><Relationship Id="rId669" Type="http://schemas.openxmlformats.org/officeDocument/2006/relationships/hyperlink" Target="https://product.hstatic.net/200000428801/product/upload_05be054bbae04e3794bfe1037124b7e7.jpg" TargetMode="External"/><Relationship Id="rId876" Type="http://schemas.openxmlformats.org/officeDocument/2006/relationships/hyperlink" Target="https://product.hstatic.net/200000428801/product/upload_824af43453914c9da5a58390d17664a8.jpg" TargetMode="External"/><Relationship Id="rId1299" Type="http://schemas.openxmlformats.org/officeDocument/2006/relationships/hyperlink" Target="https://product.hstatic.net/200000428801/product/upload_be60bd2f677445db8fbd8ba3ce916244.jpg" TargetMode="External"/><Relationship Id="rId2557" Type="http://schemas.openxmlformats.org/officeDocument/2006/relationships/hyperlink" Target="https://product.hstatic.net/200000428801/product/upload_0e687edbf6294cd28e999f98e619dfb6.jpg" TargetMode="External"/><Relationship Id="rId3608" Type="http://schemas.openxmlformats.org/officeDocument/2006/relationships/hyperlink" Target="https://product.hstatic.net/200000428801/product/22_6a44c6a5a39d4f11974ad41451abf65e.png" TargetMode="External"/><Relationship Id="rId3955" Type="http://schemas.openxmlformats.org/officeDocument/2006/relationships/hyperlink" Target="https://product.hstatic.net/200000428801/product/ef27462d57ff96a1cfee_2e604ad026d449a3beee732fbd30afd2.jpg"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cdn2-retail-images.kiotviet.vn/giabaopharma/e826334c4567426694956891c6a43213.jpg" TargetMode="External"/><Relationship Id="rId671" Type="http://schemas.openxmlformats.org/officeDocument/2006/relationships/hyperlink" Target="https://cdn-images.kiotviet.vn/giabaopharma/d9611b36c8df49f984d978f32e777971.jpg" TargetMode="External"/><Relationship Id="rId769" Type="http://schemas.openxmlformats.org/officeDocument/2006/relationships/hyperlink" Target="https://product.hstatic.net/200000428801/product/zalo_screenshot_18_11_2021_829204_ead30189fd844a31be719bd7db7773e5.png" TargetMode="External"/><Relationship Id="rId21" Type="http://schemas.openxmlformats.org/officeDocument/2006/relationships/hyperlink" Target="https://product.hstatic.net/200000428801/product/20211211_145447_5e2d590df28e4bf2b4939542f1e104cd.png" TargetMode="External"/><Relationship Id="rId324" Type="http://schemas.openxmlformats.org/officeDocument/2006/relationships/hyperlink" Target="https://product.hstatic.net/200000428801/product/ff198c62a4826bdc3293__1__ded3bc2ff9fa4d84a0c13c7e3e5d618e.jpg" TargetMode="External"/><Relationship Id="rId531" Type="http://schemas.openxmlformats.org/officeDocument/2006/relationships/hyperlink" Target="https://product.hstatic.net/200000428801/product/nanoo_c637adbe190b4653afd3ac89efc3d766.jpg" TargetMode="External"/><Relationship Id="rId629" Type="http://schemas.openxmlformats.org/officeDocument/2006/relationships/hyperlink" Target="https://cdn2-retail-images.kiotviet.vn/2025/04/11/giabaopharma/9650561bd9844a1580614968831d4d6c.jpg" TargetMode="External"/><Relationship Id="rId170" Type="http://schemas.openxmlformats.org/officeDocument/2006/relationships/hyperlink" Target="https://cdn2-retail-images.kiotviet.vn/2026/03/19/giabaopharma/2834f92c00a144b8b65b3adf95477f84.jpg" TargetMode="External"/><Relationship Id="rId836" Type="http://schemas.openxmlformats.org/officeDocument/2006/relationships/hyperlink" Target="https://product.hstatic.net/200000428801/product/7_b344af46060545d6aa4a8f1c477423d3.png" TargetMode="External"/><Relationship Id="rId268" Type="http://schemas.openxmlformats.org/officeDocument/2006/relationships/hyperlink" Target="https://product.hstatic.net/200000428801/product/8150f0c8892946771f38_984332b92a0f45c685ee93ab2c505cd2.png" TargetMode="External"/><Relationship Id="rId475" Type="http://schemas.openxmlformats.org/officeDocument/2006/relationships/hyperlink" Target="https://product.hstatic.net/200000428801/product/zalo_screenshot_20_11_2021_719481_7de2d21adb684478a075357562323526.png" TargetMode="External"/><Relationship Id="rId682" Type="http://schemas.openxmlformats.org/officeDocument/2006/relationships/hyperlink" Target="https://cdn2-retail-images.kiotviet.vn/giabaopharma/50f849df07f2496ca12de3efe68a4f40.jpg" TargetMode="External"/><Relationship Id="rId903" Type="http://schemas.openxmlformats.org/officeDocument/2006/relationships/hyperlink" Target="https://product.hstatic.net/200000428801/product/585471af602aac74f53b_bd278d068da14bd897813699fa2b8415.jpg" TargetMode="External"/><Relationship Id="rId32" Type="http://schemas.openxmlformats.org/officeDocument/2006/relationships/hyperlink" Target="https://product.hstatic.net/200000428801/product/91_04de6004dd744f4b8fb8af0b3e9803e8.png" TargetMode="External"/><Relationship Id="rId128" Type="http://schemas.openxmlformats.org/officeDocument/2006/relationships/hyperlink" Target="https://product.hstatic.net/200000428801/product/03da654171b0bfeee6a1_6ec71839913846d9baf1317bc905a5b2.png" TargetMode="External"/><Relationship Id="rId335" Type="http://schemas.openxmlformats.org/officeDocument/2006/relationships/hyperlink" Target="https://cdn1-retail-images.kiotviet.vn/2026/01/09/giabaopharma/f8758d995596476cb5c615029dca8f94.jpg" TargetMode="External"/><Relationship Id="rId542" Type="http://schemas.openxmlformats.org/officeDocument/2006/relationships/hyperlink" Target="https://cdn2-retail-images.kiotviet.vn/2026/03/07/giabaopharma/5dc385132bd2466c84cadfe8667f6b01.jpg" TargetMode="External"/><Relationship Id="rId181" Type="http://schemas.openxmlformats.org/officeDocument/2006/relationships/hyperlink" Target="https://product.hstatic.net/200000428801/product/2218f0e384674daba986817e3c187c8f_3d13c31727d740d9bc213215ddc4ade2.png" TargetMode="External"/><Relationship Id="rId402" Type="http://schemas.openxmlformats.org/officeDocument/2006/relationships/hyperlink" Target="https://product.hstatic.net/200000428801/product/zalo_screenshot_18_11_2021_72025_2d377a68a3a14184bc25c439b795ee3f.png" TargetMode="External"/><Relationship Id="rId847" Type="http://schemas.openxmlformats.org/officeDocument/2006/relationships/hyperlink" Target="https://product.hstatic.net/200000428801/product/75_101caee8ed714f86a75b0949eccfb100.png" TargetMode="External"/><Relationship Id="rId279" Type="http://schemas.openxmlformats.org/officeDocument/2006/relationships/hyperlink" Target="https://cdn2-retail-images.kiotviet.vn/2026/03/07/giabaopharma/71c11698f77f4fb5982dd0f7e5eeb36f.jpg" TargetMode="External"/><Relationship Id="rId486" Type="http://schemas.openxmlformats.org/officeDocument/2006/relationships/hyperlink" Target="https://cdn2-retail-images.kiotviet.vn/2025/12/30/giabaopharma/08554e8d288e44d7b63f9277774b8667.png,https:/cdn2-retail-images.kiotviet.vn/2025/12/24/giabaopharma/b5bf6651233d48a5b06aed0f3dc29027.jpg,https:/cdn2-retail-images.kiotviet.vn/2025/12/30/giabaopharma/f3f2d113711541208cf9d62ca477cdf8.png,https:/cdn2-retail-images.kiotviet.vn/2025/12/30/giabaopharma/5020ccafbb1242ca859505d1c56ffd3b.png,https:/cdn2-retail-images.kiotviet.vn/2025/12/30/giabaopharma/b7f4397804184a059bb9dbb151959d90.png" TargetMode="External"/><Relationship Id="rId693" Type="http://schemas.openxmlformats.org/officeDocument/2006/relationships/hyperlink" Target="https://cdn-images.kiotviet.vn/giabaopharma/7e78ae6108834d639bd0526fd85f2064.jpg" TargetMode="External"/><Relationship Id="rId707" Type="http://schemas.openxmlformats.org/officeDocument/2006/relationships/hyperlink" Target="https://product.hstatic.net/200000428801/product/37176b5028e049a49f23c09290fca871_d5a4047cf69c4e7e97976fc63d836592.png" TargetMode="External"/><Relationship Id="rId43" Type="http://schemas.openxmlformats.org/officeDocument/2006/relationships/hyperlink" Target="https://product.hstatic.net/200000428801/product/514f9a891eb345e9868866a7503b83ee_70640e93ea444cd082692241cbbad1d8.png" TargetMode="External"/><Relationship Id="rId139" Type="http://schemas.openxmlformats.org/officeDocument/2006/relationships/hyperlink" Target="https://product.hstatic.net/200000428801/product/cc661fbbfe4c3d12645d_f29cbb9fac6447a3a3233ef077f472af.jpg" TargetMode="External"/><Relationship Id="rId346" Type="http://schemas.openxmlformats.org/officeDocument/2006/relationships/hyperlink" Target="https://product.hstatic.net/200000428801/product/dfc895df9c32586c0123_1f5d13ad7ae14786a35a635db02726c5.jpg" TargetMode="External"/><Relationship Id="rId553" Type="http://schemas.openxmlformats.org/officeDocument/2006/relationships/hyperlink" Target="https://product.hstatic.net/200000428801/product/f95aa069edec27b27efd_6281f52d35844ca3b318119d8c31f02a.jpg" TargetMode="External"/><Relationship Id="rId760" Type="http://schemas.openxmlformats.org/officeDocument/2006/relationships/hyperlink" Target="https://product.hstatic.net/200000428801/product/b4a82ae13f8bfcd5a59a_fa4160db6ffb461c801ccfacb5c1ece5.jpg" TargetMode="External"/><Relationship Id="rId192" Type="http://schemas.openxmlformats.org/officeDocument/2006/relationships/hyperlink" Target="https://product.hstatic.net/200000428801/product/4a906b887a5abb04e24b_773bc69be799410f84c485f1a343f059.jpg" TargetMode="External"/><Relationship Id="rId206" Type="http://schemas.openxmlformats.org/officeDocument/2006/relationships/hyperlink" Target="https://cdn2-retail-images.kiotviet.vn/2025/03/27/giabaopharma/61f14d7ea22e4ea68d39284ab7a0fc78.jpg" TargetMode="External"/><Relationship Id="rId413" Type="http://schemas.openxmlformats.org/officeDocument/2006/relationships/hyperlink" Target="https://cdn2-retail-images.kiotviet.vn/2025/01/24/giabaopharma/98e2eace2b5c4717b62856948d9fe977.jpg" TargetMode="External"/><Relationship Id="rId858" Type="http://schemas.openxmlformats.org/officeDocument/2006/relationships/hyperlink" Target="https://product.hstatic.net/200000428801/product/7eb7b8accd23484796f60d6eed7424a6_19c043ac514a485e8f267774f8880712.png" TargetMode="External"/><Relationship Id="rId497" Type="http://schemas.openxmlformats.org/officeDocument/2006/relationships/hyperlink" Target="https://cdn2-retail-images.kiotviet.vn/2025/03/31/giabaopharma/81fcfb96c2c748a680991c513c5dad3c.jpg" TargetMode="External"/><Relationship Id="rId620" Type="http://schemas.openxmlformats.org/officeDocument/2006/relationships/hyperlink" Target="https://cdn2-retail-images.kiotviet.vn/2025/05/19/giabaopharma/8726e7c2609b4ce18aa27f0386a078d1.jpg,https:/cdn-images.kiotviet.vn/2025/05/19/giabaopharma/c163adbb796f4e689f4ea86a31561b95.jpg,https:/cdn-images.kiotviet.vn/2025/05/19/giabaopharma/8d490384d64640a8a55666597064f18f.jpg" TargetMode="External"/><Relationship Id="rId718" Type="http://schemas.openxmlformats.org/officeDocument/2006/relationships/hyperlink" Target="https://cdn2-retail-images.kiotviet.vn/2025/10/23/giabaopharma/f10d38d6c8314fffa7404b0cc78ea468.png" TargetMode="External"/><Relationship Id="rId357" Type="http://schemas.openxmlformats.org/officeDocument/2006/relationships/hyperlink" Target="https://product.hstatic.net/200000428801/product/97724da82d78ec26b569_0f70677074d046dda6f495576f7accda.jpg" TargetMode="External"/><Relationship Id="rId54" Type="http://schemas.openxmlformats.org/officeDocument/2006/relationships/hyperlink" Target="https://product.hstatic.net/200000428801/product/61deac9918d0400687a7c3f86bef11e2_dc7ea2d6bece4fa0838a8f2547e25c5d.png" TargetMode="External"/><Relationship Id="rId217" Type="http://schemas.openxmlformats.org/officeDocument/2006/relationships/hyperlink" Target="https://cdn2-retail-images.kiotviet.vn/giabaopharma/41ded983f07441f2bcdcddde51759a71.jpg" TargetMode="External"/><Relationship Id="rId564" Type="http://schemas.openxmlformats.org/officeDocument/2006/relationships/hyperlink" Target="https://cdn2-retail-images.kiotviet.vn/2025/12/27/giabaopharma/e7d15117e01247ccacebc82ff13a7724.jpg" TargetMode="External"/><Relationship Id="rId771" Type="http://schemas.openxmlformats.org/officeDocument/2006/relationships/hyperlink" Target="https://product.hstatic.net/200000428801/product/b0496491f40b25557c1a1_bcbe61ca68a7486792d09fe9534d308d.jpg" TargetMode="External"/><Relationship Id="rId869" Type="http://schemas.openxmlformats.org/officeDocument/2006/relationships/hyperlink" Target="https://product.hstatic.net/200000428801/product/zalo_screenshot_19_11_2021_638969_0c389b3739a8445a968d1d1280db140c.png" TargetMode="External"/><Relationship Id="rId424" Type="http://schemas.openxmlformats.org/officeDocument/2006/relationships/hyperlink" Target="https://product.hstatic.net/200000428801/product/0bcdcc3c39cbfa95a3da_607595dc272d45e1947fb0a18cedde64.jpg" TargetMode="External"/><Relationship Id="rId631" Type="http://schemas.openxmlformats.org/officeDocument/2006/relationships/hyperlink" Target="https://cdn2-retail-images.kiotviet.vn/2025/04/10/giabaopharma/109662ece21943139493e1eef052465c.png,https:/cdn2-retail-images.kiotviet.vn/2025/04/10/giabaopharma/be8dfe1dbbd7484c889edf670d940775.png,https:/cdn2-retail-images.kiotviet.vn/2025/04/10/giabaopharma/20d7ca0795314e94a852ecc000290887.png,https:/cdn2-retail-images.kiotviet.vn/2025/04/10/giabaopharma/2af0631f48ec4ffb927595deac907b5f.png,https:/cdn2-retail-images.kiotviet.vn/2025/04/10/giabaopharma/6040e602a1cd4d9aae1ff269c98e93e2.png" TargetMode="External"/><Relationship Id="rId729" Type="http://schemas.openxmlformats.org/officeDocument/2006/relationships/hyperlink" Target="https://product.hstatic.net/200000428801/product/30bf64019bac54f20dbd_50e528e1c94344319e84246ba88dc6a8.png" TargetMode="External"/><Relationship Id="rId270" Type="http://schemas.openxmlformats.org/officeDocument/2006/relationships/hyperlink" Target="https://cdn2-retail-images.kiotviet.vn/2025/10/22/giabaopharma/7eaab12ab93f46d98b573f8d95058372.jpg" TargetMode="External"/><Relationship Id="rId65" Type="http://schemas.openxmlformats.org/officeDocument/2006/relationships/hyperlink" Target="https://cdn2-retail-images.kiotviet.vn/2025/10/30/giabaopharma/d3f83a7060cf4a808ab6b444a66fd3b0.png" TargetMode="External"/><Relationship Id="rId130" Type="http://schemas.openxmlformats.org/officeDocument/2006/relationships/hyperlink" Target="https://cdn2-retail-images.kiotviet.vn/2025/10/30/giabaopharma/aed8b96e4e50427897f1a68143410699.png" TargetMode="External"/><Relationship Id="rId368" Type="http://schemas.openxmlformats.org/officeDocument/2006/relationships/hyperlink" Target="https://cdn2-retail-images.kiotviet.vn/2025/10/30/giabaopharma/27fdd4708bee4077a4f3322152d00589.png" TargetMode="External"/><Relationship Id="rId575" Type="http://schemas.openxmlformats.org/officeDocument/2006/relationships/hyperlink" Target="https://product.hstatic.net/200000428801/product/zalo_screenshot_20_11_2021_719777_ef943e9f319d43c8aff7a329a5938b5f.png" TargetMode="External"/><Relationship Id="rId782" Type="http://schemas.openxmlformats.org/officeDocument/2006/relationships/hyperlink" Target="https://product.hstatic.net/200000428801/product/f8683ac68e804ede1791_74d6e820cb09462f81aa616535dfd934.jpg" TargetMode="External"/><Relationship Id="rId228" Type="http://schemas.openxmlformats.org/officeDocument/2006/relationships/hyperlink" Target="https://cdn2-retail-images.kiotviet.vn/giabaopharma/393eeb8a121248c6a66c7edd20b93c7d.png,https:/cdn2-retail-images.kiotviet.vn/giabaopharma/f3ea269b7d9148e79afafc0e510b0648.png,https:/cdn2-retail-images.kiotviet.vn/giabaopharma/374604ce8f1b481fb4282e835df048b3.png,https:/cdn2-retail-images.kiotviet.vn/giabaopharma/f10ea56180fa4fdea9c2941f39195c41.png,https:/cdn2-retail-images.kiotviet.vn/giabaopharma/f7eaf61a61874fb292e02b4b28f8d3b0.png" TargetMode="External"/><Relationship Id="rId435" Type="http://schemas.openxmlformats.org/officeDocument/2006/relationships/hyperlink" Target="https://cdn2-retail-images.kiotviet.vn/2026/03/31/giabaopharma/9e84645c0b3943138abebeab4de07e6a.jpeg,https:/cdn2-retail-images.kiotviet.vn/2026/03/31/giabaopharma/bff85634b6644da3b37dca1f28951814.jpeg,https:/cdn2-retail-images.kiotviet.vn/2026/03/31/giabaopharma/5120623e656749a3a50c17527b517d1c.jpeg" TargetMode="External"/><Relationship Id="rId642" Type="http://schemas.openxmlformats.org/officeDocument/2006/relationships/hyperlink" Target="https://cdn2-retail-images.kiotviet.vn/2025/03/13/giabaopharma/272a74ff8c154d3496fd93f6c4a5a11e.png" TargetMode="External"/><Relationship Id="rId281" Type="http://schemas.openxmlformats.org/officeDocument/2006/relationships/hyperlink" Target="https://product.hstatic.net/200000428801/product/e2abae4cae156e4b3704_1834253ecc35415f8977d487ad7f7e47.jpg" TargetMode="External"/><Relationship Id="rId502" Type="http://schemas.openxmlformats.org/officeDocument/2006/relationships/hyperlink" Target="https://cdn2-retail-images.kiotviet.vn/2025/02/26/giabaopharma/799a3a9d915e4edfa9b4987e3052cf29.jpg" TargetMode="External"/><Relationship Id="rId76" Type="http://schemas.openxmlformats.org/officeDocument/2006/relationships/hyperlink" Target="https://cdn2-retail-images.kiotviet.vn/giabaopharma/1d0e0b050dc34fa48a1b155537bb6ca6.jpg" TargetMode="External"/><Relationship Id="rId141" Type="http://schemas.openxmlformats.org/officeDocument/2006/relationships/hyperlink" Target="https://product.hstatic.net/200000428801/product/0402a157c8130f4d5602_914d464fd133481badba8e79526fa663.jpg" TargetMode="External"/><Relationship Id="rId379" Type="http://schemas.openxmlformats.org/officeDocument/2006/relationships/hyperlink" Target="https://product.hstatic.net/200000428801/product/7_3faf86bf81d0466d85bc463af73eda41.png" TargetMode="External"/><Relationship Id="rId586" Type="http://schemas.openxmlformats.org/officeDocument/2006/relationships/hyperlink" Target="https://cdn2-retail-images.kiotviet.vn/2025/10/22/giabaopharma/61b76708db6a49188a22a86ec7050aa6.png" TargetMode="External"/><Relationship Id="rId793" Type="http://schemas.openxmlformats.org/officeDocument/2006/relationships/hyperlink" Target="https://product.hstatic.net/200000428801/product/hanomin_ginseng__2__847b1f33a72b438a8bf8315098ee9fff.png" TargetMode="External"/><Relationship Id="rId807" Type="http://schemas.openxmlformats.org/officeDocument/2006/relationships/hyperlink" Target="https://product.hstatic.net/200000428801/product/9463054058a793f9cab6_30666d76c8f44e1f8d84b63e92e4dd96.jpg" TargetMode="External"/><Relationship Id="rId7" Type="http://schemas.openxmlformats.org/officeDocument/2006/relationships/hyperlink" Target="https://cdn-images.kiotviet.vn/giabaopharma/c8537616b8bf4b2b8541f064a499a9a4.jpg" TargetMode="External"/><Relationship Id="rId239" Type="http://schemas.openxmlformats.org/officeDocument/2006/relationships/hyperlink" Target="https://product.hstatic.net/200000428801/product/66e66f06c3a24919870ae9f8227b85cc_f4f2cc4bc02443f0a902ac1229846c9f.png" TargetMode="External"/><Relationship Id="rId446" Type="http://schemas.openxmlformats.org/officeDocument/2006/relationships/hyperlink" Target="https://cdn2-retail-images.kiotviet.vn/giabaopharma/847684efd96c4a6abffb7f9cc06ba53a.jpg" TargetMode="External"/><Relationship Id="rId653" Type="http://schemas.openxmlformats.org/officeDocument/2006/relationships/hyperlink" Target="https://cdn2-retail-images.kiotviet.vn/2025/02/12/giabaopharma/602141bb0054419fb822649fed2965ed.jpg" TargetMode="External"/><Relationship Id="rId292" Type="http://schemas.openxmlformats.org/officeDocument/2006/relationships/hyperlink" Target="https://cdn2-retail-images.kiotviet.vn/2025/10/30/giabaopharma/dba8ba024eb143e687b6b88a9eecfc16.png" TargetMode="External"/><Relationship Id="rId306" Type="http://schemas.openxmlformats.org/officeDocument/2006/relationships/hyperlink" Target="https://cdn2-retail-images.kiotviet.vn/2025/12/06/giabaopharma/7576f32d27cb41ceb0144342bee804a7.jpg" TargetMode="External"/><Relationship Id="rId860" Type="http://schemas.openxmlformats.org/officeDocument/2006/relationships/hyperlink" Target="https://product.hstatic.net/200000428801/product/33_166b92a5bd834851b64697e1347ed9e2.png" TargetMode="External"/><Relationship Id="rId87" Type="http://schemas.openxmlformats.org/officeDocument/2006/relationships/hyperlink" Target="https://product.hstatic.net/200000428801/product/7a_f028857b9b18443398abf003e81c41bd.jpg" TargetMode="External"/><Relationship Id="rId513" Type="http://schemas.openxmlformats.org/officeDocument/2006/relationships/hyperlink" Target="https://cdn2-retail-images.kiotviet.vn/2025/10/23/giabaopharma/d5f5a7e71ec549c0adf0809949870d41.png" TargetMode="External"/><Relationship Id="rId597" Type="http://schemas.openxmlformats.org/officeDocument/2006/relationships/hyperlink" Target="https://i.postimg.cc/J76kWzFd/3b04461ee3704f0f966214df4bdcbb21.jpg" TargetMode="External"/><Relationship Id="rId720" Type="http://schemas.openxmlformats.org/officeDocument/2006/relationships/hyperlink" Target="https://product.hstatic.net/200000428801/product/aa7d2b5605dcc5829ccd_37fd229e747345b4976a3cad4827b4c0.jpg" TargetMode="External"/><Relationship Id="rId818" Type="http://schemas.openxmlformats.org/officeDocument/2006/relationships/hyperlink" Target="https://product.hstatic.net/200000428801/product/zalo_screenshot_20_11_2021_63467_8686d407657c49a99ac7fefe2bbbef18.png" TargetMode="External"/><Relationship Id="rId152" Type="http://schemas.openxmlformats.org/officeDocument/2006/relationships/hyperlink" Target="https://cdn2-retail-images.kiotviet.vn/giabaopharma/710386f08e11437c8f0c0bf661b8ed5d.jpg" TargetMode="External"/><Relationship Id="rId457" Type="http://schemas.openxmlformats.org/officeDocument/2006/relationships/hyperlink" Target="https://cdn2-retail-images.kiotviet.vn/2026/03/31/giabaopharma/1068154801b1418ebb32d4e5937d36c7.jpg" TargetMode="External"/><Relationship Id="rId664" Type="http://schemas.openxmlformats.org/officeDocument/2006/relationships/hyperlink" Target="https://cdn2-retail-images.kiotviet.vn/2025/10/23/giabaopharma/5b208eab2df54b8eb11f91f80a6dc163.jpg" TargetMode="External"/><Relationship Id="rId871" Type="http://schemas.openxmlformats.org/officeDocument/2006/relationships/hyperlink" Target="https://cdn2-retail-images.kiotviet.vn/2025/02/13/giabaopharma/1db3279c10a143a4a8a9972f6ff835ce.jpg" TargetMode="External"/><Relationship Id="rId14" Type="http://schemas.openxmlformats.org/officeDocument/2006/relationships/hyperlink" Target="https://product.hstatic.net/200000428801/product/upload_ce7a8f41df88491ab6bad1ab99a9b163.jpg" TargetMode="External"/><Relationship Id="rId317" Type="http://schemas.openxmlformats.org/officeDocument/2006/relationships/hyperlink" Target="https://product.hstatic.net/200000428801/product/168b7939da22107c4933_48c1b27f285247fcbbe0be6242ebde03.jpg" TargetMode="External"/><Relationship Id="rId524" Type="http://schemas.openxmlformats.org/officeDocument/2006/relationships/hyperlink" Target="https://cdn2-retail-images.kiotviet.vn/2026/02/07/giabaopharma/d432893395b94fee823e1cb9ba3c8ec3.png" TargetMode="External"/><Relationship Id="rId731" Type="http://schemas.openxmlformats.org/officeDocument/2006/relationships/hyperlink" Target="https://product.hstatic.net/200000428801/product/6a_31b2016a0d774e8f9f138ae6c6b074cb.jpg" TargetMode="External"/><Relationship Id="rId98" Type="http://schemas.openxmlformats.org/officeDocument/2006/relationships/hyperlink" Target="https://cdn2-retail-images.kiotviet.vn/2026/01/31/giabaopharma/3af35a5eb9ea40faaa2b1d740d22046e.jpg" TargetMode="External"/><Relationship Id="rId163" Type="http://schemas.openxmlformats.org/officeDocument/2006/relationships/hyperlink" Target="https://product.hstatic.net/200000428801/product/bc5104d65931926fcb20_a0d9a8212d2e4e3589d5f9544b1fa980.jpg" TargetMode="External"/><Relationship Id="rId370" Type="http://schemas.openxmlformats.org/officeDocument/2006/relationships/hyperlink" Target="https://cdn2-retail-images.kiotviet.vn/2025/10/29/giabaopharma/751325be35ca4356a61d7564493ce31c.jpg" TargetMode="External"/><Relationship Id="rId829" Type="http://schemas.openxmlformats.org/officeDocument/2006/relationships/hyperlink" Target="https://cdn2-retail-images.kiotviet.vn/2025/10/23/giabaopharma/f4db7695b40148f48986978f734e5c39.png" TargetMode="External"/><Relationship Id="rId230" Type="http://schemas.openxmlformats.org/officeDocument/2006/relationships/hyperlink" Target="https://cdn2-retail-images.kiotviet.vn/giabaopharma/0ba7f37f313341619706bb25f221c47b.png,https:/cdn2-retail-images.kiotviet.vn/giabaopharma/234be488af944e4bb51c85be35cba2a9.png,https:/cdn2-retail-images.kiotviet.vn/giabaopharma/2a0d0c9aaf0841dc859fdee13012f33d.png,https:/cdn2-retail-images.kiotviet.vn/giabaopharma/46d2fdafb4d74007ad4dd110d4bf3b7e.png,https:/cdn2-retail-images.kiotviet.vn/giabaopharma/1a4c309dfff34ecda5614510ee1e3737.png" TargetMode="External"/><Relationship Id="rId468" Type="http://schemas.openxmlformats.org/officeDocument/2006/relationships/hyperlink" Target="https://product.hstatic.net/200000428801/product/zalo_screenshot_18_11_2021_829584_67c8711d26d04d62bf06f8dcd47958cf.png" TargetMode="External"/><Relationship Id="rId675" Type="http://schemas.openxmlformats.org/officeDocument/2006/relationships/hyperlink" Target="https://cdn2-retail-images.kiotviet.vn/giabaopharma/ad55eaa97e2a4a3db07de6818094be77.jpg,https:/cdn2-retail-images.kiotviet.vn/giabaopharma/30a950a13890403291cf2fe14b33c695.jpg,https:/cdn-images.kiotviet.vn/giabaopharma/9606c3cf6bd74da28b2a9abf9f3838ae.jpg,https:/cdn2-retail-images.kiotviet.vn/giabaopharma/5823351e7a9c463fbc1ef9157e954ceb.jpg,https:/cdn2-retail-images.kiotviet.vn/giabaopharma/d69e810ac9ce4741a4e401a3193655c9.jpg" TargetMode="External"/><Relationship Id="rId882" Type="http://schemas.openxmlformats.org/officeDocument/2006/relationships/hyperlink" Target="https://product.hstatic.net/200000428801/product/zalo_screenshot_18_11_2021_832743_dd8c108f986b4ca5ad0134bbd6e9b58a.png" TargetMode="External"/><Relationship Id="rId25" Type="http://schemas.openxmlformats.org/officeDocument/2006/relationships/hyperlink" Target="https://cdn2-retail-images.kiotviet.vn/2025/12/31/giabaopharma/bd52447d83e947a589f0aea629f61700.jpg" TargetMode="External"/><Relationship Id="rId328" Type="http://schemas.openxmlformats.org/officeDocument/2006/relationships/hyperlink" Target="https://product.hstatic.net/200000428801/product/cc647c373c5fff01a64e_0c660e3af24a4077b8d52dc323dc906e.png" TargetMode="External"/><Relationship Id="rId535" Type="http://schemas.openxmlformats.org/officeDocument/2006/relationships/hyperlink" Target="https://product.hstatic.net/200000428801/product/31_f1051fee3b4942b6ae430bfe39cd872f.png" TargetMode="External"/><Relationship Id="rId742" Type="http://schemas.openxmlformats.org/officeDocument/2006/relationships/hyperlink" Target="https://product.hstatic.net/200000428801/product/zalo_screenshot_20_11_2021_721173_5afbdd4e73914e35b02cc5c26a09c904.png" TargetMode="External"/><Relationship Id="rId174" Type="http://schemas.openxmlformats.org/officeDocument/2006/relationships/hyperlink" Target="https://cdn2-retail-images.kiotviet.vn/giabaopharma/62824fbd8dee4bb8976511b0af6da67d.png" TargetMode="External"/><Relationship Id="rId381" Type="http://schemas.openxmlformats.org/officeDocument/2006/relationships/hyperlink" Target="https://product.hstatic.net/200000428801/product/339ebdf69dfb4126b7117e86fd36b0a7_76e72c548dc64a6f83040c6d86fb0bac.png" TargetMode="External"/><Relationship Id="rId602" Type="http://schemas.openxmlformats.org/officeDocument/2006/relationships/hyperlink" Target="https://i.postimg.cc/d1WLv55s/c4fdb9e532a74a849000fc9e71568541.jpg" TargetMode="External"/><Relationship Id="rId241" Type="http://schemas.openxmlformats.org/officeDocument/2006/relationships/hyperlink" Target="https://product.hstatic.net/200000428801/product/ad37151d39a64b5087211676096fc897_a4f2763d6cee44f1b36e3b255e042a71.jpg" TargetMode="External"/><Relationship Id="rId479" Type="http://schemas.openxmlformats.org/officeDocument/2006/relationships/hyperlink" Target="https://product.hstatic.net/200000428801/product/zalo_screenshot_18_11_2021_741801_2722a6b3ec56432d821da2590a3000a1.png" TargetMode="External"/><Relationship Id="rId686" Type="http://schemas.openxmlformats.org/officeDocument/2006/relationships/hyperlink" Target="https://cdn2-retail-images.kiotviet.vn/giabaopharma/ff6f02d7c03047ac9564727f146bdaec.jpg,https:/cdn2-retail-images.kiotviet.vn/giabaopharma/c7af6faf624b4da1839d145eac9c91ab.jpg,https:/cdn2-retail-images.kiotviet.vn/giabaopharma/9e5d7ac30c8644a899fb43255b758d78.jpg" TargetMode="External"/><Relationship Id="rId893" Type="http://schemas.openxmlformats.org/officeDocument/2006/relationships/hyperlink" Target="https://cdn2-retail-images.kiotviet.vn/2025/04/17/giabaopharma/26aba8de5d874954b9c359087e028629.jpg" TargetMode="External"/><Relationship Id="rId36" Type="http://schemas.openxmlformats.org/officeDocument/2006/relationships/hyperlink" Target="https://i.postimg.cc/xTvRCZrc/295.png" TargetMode="External"/><Relationship Id="rId339" Type="http://schemas.openxmlformats.org/officeDocument/2006/relationships/hyperlink" Target="https://product.hstatic.net/200000428801/product/20211211_140031_9829b0d063ea4b29bab39950c59e2afd.png" TargetMode="External"/><Relationship Id="rId546" Type="http://schemas.openxmlformats.org/officeDocument/2006/relationships/hyperlink" Target="https://product.hstatic.net/200000428801/product/8bf43d96c96e07305e7f5_2c2d127cb962404abb9e2c87697942d8.png" TargetMode="External"/><Relationship Id="rId753" Type="http://schemas.openxmlformats.org/officeDocument/2006/relationships/hyperlink" Target="https://cdn2-retail-images.kiotviet.vn/2025/10/23/giabaopharma/4b4f890b63114d38a8f57f31e180574e.png" TargetMode="External"/><Relationship Id="rId101" Type="http://schemas.openxmlformats.org/officeDocument/2006/relationships/hyperlink" Target="https://product.hstatic.net/200000428801/product/uu_77b58019d2574e48b063b64c9414b86b.jpg" TargetMode="External"/><Relationship Id="rId185" Type="http://schemas.openxmlformats.org/officeDocument/2006/relationships/hyperlink" Target="https://product.hstatic.net/200000428801/product/99014be26316a048f907_cf944989591b4a05b091431cab0202d2.jpg" TargetMode="External"/><Relationship Id="rId406" Type="http://schemas.openxmlformats.org/officeDocument/2006/relationships/hyperlink" Target="https://cdn-images.kiotviet.vn/2025/05/06/giabaopharma/21465c52068a472dbcb1c12535b45cf5.jpg" TargetMode="External"/><Relationship Id="rId392" Type="http://schemas.openxmlformats.org/officeDocument/2006/relationships/hyperlink" Target="https://cdn2-retail-images.kiotviet.vn/2025/10/02/giabaopharma/2bf48e507e6a4834a56fbf92f86fb268.jpg" TargetMode="External"/><Relationship Id="rId613" Type="http://schemas.openxmlformats.org/officeDocument/2006/relationships/hyperlink" Target="https://cdn2-retail-images.kiotviet.vn/2025/05/29/giabaopharma/cf0449edfeeb47ebad11087d1f9eddfb.jpg,https:/cdn2-retail-images.kiotviet.vn/2025/05/29/giabaopharma/3bb3c3fd1cb44661afca64484edcbe85.jpg,https:/cdn2-retail-images.kiotviet.vn/2025/05/29/giabaopharma/981357198f9c45b6a9291face602767e.jpg,https:/cdn2-retail-images.kiotviet.vn/2025/05/29/giabaopharma/d2d38a4bcd2b40b3b4e0b57fb7505181.jpg" TargetMode="External"/><Relationship Id="rId697" Type="http://schemas.openxmlformats.org/officeDocument/2006/relationships/hyperlink" Target="https://cdn2-retail-images.kiotviet.vn/2025/12/23/giabaopharma/b25cf7ebe8a644779d9aca5a1d72fa47.png" TargetMode="External"/><Relationship Id="rId820" Type="http://schemas.openxmlformats.org/officeDocument/2006/relationships/hyperlink" Target="https://product.hstatic.net/200000428801/product/584fc2107456b408ed47_f9741db6c9ac44e180e23c918320d5fc.jpg" TargetMode="External"/><Relationship Id="rId252" Type="http://schemas.openxmlformats.org/officeDocument/2006/relationships/hyperlink" Target="https://product.hstatic.net/200000428801/product/1f7a32717bda4b9e8b47619e8d6104dd_f8a08b8d6fd04503abdae06ce1cbf1cd.png" TargetMode="External"/><Relationship Id="rId47" Type="http://schemas.openxmlformats.org/officeDocument/2006/relationships/hyperlink" Target="https://product.hstatic.net/200000428801/product/c9fea168b69f76c12f8e_a73396370dfb4fd2bf3d2610335394a9.jpg" TargetMode="External"/><Relationship Id="rId112" Type="http://schemas.openxmlformats.org/officeDocument/2006/relationships/hyperlink" Target="https://cdn2-retail-images.kiotviet.vn/2025/02/25/giabaopharma/fec53d8c89804b949f9027a7613eb52b.jpg" TargetMode="External"/><Relationship Id="rId557" Type="http://schemas.openxmlformats.org/officeDocument/2006/relationships/hyperlink" Target="https://cdn-images.kiotviet.vn/giabaopharma/8663983cfcb64834a74261574a613e6e.png" TargetMode="External"/><Relationship Id="rId764" Type="http://schemas.openxmlformats.org/officeDocument/2006/relationships/hyperlink" Target="https://product.hstatic.net/200000428801/product/27_0229c9e85bf54fda964bdd1cb402fdea.png" TargetMode="External"/><Relationship Id="rId196" Type="http://schemas.openxmlformats.org/officeDocument/2006/relationships/hyperlink" Target="https://cdn2-retail-images.kiotviet.vn/2026/02/09/giabaopharma/f13b277034f343c7a7acb1c676275a79.jpg" TargetMode="External"/><Relationship Id="rId417" Type="http://schemas.openxmlformats.org/officeDocument/2006/relationships/hyperlink" Target="https://cdn-images.kiotviet.vn/giabaopharma/5d457eefba6c49dab075ec6be56cc6de.png" TargetMode="External"/><Relationship Id="rId624" Type="http://schemas.openxmlformats.org/officeDocument/2006/relationships/hyperlink" Target="https://cdn2-retail-images.kiotviet.vn/2025/04/05/giabaopharma/93ebcb1067794141bd1d9c89a5d35eb1.jpg" TargetMode="External"/><Relationship Id="rId831" Type="http://schemas.openxmlformats.org/officeDocument/2006/relationships/hyperlink" Target="https://product.hstatic.net/200000428801/product/zalo_screenshot_20_11_2021_638612_c619b369fe4a4416b1d52065cbfa5c59.png" TargetMode="External"/><Relationship Id="rId263" Type="http://schemas.openxmlformats.org/officeDocument/2006/relationships/hyperlink" Target="https://product.hstatic.net/200000428801/product/2fb9c9bd8a3840661929_3ad2b8c3883c4df4997be988c23e5747.jpg" TargetMode="External"/><Relationship Id="rId470" Type="http://schemas.openxmlformats.org/officeDocument/2006/relationships/hyperlink" Target="https://product.hstatic.net/200000428801/product/majegra-100mg-1_1332aa65f31043b68be9d1ca269b9fd6.jpg" TargetMode="External"/><Relationship Id="rId58" Type="http://schemas.openxmlformats.org/officeDocument/2006/relationships/hyperlink" Target="https://product.hstatic.net/200000428801/product/7fa516a808e64136b97c31dad57eac01_dd3317da2abc4c8bb2a4f8dceb2d92fe.jpg" TargetMode="External"/><Relationship Id="rId123" Type="http://schemas.openxmlformats.org/officeDocument/2006/relationships/hyperlink" Target="https://product.hstatic.net/200000428801/product/43e96ed188c64128b197b67f0a387234_ec9201440fc742729a041fcb81f7339f.png" TargetMode="External"/><Relationship Id="rId330" Type="http://schemas.openxmlformats.org/officeDocument/2006/relationships/hyperlink" Target="https://cdn1-retail-images.kiotviet.vn/2026/03/26/giabaopharma/5b7e16b05186440ab5985b54402ad197.jpg" TargetMode="External"/><Relationship Id="rId568" Type="http://schemas.openxmlformats.org/officeDocument/2006/relationships/hyperlink" Target="https://product.hstatic.net/200000428801/product/la_4_68a9348a107445f7909082bd668c2663.jpg" TargetMode="External"/><Relationship Id="rId775" Type="http://schemas.openxmlformats.org/officeDocument/2006/relationships/hyperlink" Target="https://cdn2-retail-images.kiotviet.vn/giabaopharma/37fbe26e30e64088a5a3baf09246aa7e.png" TargetMode="External"/><Relationship Id="rId428" Type="http://schemas.openxmlformats.org/officeDocument/2006/relationships/hyperlink" Target="https://product.hstatic.net/200000428801/product/thiet_ke_khong_ten__1__225d0b6c5bb049cd971cebbe14c81e70.png" TargetMode="External"/><Relationship Id="rId635" Type="http://schemas.openxmlformats.org/officeDocument/2006/relationships/hyperlink" Target="https://cdn2-retail-images.kiotviet.vn/2025/03/22/giabaopharma/9b27f6ad91254ae9a3ff7bc77de6fd5d.jpg" TargetMode="External"/><Relationship Id="rId842" Type="http://schemas.openxmlformats.org/officeDocument/2006/relationships/hyperlink" Target="https://product.hstatic.net/200000428801/product/7f6705fcf8db32856bca_7c1246f2319c43cbab8444415ed19671.jpg" TargetMode="External"/><Relationship Id="rId274" Type="http://schemas.openxmlformats.org/officeDocument/2006/relationships/hyperlink" Target="https://product.hstatic.net/200000428801/product/0b30544af4c3349d6dd2_17f3eb5ae71449148131ff79460c7aee.jpg" TargetMode="External"/><Relationship Id="rId481" Type="http://schemas.openxmlformats.org/officeDocument/2006/relationships/hyperlink" Target="https://cdn-images.kiotviet.vn/2025/05/24/giabaopharma/5e43971057474bc09470b0487b8cd485.jpg" TargetMode="External"/><Relationship Id="rId702" Type="http://schemas.openxmlformats.org/officeDocument/2006/relationships/hyperlink" Target="https://product.hstatic.net/200000428801/product/thiet_ke_chua_co_ten__10__9afc3ab818b64a21a9a082b65deac207.png" TargetMode="External"/><Relationship Id="rId69" Type="http://schemas.openxmlformats.org/officeDocument/2006/relationships/hyperlink" Target="https://product.hstatic.net/200000428801/product/e4f11c358e9f4fc1168e_90d923d6132c42369ed978cba9686016.jpg" TargetMode="External"/><Relationship Id="rId134" Type="http://schemas.openxmlformats.org/officeDocument/2006/relationships/hyperlink" Target="https://product.hstatic.net/200000428801/product/zalo_screenshot_18_11_2021_93927_6bf5bf81ec464933a0b930742628aab3.png" TargetMode="External"/><Relationship Id="rId579" Type="http://schemas.openxmlformats.org/officeDocument/2006/relationships/hyperlink" Target="https://product.hstatic.net/200000428801/product/zalo_screenshot_18_11_2021_620803_ef319e2d1f404f7c8e6d55c8ae691a16.png" TargetMode="External"/><Relationship Id="rId786" Type="http://schemas.openxmlformats.org/officeDocument/2006/relationships/hyperlink" Target="https://cdn2-retail-images.kiotviet.vn/2026/03/07/giabaopharma/571570ce87864c3baba820e89f201240.jpg" TargetMode="External"/><Relationship Id="rId341" Type="http://schemas.openxmlformats.org/officeDocument/2006/relationships/hyperlink" Target="https://product.hstatic.net/200000428801/product/dac368d92f5ce502bc4d_0aefe4f51efb4877a92a332276b17988.jpg" TargetMode="External"/><Relationship Id="rId439" Type="http://schemas.openxmlformats.org/officeDocument/2006/relationships/hyperlink" Target="https://cdn2-retail-images.kiotviet.vn/2026/03/05/giabaopharma/c4f34e08f7924ed4b01081bd35dca45a.jpg" TargetMode="External"/><Relationship Id="rId646" Type="http://schemas.openxmlformats.org/officeDocument/2006/relationships/hyperlink" Target="https://cdn2-retail-images.kiotviet.vn/2025/03/12/giabaopharma/09e3a293838748bfa22e7a4302f20312.jpg,https:/cdn2-retail-images.kiotviet.vn/2025/03/12/giabaopharma/88cfd380e4c9487baa012cee07be5e59.jpg" TargetMode="External"/><Relationship Id="rId201" Type="http://schemas.openxmlformats.org/officeDocument/2006/relationships/hyperlink" Target="https://cdn2-retail-images.kiotviet.vn/2025/11/15/giabaopharma/5ad8e0f43f5c4a6693fb529ebd77f958.jpg" TargetMode="External"/><Relationship Id="rId285" Type="http://schemas.openxmlformats.org/officeDocument/2006/relationships/hyperlink" Target="https://cdn2-retail-images.kiotviet.vn/2025/11/15/giabaopharma/a81fc70e7493405993c141d7a633c616.png" TargetMode="External"/><Relationship Id="rId506" Type="http://schemas.openxmlformats.org/officeDocument/2006/relationships/hyperlink" Target="https://cdn2-retail-images.kiotviet.vn/2025/02/17/giabaopharma/cd4ce076b89f4ae4b899e10b29840bd9.jpg" TargetMode="External"/><Relationship Id="rId853" Type="http://schemas.openxmlformats.org/officeDocument/2006/relationships/hyperlink" Target="https://product.hstatic.net/200000428801/product/fa41cefce232226c7b23_74863291a6b9456eb8b01f1963f436b9.jpg" TargetMode="External"/><Relationship Id="rId492" Type="http://schemas.openxmlformats.org/officeDocument/2006/relationships/hyperlink" Target="https://i.postimg.cc/5yNLSHRf/5a22299d19a644b0afccd0301af4c3b9.jpg" TargetMode="External"/><Relationship Id="rId713" Type="http://schemas.openxmlformats.org/officeDocument/2006/relationships/hyperlink" Target="https://product.hstatic.net/200000428801/product/5c192ce293a2418aaaf9723dbf072ad5_373ec7c2c2da49d4a6e315a2b32c624b.png" TargetMode="External"/><Relationship Id="rId797" Type="http://schemas.openxmlformats.org/officeDocument/2006/relationships/hyperlink" Target="https://product.hstatic.net/200000428801/product/f29dcaa0166ed6308f7f_43e072a2398947f19ed6d0820913218b.jpg" TargetMode="External"/><Relationship Id="rId145" Type="http://schemas.openxmlformats.org/officeDocument/2006/relationships/hyperlink" Target="https://cdn2-retail-images.kiotviet.vn/2025/12/31/giabaopharma/d6bbe854e99c48fca876e10e0b4f2dc5.jpg" TargetMode="External"/><Relationship Id="rId352" Type="http://schemas.openxmlformats.org/officeDocument/2006/relationships/hyperlink" Target="https://product.hstatic.net/200000428801/product/521c637002a0c3fe9ab1_cfdee4322d9b480d93f8ae2f3ecbf1fb.jpg" TargetMode="External"/><Relationship Id="rId212" Type="http://schemas.openxmlformats.org/officeDocument/2006/relationships/hyperlink" Target="https://cdn2-retail-images.kiotviet.vn/2024/12/28/giabaopharma/c56b8dd057104bceb1d29ea5275221f9.jpg" TargetMode="External"/><Relationship Id="rId657" Type="http://schemas.openxmlformats.org/officeDocument/2006/relationships/hyperlink" Target="https://cdn2-retail-images.kiotviet.vn/2025/02/03/giabaopharma/0edba24cb17b42f5a308c8b10951f9d4.jpg" TargetMode="External"/><Relationship Id="rId864" Type="http://schemas.openxmlformats.org/officeDocument/2006/relationships/hyperlink" Target="https://product.hstatic.net/200000428801/product/zalo_screenshot_19_11_2021_639756_d57f43440a014d168f8fcb04ec539ee2.png" TargetMode="External"/><Relationship Id="rId296" Type="http://schemas.openxmlformats.org/officeDocument/2006/relationships/hyperlink" Target="https://product.hstatic.net/200000428801/product/22f68028c9ad03f35abc_a6976a1d829d49ed8c1de79068cb404f.jpg" TargetMode="External"/><Relationship Id="rId517" Type="http://schemas.openxmlformats.org/officeDocument/2006/relationships/hyperlink" Target="https://product.hstatic.net/200000428801/product/thiet_ke_khong_ten__20__a15f16264b6e4a569543e568bf456cb7.png" TargetMode="External"/><Relationship Id="rId724" Type="http://schemas.openxmlformats.org/officeDocument/2006/relationships/hyperlink" Target="https://product.hstatic.net/200000428801/product/zalo_screenshot_20_11_2021_717245_91add52b325d4bedb3f5b756c7d72da0.png" TargetMode="External"/><Relationship Id="rId60" Type="http://schemas.openxmlformats.org/officeDocument/2006/relationships/hyperlink" Target="https://product.hstatic.net/200000428801/product/zalo_screenshot_19_11_2021_627711_92be634e53604ea684066df0f60b0ddd.png" TargetMode="External"/><Relationship Id="rId156" Type="http://schemas.openxmlformats.org/officeDocument/2006/relationships/hyperlink" Target="https://cdn2-retail-images.kiotviet.vn/giabaopharma/20ffdea8b8884afab13e92daee1ee683.jpg" TargetMode="External"/><Relationship Id="rId363" Type="http://schemas.openxmlformats.org/officeDocument/2006/relationships/hyperlink" Target="https://cdn-images.kiotviet.vn/2025/09/22/giabaopharma/bb94eca27dc24cfda53494c0d0dce3ba.jpg" TargetMode="External"/><Relationship Id="rId570" Type="http://schemas.openxmlformats.org/officeDocument/2006/relationships/hyperlink" Target="https://cdn2-retail-images.kiotviet.vn/2025/10/22/giabaopharma/4c6d95f189e04203a26464470af4dbee.jpg" TargetMode="External"/><Relationship Id="rId223" Type="http://schemas.openxmlformats.org/officeDocument/2006/relationships/hyperlink" Target="https://cdn-images.kiotviet.vn/giabaopharma/a946a808851643c7b72679a537b6c976.png,https:/cdn-images.kiotviet.vn/giabaopharma/8652982d458547eb93bef3f7dc614ae9.png,https:/cdn-images.kiotviet.vn/giabaopharma/407918bd1eec4beb82680c66b43bb893.png,https:/cdn-images.kiotviet.vn/giabaopharma/0ff559fb41aa48418f692a126430f974.png,https:/cdn-images.kiotviet.vn/giabaopharma/c1ae5ec170b8486ab435a280756726a8.png" TargetMode="External"/><Relationship Id="rId430" Type="http://schemas.openxmlformats.org/officeDocument/2006/relationships/hyperlink" Target="https://product.hstatic.net/200000428801/product/thiet_ke_khong_ten__94__fa78edd71d1a43699650a01489381b9d.png" TargetMode="External"/><Relationship Id="rId668" Type="http://schemas.openxmlformats.org/officeDocument/2006/relationships/hyperlink" Target="https://cdn2-retail-images.kiotviet.vn/giabaopharma/c0dcb75ca68b4eb5b53c226728c28573.jpg" TargetMode="External"/><Relationship Id="rId875" Type="http://schemas.openxmlformats.org/officeDocument/2006/relationships/hyperlink" Target="https://product.hstatic.net/200000428801/product/zalo_screenshot_19_11_2021_625721_451942953e58458d9438428239d026f8.png" TargetMode="External"/><Relationship Id="rId18" Type="http://schemas.openxmlformats.org/officeDocument/2006/relationships/hyperlink" Target="https://cdn2-retail-images.kiotviet.vn/2025/10/30/giabaopharma/c270c26bab8447dd95909798f87b9cc8.jpg" TargetMode="External"/><Relationship Id="rId528" Type="http://schemas.openxmlformats.org/officeDocument/2006/relationships/hyperlink" Target="https://cdn2-retail-images.kiotviet.vn/2025/12/17/giabaopharma/8a1b13aa335645c980127f2c31630df6.jpg" TargetMode="External"/><Relationship Id="rId735" Type="http://schemas.openxmlformats.org/officeDocument/2006/relationships/hyperlink" Target="https://cdn2-retail-images.kiotviet.vn/2025/10/30/giabaopharma/5474f720e6c841aab84bb2ce160a9cab.png" TargetMode="External"/><Relationship Id="rId167" Type="http://schemas.openxmlformats.org/officeDocument/2006/relationships/hyperlink" Target="https://product.hstatic.net/200000428801/product/thiet_ke_khong_ten__47__8b5c90b4eb7b4240a9280a91d6187b96.png" TargetMode="External"/><Relationship Id="rId374" Type="http://schemas.openxmlformats.org/officeDocument/2006/relationships/hyperlink" Target="https://cdn2-retail-images.kiotviet.vn/2025/03/15/giabaopharma/dea53fc15dc24f1fb0327e9d5ce6d353.jpg" TargetMode="External"/><Relationship Id="rId581" Type="http://schemas.openxmlformats.org/officeDocument/2006/relationships/hyperlink" Target="https://cdn1-retail-images.kiotviet.vn/2026/01/07/giabaopharma/831a02e182734cc3b25b9fccf7edd564.jpg" TargetMode="External"/><Relationship Id="rId71" Type="http://schemas.openxmlformats.org/officeDocument/2006/relationships/hyperlink" Target="https://product.hstatic.net/200000428801/product/zalo_screenshot_18_11_2021_741561_01859b1ede744ba2a0bf46cfdae32e96.png" TargetMode="External"/><Relationship Id="rId234" Type="http://schemas.openxmlformats.org/officeDocument/2006/relationships/hyperlink" Target="https://product.hstatic.net/200000428801/product/d12de2e35a6f4ab4a2565ec73c7219d9_14a2dfb86cd048d8983c33944efab73d.png" TargetMode="External"/><Relationship Id="rId679" Type="http://schemas.openxmlformats.org/officeDocument/2006/relationships/hyperlink" Target="https://cdn2-retail-images.kiotviet.vn/giabaopharma/8e33bff107cb42f3b6960ccfd7340575.jpg,https:/cdn2-retail-images.kiotviet.vn/2025/05/29/giabaopharma/a9043049f8d24eaaad43cc81eeaf6137.jpg,https:/cdn2-retail-images.kiotviet.vn/2025/05/29/giabaopharma/08623c270cbe44ebb26a14225c387a3e.jpg" TargetMode="External"/><Relationship Id="rId802" Type="http://schemas.openxmlformats.org/officeDocument/2006/relationships/hyperlink" Target="https://cdn2-retail-images.kiotviet.vn/2025/05/29/giabaopharma/5976033a522b49eb8d5abe73752e56b1.jpg,https:/cdn2-retail-images.kiotviet.vn/2025/05/29/giabaopharma/5ff53766c83646448bc23e204de334e8.jpg" TargetMode="External"/><Relationship Id="rId886" Type="http://schemas.openxmlformats.org/officeDocument/2006/relationships/hyperlink" Target="https://cdn2-retail-images.kiotviet.vn/2025/10/22/giabaopharma/7284ac1586fd4455842e51bdd0bfe087.png" TargetMode="External"/><Relationship Id="rId2" Type="http://schemas.openxmlformats.org/officeDocument/2006/relationships/hyperlink" Target="https://i.postimg.cc/JnMZHrbC/X-t-n-c-mu-i-bi-n-s-u-Seesalt-Baby-Kingphar-l-m-s-ch-m-i-1-chai-70ml-2.png" TargetMode="External"/><Relationship Id="rId29" Type="http://schemas.openxmlformats.org/officeDocument/2006/relationships/hyperlink" Target="https://product.hstatic.net/200000428801/product/clotrimazol__7__6a7a60d1b3ef4f9fb437795fd8c0361c.png" TargetMode="External"/><Relationship Id="rId441" Type="http://schemas.openxmlformats.org/officeDocument/2006/relationships/hyperlink" Target="https://i.postimg.cc/9fh4BR42/cb56253e5556490894e7afe8f4fc6b6d.jpg" TargetMode="External"/><Relationship Id="rId539" Type="http://schemas.openxmlformats.org/officeDocument/2006/relationships/hyperlink" Target="https://product.hstatic.net/200000428801/product/e776fa50994755190c56_c25bfd48db31452bb08d5f0882f1b5bb.jpg" TargetMode="External"/><Relationship Id="rId746" Type="http://schemas.openxmlformats.org/officeDocument/2006/relationships/hyperlink" Target="https://product.hstatic.net/200000428801/product/a34a40324c678239db76_2f6496bfe2144524bfc6b4936f0f7604.jpg" TargetMode="External"/><Relationship Id="rId178" Type="http://schemas.openxmlformats.org/officeDocument/2006/relationships/hyperlink" Target="https://product.hstatic.net/200000428801/product/55fbf2acff1f4ab1a51d3e621c1a88a6_c0e19a792d3c44cda65bfb1c250916cd.png" TargetMode="External"/><Relationship Id="rId301" Type="http://schemas.openxmlformats.org/officeDocument/2006/relationships/hyperlink" Target="https://product.hstatic.net/200000428801/product/9ac53e9b9bd2598c00c3_c7082ad52640463290bbdefc5f36bcf6.jpg" TargetMode="External"/><Relationship Id="rId82" Type="http://schemas.openxmlformats.org/officeDocument/2006/relationships/hyperlink" Target="https://product.hstatic.net/200000428801/product/zalo_screenshot_20_11_2021_633282_a803fa604d7d413285bb3f5e6dfc44c6.png" TargetMode="External"/><Relationship Id="rId385" Type="http://schemas.openxmlformats.org/officeDocument/2006/relationships/hyperlink" Target="https://product.hstatic.net/200000428801/product/36_8e7968518b4a4555943f76438766a405.png" TargetMode="External"/><Relationship Id="rId592" Type="http://schemas.openxmlformats.org/officeDocument/2006/relationships/hyperlink" Target="https://i.postimg.cc/hvJjf63R/Vi-n-m-m-u-Kingphar-gi-m-m-m-u-gi-m-nguy-c-x-v-a-ng-m-ch-1-L-40-vi-n-3-min.png" TargetMode="External"/><Relationship Id="rId606" Type="http://schemas.openxmlformats.org/officeDocument/2006/relationships/hyperlink" Target="https://cdn-images.kiotviet.vn/2025/06/19/giabaopharma/483aaff6b2274282b8812ec112d8d40d.jpg,https:/cdn2-retail-images.kiotviet.vn/2025/06/19/giabaopharma/5b34b4cda11544e1b39b696705b57545.jpg,https:/cdn-images.kiotviet.vn/2025/06/19/giabaopharma/5f8f84e06eca4155a57471d2cc17cc86.jpg" TargetMode="External"/><Relationship Id="rId813" Type="http://schemas.openxmlformats.org/officeDocument/2006/relationships/hyperlink" Target="https://product.hstatic.net/200000428801/product/thiet_ke_khong_ten__2__413ddcdb2c004affa1873035e8c6a872.png" TargetMode="External"/><Relationship Id="rId245" Type="http://schemas.openxmlformats.org/officeDocument/2006/relationships/hyperlink" Target="https://cdn1-retail-images.kiotviet.vn/2026/03/10/giabaopharma/3eca5f5b03044c6e94152722c219f0a7.jpg" TargetMode="External"/><Relationship Id="rId452" Type="http://schemas.openxmlformats.org/officeDocument/2006/relationships/hyperlink" Target="https://cdn2-retail-images.kiotviet.vn/2025/10/30/giabaopharma/39eb4ea0689b4186a566cfc2e05eb9bd.png" TargetMode="External"/><Relationship Id="rId897" Type="http://schemas.openxmlformats.org/officeDocument/2006/relationships/hyperlink" Target="https://cdn-images.kiotviet.vn/2024/12/13/giabaopharma/a73d32cd7777431eb747def38248a1a6.jpg" TargetMode="External"/><Relationship Id="rId105" Type="http://schemas.openxmlformats.org/officeDocument/2006/relationships/hyperlink" Target="https://product.hstatic.net/200000428801/product/1298c40709a9cbf792b8_c7c40c74a1474db7a7c02ce8376e9dbc.jpg" TargetMode="External"/><Relationship Id="rId312" Type="http://schemas.openxmlformats.org/officeDocument/2006/relationships/hyperlink" Target="https://product.hstatic.net/200000428801/product/zalo_screenshot_18_11_2021_72121_7c5658d0aafb47918ea7116e3f97f825.png" TargetMode="External"/><Relationship Id="rId757" Type="http://schemas.openxmlformats.org/officeDocument/2006/relationships/hyperlink" Target="https://product.hstatic.net/200000428801/product/54ef8e63f9cd389361dc_b3275c2bed8743789310027162b41a10.jpg" TargetMode="External"/><Relationship Id="rId93" Type="http://schemas.openxmlformats.org/officeDocument/2006/relationships/hyperlink" Target="https://cdn2-retail-images.kiotviet.vn/2026/03/31/giabaopharma/eddf4fe23d9542c4a3795556878f55d2.jpg" TargetMode="External"/><Relationship Id="rId189" Type="http://schemas.openxmlformats.org/officeDocument/2006/relationships/hyperlink" Target="https://product.hstatic.net/200000428801/product/4390e879c08d03d35a9c_6a22f0a4aba04d86a2132a4d06b45d7e.jpg" TargetMode="External"/><Relationship Id="rId396" Type="http://schemas.openxmlformats.org/officeDocument/2006/relationships/hyperlink" Target="https://cdn-images.kiotviet.vn/2025/09/17/giabaopharma/022b09921000485b835be65c29270c91.jpg" TargetMode="External"/><Relationship Id="rId617" Type="http://schemas.openxmlformats.org/officeDocument/2006/relationships/hyperlink" Target="https://cdn-images.kiotviet.vn/2025/05/20/giabaopharma/359b7611296a4f9896102a3ce98b4288.jpg,https:/cdn-images.kiotviet.vn/2025/05/20/giabaopharma/1ef21d6410c74db8821c1e6134a8dfb7.jpg,https:/cdn-images.kiotviet.vn/2025/05/20/giabaopharma/3b59a0df8b6f407c94842df8e75aadc1.jpg" TargetMode="External"/><Relationship Id="rId824" Type="http://schemas.openxmlformats.org/officeDocument/2006/relationships/hyperlink" Target="https://product.hstatic.net/200000428801/product/zalo_screenshot_20_11_2021_716944_47979e2c6e544456aeeb9a46d6b84926.png" TargetMode="External"/><Relationship Id="rId256" Type="http://schemas.openxmlformats.org/officeDocument/2006/relationships/hyperlink" Target="https://product.hstatic.net/200000428801/product/2a2912b61bc14ff288a0d3ce837acc43_0351431e7c9f4d2d8ccf2ebc3f40c377.png" TargetMode="External"/><Relationship Id="rId463" Type="http://schemas.openxmlformats.org/officeDocument/2006/relationships/hyperlink" Target="https://cdn2-retail-images.kiotviet.vn/2025/10/30/giabaopharma/291ca938fe604af8b0c243f729e73010.jpg" TargetMode="External"/><Relationship Id="rId670" Type="http://schemas.openxmlformats.org/officeDocument/2006/relationships/hyperlink" Target="https://cdn-images.kiotviet.vn/giabaopharma/3da2514ac0b3459082db7d9a5932dc3b.png" TargetMode="External"/><Relationship Id="rId116" Type="http://schemas.openxmlformats.org/officeDocument/2006/relationships/hyperlink" Target="https://cdn2-retail-images.kiotviet.vn/giabaopharma/1e01998083674defbf2e3f6bcf7c2ccc.png,https:/cdn2-retail-images.kiotviet.vn/giabaopharma/b7bdf5bd910a4c979def7e82a38bd969.png,https:/cdn2-retail-images.kiotviet.vn/giabaopharma/4eb1cccaface44b199e97684dc791171.png,https:/cdn2-retail-images.kiotviet.vn/giabaopharma/6dbb3f1e765e4a3391874b75a67466a2.png,https:/cdn2-retail-images.kiotviet.vn/giabaopharma/1d6ef6c702e6467890b84263da116752.png" TargetMode="External"/><Relationship Id="rId323" Type="http://schemas.openxmlformats.org/officeDocument/2006/relationships/hyperlink" Target="https://cdn2-retail-images.kiotviet.vn/2025/10/25/giabaopharma/616541a9567340a289c29ab4051c1e6a.jpg" TargetMode="External"/><Relationship Id="rId530" Type="http://schemas.openxmlformats.org/officeDocument/2006/relationships/hyperlink" Target="https://product.hstatic.net/200000428801/product/zalo_screenshot_18_11_2021_832816_cf6c25df226d419cb6b0a36da2d3b2d9.png" TargetMode="External"/><Relationship Id="rId768" Type="http://schemas.openxmlformats.org/officeDocument/2006/relationships/hyperlink" Target="https://product.hstatic.net/200000428801/product/maxx-gold-glucosamin_3bd53ea81f2f4f529e7c717c7f92b177.jpg" TargetMode="External"/><Relationship Id="rId20" Type="http://schemas.openxmlformats.org/officeDocument/2006/relationships/hyperlink" Target="https://product.hstatic.net/200000428801/product/pamatase_methylprednisolone_sodium_40mg_hop_10_lo_tiem_han_quoc_86a78d99fa4749abb1ead533b948dce9.jpg" TargetMode="External"/><Relationship Id="rId628" Type="http://schemas.openxmlformats.org/officeDocument/2006/relationships/hyperlink" Target="https://cdn2-retail-images.kiotviet.vn/2025/03/31/giabaopharma/e0db80b07bac471a89c083db758e0d0a.jpg" TargetMode="External"/><Relationship Id="rId835" Type="http://schemas.openxmlformats.org/officeDocument/2006/relationships/hyperlink" Target="https://cdn2-retail-images.kiotviet.vn/2025/08/01/giabaopharma/985937bd694448b986d4c649150e6545.jpg" TargetMode="External"/><Relationship Id="rId267" Type="http://schemas.openxmlformats.org/officeDocument/2006/relationships/hyperlink" Target="https://cdn1-retail-images.kiotviet.vn/2026/04/01/giabaopharma/d949fe8ac32c4e95a3c4de67b0c6cbb6.jpg" TargetMode="External"/><Relationship Id="rId474" Type="http://schemas.openxmlformats.org/officeDocument/2006/relationships/hyperlink" Target="https://product.hstatic.net/200000428801/product/zalo_screenshot_18_11_2021_758477_86f97aba03ed47cb9516af0e103a155f.png" TargetMode="External"/><Relationship Id="rId127" Type="http://schemas.openxmlformats.org/officeDocument/2006/relationships/hyperlink" Target="https://cdn2-retail-images.kiotviet.vn/2026/03/10/giabaopharma/0d2d03ee2cf043988132977f7c91f190.jpg" TargetMode="External"/><Relationship Id="rId681" Type="http://schemas.openxmlformats.org/officeDocument/2006/relationships/hyperlink" Target="https://cdn-images.kiotviet.vn/giabaopharma/93eafbc40838470090f3535dab0aceae.jpg" TargetMode="External"/><Relationship Id="rId779" Type="http://schemas.openxmlformats.org/officeDocument/2006/relationships/hyperlink" Target="https://cdn2-retail-images.kiotviet.vn/2025/10/23/giabaopharma/7d5e796b648044baa839961af38d4d7b.jpg" TargetMode="External"/><Relationship Id="rId902" Type="http://schemas.openxmlformats.org/officeDocument/2006/relationships/hyperlink" Target="https://product.hstatic.net/200000428801/product/e6678cfcf85b37056e4a_d6fbf756938c4831ac044a33ac4cf2a9.png" TargetMode="External"/><Relationship Id="rId31" Type="http://schemas.openxmlformats.org/officeDocument/2006/relationships/hyperlink" Target="https://product.hstatic.net/200000428801/product/a4166237eba62ef877b7_5d827fee4bc149a080ed966fabb731bb.jpg" TargetMode="External"/><Relationship Id="rId334" Type="http://schemas.openxmlformats.org/officeDocument/2006/relationships/hyperlink" Target="https://product.hstatic.net/200000428801/product/ef27462d57ff96a1cfee_2e604ad026d449a3beee732fbd30afd2.jpg" TargetMode="External"/><Relationship Id="rId541" Type="http://schemas.openxmlformats.org/officeDocument/2006/relationships/hyperlink" Target="https://product.hstatic.net/200000428801/product/01bc67fa1881dadf8390_67a14e400d2645b4b655ed278182f468.jpg" TargetMode="External"/><Relationship Id="rId639" Type="http://schemas.openxmlformats.org/officeDocument/2006/relationships/hyperlink" Target="https://cdn2-retail-images.kiotviet.vn/2025/12/23/giabaopharma/8887ac99b81949618e65338405d9c58b.png" TargetMode="External"/><Relationship Id="rId180" Type="http://schemas.openxmlformats.org/officeDocument/2006/relationships/hyperlink" Target="https://product.hstatic.net/200000428801/product/7be2b37fe01d491b865d46b320069eea_5979548310b34228b64675e45a31506d.png" TargetMode="External"/><Relationship Id="rId278" Type="http://schemas.openxmlformats.org/officeDocument/2006/relationships/hyperlink" Target="https://cdn2-retail-images.kiotviet.vn/2026/03/07/giabaopharma/e5238a7c42404e52abd9c94b994b0a6f.jpg" TargetMode="External"/><Relationship Id="rId401" Type="http://schemas.openxmlformats.org/officeDocument/2006/relationships/hyperlink" Target="https://cdn2-retail-images.kiotviet.vn/2025/02/25/giabaopharma/fb9d6459b03046dabfb089b5d25263d9.jpg" TargetMode="External"/><Relationship Id="rId846" Type="http://schemas.openxmlformats.org/officeDocument/2006/relationships/hyperlink" Target="https://product.hstatic.net/200000428801/product/cong_dung_2d2574b635234308af99344c34089bf0.png" TargetMode="External"/><Relationship Id="rId485" Type="http://schemas.openxmlformats.org/officeDocument/2006/relationships/hyperlink" Target="https://cdn1-retail-images.kiotviet.vn/2026/01/05/giabaopharma/ff5dece954de423ea8d774cc36ce056f.jpg" TargetMode="External"/><Relationship Id="rId692" Type="http://schemas.openxmlformats.org/officeDocument/2006/relationships/hyperlink" Target="https://product.hstatic.net/200000428801/product/412a2e3b21dd4b73ae64832bfa38a147_df0f7b579f6a497ebfd58efcf488242a.png" TargetMode="External"/><Relationship Id="rId706" Type="http://schemas.openxmlformats.org/officeDocument/2006/relationships/hyperlink" Target="https://product.hstatic.net/200000428801/product/2f0bb89e636b4ccb900b261621e8eaec_7281c0bfa68a486e9aa260c2616a4dd9.png" TargetMode="External"/><Relationship Id="rId42" Type="http://schemas.openxmlformats.org/officeDocument/2006/relationships/hyperlink" Target="https://cdn2-retail-images.kiotviet.vn/2025/02/18/giabaopharma/fe41572708804163950971fa8ca8f8e2.jpg" TargetMode="External"/><Relationship Id="rId138" Type="http://schemas.openxmlformats.org/officeDocument/2006/relationships/hyperlink" Target="https://cdn2-retail-images.kiotviet.vn/2025/12/11/giabaopharma/d0700acb343443259e8ba05621e2a273.jpg" TargetMode="External"/><Relationship Id="rId345" Type="http://schemas.openxmlformats.org/officeDocument/2006/relationships/hyperlink" Target="https://product.hstatic.net/200000428801/product/zalo_screenshot_18_11_2021_642509_b71ea6653f3c421abf332a0ba71510c6.png" TargetMode="External"/><Relationship Id="rId552" Type="http://schemas.openxmlformats.org/officeDocument/2006/relationships/hyperlink" Target="https://product.hstatic.net/200000428801/product/ce00b8542ffeeea0b7ef_4a1a37df3322434db530e8f3f734f687.jpg" TargetMode="External"/><Relationship Id="rId191" Type="http://schemas.openxmlformats.org/officeDocument/2006/relationships/hyperlink" Target="https://product.hstatic.net/200000428801/product/89decdd53f22fc7ca533_a1a28a35c62f4c5eb415e59fc8b5737e.jpg" TargetMode="External"/><Relationship Id="rId205" Type="http://schemas.openxmlformats.org/officeDocument/2006/relationships/hyperlink" Target="https://cdn2-retail-images.kiotviet.vn/2025/06/14/giabaopharma/6f47fb206d51497f8908690b539ab23a.jpg" TargetMode="External"/><Relationship Id="rId412" Type="http://schemas.openxmlformats.org/officeDocument/2006/relationships/hyperlink" Target="https://cdn-images.kiotviet.vn/giabaopharma/cd86235ebe96488a86a72980bacea4ad.png" TargetMode="External"/><Relationship Id="rId857" Type="http://schemas.openxmlformats.org/officeDocument/2006/relationships/hyperlink" Target="https://cdn-images.kiotviet.vn/giabaopharma/fbbebdff226547c1940ce169952f5e14.png" TargetMode="External"/><Relationship Id="rId289" Type="http://schemas.openxmlformats.org/officeDocument/2006/relationships/hyperlink" Target="https://product.hstatic.net/200000428801/product/ac1178ec1618d2468b09_997b4cdf2df44a3188b709543fa45910.jpg" TargetMode="External"/><Relationship Id="rId496" Type="http://schemas.openxmlformats.org/officeDocument/2006/relationships/hyperlink" Target="https://cdn2-retail-images.kiotviet.vn/2025/10/23/giabaopharma/c04f26a7ed544b90a7c6dbd624295013.png" TargetMode="External"/><Relationship Id="rId717" Type="http://schemas.openxmlformats.org/officeDocument/2006/relationships/hyperlink" Target="https://product.hstatic.net/200000428801/product/zalo_screenshot_19_11_2021_641188_bc279ed8fb8c4197939184d90ba66be1.png" TargetMode="External"/><Relationship Id="rId53" Type="http://schemas.openxmlformats.org/officeDocument/2006/relationships/hyperlink" Target="https://product.hstatic.net/200000428801/product/zalo_screenshot_18_11_2021_756308_84196c50e19d4a858d9c5d8402523a54.png" TargetMode="External"/><Relationship Id="rId149" Type="http://schemas.openxmlformats.org/officeDocument/2006/relationships/hyperlink" Target="https://product.hstatic.net/200000428801/product/0938693609e6c8b891f7_7ca74f67efed4019b589ec7238d94189.jpg" TargetMode="External"/><Relationship Id="rId356" Type="http://schemas.openxmlformats.org/officeDocument/2006/relationships/hyperlink" Target="https://product.hstatic.net/200000428801/product/a9bee4ff40e48abad3f5_88e308b45786446197c3838d377b3138.jpg" TargetMode="External"/><Relationship Id="rId563" Type="http://schemas.openxmlformats.org/officeDocument/2006/relationships/hyperlink" Target="https://cdn2-retail-images.kiotviet.vn/giabaopharma/74f3b43c806e42ff984d04387baedfa3.png,https:/cdn2-retail-images.kiotviet.vn/giabaopharma/3d5d0611cb8f4ef88547098e3ef19aa0.png,https:/cdn2-retail-images.kiotviet.vn/giabaopharma/1387ad1260b040c2b9a2ff8bc8e0b709.png,https:/cdn2-retail-images.kiotviet.vn/giabaopharma/e37a39cff15645c785bb38061b1288c3.png,https:/cdn2-retail-images.kiotviet.vn/giabaopharma/545c6b63cd504bea97f3d2163464ad12.png" TargetMode="External"/><Relationship Id="rId770" Type="http://schemas.openxmlformats.org/officeDocument/2006/relationships/hyperlink" Target="https://product.hstatic.net/200000428801/product/zalo_screenshot_20_11_2021_636746_c9f634fd17ab4a6fad318c52f6520c36.png" TargetMode="External"/><Relationship Id="rId216" Type="http://schemas.openxmlformats.org/officeDocument/2006/relationships/hyperlink" Target="https://cdn2-retail-images.kiotviet.vn/giabaopharma/278ecaf346b742bea1376d44e67f763f.jpg" TargetMode="External"/><Relationship Id="rId423" Type="http://schemas.openxmlformats.org/officeDocument/2006/relationships/hyperlink" Target="https://product.hstatic.net/200000428801/product/b221b7071fafd0f189be_23390d1a7fe9423f80b8e3a5c6c48821.png" TargetMode="External"/><Relationship Id="rId868" Type="http://schemas.openxmlformats.org/officeDocument/2006/relationships/hyperlink" Target="https://product.hstatic.net/200000428801/product/c1f7f3cc70d1b28febc0_05071438450b44e0a608548d94d3e43f.jpg" TargetMode="External"/><Relationship Id="rId630" Type="http://schemas.openxmlformats.org/officeDocument/2006/relationships/hyperlink" Target="https://cdn2-retail-images.kiotviet.vn/2025/04/10/giabaopharma/5caf53ced9464a4a8adb8a347b9c3b95.png,https:/cdn2-retail-images.kiotviet.vn/2025/03/29/giabaopharma/14ff70966bb44627ba2d96cbc857a4ca.jpg,https:/cdn2-retail-images.kiotviet.vn/2025/03/29/giabaopharma/a089f1b643dd46e3b45f7e4ffdb8c359.jpg,https:/cdn2-retail-images.kiotviet.vn/2025/03/29/giabaopharma/f16a0ea1d4c8456dab70efffaf65caa1.jpg,https:/cdn2-retail-images.kiotviet.vn/2025/04/10/giabaopharma/6c7984a4f8794c6081589372c9ebff09.jpg" TargetMode="External"/><Relationship Id="rId728" Type="http://schemas.openxmlformats.org/officeDocument/2006/relationships/hyperlink" Target="https://product.hstatic.net/200000428801/product/zalo_screenshot_19_11_2021_640676_044f8ce45f344b6aa2add308f1f1bb11.png" TargetMode="External"/><Relationship Id="rId64" Type="http://schemas.openxmlformats.org/officeDocument/2006/relationships/hyperlink" Target="https://cdn2-retail-images.kiotviet.vn/2025/11/29/giabaopharma/bbf4dd24767d496095c0606991b452e0.jpg" TargetMode="External"/><Relationship Id="rId367" Type="http://schemas.openxmlformats.org/officeDocument/2006/relationships/hyperlink" Target="https://product.hstatic.net/200000428801/product/zalo_screenshot_17_11_2021_937604_437f449fcfd1484296f71db060d96f0c.png" TargetMode="External"/><Relationship Id="rId574" Type="http://schemas.openxmlformats.org/officeDocument/2006/relationships/hyperlink" Target="https://product.hstatic.net/200000428801/product/thiet_ke_khong_ten__1__500c675b48714fc2b51014c601d30bd6.png" TargetMode="External"/><Relationship Id="rId227" Type="http://schemas.openxmlformats.org/officeDocument/2006/relationships/hyperlink" Target="https://cdn2-retail-images.kiotviet.vn/giabaopharma/b5dbd40da3604357ba26101670ff96b8.png,https:/cdn2-retail-images.kiotviet.vn/giabaopharma/04638f80b2844107babffe872bf3d508.png,https:/cdn2-retail-images.kiotviet.vn/giabaopharma/9266a7452e8945e58e6b32cf8577c852.png,https:/cdn2-retail-images.kiotviet.vn/giabaopharma/91d89e4dadc44e249c36f10d484aa4f3.png,https:/cdn2-retail-images.kiotviet.vn/giabaopharma/6e2de8ea6d304976b6b964b76cd0d3a7.png" TargetMode="External"/><Relationship Id="rId781" Type="http://schemas.openxmlformats.org/officeDocument/2006/relationships/hyperlink" Target="https://product.hstatic.net/200000428801/product/zalo_screenshot_18_11_2021_825162_383e33a5d50e4a439b6a5f92bc0bce55.png" TargetMode="External"/><Relationship Id="rId879" Type="http://schemas.openxmlformats.org/officeDocument/2006/relationships/hyperlink" Target="https://product.hstatic.net/200000428801/product/zalo_screenshot_18_11_2021_90115_c206ca11e06f45a2a9c78d8ae1a73042.png" TargetMode="External"/><Relationship Id="rId434" Type="http://schemas.openxmlformats.org/officeDocument/2006/relationships/hyperlink" Target="https://cdn2-retail-images.kiotviet.vn/2025/11/04/giabaopharma/8cfc2cf94c354355a793cf49e041a0d9.jpg" TargetMode="External"/><Relationship Id="rId641" Type="http://schemas.openxmlformats.org/officeDocument/2006/relationships/hyperlink" Target="https://cdn2-retail-images.kiotviet.vn/2025/03/17/giabaopharma/778be32f7bcc4f919db1363c000e2a58.jpg" TargetMode="External"/><Relationship Id="rId739" Type="http://schemas.openxmlformats.org/officeDocument/2006/relationships/hyperlink" Target="https://product.hstatic.net/200000428801/product/thiet_ke_khong_ten__2__993f4bffa7484b4b995657d1f71151e1.png" TargetMode="External"/><Relationship Id="rId280" Type="http://schemas.openxmlformats.org/officeDocument/2006/relationships/hyperlink" Target="https://product.hstatic.net/200000428801/product/zalo_screenshot_18_11_2021_859859_7fe9af076f45484ab1ad4b64fe24e10f.png" TargetMode="External"/><Relationship Id="rId501" Type="http://schemas.openxmlformats.org/officeDocument/2006/relationships/hyperlink" Target="https://cdn-images.kiotviet.vn/2024/12/09/giabaopharma/c1985ec35740467b8847f48b18e89c86.jpg" TargetMode="External"/><Relationship Id="rId75" Type="http://schemas.openxmlformats.org/officeDocument/2006/relationships/hyperlink" Target="https://cdn2-retail-images.kiotviet.vn/2026/01/28/giabaopharma/1a5db4b4a3314f50986e05e41f6d78b6.jpg" TargetMode="External"/><Relationship Id="rId140" Type="http://schemas.openxmlformats.org/officeDocument/2006/relationships/hyperlink" Target="https://product.hstatic.net/200000428801/product/thiet_ke_chua_co_ten__2__3e361f8cd689445d83b9720c97228aa6.png" TargetMode="External"/><Relationship Id="rId378" Type="http://schemas.openxmlformats.org/officeDocument/2006/relationships/hyperlink" Target="https://product.hstatic.net/200000428801/product/29_daf2f187ac6d4fab975c58ee1871ff8d.png" TargetMode="External"/><Relationship Id="rId585" Type="http://schemas.openxmlformats.org/officeDocument/2006/relationships/hyperlink" Target="https://i.postimg.cc/gk0Jpxt5/Vi-n-u-ng-C-ng-g-n-c-t-vai-g-y-h-tr-m-nh-g-n-c-t-gi-m-au-nh-c-kh-p-1-L-40-vi-n-3.png" TargetMode="External"/><Relationship Id="rId792" Type="http://schemas.openxmlformats.org/officeDocument/2006/relationships/hyperlink" Target="https://product.hstatic.net/200000428801/product/af1d6e8e0e93cccd9582_993a3c4f62da410cb1f8ff219497c389.jpg" TargetMode="External"/><Relationship Id="rId806" Type="http://schemas.openxmlformats.org/officeDocument/2006/relationships/hyperlink" Target="https://product.hstatic.net/200000428801/product/59df3acf233eed60b42f_b5e95f3b5d344500aa0e21c10256131b.jpg" TargetMode="External"/><Relationship Id="rId6" Type="http://schemas.openxmlformats.org/officeDocument/2006/relationships/hyperlink" Target="https://cdn-images.kiotviet.vn/2024/12/09/giabaopharma/aa4d25c9ac934935b34d33e5977ec63f.jpg" TargetMode="External"/><Relationship Id="rId238" Type="http://schemas.openxmlformats.org/officeDocument/2006/relationships/hyperlink" Target="https://product.hstatic.net/200000428801/product/14_eb9030f42bb447608915b96a0c5209fc.png" TargetMode="External"/><Relationship Id="rId445" Type="http://schemas.openxmlformats.org/officeDocument/2006/relationships/hyperlink" Target="https://cdn-images.kiotviet.vn/giabaopharma/364e934e75744019a5152b611ee879fe.png" TargetMode="External"/><Relationship Id="rId652" Type="http://schemas.openxmlformats.org/officeDocument/2006/relationships/hyperlink" Target="https://cdn2-retail-images.kiotviet.vn/2025/02/12/giabaopharma/ad99a96b85a442b08487550cb0268fb2.jpg" TargetMode="External"/><Relationship Id="rId291" Type="http://schemas.openxmlformats.org/officeDocument/2006/relationships/hyperlink" Target="https://product.hstatic.net/200000428801/product/zalo_screenshot_18_11_2021_82720_e5245d3f6e3645d29abd59705fc18556.png" TargetMode="External"/><Relationship Id="rId305" Type="http://schemas.openxmlformats.org/officeDocument/2006/relationships/hyperlink" Target="https://cdn2-retail-images.kiotviet.vn/2025/12/06/giabaopharma/33b93fef8a6d41b2873a3691107dfd25.png" TargetMode="External"/><Relationship Id="rId512" Type="http://schemas.openxmlformats.org/officeDocument/2006/relationships/hyperlink" Target="https://product.hstatic.net/200000428801/product/ce0ec58e27454e02924b2117b73e2b0d_65b0258db6424e81a4afb0bebb6494f5.png" TargetMode="External"/><Relationship Id="rId86" Type="http://schemas.openxmlformats.org/officeDocument/2006/relationships/hyperlink" Target="https://product.hstatic.net/200000428801/product/c684ffa2eac8299670d9_4c0a7bfd97344ee18845871623cb96cf.jpg" TargetMode="External"/><Relationship Id="rId151" Type="http://schemas.openxmlformats.org/officeDocument/2006/relationships/hyperlink" Target="https://cdn2-retail-images.kiotviet.vn/giabaopharma/71351b9ec4094544be412ffa19a12bd0.jpg,https:/cdn-images.kiotviet.vn/giabaopharma/fc6a671f55864c6fa81be7822705ac49.jpg,https:/cdn-images.kiotviet.vn/giabaopharma/755c83cefa164b269abc0dd9d2eb378e.jpg,https:/cdn-images.kiotviet.vn/giabaopharma/bca8e134b47848e3bde662b6e808d180.jpg,https:/cdn-images.kiotviet.vn/giabaopharma/2ae226c463fc4fc5829f8342022ec372.jpg" TargetMode="External"/><Relationship Id="rId389" Type="http://schemas.openxmlformats.org/officeDocument/2006/relationships/hyperlink" Target="https://product.hstatic.net/200000428801/product/14_cb29d703601a461da401d37a35cdf52d.png" TargetMode="External"/><Relationship Id="rId596" Type="http://schemas.openxmlformats.org/officeDocument/2006/relationships/hyperlink" Target="https://cdn2-retail-images.kiotviet.vn/2025/12/23/giabaopharma/2a66efd0f48a4886b4b7503d9017d5de.png" TargetMode="External"/><Relationship Id="rId817" Type="http://schemas.openxmlformats.org/officeDocument/2006/relationships/hyperlink" Target="https://product.hstatic.net/200000428801/product/zalo_screenshot_18_11_2021_722613_5e64c2ae9de849e4a0fd430c54d392f9.png" TargetMode="External"/><Relationship Id="rId249" Type="http://schemas.openxmlformats.org/officeDocument/2006/relationships/hyperlink" Target="https://product.hstatic.net/200000428801/product/5492071bd4154be9bfe60bce418ae90a_9bcde0cb05bf4b1ea2059cb5007361bb.png" TargetMode="External"/><Relationship Id="rId456" Type="http://schemas.openxmlformats.org/officeDocument/2006/relationships/hyperlink" Target="https://cdn2-retail-images.kiotviet.vn/2026/03/31/giabaopharma/5dd69fa4aefe48fb9c02e9d85df94855.jpg" TargetMode="External"/><Relationship Id="rId663" Type="http://schemas.openxmlformats.org/officeDocument/2006/relationships/hyperlink" Target="https://cdn2-retail-images.kiotviet.vn/2025/10/23/giabaopharma/10fe3082c6074232a5f4d59b4da64fc4.jpg" TargetMode="External"/><Relationship Id="rId870" Type="http://schemas.openxmlformats.org/officeDocument/2006/relationships/hyperlink" Target="https://product.hstatic.net/200000428801/product/d9b8c90ea74a6014395b_32df116b5d34425da91fd26089efc592.jpg" TargetMode="External"/><Relationship Id="rId13" Type="http://schemas.openxmlformats.org/officeDocument/2006/relationships/hyperlink" Target="https://product.hstatic.net/200000428801/product/20_972e3abf702349a395217070fdbba513.png" TargetMode="External"/><Relationship Id="rId109" Type="http://schemas.openxmlformats.org/officeDocument/2006/relationships/hyperlink" Target="https://product.hstatic.net/200000428801/product/at-ibubrofen-5ml-hop-30ong-1-1-700x467_a23c4fb689c045e080fe3064426bbd22.jpg" TargetMode="External"/><Relationship Id="rId316" Type="http://schemas.openxmlformats.org/officeDocument/2006/relationships/hyperlink" Target="https://cdn1-retail-images.kiotviet.vn/2026/01/09/giabaopharma/1a1aa04a3ed5473e91654a307a0bab3f.jpg" TargetMode="External"/><Relationship Id="rId523" Type="http://schemas.openxmlformats.org/officeDocument/2006/relationships/hyperlink" Target="https://product.hstatic.net/200000428801/product/zalo_screenshot_18_11_2021_92975_4138d73ab95644f39ebc54a3cac433e8.png" TargetMode="External"/><Relationship Id="rId97" Type="http://schemas.openxmlformats.org/officeDocument/2006/relationships/hyperlink" Target="https://cdn2-retail-images.kiotviet.vn/giabaopharma/2f76ed94f9214e5db4e7a0b1f9ac5707.jpg" TargetMode="External"/><Relationship Id="rId730" Type="http://schemas.openxmlformats.org/officeDocument/2006/relationships/hyperlink" Target="https://product.hstatic.net/200000428801/product/590d570706d5c68b9fc4_b37a1705bc574dc7ac5a3e54950fefe9.jpg" TargetMode="External"/><Relationship Id="rId828" Type="http://schemas.openxmlformats.org/officeDocument/2006/relationships/hyperlink" Target="https://cdn2-retail-images.kiotviet.vn/2025/12/23/giabaopharma/ce0ed8c4e3504c69941cc131bb97231c.png" TargetMode="External"/><Relationship Id="rId162" Type="http://schemas.openxmlformats.org/officeDocument/2006/relationships/hyperlink" Target="https://product.hstatic.net/200000428801/product/cb4a859dd4ef19b140fe5_5e8c115826034d5f814350bb0bb90784.jpg" TargetMode="External"/><Relationship Id="rId467" Type="http://schemas.openxmlformats.org/officeDocument/2006/relationships/hyperlink" Target="https://product.hstatic.net/200000428801/product/zalo_screenshot_18_11_2021_90575_75bedc20970548609f06a6d886926dc0.png" TargetMode="External"/><Relationship Id="rId674" Type="http://schemas.openxmlformats.org/officeDocument/2006/relationships/hyperlink" Target="https://cdn-images.kiotviet.vn/2025/08/14/giabaopharma/25076de3fe004befbcb7407fee6a5a52.jpg" TargetMode="External"/><Relationship Id="rId881" Type="http://schemas.openxmlformats.org/officeDocument/2006/relationships/hyperlink" Target="https://product.hstatic.net/200000428801/product/34cc493b11704ee086c3c59523c78bc4_32daab5245564bbe9089a973de39f575.jpg" TargetMode="External"/><Relationship Id="rId24" Type="http://schemas.openxmlformats.org/officeDocument/2006/relationships/hyperlink" Target="https://cdn1-retail-images.kiotviet.vn/2026/01/09/giabaopharma/cb53cf1cc7e948b98317775e37236587.jpg" TargetMode="External"/><Relationship Id="rId327" Type="http://schemas.openxmlformats.org/officeDocument/2006/relationships/hyperlink" Target="https://cdn2-retail-images.kiotviet.vn/2025/10/30/giabaopharma/680a16a7c5254e18b94ed2086d225328.png" TargetMode="External"/><Relationship Id="rId534" Type="http://schemas.openxmlformats.org/officeDocument/2006/relationships/hyperlink" Target="https://cdn1-retail-images.kiotviet.vn/2026/01/09/giabaopharma/d7d40996717c40969188ecd746f314b8.jpg" TargetMode="External"/><Relationship Id="rId741" Type="http://schemas.openxmlformats.org/officeDocument/2006/relationships/hyperlink" Target="https://product.hstatic.net/200000428801/product/vien_1_0bc1a1977f6a4d8b884224559bbf68dd.jpg" TargetMode="External"/><Relationship Id="rId839" Type="http://schemas.openxmlformats.org/officeDocument/2006/relationships/hyperlink" Target="https://cdn2-retail-images.kiotviet.vn/2025/12/09/giabaopharma/40f9dd1991774b6abef6003954c76c5c.jpg" TargetMode="External"/><Relationship Id="rId173" Type="http://schemas.openxmlformats.org/officeDocument/2006/relationships/hyperlink" Target="https://cdn2-retail-images.kiotviet.vn/2025/02/25/giabaopharma/a86faeefd85a43a0832d5eddf100f8cc.jpg" TargetMode="External"/><Relationship Id="rId380" Type="http://schemas.openxmlformats.org/officeDocument/2006/relationships/hyperlink" Target="https://product.hstatic.net/200000428801/product/a5aab60cde4819164059_042e2c97aafa4c28b52ebb4846f49d9d.jpg" TargetMode="External"/><Relationship Id="rId601" Type="http://schemas.openxmlformats.org/officeDocument/2006/relationships/hyperlink" Target="https://i.postimg.cc/1tRfLkr1/eb94ff50e6eb43869c6748e58cbf0dd5.jpg" TargetMode="External"/><Relationship Id="rId240" Type="http://schemas.openxmlformats.org/officeDocument/2006/relationships/hyperlink" Target="https://cdn-images.kiotviet.vn/2025/09/17/giabaopharma/9450213fd94a4cc3bc29d28b43e78390.jpg,https:/cdn-images.kiotviet.vn/2025/09/17/giabaopharma/5d4cef3ead784eb0a46672f92a8a3a5e.jpg,https:/cdn-images.kiotviet.vn/2025/09/17/giabaopharma/8f0b91480e75415b817ce4e5d4b09635.jpg" TargetMode="External"/><Relationship Id="rId478" Type="http://schemas.openxmlformats.org/officeDocument/2006/relationships/hyperlink" Target="https://product.hstatic.net/200000428801/product/72_3d2f2cb5c06641b79caf1bced6baee7b.png" TargetMode="External"/><Relationship Id="rId685" Type="http://schemas.openxmlformats.org/officeDocument/2006/relationships/hyperlink" Target="https://cdn2-retail-images.kiotviet.vn/giabaopharma/4fa7b302040e4271bcf36e7c27f37965.jpg" TargetMode="External"/><Relationship Id="rId892" Type="http://schemas.openxmlformats.org/officeDocument/2006/relationships/hyperlink" Target="https://cdn2-retail-images.kiotviet.vn/2026/03/31/giabaopharma/5f59e6a4d61244f6a5afc33bcb0c7db9.jpeg,https:/cdn2-retail-images.kiotviet.vn/2026/03/31/giabaopharma/e098ecf149f64e3e8f8fd0343195aebb.jpeg" TargetMode="External"/><Relationship Id="rId906" Type="http://schemas.openxmlformats.org/officeDocument/2006/relationships/hyperlink" Target="https://product.hstatic.net/200000428801/product/387_987fa13fc3314277b0e0c3a28b85bd05.png" TargetMode="External"/><Relationship Id="rId35" Type="http://schemas.openxmlformats.org/officeDocument/2006/relationships/hyperlink" Target="https://i.postimg.cc/MHFM09BF/2cf22ad31b6d4de1844614b24c011574.jpg" TargetMode="External"/><Relationship Id="rId100" Type="http://schemas.openxmlformats.org/officeDocument/2006/relationships/hyperlink" Target="https://product.hstatic.net/200000428801/product/_1000x1000__paralmax_cam_cum_180v_bc2c8070053a4614a5fc5a796e67c780.jpg" TargetMode="External"/><Relationship Id="rId338" Type="http://schemas.openxmlformats.org/officeDocument/2006/relationships/hyperlink" Target="https://product.hstatic.net/200000428801/product/zalo_screenshot_18_11_2021_64358_4b2f754335c748bc95441d28bae0ceda.png" TargetMode="External"/><Relationship Id="rId545" Type="http://schemas.openxmlformats.org/officeDocument/2006/relationships/hyperlink" Target="https://product.hstatic.net/200000428801/product/zalo_screenshot_18_11_2021_741909_5d1c72f370164d61ae0f70cee0281472.png" TargetMode="External"/><Relationship Id="rId752" Type="http://schemas.openxmlformats.org/officeDocument/2006/relationships/hyperlink" Target="https://product.hstatic.net/200000428801/product/2c_438ee00b05394ca882882dc4882b9087.jpg" TargetMode="External"/><Relationship Id="rId184" Type="http://schemas.openxmlformats.org/officeDocument/2006/relationships/hyperlink" Target="https://cdn2-retail-images.kiotviet.vn/2025/10/30/giabaopharma/1093e73ec9c243f2b5419a8d14cbb908.png" TargetMode="External"/><Relationship Id="rId391" Type="http://schemas.openxmlformats.org/officeDocument/2006/relationships/hyperlink" Target="https://product.hstatic.net/200000428801/product/a5aab60cde4819164059_042e2c97aafa4c28b52ebb4846f49d9d.jpg" TargetMode="External"/><Relationship Id="rId405" Type="http://schemas.openxmlformats.org/officeDocument/2006/relationships/hyperlink" Target="https://cdn-images.kiotviet.vn/2025/05/06/giabaopharma/475d6dc3c4ed4128bdd437bd12ff93b8.jpg" TargetMode="External"/><Relationship Id="rId612" Type="http://schemas.openxmlformats.org/officeDocument/2006/relationships/hyperlink" Target="https://cdn2-retail-images.kiotviet.vn/2025/05/29/giabaopharma/b34946fe952b4743bcc6207c69b5d402.jpg,https:/cdn2-retail-images.kiotviet.vn/2025/05/29/giabaopharma/16f749c8eeb94af788b9b9a6a638bca5.jpg,https:/cdn2-retail-images.kiotviet.vn/2025/05/29/giabaopharma/bcaf98ec6110487292a839b4337e1a90.jpg,https:/cdn2-retail-images.kiotviet.vn/2025/05/29/giabaopharma/afdd85e7778247a38864267d3eed6dc3.jpg" TargetMode="External"/><Relationship Id="rId251" Type="http://schemas.openxmlformats.org/officeDocument/2006/relationships/hyperlink" Target="https://product.hstatic.net/200000428801/product/17d55ccb68714e7db20cd58bd40b8591_f27c1a0011c3434990ee80c817528f0a.png" TargetMode="External"/><Relationship Id="rId489" Type="http://schemas.openxmlformats.org/officeDocument/2006/relationships/hyperlink" Target="https://cdn2-retail-images.kiotviet.vn/2025/12/22/giabaopharma/583032d2b1ac40768473b1f867150520.jpg" TargetMode="External"/><Relationship Id="rId696" Type="http://schemas.openxmlformats.org/officeDocument/2006/relationships/hyperlink" Target="https://product.hstatic.net/200000428801/product/21d1f6fe1b0a44eba6c1fc32364864d2_8a0aba7b18de48cc975e496a5ab311e5.jpg" TargetMode="External"/><Relationship Id="rId46" Type="http://schemas.openxmlformats.org/officeDocument/2006/relationships/hyperlink" Target="https://product.hstatic.net/200000428801/product/zalo_screenshot_18_11_2021_831316_edb9f3040cd24c2cb855c15d711899d6.png" TargetMode="External"/><Relationship Id="rId349" Type="http://schemas.openxmlformats.org/officeDocument/2006/relationships/hyperlink" Target="https://product.hstatic.net/200000428801/product/141ff60b97db56850fca_c05cb853a9bd4db584e0f30dee9e85de.jpg" TargetMode="External"/><Relationship Id="rId556" Type="http://schemas.openxmlformats.org/officeDocument/2006/relationships/hyperlink" Target="https://cdn2-retail-images.kiotviet.vn/2025/02/28/giabaopharma/10d18355749444f997d09feedc135630.jpg" TargetMode="External"/><Relationship Id="rId763" Type="http://schemas.openxmlformats.org/officeDocument/2006/relationships/hyperlink" Target="https://product.hstatic.net/200000428801/product/0528ff949b6e5e30077f_e7a748ee1721417abf59cb2050ab097e.jpg" TargetMode="External"/><Relationship Id="rId111" Type="http://schemas.openxmlformats.org/officeDocument/2006/relationships/hyperlink" Target="https://cdn2-retail-images.kiotviet.vn/2025/02/06/giabaopharma/8797c6c5779c411ebb9cf965edc4d4cd.jpg" TargetMode="External"/><Relationship Id="rId195" Type="http://schemas.openxmlformats.org/officeDocument/2006/relationships/hyperlink" Target="https://cdn2-retail-images.kiotviet.vn/2026/03/26/giabaopharma/e769cdd9d955452c829bcd14ac37e3ee.jpg" TargetMode="External"/><Relationship Id="rId209" Type="http://schemas.openxmlformats.org/officeDocument/2006/relationships/hyperlink" Target="https://cdn2-retail-images.kiotviet.vn/2025/02/13/giabaopharma/6a099fee325a45df8c9ebb6310673770.jpg" TargetMode="External"/><Relationship Id="rId416" Type="http://schemas.openxmlformats.org/officeDocument/2006/relationships/hyperlink" Target="https://cdn-images.kiotviet.vn/giabaopharma/0b2c0296b6394b95a455f5f32a363209.png,https:/cdn-images.kiotviet.vn/giabaopharma/a1717d02f02542239d806004570ed995.png,https:/cdn-images.kiotviet.vn/giabaopharma/503a9aa76fb6482b9874c79239ed4c5c.png,https:/cdn-images.kiotviet.vn/giabaopharma/233097c555c34466aa31bddd8bee3690.png,https:/cdn-images.kiotviet.vn/giabaopharma/e5fdb6a1adc54eaab96fed82c71a5e18.png" TargetMode="External"/><Relationship Id="rId623" Type="http://schemas.openxmlformats.org/officeDocument/2006/relationships/hyperlink" Target="https://cdn2-retail-images.kiotviet.vn/2025/04/05/giabaopharma/faddcb90a01246a1ac782fee38da10a2.jpg" TargetMode="External"/><Relationship Id="rId830" Type="http://schemas.openxmlformats.org/officeDocument/2006/relationships/hyperlink" Target="https://product.hstatic.net/200000428801/product/1c_a3432138767f4ea5b101901940fe9342.jpg" TargetMode="External"/><Relationship Id="rId57" Type="http://schemas.openxmlformats.org/officeDocument/2006/relationships/hyperlink" Target="https://product.hstatic.net/200000428801/product/61deac9918d0400687a7c3f86bef11e2_dc7ea2d6bece4fa0838a8f2547e25c5d.png" TargetMode="External"/><Relationship Id="rId262" Type="http://schemas.openxmlformats.org/officeDocument/2006/relationships/hyperlink" Target="https://product.hstatic.net/200000428801/product/zalo_screenshot_19_11_2021_641548_56c0364bdb7843b7ab708fa4ee00c3b0.png" TargetMode="External"/><Relationship Id="rId567" Type="http://schemas.openxmlformats.org/officeDocument/2006/relationships/hyperlink" Target="https://cdn2-retail-images.kiotviet.vn/2025/02/17/giabaopharma/ef4a744aee594bada5701c98916bffea.jpg" TargetMode="External"/><Relationship Id="rId122" Type="http://schemas.openxmlformats.org/officeDocument/2006/relationships/hyperlink" Target="https://product.hstatic.net/200000428801/product/eb2080092d454ec8943f7bfbac9f7362_ff86767d742041d6bb8cdb16bf528065.jpg" TargetMode="External"/><Relationship Id="rId774" Type="http://schemas.openxmlformats.org/officeDocument/2006/relationships/hyperlink" Target="https://cdn2-retail-images.kiotviet.vn/2025/10/23/giabaopharma/af488e53eca04a869b1462082c8a1370.png" TargetMode="External"/><Relationship Id="rId427" Type="http://schemas.openxmlformats.org/officeDocument/2006/relationships/hyperlink" Target="https://cdn2-retail-images.kiotviet.vn/2026/02/07/giabaopharma/4494134914244095a818ceda30285d15.png" TargetMode="External"/><Relationship Id="rId634" Type="http://schemas.openxmlformats.org/officeDocument/2006/relationships/hyperlink" Target="https://cdn2-retail-images.kiotviet.vn/2025/03/24/giabaopharma/83f9c726c74d41a6bae033e8dcf64d57.jpg" TargetMode="External"/><Relationship Id="rId841" Type="http://schemas.openxmlformats.org/officeDocument/2006/relationships/hyperlink" Target="https://product.hstatic.net/200000428801/product/2022-01-07_104105_186224f215224045a291f7993a37f270.jpg" TargetMode="External"/><Relationship Id="rId273" Type="http://schemas.openxmlformats.org/officeDocument/2006/relationships/hyperlink" Target="https://cdn2-retail-images.kiotviet.vn/giabaopharma/6421b1a2fbe14b849bc1269ae9d68654.png,https:/cdn2-retail-images.kiotviet.vn/giabaopharma/27879413e0844e879300652b39b51bd6.png,https:/cdn2-retail-images.kiotviet.vn/giabaopharma/e726b14e4dbf4411804b50c12054a450.png,https:/cdn2-retail-images.kiotviet.vn/giabaopharma/52e5103b0a23453b946756624a16d96e.png,https:/cdn2-retail-images.kiotviet.vn/giabaopharma/52f8ce69a98c4ca09592fdff2577aefe.png" TargetMode="External"/><Relationship Id="rId480" Type="http://schemas.openxmlformats.org/officeDocument/2006/relationships/hyperlink" Target="https://product.hstatic.net/200000428801/product/36_6ae541bcc9e04e0cac51a6ac2e81c2e1.png" TargetMode="External"/><Relationship Id="rId701" Type="http://schemas.openxmlformats.org/officeDocument/2006/relationships/hyperlink" Target="https://product.hstatic.net/200000428801/product/e921050fca9f4ce9850109aab5665112_01be231fcb4b4c3eb392d7436f31bf29.png" TargetMode="External"/><Relationship Id="rId68" Type="http://schemas.openxmlformats.org/officeDocument/2006/relationships/hyperlink" Target="https://product.hstatic.net/200000428801/product/zalo_screenshot_18_11_2021_755581_ba7034e44b844848a3d05ced67732563.png" TargetMode="External"/><Relationship Id="rId133" Type="http://schemas.openxmlformats.org/officeDocument/2006/relationships/hyperlink" Target="https://product.hstatic.net/200000428801/product/zalo_screenshot_18_11_2021_94539_e2a6114d3f4949b88d6eb16ac96ef92f.png" TargetMode="External"/><Relationship Id="rId340" Type="http://schemas.openxmlformats.org/officeDocument/2006/relationships/hyperlink" Target="https://product.hstatic.net/200000428801/product/5f9dcd17adc76c9935d6_3347ae520d04409baf97d78ee75b03c3.jpg" TargetMode="External"/><Relationship Id="rId578" Type="http://schemas.openxmlformats.org/officeDocument/2006/relationships/hyperlink" Target="https://product.hstatic.net/200000428801/product/bio_c3bde12b3c8f4b489514054a92e087c6.jpg" TargetMode="External"/><Relationship Id="rId785" Type="http://schemas.openxmlformats.org/officeDocument/2006/relationships/hyperlink" Target="https://product.hstatic.net/200000428801/product/zalo_screenshot_18_11_2021_75972_3dcb08305bb44700bdbdf14476c864eb.png" TargetMode="External"/><Relationship Id="rId200" Type="http://schemas.openxmlformats.org/officeDocument/2006/relationships/hyperlink" Target="https://cdn2-retail-images.kiotviet.vn/2025/11/15/giabaopharma/7cbd3baa838d45d3bfbda5f82b554d2d.jpg" TargetMode="External"/><Relationship Id="rId438" Type="http://schemas.openxmlformats.org/officeDocument/2006/relationships/hyperlink" Target="https://cdn2-retail-images.kiotviet.vn/2026/03/05/giabaopharma/cdf424f0d2314a88be85b9f8b27a9b1c.jpg" TargetMode="External"/><Relationship Id="rId645" Type="http://schemas.openxmlformats.org/officeDocument/2006/relationships/hyperlink" Target="https://cdn2-retail-images.kiotviet.vn/2025/03/12/giabaopharma/55f7dec9d51e4f23b7fb95b479ecfcd2.jpg,https:/cdn2-retail-images.kiotviet.vn/2025/03/12/giabaopharma/f3f99e98d6be404a95ec7f121cedab91.jpg,https:/cdn2-retail-images.kiotviet.vn/2025/03/12/giabaopharma/561385128cbb404c83a039a2f316bf67.jpg" TargetMode="External"/><Relationship Id="rId852" Type="http://schemas.openxmlformats.org/officeDocument/2006/relationships/hyperlink" Target="https://product.hstatic.net/200000428801/product/zalo_screenshot_20_11_2021_627132_bd057c59fe8f4d1f93da13bb79ca6502.png,https:/cdn2-retail-images.kiotviet.vn/2025/05/12/giabaopharma/b8f5a8a3ee464f36927c15510fd25cdc.jpg" TargetMode="External"/><Relationship Id="rId242" Type="http://schemas.openxmlformats.org/officeDocument/2006/relationships/hyperlink" Target="https://product.hstatic.net/200000428801/product/upload_5a91bde2184b4157966aa5f9b603a57f.jpg" TargetMode="External"/><Relationship Id="rId284" Type="http://schemas.openxmlformats.org/officeDocument/2006/relationships/hyperlink" Target="https://cdn2-retail-images.kiotviet.vn/2026/03/26/giabaopharma/cb7c032e6fe349afa0eda92489b4ad4c.jpg" TargetMode="External"/><Relationship Id="rId491" Type="http://schemas.openxmlformats.org/officeDocument/2006/relationships/hyperlink" Target="https://cdn2-retail-images.kiotviet.vn/2025/10/29/giabaopharma/dfb0317260d6493cb2e27041cd4d1f16.jpg" TargetMode="External"/><Relationship Id="rId505" Type="http://schemas.openxmlformats.org/officeDocument/2006/relationships/hyperlink" Target="https://cdn2-retail-images.kiotviet.vn/giabaopharma/43d4ad17d927461cb8df586981f8e2e3.png,https:/cdn2-retail-images.kiotviet.vn/giabaopharma/09bccf7e1a9240d19cc60f46ff26c6c3.png,https:/cdn2-retail-images.kiotviet.vn/giabaopharma/7d77cc3d1b494a49b92b851a938c4d7b.png,https:/cdn2-retail-images.kiotviet.vn/giabaopharma/4ab4b13b47e44e3ca02399bfa40607e7.png,https:/cdn2-retail-images.kiotviet.vn/giabaopharma/5829285cbab44bd3a029c3860cc2df97.png" TargetMode="External"/><Relationship Id="rId712" Type="http://schemas.openxmlformats.org/officeDocument/2006/relationships/hyperlink" Target="https://product.hstatic.net/200000428801/product/3c414c7a376e421cb24c7a260422b56e_fbc67bbffb9e43d3991399e4da388385.jpg" TargetMode="External"/><Relationship Id="rId894" Type="http://schemas.openxmlformats.org/officeDocument/2006/relationships/hyperlink" Target="https://cdn2-retail-images.kiotviet.vn/2025/02/28/giabaopharma/f62f56d04c6b4ed5874ba24907c273ef.jpg" TargetMode="External"/><Relationship Id="rId37" Type="http://schemas.openxmlformats.org/officeDocument/2006/relationships/hyperlink" Target="https://i.postimg.cc/nhdq9b3Q/ng-Canxi-D3-K2-Kingphar-h-tr-b-sung-canxi-vitamin-D3-cho-tr-em-H-p-4-v-x-5-ng-2.png" TargetMode="External"/><Relationship Id="rId79" Type="http://schemas.openxmlformats.org/officeDocument/2006/relationships/hyperlink" Target="https://cdn2-retail-images.kiotviet.vn/giabaopharma/cdc193731be74886bf8be3c832c00b42.png,https:/cdn2-retail-images.kiotviet.vn/giabaopharma/492b078b6af147a5b089a9a557a14c6f.png,https:/cdn2-retail-images.kiotviet.vn/giabaopharma/efd2483049814c45aba6e351d0adf36c.png,https:/cdn2-retail-images.kiotviet.vn/giabaopharma/772856ed4b3d490c80a04d333818e441.png,https:/cdn2-retail-images.kiotviet.vn/giabaopharma/9347d0efbdf84f6baba0b3d9bfb0d78b.png" TargetMode="External"/><Relationship Id="rId102" Type="http://schemas.openxmlformats.org/officeDocument/2006/relationships/hyperlink" Target="https://cdn2-retail-images.kiotviet.vn/2026/03/07/giabaopharma/d0010d06c0584bd5ac5b4e6eeb41aadc.jpg" TargetMode="External"/><Relationship Id="rId144" Type="http://schemas.openxmlformats.org/officeDocument/2006/relationships/hyperlink" Target="https://product.hstatic.net/200000428801/product/zalo_screenshot_18_11_2021_742201_bf3adef12d9049bfbe94ea16f953b2d5.png" TargetMode="External"/><Relationship Id="rId547" Type="http://schemas.openxmlformats.org/officeDocument/2006/relationships/hyperlink" Target="https://product.hstatic.net/200000428801/product/6f393e032d62e73cbe73_380c7a0d701545d8b28fe18e65272940.jpg" TargetMode="External"/><Relationship Id="rId589" Type="http://schemas.openxmlformats.org/officeDocument/2006/relationships/hyperlink" Target="https://cdn2-retail-images.kiotviet.vn/2025/10/23/giabaopharma/1122b2fd615944d2b793d3dcb92bc2c2.png" TargetMode="External"/><Relationship Id="rId754" Type="http://schemas.openxmlformats.org/officeDocument/2006/relationships/hyperlink" Target="https://product.hstatic.net/200000428801/product/zalo_screenshot_18_11_2021_93911_5cdf16d738dc4d489e79201752493d71.png" TargetMode="External"/><Relationship Id="rId796" Type="http://schemas.openxmlformats.org/officeDocument/2006/relationships/hyperlink" Target="https://product.hstatic.net/200000428801/product/e7eb15ac74b1b6efefa0_0ab40d8894fc4a4594b3874ee1a32bd1.jpg" TargetMode="External"/><Relationship Id="rId90" Type="http://schemas.openxmlformats.org/officeDocument/2006/relationships/hyperlink" Target="https://product.hstatic.net/200000428801/product/zalo_screenshot_20_11_2021_633496_4ca569ebbc8d444988c039d2942e7880.png" TargetMode="External"/><Relationship Id="rId186" Type="http://schemas.openxmlformats.org/officeDocument/2006/relationships/hyperlink" Target="https://product.hstatic.net/200000428801/product/06280d3825cce692bfdd_6d082e6d9da14390abfb9716082d81fa.jpg" TargetMode="External"/><Relationship Id="rId351" Type="http://schemas.openxmlformats.org/officeDocument/2006/relationships/hyperlink" Target="https://product.hstatic.net/200000428801/product/zalo_screenshot_18_11_2021_621903_6aa461a9921941ca9bc60bb26a2ed747.png" TargetMode="External"/><Relationship Id="rId393" Type="http://schemas.openxmlformats.org/officeDocument/2006/relationships/hyperlink" Target="https://product.hstatic.net/200000428801/product/thiet_ke_khong_ten__12__e635faddaca141b3850e5ed8e169e0de.png" TargetMode="External"/><Relationship Id="rId407" Type="http://schemas.openxmlformats.org/officeDocument/2006/relationships/hyperlink" Target="https://cdn-images.kiotviet.vn/2024/12/17/giabaopharma/6ac0031fff2643cbbca8ecc97fbb9066.jpg" TargetMode="External"/><Relationship Id="rId449" Type="http://schemas.openxmlformats.org/officeDocument/2006/relationships/hyperlink" Target="https://product.hstatic.net/200000428801/product/5b153db9a0ef4ac1946e473c5f013ea8_09930c49d24442359d710acb1ca0c493.png" TargetMode="External"/><Relationship Id="rId614" Type="http://schemas.openxmlformats.org/officeDocument/2006/relationships/hyperlink" Target="https://cdn2-retail-images.kiotviet.vn/2025/05/29/giabaopharma/9d3b23ef31724c25a43bfabe62e9d907.jpg,https:/cdn2-retail-images.kiotviet.vn/2025/05/29/giabaopharma/6692911268974d26ad92832ac75bded9.jpg,https:/cdn2-retail-images.kiotviet.vn/2025/05/29/giabaopharma/b094682acc364fa4b685b4b4876c76be.jpg,https:/cdn2-retail-images.kiotviet.vn/2025/05/29/giabaopharma/478b62cfbc494591a02a31c8004d737d.jpg" TargetMode="External"/><Relationship Id="rId656" Type="http://schemas.openxmlformats.org/officeDocument/2006/relationships/hyperlink" Target="https://cdn2-retail-images.kiotviet.vn/2025/02/05/giabaopharma/27e2c68b80004a988d18699775c23635.jpg" TargetMode="External"/><Relationship Id="rId821" Type="http://schemas.openxmlformats.org/officeDocument/2006/relationships/hyperlink" Target="https://product.hstatic.net/200000428801/product/zalo_screenshot_20_11_2021_717416_395f2a4cddce46c6815a2a24958e830d.png" TargetMode="External"/><Relationship Id="rId863" Type="http://schemas.openxmlformats.org/officeDocument/2006/relationships/hyperlink" Target="https://product.hstatic.net/200000428801/product/00b29837efbb23e57aaa_fc401a20c56e426fb95aed96cbdc6fe5.jpg" TargetMode="External"/><Relationship Id="rId211" Type="http://schemas.openxmlformats.org/officeDocument/2006/relationships/hyperlink" Target="https://cdn2-retail-images.kiotviet.vn/2024/12/28/giabaopharma/8df076e9edbc4b188e961852e6fb474d.jpg" TargetMode="External"/><Relationship Id="rId253" Type="http://schemas.openxmlformats.org/officeDocument/2006/relationships/hyperlink" Target="https://cdn2-retail-images.kiotviet.vn/2025/10/30/giabaopharma/26f0210527684a93bf230d517efd3b28.png" TargetMode="External"/><Relationship Id="rId295" Type="http://schemas.openxmlformats.org/officeDocument/2006/relationships/hyperlink" Target="https://product.hstatic.net/200000428801/product/zalo_screenshot_18_11_2021_756688_a59ea5b566554d3795717377403c0905.png" TargetMode="External"/><Relationship Id="rId309" Type="http://schemas.openxmlformats.org/officeDocument/2006/relationships/hyperlink" Target="https://cdn2-retail-images.kiotviet.vn/2025/10/30/giabaopharma/8e12b31a855f4cd788e0cabaae553b7e.png" TargetMode="External"/><Relationship Id="rId460" Type="http://schemas.openxmlformats.org/officeDocument/2006/relationships/hyperlink" Target="https://product.hstatic.net/200000428801/product/thiet_ke_khong_ten__21__79b7797e6d484b8c996dee05c6c88a5d.png" TargetMode="External"/><Relationship Id="rId516" Type="http://schemas.openxmlformats.org/officeDocument/2006/relationships/hyperlink" Target="https://product.hstatic.net/200000428801/product/tai_xuong_bc6750fe256e45aaa0e0f1fc1d2c37e7.jpg" TargetMode="External"/><Relationship Id="rId698" Type="http://schemas.openxmlformats.org/officeDocument/2006/relationships/hyperlink" Target="https://product.hstatic.net/200000428801/product/ca471b00f45443e4bd82901f8037f0d5_00fa21ef07214f98927562a76bb1668b.png" TargetMode="External"/><Relationship Id="rId48" Type="http://schemas.openxmlformats.org/officeDocument/2006/relationships/hyperlink" Target="https://product.hstatic.net/200000428801/product/2c3d8ba58212414c1803_5eb621aa4005436bb239276d2a8785e7.jpg" TargetMode="External"/><Relationship Id="rId113" Type="http://schemas.openxmlformats.org/officeDocument/2006/relationships/hyperlink" Target="https://cdn-images.kiotviet.vn/giabaopharma/9b57dd6bb2574b21847326821664335d.png" TargetMode="External"/><Relationship Id="rId320" Type="http://schemas.openxmlformats.org/officeDocument/2006/relationships/hyperlink" Target="https://product.hstatic.net/200000428801/product/zalo_screenshot_18_11_2021_715106_7ef1bedeba06410ba22dca297464ad5d.png" TargetMode="External"/><Relationship Id="rId558" Type="http://schemas.openxmlformats.org/officeDocument/2006/relationships/hyperlink" Target="https://cdn2-retail-images.kiotviet.vn/2025/01/06/giabaopharma/311d5c0cdf994c12a2645b60b69b7073.jpg" TargetMode="External"/><Relationship Id="rId723" Type="http://schemas.openxmlformats.org/officeDocument/2006/relationships/hyperlink" Target="https://product.hstatic.net/200000428801/product/zalo_screenshot_20_11_2021_717328_fd45fa9746894f7e9624359e3bd0ea85.png" TargetMode="External"/><Relationship Id="rId765" Type="http://schemas.openxmlformats.org/officeDocument/2006/relationships/hyperlink" Target="https://cdn-images.kiotviet.vn/2025/05/24/giabaopharma/fc446ab1e7bf474d8ce4847e10c71e6b.jpg" TargetMode="External"/><Relationship Id="rId155" Type="http://schemas.openxmlformats.org/officeDocument/2006/relationships/hyperlink" Target="https://product.hstatic.net/200000428801/product/01b14b671bc9429faf2ae6632fd521f2_59d2e47888b54d1aaa577547c209b062.png" TargetMode="External"/><Relationship Id="rId197" Type="http://schemas.openxmlformats.org/officeDocument/2006/relationships/hyperlink" Target="https://cdn2-retail-images.kiotviet.vn/2025/12/24/giabaopharma/be9b45d1b8094d04834f32b0b28bcc76.jpg" TargetMode="External"/><Relationship Id="rId362" Type="http://schemas.openxmlformats.org/officeDocument/2006/relationships/hyperlink" Target="https://product.hstatic.net/200000428801/product/9e28ccd1b421757f2c30_567dbd17054c49d0b48d47691fa67e7e.jpg" TargetMode="External"/><Relationship Id="rId418" Type="http://schemas.openxmlformats.org/officeDocument/2006/relationships/hyperlink" Target="https://cdn-images.kiotviet.vn/giabaopharma/cd86235ebe96488a86a72980bacea4ad.png" TargetMode="External"/><Relationship Id="rId625" Type="http://schemas.openxmlformats.org/officeDocument/2006/relationships/hyperlink" Target="https://cdn2-retail-images.kiotviet.vn/2025/04/05/giabaopharma/c82094cafb714a679726acb8f7b45183.jpg" TargetMode="External"/><Relationship Id="rId832" Type="http://schemas.openxmlformats.org/officeDocument/2006/relationships/hyperlink" Target="https://product.hstatic.net/200000428801/product/zalo_screenshot_20_11_2021_638476_fb7e60bfe87546229563e2b82d714a60.png" TargetMode="External"/><Relationship Id="rId222" Type="http://schemas.openxmlformats.org/officeDocument/2006/relationships/hyperlink" Target="https://cdn2-retail-images.kiotviet.vn/giabaopharma/c3157d72594c42dba8ac49362279f563.jpg" TargetMode="External"/><Relationship Id="rId264" Type="http://schemas.openxmlformats.org/officeDocument/2006/relationships/hyperlink" Target="https://product.hstatic.net/200000428801/product/f3bdd563e01f2141780e_d1ae612069714992b2c000199ebad989.jpg" TargetMode="External"/><Relationship Id="rId471" Type="http://schemas.openxmlformats.org/officeDocument/2006/relationships/hyperlink" Target="https://cdn1-retail-images.kiotviet.vn/2026/01/16/giabaopharma/1f3620d7c3b444d7b73b242be3b918d2.jpg" TargetMode="External"/><Relationship Id="rId667" Type="http://schemas.openxmlformats.org/officeDocument/2006/relationships/hyperlink" Target="https://cdn2-retail-images.kiotviet.vn/2025/10/23/giabaopharma/043a6f4d51e04b0a9a5c2c522638046b.jpg" TargetMode="External"/><Relationship Id="rId874" Type="http://schemas.openxmlformats.org/officeDocument/2006/relationships/hyperlink" Target="https://cdn2-retail-images.kiotviet.vn/2025/06/04/giabaopharma/df4aa161b81b436190281a714f93ea78.jpg" TargetMode="External"/><Relationship Id="rId17" Type="http://schemas.openxmlformats.org/officeDocument/2006/relationships/hyperlink" Target="https://product.hstatic.net/200000428801/product/964544e9bcf478aa21e5_e57df4bd23a646d28d009655f4ed5985.jpg" TargetMode="External"/><Relationship Id="rId59" Type="http://schemas.openxmlformats.org/officeDocument/2006/relationships/hyperlink" Target="https://product.hstatic.net/200000428801/product/0a98013ec1f119af40e0_9b1836ac9d794b859f5797025529e8ca.jpg" TargetMode="External"/><Relationship Id="rId124" Type="http://schemas.openxmlformats.org/officeDocument/2006/relationships/hyperlink" Target="https://product.hstatic.net/200000428801/product/c383c5dacd48487ca06a87a316268227_d8e8cf3ed74b4d80b9853e15bd53db40.png" TargetMode="External"/><Relationship Id="rId527" Type="http://schemas.openxmlformats.org/officeDocument/2006/relationships/hyperlink" Target="https://product.hstatic.net/200000428801/product/31_c24ef8cc41204b78a7fd539af05c5027.png" TargetMode="External"/><Relationship Id="rId569" Type="http://schemas.openxmlformats.org/officeDocument/2006/relationships/hyperlink" Target="https://cdn2-retail-images.kiotviet.vn/2026/04/01/giabaopharma/804788cb858e4bf0b5be3aedd786912e.jpg" TargetMode="External"/><Relationship Id="rId734" Type="http://schemas.openxmlformats.org/officeDocument/2006/relationships/hyperlink" Target="https://product.hstatic.net/200000428801/product/2b1c04401592d4cc8d83_268cf54d151a4e06a75e26fb8c85b8d8.jpg" TargetMode="External"/><Relationship Id="rId776" Type="http://schemas.openxmlformats.org/officeDocument/2006/relationships/hyperlink" Target="https://product.hstatic.net/200000428801/product/22_95da5333e5db427883a9b5f057de2a6e.png" TargetMode="External"/><Relationship Id="rId70" Type="http://schemas.openxmlformats.org/officeDocument/2006/relationships/hyperlink" Target="https://product.hstatic.net/200000428801/product/83812e06ecc82f9676d9__1__7ac9507c00934774b0115beb14758ba5.jpg" TargetMode="External"/><Relationship Id="rId166" Type="http://schemas.openxmlformats.org/officeDocument/2006/relationships/hyperlink" Target="https://product.hstatic.net/200000428801/product/truline_44e0cd6ff7f0457f83680700a3d87e96.jpg" TargetMode="External"/><Relationship Id="rId331" Type="http://schemas.openxmlformats.org/officeDocument/2006/relationships/hyperlink" Target="https://cdn2-retail-images.kiotviet.vn/2026/03/07/giabaopharma/a67f3dd312084f0c900d6357def89db9.jpg" TargetMode="External"/><Relationship Id="rId373" Type="http://schemas.openxmlformats.org/officeDocument/2006/relationships/hyperlink" Target="https://cdn-images.kiotviet.vn/giabaopharma/c79a34841a904422961aadf56cadd4bc.png" TargetMode="External"/><Relationship Id="rId429" Type="http://schemas.openxmlformats.org/officeDocument/2006/relationships/hyperlink" Target="https://product.hstatic.net/200000428801/product/333_2cd6ef22c11e491cbe24dbb6b7c380b7.jpg" TargetMode="External"/><Relationship Id="rId580" Type="http://schemas.openxmlformats.org/officeDocument/2006/relationships/hyperlink" Target="https://cdn2-retail-images.kiotviet.vn/2026/03/31/giabaopharma/a1632d6e4df94c51a7329fd37a3166f7.jpg" TargetMode="External"/><Relationship Id="rId636" Type="http://schemas.openxmlformats.org/officeDocument/2006/relationships/hyperlink" Target="https://cdn2-retail-images.kiotviet.vn/2025/03/22/giabaopharma/ab9ddcb4ce5e44d4b5d7525eca23c9e5.jpg" TargetMode="External"/><Relationship Id="rId801" Type="http://schemas.openxmlformats.org/officeDocument/2006/relationships/hyperlink" Target="https://product.hstatic.net/200000428801/product/b0691a8a6f2ba175f83a_55e005f9bbaf472e8bc9b997b580cf72.jpg" TargetMode="External"/><Relationship Id="rId1" Type="http://schemas.openxmlformats.org/officeDocument/2006/relationships/hyperlink" Target="https://cdn2-retail-images.kiotviet.vn/2025/10/02/giabaopharma/9f2e7b1dfa624ed68dfc40a0b31dbf38.jpg" TargetMode="External"/><Relationship Id="rId233" Type="http://schemas.openxmlformats.org/officeDocument/2006/relationships/hyperlink" Target="https://product.hstatic.net/200000428801/product/3_ec87caf451d94e31b801f9db6cf56d03.png" TargetMode="External"/><Relationship Id="rId440" Type="http://schemas.openxmlformats.org/officeDocument/2006/relationships/hyperlink" Target="https://i.postimg.cc/zB4jbZXR/254.png" TargetMode="External"/><Relationship Id="rId678" Type="http://schemas.openxmlformats.org/officeDocument/2006/relationships/hyperlink" Target="https://cdn-images.kiotviet.vn/giabaopharma/61a75fa49a6d484fb123c253393af570.jpg" TargetMode="External"/><Relationship Id="rId843" Type="http://schemas.openxmlformats.org/officeDocument/2006/relationships/hyperlink" Target="https://product.hstatic.net/200000428801/product/thiet_ke_khong_ten__61__5a7002d0abce440a99ce82930d847c18.png" TargetMode="External"/><Relationship Id="rId885" Type="http://schemas.openxmlformats.org/officeDocument/2006/relationships/hyperlink" Target="https://product.hstatic.net/200000428801/product/a001c1e8351ff641af0e_fe6ea2bafe994b568a4fb90a5c9c8986.jpg" TargetMode="External"/><Relationship Id="rId28" Type="http://schemas.openxmlformats.org/officeDocument/2006/relationships/hyperlink" Target="https://product.hstatic.net/200000428801/product/44_3ef2d20365d344ea915d0bed7e22febd.png" TargetMode="External"/><Relationship Id="rId275" Type="http://schemas.openxmlformats.org/officeDocument/2006/relationships/hyperlink" Target="https://product.hstatic.net/200000428801/product/zalo_screenshot_18_11_2021_9150_230d4e75048c42f38c4739fcbf23c7b5.png" TargetMode="External"/><Relationship Id="rId300" Type="http://schemas.openxmlformats.org/officeDocument/2006/relationships/hyperlink" Target="https://product.hstatic.net/200000428801/product/thiet_ke_khong_ten__69__f101dd99ffa7479cb7eec3df5abf6d6f.png" TargetMode="External"/><Relationship Id="rId482" Type="http://schemas.openxmlformats.org/officeDocument/2006/relationships/hyperlink" Target="https://product.hstatic.net/200000428801/product/dre_e10a32f6693c4bdead0b1f74420fef16.jpg" TargetMode="External"/><Relationship Id="rId538" Type="http://schemas.openxmlformats.org/officeDocument/2006/relationships/hyperlink" Target="https://cdn2-retail-images.kiotviet.vn/2025/10/13/giabaopharma/79ebc4d1e32547528bfc7fc8a508fd39.jpg" TargetMode="External"/><Relationship Id="rId703" Type="http://schemas.openxmlformats.org/officeDocument/2006/relationships/hyperlink" Target="https://product.hstatic.net/200000428801/product/0f89b76882424a0e8f27af64ee079566_95ebe527835d4e518cabacc58dea2dd6.jpg" TargetMode="External"/><Relationship Id="rId745" Type="http://schemas.openxmlformats.org/officeDocument/2006/relationships/hyperlink" Target="https://product.hstatic.net/200000428801/product/90_9a7f7d9b615541b091d5d043725aaaa3.png" TargetMode="External"/><Relationship Id="rId81" Type="http://schemas.openxmlformats.org/officeDocument/2006/relationships/hyperlink" Target="https://cdn2-retail-images.kiotviet.vn/2025/12/31/giabaopharma/8d5282a8a0d64b899295c033abf56bc5.jpg" TargetMode="External"/><Relationship Id="rId135" Type="http://schemas.openxmlformats.org/officeDocument/2006/relationships/hyperlink" Target="https://cdn2-retail-images.kiotviet.vn/2026/03/16/giabaopharma/f9f860248eab438b8976d5494e499123.jpg" TargetMode="External"/><Relationship Id="rId177" Type="http://schemas.openxmlformats.org/officeDocument/2006/relationships/hyperlink" Target="https://product.hstatic.net/200000428801/product/05c4a991bfb148eaaf842a3d1917ef25_11429232e6c44ded9080c3863fee7f87.png" TargetMode="External"/><Relationship Id="rId342" Type="http://schemas.openxmlformats.org/officeDocument/2006/relationships/hyperlink" Target="https://product.hstatic.net/200000428801/product/27fbaeaa67d1a48ffdc0_fd9386417f5b4d35be5edee6ca128838.jpg" TargetMode="External"/><Relationship Id="rId384" Type="http://schemas.openxmlformats.org/officeDocument/2006/relationships/hyperlink" Target="https://product.hstatic.net/200000428801/product/42_5d59fc167bb6414985a2dc87ce3cb32a.png" TargetMode="External"/><Relationship Id="rId591" Type="http://schemas.openxmlformats.org/officeDocument/2006/relationships/hyperlink" Target="https://i.postimg.cc/ZnY82bRx/Vi-n-u-ng-d-d-y-Kingphar-h-tr-gi-m-nguy-c-vi-m-lo-t-d-d-y-t-tr-ng-1-L-40-vi-n-5.png" TargetMode="External"/><Relationship Id="rId605" Type="http://schemas.openxmlformats.org/officeDocument/2006/relationships/hyperlink" Target="https://i.postimg.cc/Dwq0mvxr/94e98065103548efbdbdf2399009e343.jpg" TargetMode="External"/><Relationship Id="rId787" Type="http://schemas.openxmlformats.org/officeDocument/2006/relationships/hyperlink" Target="https://product.hstatic.net/200000428801/product/hoat_huyet_hakinton_extra__2__1e6f6ab0b9a94dad875ee9ffa6e0cb77.png" TargetMode="External"/><Relationship Id="rId812" Type="http://schemas.openxmlformats.org/officeDocument/2006/relationships/hyperlink" Target="https://cdn1-retail-images.kiotviet.vn/2026/03/12/giabaopharma/520dbe4eecd242108f11c8f05986a18c.jpg" TargetMode="External"/><Relationship Id="rId202" Type="http://schemas.openxmlformats.org/officeDocument/2006/relationships/hyperlink" Target="https://i.postimg.cc/CMmjLNRh/7706e49ea355423986ee88334c64a190.jpg" TargetMode="External"/><Relationship Id="rId244" Type="http://schemas.openxmlformats.org/officeDocument/2006/relationships/hyperlink" Target="https://product.hstatic.net/200000428801/product/7bb03abd35a8415f830430b83a91681d_1a60845d87a14a94a372c9796ace182b.png" TargetMode="External"/><Relationship Id="rId647" Type="http://schemas.openxmlformats.org/officeDocument/2006/relationships/hyperlink" Target="https://cdn2-retail-images.kiotviet.vn/2025/03/12/giabaopharma/aa035f9e8e7349a3a6f9e0c950a0fa66.jpg,https:/cdn2-retail-images.kiotviet.vn/2025/03/12/giabaopharma/b8e663ec30174e1c9a954b06d1ca13ed.jpg" TargetMode="External"/><Relationship Id="rId689" Type="http://schemas.openxmlformats.org/officeDocument/2006/relationships/hyperlink" Target="https://cdn2-retail-images.kiotviet.vn/giabaopharma/a4b1ab018cfb4e57a6879ad223220363.png,https:/cdn2-retail-images.kiotviet.vn/giabaopharma/41790bd3a334499eb02f760c13f08234.png" TargetMode="External"/><Relationship Id="rId854" Type="http://schemas.openxmlformats.org/officeDocument/2006/relationships/hyperlink" Target="https://product.hstatic.net/200000428801/product/6234057550bb90e5c9aa_04ab1617c0ee4224a4d38dc65cc015f0.jpg" TargetMode="External"/><Relationship Id="rId896" Type="http://schemas.openxmlformats.org/officeDocument/2006/relationships/hyperlink" Target="https://cdn2-retail-images.kiotviet.vn/2025/02/17/giabaopharma/4747349907184b45aad2a5275616c9b4.jpg" TargetMode="External"/><Relationship Id="rId39" Type="http://schemas.openxmlformats.org/officeDocument/2006/relationships/hyperlink" Target="https://i.postimg.cc/Bvpvch9y/22c5725cd6fa43588cfbcfa4ea23b351.jpg" TargetMode="External"/><Relationship Id="rId286" Type="http://schemas.openxmlformats.org/officeDocument/2006/relationships/hyperlink" Target="https://product.hstatic.net/200000428801/product/1_5b04e191ec664b2cad358fc960e4daa3.png" TargetMode="External"/><Relationship Id="rId451" Type="http://schemas.openxmlformats.org/officeDocument/2006/relationships/hyperlink" Target="https://product.hstatic.net/200000428801/product/0b273c194d49436bb40a2d20f0123381_a81b4474d3724721bf25035091a04835.png" TargetMode="External"/><Relationship Id="rId493" Type="http://schemas.openxmlformats.org/officeDocument/2006/relationships/hyperlink" Target="https://i.postimg.cc/nzWmRvyQ/z7073077393721-4ef51f72113a681e1360e3a5baf93b3f-removebg-preview.png" TargetMode="External"/><Relationship Id="rId507" Type="http://schemas.openxmlformats.org/officeDocument/2006/relationships/hyperlink" Target="https://cdn-images.kiotviet.vn/giabaopharma/9a46dc774f044fb3a8439f31b0d5d45e.png,https:/cdn-images.kiotviet.vn/giabaopharma/0fefa3d1b15c4c98b9d9a39730c45680.png,https:/cdn-images.kiotviet.vn/giabaopharma/28aa0b38ed254265864bad83d33a2bba.png,https:/cdn-images.kiotviet.vn/giabaopharma/f1d70ff7bbe8405b95d8ccb8e1858113.png,https:/cdn-images.kiotviet.vn/giabaopharma/2694c9bbfdeb4100987d3e47dae35f69.png" TargetMode="External"/><Relationship Id="rId549" Type="http://schemas.openxmlformats.org/officeDocument/2006/relationships/hyperlink" Target="https://product.hstatic.net/200000428801/product/zalo_screenshot_17_11_2021_949145_565d457a484d41e5a4e5dff49ab89ec5.png" TargetMode="External"/><Relationship Id="rId714" Type="http://schemas.openxmlformats.org/officeDocument/2006/relationships/hyperlink" Target="https://product.hstatic.net/200000428801/product/69_cbd15fd38e934b29a726db467946f941.png" TargetMode="External"/><Relationship Id="rId756" Type="http://schemas.openxmlformats.org/officeDocument/2006/relationships/hyperlink" Target="https://product.hstatic.net/200000428801/product/456b372dd94c1912405d_1d03fbf9a62445588008d40f6ae11b78.jpg" TargetMode="External"/><Relationship Id="rId50" Type="http://schemas.openxmlformats.org/officeDocument/2006/relationships/hyperlink" Target="https://product.hstatic.net/200000428801/product/zalo_screenshot_18_11_2021_757109_45a4109c20b74337b7fa2cf2a932c4ce.png" TargetMode="External"/><Relationship Id="rId104" Type="http://schemas.openxmlformats.org/officeDocument/2006/relationships/hyperlink" Target="https://product.hstatic.net/200000428801/product/b4abb255210fe151b81e_a61ae42e8deb4266a5eefb97c8e81941.jpg" TargetMode="External"/><Relationship Id="rId146" Type="http://schemas.openxmlformats.org/officeDocument/2006/relationships/hyperlink" Target="https://product.hstatic.net/200000428801/product/zalo_screenshot_18_11_2021_719673_4a8fcda20dec4a488715f908ee082149.png" TargetMode="External"/><Relationship Id="rId188" Type="http://schemas.openxmlformats.org/officeDocument/2006/relationships/hyperlink" Target="https://cdn2-retail-images.kiotviet.vn/2025/10/30/giabaopharma/eb17c7d95f034df8b8495a2124e9d0f9.png" TargetMode="External"/><Relationship Id="rId311" Type="http://schemas.openxmlformats.org/officeDocument/2006/relationships/hyperlink" Target="https://product.hstatic.net/200000428801/product/cccc_3fec4336b2ae4185b5d3dd21ae77c36e.jpg" TargetMode="External"/><Relationship Id="rId353" Type="http://schemas.openxmlformats.org/officeDocument/2006/relationships/hyperlink" Target="https://cdn2-retail-images.kiotviet.vn/2025/02/13/giabaopharma/b676b3df8143429fb08dee0deded5f62.jpg" TargetMode="External"/><Relationship Id="rId395" Type="http://schemas.openxmlformats.org/officeDocument/2006/relationships/hyperlink" Target="https://product.hstatic.net/200000428801/product/10_d0d6da238b09419dacd419e62aef272b.png" TargetMode="External"/><Relationship Id="rId409" Type="http://schemas.openxmlformats.org/officeDocument/2006/relationships/hyperlink" Target="https://i.postimg.cc/0jtBHH80/425.png" TargetMode="External"/><Relationship Id="rId560" Type="http://schemas.openxmlformats.org/officeDocument/2006/relationships/hyperlink" Target="https://product.hstatic.net/200000428801/product/1e7d050c71634ed2aedb3959e2c7ab2d_d28a7a75ba9a445c9699696e0b544fcb.png" TargetMode="External"/><Relationship Id="rId798" Type="http://schemas.openxmlformats.org/officeDocument/2006/relationships/hyperlink" Target="https://product.hstatic.net/200000428801/product/zalo_screenshot_18_11_2021_75685_fe4d073cb8aa4b50a6ac1ef0c170700a.png" TargetMode="External"/><Relationship Id="rId92" Type="http://schemas.openxmlformats.org/officeDocument/2006/relationships/hyperlink" Target="https://product.hstatic.net/200000428801/product/3e6dcc85afb76ce935a6_80799a24da9f4a9b82a8fe34c185b0aa.jpg" TargetMode="External"/><Relationship Id="rId213" Type="http://schemas.openxmlformats.org/officeDocument/2006/relationships/hyperlink" Target="https://cdn2-retail-images.kiotviet.vn/2024/11/06/giabaopharma/a45ef103d1c74279ae938cadcfc8af80.jpg" TargetMode="External"/><Relationship Id="rId420" Type="http://schemas.openxmlformats.org/officeDocument/2006/relationships/hyperlink" Target="https://product.hstatic.net/200000428801/product/zalo_screenshot_19_11_2021_625948_c90bd1d9f1b04779a1cdad11ac79d126.png" TargetMode="External"/><Relationship Id="rId616" Type="http://schemas.openxmlformats.org/officeDocument/2006/relationships/hyperlink" Target="https://cdn-images.kiotviet.vn/2025/05/20/giabaopharma/7bb3dbf1460347299ef0e717b93170b9.jpg,https:/cdn-images.kiotviet.vn/2025/05/20/giabaopharma/aad723b66cf3403c9d21aafee0cc95c8.jpg,https:/cdn2-retail-images.kiotviet.vn/2025/05/20/giabaopharma/713cd3598d89447e9ea4d49a77bebef7.jpg,https:/cdn-images.kiotviet.vn/2025/05/20/giabaopharma/44062ce46d794d0893e948fd84792cef.jpg" TargetMode="External"/><Relationship Id="rId658" Type="http://schemas.openxmlformats.org/officeDocument/2006/relationships/hyperlink" Target="https://cdn2-retail-images.kiotviet.vn/2025/01/06/giabaopharma/930259eb014645d5b3dbbfea6f3b80ee.jpg" TargetMode="External"/><Relationship Id="rId823" Type="http://schemas.openxmlformats.org/officeDocument/2006/relationships/hyperlink" Target="https://product.hstatic.net/200000428801/product/7d799e10692da973f03c_9b0de7e3f35c4252ac2c5477fe8a16ae.jpg" TargetMode="External"/><Relationship Id="rId865" Type="http://schemas.openxmlformats.org/officeDocument/2006/relationships/hyperlink" Target="https://product.hstatic.net/200000428801/product/52_c78dcd32980b43b7a51c5ff0d69b6079.png" TargetMode="External"/><Relationship Id="rId255" Type="http://schemas.openxmlformats.org/officeDocument/2006/relationships/hyperlink" Target="https://product.hstatic.net/200000428801/product/7fe383bc73e146bc85ef554332212a7e_19790de540d6454ea0e756bd79792616.jpg" TargetMode="External"/><Relationship Id="rId297" Type="http://schemas.openxmlformats.org/officeDocument/2006/relationships/hyperlink" Target="https://cdn1-retail-images.kiotviet.vn/2026/01/10/giabaopharma/c1b21370d64d42b8bcc2110a9e401a21.jpg" TargetMode="External"/><Relationship Id="rId462" Type="http://schemas.openxmlformats.org/officeDocument/2006/relationships/hyperlink" Target="https://product.hstatic.net/200000428801/product/5a73fbbbf25636086f47_70b6afb7d8c24a30b66dce543ac5ee95.jpg" TargetMode="External"/><Relationship Id="rId518" Type="http://schemas.openxmlformats.org/officeDocument/2006/relationships/hyperlink" Target="https://product.hstatic.net/200000428801/product/ce972e0adcfd1fa346ec_da257348bc244689b41aa0105d92a162.jpg" TargetMode="External"/><Relationship Id="rId725" Type="http://schemas.openxmlformats.org/officeDocument/2006/relationships/hyperlink" Target="https://cdn-images.kiotviet.vn/2025/08/15/giabaopharma/1a07f083eb9f40f79780ec41609d8b98.jpg" TargetMode="External"/><Relationship Id="rId115" Type="http://schemas.openxmlformats.org/officeDocument/2006/relationships/hyperlink" Target="https://cdn-images.kiotviet.vn/giabaopharma/07fe8fef98224feabab4147e63ff994a.png" TargetMode="External"/><Relationship Id="rId157" Type="http://schemas.openxmlformats.org/officeDocument/2006/relationships/hyperlink" Target="https://product.hstatic.net/200000428801/product/f38723184faa83f4dabb_c589f6c6d5854ceaa3a627ab55292c5e.jpg" TargetMode="External"/><Relationship Id="rId322" Type="http://schemas.openxmlformats.org/officeDocument/2006/relationships/hyperlink" Target="https://product.hstatic.net/200000428801/product/zalo_screenshot_18_11_2021_74506_91711901892a4620bd79cfb396c6edfa.png" TargetMode="External"/><Relationship Id="rId364" Type="http://schemas.openxmlformats.org/officeDocument/2006/relationships/hyperlink" Target="https://product.hstatic.net/200000428801/product/0ec90bcdbb8b7bd5229a_787f6f8dafcb4dc690f7fb069f0a130e.jpg" TargetMode="External"/><Relationship Id="rId767" Type="http://schemas.openxmlformats.org/officeDocument/2006/relationships/hyperlink" Target="https://product.hstatic.net/200000428801/product/thiet_ke_khong_ten__9__e2d5dc6be6f1412fac8841e77382bdee.png" TargetMode="External"/><Relationship Id="rId61" Type="http://schemas.openxmlformats.org/officeDocument/2006/relationships/hyperlink" Target="https://cdn2-retail-images.kiotviet.vn/2025/10/30/giabaopharma/db95428f125a4a5fb56aa47565b82853.png" TargetMode="External"/><Relationship Id="rId199" Type="http://schemas.openxmlformats.org/officeDocument/2006/relationships/hyperlink" Target="https://cdn2-retail-images.kiotviet.vn/2025/12/08/giabaopharma/6604b9cc56fd49d2a9b62814f8a36e12.jpg" TargetMode="External"/><Relationship Id="rId571" Type="http://schemas.openxmlformats.org/officeDocument/2006/relationships/hyperlink" Target="https://cdn-images.kiotviet.vn/giabaopharma/07de3b5e50434ae0b550dac6064e6bc0.jpg" TargetMode="External"/><Relationship Id="rId627" Type="http://schemas.openxmlformats.org/officeDocument/2006/relationships/hyperlink" Target="https://cdn2-retail-images.kiotviet.vn/2025/04/01/giabaopharma/508eab09250248af95a5852d6ce22ef9.jpg" TargetMode="External"/><Relationship Id="rId669" Type="http://schemas.openxmlformats.org/officeDocument/2006/relationships/hyperlink" Target="https://cdn2-retail-images.kiotviet.vn/2025/02/25/giabaopharma/82c9d8c038454de4a620199bcf15a6ce.jpg" TargetMode="External"/><Relationship Id="rId834" Type="http://schemas.openxmlformats.org/officeDocument/2006/relationships/hyperlink" Target="https://product.hstatic.net/200000428801/product/a81a8c60793db763ee2c_29edd3e8e7fc4b5394df39148d92fc00.png" TargetMode="External"/><Relationship Id="rId876" Type="http://schemas.openxmlformats.org/officeDocument/2006/relationships/hyperlink" Target="https://product.hstatic.net/200000428801/product/r1_5df2bdad81914279973e3a13d87f5a7a.jpg" TargetMode="External"/><Relationship Id="rId19" Type="http://schemas.openxmlformats.org/officeDocument/2006/relationships/hyperlink" Target="https://product.hstatic.net/200000428801/product/bf47feeb1bcad89481db_886af90df7824ef182a91f7a4f26ae3a.jpg" TargetMode="External"/><Relationship Id="rId224" Type="http://schemas.openxmlformats.org/officeDocument/2006/relationships/hyperlink" Target="https://cdn-images.kiotviet.vn/giabaopharma/b387aa7be30b455a86b345f15b1d4250.png,https:/cdn-images.kiotviet.vn/giabaopharma/3dc862f7774e4063a43188a321566eb9.png,https:/cdn-images.kiotviet.vn/giabaopharma/c52918c37c614d75b34e090c3eabea60.png,https:/cdn-images.kiotviet.vn/giabaopharma/6439ab8b7e6c4d31a978f77fa54b098f.png,https:/cdn-images.kiotviet.vn/giabaopharma/49f1dfe874ee441fabbc9b2eb2da9f4f.png" TargetMode="External"/><Relationship Id="rId266" Type="http://schemas.openxmlformats.org/officeDocument/2006/relationships/hyperlink" Target="https://product.hstatic.net/200000428801/product/zalo_screenshot_19_11_2021_625467_c5e0bfd78c494a9089f708afeac527a5.png" TargetMode="External"/><Relationship Id="rId431" Type="http://schemas.openxmlformats.org/officeDocument/2006/relationships/hyperlink" Target="https://cdn2-retail-images.kiotviet.vn/2026/03/07/giabaopharma/1f9423a56e0343bb851cd91d61ede22d.jpg" TargetMode="External"/><Relationship Id="rId473" Type="http://schemas.openxmlformats.org/officeDocument/2006/relationships/hyperlink" Target="https://product.hstatic.net/200000428801/product/zalo_screenshot_18_11_2021_825664_9374cd6635ed4f80a23deda2fd0b869a.png" TargetMode="External"/><Relationship Id="rId529" Type="http://schemas.openxmlformats.org/officeDocument/2006/relationships/hyperlink" Target="https://cdn2-retail-images.kiotviet.vn/2025/11/10/giabaopharma/8c4808d00b964d14a4c4ab16e83443de.jpg" TargetMode="External"/><Relationship Id="rId680" Type="http://schemas.openxmlformats.org/officeDocument/2006/relationships/hyperlink" Target="https://cdn2-retail-images.kiotviet.vn/giabaopharma/eb182547dd8c44ccb7e13932d2496569.jpg" TargetMode="External"/><Relationship Id="rId736" Type="http://schemas.openxmlformats.org/officeDocument/2006/relationships/hyperlink" Target="https://product.hstatic.net/200000428801/product/9b__1__a9ce2f613f594375a97584959a1d6315.png" TargetMode="External"/><Relationship Id="rId901" Type="http://schemas.openxmlformats.org/officeDocument/2006/relationships/hyperlink" Target="https://product.hstatic.net/200000428801/product/d603bea324b8eae6b3a9_40232a62ba0d4666a0cae39f3fe204cb.jpg" TargetMode="External"/><Relationship Id="rId30" Type="http://schemas.openxmlformats.org/officeDocument/2006/relationships/hyperlink" Target="https://cdn1-retail-images.kiotviet.vn/2026/03/14/giabaopharma/8d23224524044398abd2903327cdd069.jpg" TargetMode="External"/><Relationship Id="rId126" Type="http://schemas.openxmlformats.org/officeDocument/2006/relationships/hyperlink" Target="https://product.hstatic.net/200000428801/product/10_fad06e39e2f24fa18dc635b49b080e23.png" TargetMode="External"/><Relationship Id="rId168" Type="http://schemas.openxmlformats.org/officeDocument/2006/relationships/hyperlink" Target="https://product.hstatic.net/200000428801/product/zalo_screenshot_17_11_2021_953653_ce3de0b521484f88a441f02097799bc8.png" TargetMode="External"/><Relationship Id="rId333" Type="http://schemas.openxmlformats.org/officeDocument/2006/relationships/hyperlink" Target="https://product.hstatic.net/200000428801/product/zalo_screenshot_18_11_2021_73506_0194ce26870f448db7c14a75850f589d.png" TargetMode="External"/><Relationship Id="rId540" Type="http://schemas.openxmlformats.org/officeDocument/2006/relationships/hyperlink" Target="https://product.hstatic.net/200000428801/product/h1_2553a7f152334453953833a33ecb8724.jpg" TargetMode="External"/><Relationship Id="rId778" Type="http://schemas.openxmlformats.org/officeDocument/2006/relationships/hyperlink" Target="https://cdn2-retail-images.kiotviet.vn/2025/10/23/giabaopharma/f45f8581faca42049f025bfe22f7d0a7.png" TargetMode="External"/><Relationship Id="rId72" Type="http://schemas.openxmlformats.org/officeDocument/2006/relationships/hyperlink" Target="https://product.hstatic.net/200000428801/product/thiet_ke_khong_ten__4__7686216da65f4a6781b49c5af9002c78.png" TargetMode="External"/><Relationship Id="rId375" Type="http://schemas.openxmlformats.org/officeDocument/2006/relationships/hyperlink" Target="https://product.hstatic.net/200000428801/product/27_3b0a5f46068847ae8b0cd4c5d6b69511.png" TargetMode="External"/><Relationship Id="rId582" Type="http://schemas.openxmlformats.org/officeDocument/2006/relationships/hyperlink" Target="https://cdn1-retail-images.kiotviet.vn/2026/01/07/giabaopharma/71052f7d31d24e27aa69984874606fc0.jpg" TargetMode="External"/><Relationship Id="rId638" Type="http://schemas.openxmlformats.org/officeDocument/2006/relationships/hyperlink" Target="https://cdn2-retail-images.kiotviet.vn/2025/03/22/giabaopharma/dcd981b680e044b2a147f2a60664ef77.jpg" TargetMode="External"/><Relationship Id="rId803" Type="http://schemas.openxmlformats.org/officeDocument/2006/relationships/hyperlink" Target="https://product.hstatic.net/200000428801/product/522cf5b2732ebd70e43f_925cbc0413544ce1814511ec167fde00.jpg" TargetMode="External"/><Relationship Id="rId845" Type="http://schemas.openxmlformats.org/officeDocument/2006/relationships/hyperlink" Target="https://cdn2-retail-images.kiotviet.vn/2025/12/23/giabaopharma/0a80cf1c6f5f4c16b456d0f2ce18b10a.png" TargetMode="External"/><Relationship Id="rId3" Type="http://schemas.openxmlformats.org/officeDocument/2006/relationships/hyperlink" Target="https://i.postimg.cc/Dy8sXYbf/X-t-n-c-mu-i-bi-n-s-u-Seesalt-Kingphar-l-m-s-ch-m-i-1-chai-70ml-3.png" TargetMode="External"/><Relationship Id="rId235" Type="http://schemas.openxmlformats.org/officeDocument/2006/relationships/hyperlink" Target="https://cdn2-retail-images.kiotviet.vn/2025/10/30/giabaopharma/007865b5a0eb426184f4cf818e39a1ca.png" TargetMode="External"/><Relationship Id="rId277" Type="http://schemas.openxmlformats.org/officeDocument/2006/relationships/hyperlink" Target="https://product.hstatic.net/200000428801/product/9cb80d4a24baeee4b7ab_e5251ae655f14811856c87a00e493460.jpg" TargetMode="External"/><Relationship Id="rId400" Type="http://schemas.openxmlformats.org/officeDocument/2006/relationships/hyperlink" Target="https://cdn2-retail-images.kiotviet.vn/2024/11/15/giabaopharma/c0dc46cf0e1947c9a8473ef7c8a02501.png" TargetMode="External"/><Relationship Id="rId442" Type="http://schemas.openxmlformats.org/officeDocument/2006/relationships/hyperlink" Target="https://cdn2-retail-images.kiotviet.vn/2025/03/13/giabaopharma/9480a7a432e643b481b6e35bd636e6ab.jpg" TargetMode="External"/><Relationship Id="rId484" Type="http://schemas.openxmlformats.org/officeDocument/2006/relationships/hyperlink" Target="https://cdn1-retail-images.kiotviet.vn/2026/01/06/giabaopharma/b062c71a01794839b809654c34c24d25.jpg" TargetMode="External"/><Relationship Id="rId705" Type="http://schemas.openxmlformats.org/officeDocument/2006/relationships/hyperlink" Target="https://product.hstatic.net/200000428801/product/ed3a06e317de4980b80268057b6b9a08_e9805cf50c1f4e5d85a6c5f3b625b613.png" TargetMode="External"/><Relationship Id="rId887" Type="http://schemas.openxmlformats.org/officeDocument/2006/relationships/hyperlink" Target="https://product.hstatic.net/200000428801/product/zalo_screenshot_18_11_2021_827260_01d73f28ff4145829b61e05391ca373e.png" TargetMode="External"/><Relationship Id="rId137" Type="http://schemas.openxmlformats.org/officeDocument/2006/relationships/hyperlink" Target="https://product.hstatic.net/200000428801/product/zalo_screenshot_18_11_2021_828108_54d465562f4145da8b746ca66f2a6498.png" TargetMode="External"/><Relationship Id="rId302" Type="http://schemas.openxmlformats.org/officeDocument/2006/relationships/hyperlink" Target="https://product.hstatic.net/200000428801/product/pp_751635a766d449e08ab40a9110278d74.png" TargetMode="External"/><Relationship Id="rId344" Type="http://schemas.openxmlformats.org/officeDocument/2006/relationships/hyperlink" Target="https://product.hstatic.net/200000428801/product/28df765916ddd5838ccc54_408cde19a7e14acda6dd8c4f5fdac396.jpg" TargetMode="External"/><Relationship Id="rId691" Type="http://schemas.openxmlformats.org/officeDocument/2006/relationships/hyperlink" Target="https://cdn1-retail-images.kiotviet.vn/2026/01/15/giabaopharma/10e3df53674143898f191ec5b1e74cc9.jpg" TargetMode="External"/><Relationship Id="rId747" Type="http://schemas.openxmlformats.org/officeDocument/2006/relationships/hyperlink" Target="https://product.hstatic.net/200000428801/product/zalo_screenshot_20_11_2021_718241_b1d85ad840ea4473a78c3b58f5bd6a04.png" TargetMode="External"/><Relationship Id="rId789" Type="http://schemas.openxmlformats.org/officeDocument/2006/relationships/hyperlink" Target="https://product.hstatic.net/200000428801/product/6ba172079c665c380577_1b5745a5d1f640168086bcb312552e16.jpg" TargetMode="External"/><Relationship Id="rId41" Type="http://schemas.openxmlformats.org/officeDocument/2006/relationships/hyperlink" Target="https://cdn-images.kiotviet.vn/2024/12/18/giabaopharma/ef3ebae77a584ccb82ee70c00ff9f7b3.jpg" TargetMode="External"/><Relationship Id="rId83" Type="http://schemas.openxmlformats.org/officeDocument/2006/relationships/hyperlink" Target="https://product.hstatic.net/200000428801/product/898e183e9b034e57bebb943fc7f57622_efd101fe4a174c51aedc130573960b1a.png" TargetMode="External"/><Relationship Id="rId179" Type="http://schemas.openxmlformats.org/officeDocument/2006/relationships/hyperlink" Target="https://cdn2-retail-images.kiotviet.vn/2025/03/14/giabaopharma/31cbf63f09724c7aa23e7d691b6b1141.jpg" TargetMode="External"/><Relationship Id="rId386" Type="http://schemas.openxmlformats.org/officeDocument/2006/relationships/hyperlink" Target="https://product.hstatic.net/200000428801/product/339ebdf69dfb4126b7117e86fd36b0a7_76e72c548dc64a6f83040c6d86fb0bac.png" TargetMode="External"/><Relationship Id="rId551" Type="http://schemas.openxmlformats.org/officeDocument/2006/relationships/hyperlink" Target="https://product.hstatic.net/200000428801/product/zalo_screenshot_18_11_2021_611799_456220f03ef54517a122f773ed3b6281.png" TargetMode="External"/><Relationship Id="rId593" Type="http://schemas.openxmlformats.org/officeDocument/2006/relationships/hyperlink" Target="https://i.postimg.cc/gJGZGXdZ/29f54199d463419c87cfcdd933f35084.jpg" TargetMode="External"/><Relationship Id="rId607" Type="http://schemas.openxmlformats.org/officeDocument/2006/relationships/hyperlink" Target="https://i.postimg.cc/G2Sh6HpT/4a91ffb1d57745fdbf1cb12079f71d5f.jpg" TargetMode="External"/><Relationship Id="rId649" Type="http://schemas.openxmlformats.org/officeDocument/2006/relationships/hyperlink" Target="https://cdn2-retail-images.kiotviet.vn/2025/05/29/giabaopharma/34f7ff97fd734e16881fb2890a43e233.jpg,https:/cdn2-retail-images.kiotviet.vn/2025/05/29/giabaopharma/21540a83a7b54fe4a1cd1cfda09e88c8.jpg,https:/cdn2-retail-images.kiotviet.vn/2025/05/29/giabaopharma/593b4aa2937e413da859b5a9606f4346.jpg,https:/cdn2-retail-images.kiotviet.vn/2025/05/29/giabaopharma/6e7dc2a3d4af4e98aa72bebbab734681.jpg" TargetMode="External"/><Relationship Id="rId814" Type="http://schemas.openxmlformats.org/officeDocument/2006/relationships/hyperlink" Target="https://product.hstatic.net/200000428801/product/28875da30624c37a9a35_11cb5bf82eb34921b050cd6c712cbe50.jpg" TargetMode="External"/><Relationship Id="rId856" Type="http://schemas.openxmlformats.org/officeDocument/2006/relationships/hyperlink" Target="https://cdn2-retail-images.kiotviet.vn/2025/08/08/giabaopharma/a30242bca16b429784de498fb316e0cb.jpg" TargetMode="External"/><Relationship Id="rId190" Type="http://schemas.openxmlformats.org/officeDocument/2006/relationships/hyperlink" Target="https://product.hstatic.net/200000428801/product/zalo_screenshot_18_11_2021_758588_721277ebec6549bc80a481ddb7d016d7.png" TargetMode="External"/><Relationship Id="rId204" Type="http://schemas.openxmlformats.org/officeDocument/2006/relationships/hyperlink" Target="https://i.postimg.cc/Kj6cvwLC/04f5f82aca034e919f23f172e689804b.jpg" TargetMode="External"/><Relationship Id="rId246" Type="http://schemas.openxmlformats.org/officeDocument/2006/relationships/hyperlink" Target="https://cdn1-retail-images.kiotviet.vn/2026/03/10/giabaopharma/eb5e648206a547fb8bd1f7a3804da68e.jpg" TargetMode="External"/><Relationship Id="rId288" Type="http://schemas.openxmlformats.org/officeDocument/2006/relationships/hyperlink" Target="https://cdn2-retail-images.kiotviet.vn/2025/10/30/giabaopharma/dc65aeefa20844eab25d703b946c49d2.png" TargetMode="External"/><Relationship Id="rId411" Type="http://schemas.openxmlformats.org/officeDocument/2006/relationships/hyperlink" Target="https://i.postimg.cc/Gp2JXh4P/Vi-n-u-ng-Ho-t-Huy-t-Euzofa-h-tr-ho-t-huy-t-t-ng-tu-n-ho-n-m-u-n-o-DATE-02-2027-H-p-30-vi-n.png" TargetMode="External"/><Relationship Id="rId453" Type="http://schemas.openxmlformats.org/officeDocument/2006/relationships/hyperlink" Target="https://cdn2-retail-images.kiotviet.vn/2025/10/27/giabaopharma/b8dc07a8e1a94c0dad1bbc88e7ccede1.jpg" TargetMode="External"/><Relationship Id="rId509" Type="http://schemas.openxmlformats.org/officeDocument/2006/relationships/hyperlink" Target="https://cdn1-retail-images.kiotviet.vn/2026/01/10/giabaopharma/9482c57782114a0db9a49313273bad71.jpg" TargetMode="External"/><Relationship Id="rId660" Type="http://schemas.openxmlformats.org/officeDocument/2006/relationships/hyperlink" Target="https://cdn-images.kiotviet.vn/2024/12/17/giabaopharma/49fc535a0050426d98f00c1b46a64d0b.jpg" TargetMode="External"/><Relationship Id="rId898" Type="http://schemas.openxmlformats.org/officeDocument/2006/relationships/hyperlink" Target="https://product.hstatic.net/200000428801/product/0a428382ab3b48a6bdb284ce5f49fc2c_009f4e649cbe4f7cbad45cd9314ef4d6.jpg" TargetMode="External"/><Relationship Id="rId106" Type="http://schemas.openxmlformats.org/officeDocument/2006/relationships/hyperlink" Target="https://product.hstatic.net/200000428801/product/9348764e45eb8ab5d3fa_aef69a3922174245944911a92f3fb9be.jpg" TargetMode="External"/><Relationship Id="rId313" Type="http://schemas.openxmlformats.org/officeDocument/2006/relationships/hyperlink" Target="https://product.hstatic.net/200000428801/product/c28fbb10fd9537cb6e84_2099a1cecc984156b7b9d71bc09fb6fd.jpg" TargetMode="External"/><Relationship Id="rId495" Type="http://schemas.openxmlformats.org/officeDocument/2006/relationships/hyperlink" Target="https://i.postimg.cc/N0kKCsTd/cc8a15f4abf3457491f0aab1322ed718.jpg" TargetMode="External"/><Relationship Id="rId716" Type="http://schemas.openxmlformats.org/officeDocument/2006/relationships/hyperlink" Target="https://product.hstatic.net/200000428801/product/c9ede9ca26f6f8a8a1e719_1210a5bcfad64c74afff718374728796.jpg" TargetMode="External"/><Relationship Id="rId758" Type="http://schemas.openxmlformats.org/officeDocument/2006/relationships/hyperlink" Target="https://product.hstatic.net/200000428801/product/d872afbbe25926077f48_22d6b9a0b65742278a69f8e6892369cb.jpg" TargetMode="External"/><Relationship Id="rId10" Type="http://schemas.openxmlformats.org/officeDocument/2006/relationships/hyperlink" Target="https://cdn-images.kiotviet.vn/giabaopharma/de009112a6044b4e8c4dd91c32a21c41.jpg,https:/cdn2-retail-images.kiotviet.vn/giabaopharma/b0be9c5e65b147988e8b5918a7ea33d3.jpg,https:/cdn-images.kiotviet.vn/giabaopharma/313a468c311f405198387a25d9d3b3cc.jpg,https:/cdn2-retail-images.kiotviet.vn/giabaopharma/e638b1f3207c488d9ddfac570de067ff.jpg,https:/cdn2-retail-images.kiotviet.vn/giabaopharma/14433434a7be4482a0e02bb9d653e579.jpg" TargetMode="External"/><Relationship Id="rId52" Type="http://schemas.openxmlformats.org/officeDocument/2006/relationships/hyperlink" Target="https://cdn2-retail-images.kiotviet.vn/2025/11/03/giabaopharma/a22fac05093646a688a45dca8ab653c6.png" TargetMode="External"/><Relationship Id="rId94" Type="http://schemas.openxmlformats.org/officeDocument/2006/relationships/hyperlink" Target="https://cdn2-retail-images.kiotviet.vn/2025/02/22/giabaopharma/804d7d949ea8401b8caa55504531fd6e.jpg" TargetMode="External"/><Relationship Id="rId148" Type="http://schemas.openxmlformats.org/officeDocument/2006/relationships/hyperlink" Target="https://cdn2-retail-images.kiotviet.vn/giabaopharma/fb2b244d91a247b0af7c32d8e7badc57.png" TargetMode="External"/><Relationship Id="rId355" Type="http://schemas.openxmlformats.org/officeDocument/2006/relationships/hyperlink" Target="https://product.hstatic.net/200000428801/product/auti_0d857fc3bfea4ecfb1e8d1881470ff98.jpg" TargetMode="External"/><Relationship Id="rId397" Type="http://schemas.openxmlformats.org/officeDocument/2006/relationships/hyperlink" Target="https://cdn1-retail-images.kiotviet.vn/2026/01/16/giabaopharma/cde2daf5588e4556a26b0cffd356ef13.jpg" TargetMode="External"/><Relationship Id="rId520" Type="http://schemas.openxmlformats.org/officeDocument/2006/relationships/hyperlink" Target="https://product.hstatic.net/200000428801/product/1a4f648e280be255bb1a_a3245681ea0844d991d0ae011829c874.jpg" TargetMode="External"/><Relationship Id="rId562" Type="http://schemas.openxmlformats.org/officeDocument/2006/relationships/hyperlink" Target="https://cdn2-retail-images.kiotviet.vn/giabaopharma/8f553df001db436bb074ac7dd7e22a70.jpg" TargetMode="External"/><Relationship Id="rId618" Type="http://schemas.openxmlformats.org/officeDocument/2006/relationships/hyperlink" Target="https://cdn-images.kiotviet.vn/2025/05/20/giabaopharma/8fafb841fc924217a9380a62a40e17a4.jpg,https:/cdn-images.kiotviet.vn/2025/05/20/giabaopharma/b4e2da4c6b1745f2be316db082acf079.jpg,https:/cdn-images.kiotviet.vn/2025/05/20/giabaopharma/e1c26f261ea642669f134cdf6d83ac19.jpg,https:/cdn-images.kiotviet.vn/2025/05/20/giabaopharma/6a474ef67970427bb5df761de69ec7b9.jpg" TargetMode="External"/><Relationship Id="rId825" Type="http://schemas.openxmlformats.org/officeDocument/2006/relationships/hyperlink" Target="https://product.hstatic.net/200000428801/product/zalo_screenshot_20_11_2021_717766_0b981936a70f4d5885e9a3cde4a8082e.png" TargetMode="External"/><Relationship Id="rId215" Type="http://schemas.openxmlformats.org/officeDocument/2006/relationships/hyperlink" Target="https://cdn2-retail-images.kiotviet.vn/2024/09/24/giabaopharma/c4d5a86ceb59444f9eb61adf422619bb.png" TargetMode="External"/><Relationship Id="rId257" Type="http://schemas.openxmlformats.org/officeDocument/2006/relationships/hyperlink" Target="https://product.hstatic.net/200000428801/product/182b7317ad784b8086e4056b2189114a_30576f92aa024d9a9bddbe6dc86396cc.png" TargetMode="External"/><Relationship Id="rId422" Type="http://schemas.openxmlformats.org/officeDocument/2006/relationships/hyperlink" Target="https://product.hstatic.net/200000428801/product/zalo_screenshot_18_11_2021_93743_536af5c11679407e8ffc7a369eb5bc15.png" TargetMode="External"/><Relationship Id="rId464" Type="http://schemas.openxmlformats.org/officeDocument/2006/relationships/hyperlink" Target="https://product.hstatic.net/200000428801/product/zalo_screenshot_19_11_2021_62663_f4aa6224095c42a88700c3b14918ca22.png" TargetMode="External"/><Relationship Id="rId867" Type="http://schemas.openxmlformats.org/officeDocument/2006/relationships/hyperlink" Target="https://product.hstatic.net/200000428801/product/8a9a4c738173432d1a62_ece253443ebf45dca1d5bbbf55ebe1fa.jpg" TargetMode="External"/><Relationship Id="rId299" Type="http://schemas.openxmlformats.org/officeDocument/2006/relationships/hyperlink" Target="https://product.hstatic.net/200000428801/product/1f9eef651d92decc8783_ad7f05e8ebaf4669b602cd7a144cfb1f.jpg" TargetMode="External"/><Relationship Id="rId727" Type="http://schemas.openxmlformats.org/officeDocument/2006/relationships/hyperlink" Target="https://product.hstatic.net/200000428801/product/8b4e328427eee4b0bdff_e136bbc6291c45139ea80e59d0481d9c.jpg" TargetMode="External"/><Relationship Id="rId63" Type="http://schemas.openxmlformats.org/officeDocument/2006/relationships/hyperlink" Target="https://product.hstatic.net/200000428801/product/0435946d06c7c7999ed6_57ea68405c264499ba4258b97a74df47.jpg" TargetMode="External"/><Relationship Id="rId159" Type="http://schemas.openxmlformats.org/officeDocument/2006/relationships/hyperlink" Target="https://cdn2-retail-images.kiotviet.vn/2025/12/12/giabaopharma/6dc260d9d1e74934b262cf932aa42254.jpg" TargetMode="External"/><Relationship Id="rId366" Type="http://schemas.openxmlformats.org/officeDocument/2006/relationships/hyperlink" Target="https://product.hstatic.net/200000428801/product/zalo_screenshot_17_11_2021_939460_9054c996e4924889970e09c9f3cf073f.png" TargetMode="External"/><Relationship Id="rId573" Type="http://schemas.openxmlformats.org/officeDocument/2006/relationships/hyperlink" Target="https://product.hstatic.net/200000428801/product/zalo_screenshot_18_11_2021_722513_3539d04bf2ac430fab9ef4dc0563ec04.png" TargetMode="External"/><Relationship Id="rId780" Type="http://schemas.openxmlformats.org/officeDocument/2006/relationships/hyperlink" Target="https://product.hstatic.net/200000428801/product/9c8c108ba4cd64933ddc_0affdbac9ff34ff68c6cbfe6eeeac1c3.jpg" TargetMode="External"/><Relationship Id="rId226" Type="http://schemas.openxmlformats.org/officeDocument/2006/relationships/hyperlink" Target="https://cdn-images.kiotviet.vn/giabaopharma/c20fa84244794e798d7a65245a67aac3.png" TargetMode="External"/><Relationship Id="rId433" Type="http://schemas.openxmlformats.org/officeDocument/2006/relationships/hyperlink" Target="https://cdn2-retail-images.kiotviet.vn/2025/10/30/giabaopharma/56ea124b8c9e4bc9a243ddcb0ab931bc.jpg" TargetMode="External"/><Relationship Id="rId878" Type="http://schemas.openxmlformats.org/officeDocument/2006/relationships/hyperlink" Target="https://product.hstatic.net/200000428801/product/thiet_ke_khong_ten__17__06210cc6a4da4636a8f17e3eba4ee9e4.png" TargetMode="External"/><Relationship Id="rId640" Type="http://schemas.openxmlformats.org/officeDocument/2006/relationships/hyperlink" Target="https://cdn2-retail-images.kiotviet.vn/2025/12/23/giabaopharma/e6f9d1b56ef841f2aee4bb37df9d161d.png" TargetMode="External"/><Relationship Id="rId738" Type="http://schemas.openxmlformats.org/officeDocument/2006/relationships/hyperlink" Target="https://product.hstatic.net/200000428801/product/f9f2c58c4fca8f94d6db_acb4b0c503a8415b9fb48993f07cab62.jpg" TargetMode="External"/><Relationship Id="rId74" Type="http://schemas.openxmlformats.org/officeDocument/2006/relationships/hyperlink" Target="https://product.hstatic.net/200000428801/product/zalo_screenshot_18_11_2021_621734_765b2933b12f41ccbab9c589a1bfea04.png" TargetMode="External"/><Relationship Id="rId377" Type="http://schemas.openxmlformats.org/officeDocument/2006/relationships/hyperlink" Target="https://product.hstatic.net/200000428801/product/19_043b6b8eb898416bbf0dda2ad09dde77.png" TargetMode="External"/><Relationship Id="rId500" Type="http://schemas.openxmlformats.org/officeDocument/2006/relationships/hyperlink" Target="https://cdn2-retail-images.kiotviet.vn/2025/02/28/giabaopharma/f45755b654494820a584590eab1373e3.jpg" TargetMode="External"/><Relationship Id="rId584" Type="http://schemas.openxmlformats.org/officeDocument/2006/relationships/hyperlink" Target="https://i.postimg.cc/Kz5tT7Q5/9941272e6f27475693d03ef060ec85d1.png" TargetMode="External"/><Relationship Id="rId805" Type="http://schemas.openxmlformats.org/officeDocument/2006/relationships/hyperlink" Target="https://product.hstatic.net/200000428801/product/ff_e1571e921763453484e30aa15875dd37.jpg" TargetMode="External"/><Relationship Id="rId5" Type="http://schemas.openxmlformats.org/officeDocument/2006/relationships/hyperlink" Target="https://cdn2-retail-images.kiotviet.vn/2024/12/19/giabaopharma/d0a6b7d4a147478e8858e361a65fc90a.jpg,https:/cdn-images.kiotviet.vn/2024/12/19/giabaopharma/9714c8518c66419fb08c02b7c2a7d6a7.jpg" TargetMode="External"/><Relationship Id="rId237" Type="http://schemas.openxmlformats.org/officeDocument/2006/relationships/hyperlink" Target="https://product.hstatic.net/200000428801/product/21221663a774485caebea43975b87edc_97b048e0d9a94130927807ab29fd4647.png" TargetMode="External"/><Relationship Id="rId791" Type="http://schemas.openxmlformats.org/officeDocument/2006/relationships/hyperlink" Target="https://product.hstatic.net/200000428801/product/4a552ea92744e31aba55_b4a1fcfe4b54430d8b3eeb8376a89b0c.jpg" TargetMode="External"/><Relationship Id="rId889" Type="http://schemas.openxmlformats.org/officeDocument/2006/relationships/hyperlink" Target="https://cdn2-retail-images.kiotviet.vn/2026/03/31/giabaopharma/5f52ab13ad864281bb1ff46064eac7ce.jpg,https:/cdn2-retail-images.kiotviet.vn/2026/03/31/giabaopharma/1ba022e70e0548d99452df74cc18ab74.jpeg,https:/cdn2-retail-images.kiotviet.vn/2026/03/31/giabaopharma/f63c2250d31d4aac82e373246f5f4caf.jpeg" TargetMode="External"/><Relationship Id="rId444" Type="http://schemas.openxmlformats.org/officeDocument/2006/relationships/hyperlink" Target="https://cdn2-retail-images.kiotviet.vn/2024/10/16/giabaopharma/b4af9c8ecc6d45ad90bab6d5f8a0c48b.jpg" TargetMode="External"/><Relationship Id="rId651" Type="http://schemas.openxmlformats.org/officeDocument/2006/relationships/hyperlink" Target="https://cdn2-retail-images.kiotviet.vn/2025/02/28/giabaopharma/737f2939ae9642f19ad0aff499b8ef87.jpg" TargetMode="External"/><Relationship Id="rId749" Type="http://schemas.openxmlformats.org/officeDocument/2006/relationships/hyperlink" Target="https://product.hstatic.net/200000428801/product/vinaphar_c47ef093ab3a41d5946e2624df2464e1.jpg" TargetMode="External"/><Relationship Id="rId290" Type="http://schemas.openxmlformats.org/officeDocument/2006/relationships/hyperlink" Target="https://cdn1-retail-images.kiotviet.vn/2026/01/26/giabaopharma/7517b0fa89db465495b95053dc06b73a.jpg" TargetMode="External"/><Relationship Id="rId304" Type="http://schemas.openxmlformats.org/officeDocument/2006/relationships/hyperlink" Target="https://product.hstatic.net/200000428801/product/zalo_screenshot_18_11_2021_755585_30990e1f1f624f808a729ec9ea910aaf.png" TargetMode="External"/><Relationship Id="rId388" Type="http://schemas.openxmlformats.org/officeDocument/2006/relationships/hyperlink" Target="https://product.hstatic.net/200000428801/product/zalo_screenshot_19_11_2021_640200_784782b078f34d2eacb29f244d1cdbb3.png" TargetMode="External"/><Relationship Id="rId511" Type="http://schemas.openxmlformats.org/officeDocument/2006/relationships/hyperlink" Target="https://product.hstatic.net/200000428801/product/39f7c9cec06449239ee75980ca916a31_ed42f426362c4b4ebf1179a90015e25e.png" TargetMode="External"/><Relationship Id="rId609" Type="http://schemas.openxmlformats.org/officeDocument/2006/relationships/hyperlink" Target="https://cdn2-retail-images.kiotviet.vn/2025/06/04/giabaopharma/6011a9eaea244e24867f8176ebe6cb6c.jpg,https:/cdn2-retail-images.kiotviet.vn/2025/06/04/giabaopharma/6943610c5ec04946ab4cbbabcde0581b.jpg" TargetMode="External"/><Relationship Id="rId85" Type="http://schemas.openxmlformats.org/officeDocument/2006/relationships/hyperlink" Target="https://product.hstatic.net/200000428801/product/e1fde0e285f647a81ee7_a468d7bff37d437589f0c5bb2f1e14b1.jpg" TargetMode="External"/><Relationship Id="rId150" Type="http://schemas.openxmlformats.org/officeDocument/2006/relationships/hyperlink" Target="https://product.hstatic.net/200000428801/product/zalo_screenshot_18_11_2021_67999_b2a2e248cb3c42f88ccbcbcaae774e50.png" TargetMode="External"/><Relationship Id="rId595" Type="http://schemas.openxmlformats.org/officeDocument/2006/relationships/hyperlink" Target="https://i.postimg.cc/nrz9QyXF/b285f413682548c29cc4f6e2b4316e88.jpg" TargetMode="External"/><Relationship Id="rId816" Type="http://schemas.openxmlformats.org/officeDocument/2006/relationships/hyperlink" Target="https://cdn2-retail-images.kiotviet.vn/2025/10/23/giabaopharma/05b59422017f41da8ab0f6b2305f98e9.png" TargetMode="External"/><Relationship Id="rId248" Type="http://schemas.openxmlformats.org/officeDocument/2006/relationships/hyperlink" Target="https://product.hstatic.net/200000428801/product/4e12eea567e7434b9d7dc5390d013085_0be4c2674a2548cc9d77b5d0fe21f6ac.png" TargetMode="External"/><Relationship Id="rId455" Type="http://schemas.openxmlformats.org/officeDocument/2006/relationships/hyperlink" Target="https://cdn2-retail-images.kiotviet.vn/2026/04/01/giabaopharma/a6307061fe0d4e9db3b67bc0961f70e9.jpg" TargetMode="External"/><Relationship Id="rId662" Type="http://schemas.openxmlformats.org/officeDocument/2006/relationships/hyperlink" Target="https://cdn2-retail-images.kiotviet.vn/2025/10/23/giabaopharma/e3ff97aaad4d456180585e811f8cfa1d.jpg" TargetMode="External"/><Relationship Id="rId12" Type="http://schemas.openxmlformats.org/officeDocument/2006/relationships/hyperlink" Target="https://cdn2-retail-images.kiotviet.vn/giabaopharma/28b3a63e256a4b9db33fe6f49a80548c.png" TargetMode="External"/><Relationship Id="rId108" Type="http://schemas.openxmlformats.org/officeDocument/2006/relationships/hyperlink" Target="https://product.hstatic.net/200000428801/product/ef_ad7e4bdb1cf542c7ab01957ea146d1b7.jpg" TargetMode="External"/><Relationship Id="rId315" Type="http://schemas.openxmlformats.org/officeDocument/2006/relationships/hyperlink" Target="https://product.hstatic.net/200000428801/product/ae1df6a945dd8f83d6cc_23c045bcb84c499fa41d769c6829f9b7.jpg" TargetMode="External"/><Relationship Id="rId522" Type="http://schemas.openxmlformats.org/officeDocument/2006/relationships/hyperlink" Target="https://product.hstatic.net/200000428801/product/8c6d9a756e83a0ddf992_2e9b0636635e4522920cd0640245cc1f.png" TargetMode="External"/><Relationship Id="rId96" Type="http://schemas.openxmlformats.org/officeDocument/2006/relationships/hyperlink" Target="https://cdn-images.kiotviet.vn/2024/12/12/giabaopharma/c9179ac74d184909a07c7ebfee9331de.jpg" TargetMode="External"/><Relationship Id="rId161" Type="http://schemas.openxmlformats.org/officeDocument/2006/relationships/hyperlink" Target="https://product.hstatic.net/200000428801/product/4262f0db4b6e8b30d27f_d73242b8bd7c46928a86f08ceaf23376.jpg" TargetMode="External"/><Relationship Id="rId399" Type="http://schemas.openxmlformats.org/officeDocument/2006/relationships/hyperlink" Target="https://product.hstatic.net/200000428801/product/5_c979d0a8fb074208a741e45d1cd645a5.png" TargetMode="External"/><Relationship Id="rId827" Type="http://schemas.openxmlformats.org/officeDocument/2006/relationships/hyperlink" Target="https://product.hstatic.net/200000428801/product/thiet_ke_khong_ten__84__1d400c2db94f4ee39317280ad90cb2e7.png" TargetMode="External"/><Relationship Id="rId259" Type="http://schemas.openxmlformats.org/officeDocument/2006/relationships/hyperlink" Target="https://product.hstatic.net/200000428801/product/6fa927504e14894ad005_f9ec466979374b968957319f1a9f233f.jpg" TargetMode="External"/><Relationship Id="rId466" Type="http://schemas.openxmlformats.org/officeDocument/2006/relationships/hyperlink" Target="https://cdn2-retail-images.kiotviet.vn/giabaopharma/685d8f8fce2d4666b2b9fad05e610cc0.png" TargetMode="External"/><Relationship Id="rId673" Type="http://schemas.openxmlformats.org/officeDocument/2006/relationships/hyperlink" Target="https://cdn2-retail-images.kiotviet.vn/giabaopharma/68bb4e32fd3b411390e91a8e8573b0af.jpg" TargetMode="External"/><Relationship Id="rId880" Type="http://schemas.openxmlformats.org/officeDocument/2006/relationships/hyperlink" Target="https://product.hstatic.net/200000428801/product/nhiet-ke-2_925293041c03475b9e90102f1670d738.jpg" TargetMode="External"/><Relationship Id="rId23" Type="http://schemas.openxmlformats.org/officeDocument/2006/relationships/hyperlink" Target="https://cdn2-retail-images.kiotviet.vn/2026/02/03/giabaopharma/dfb5d3b8805c4e4f86a34bfeb75d8a3a.jpg" TargetMode="External"/><Relationship Id="rId119" Type="http://schemas.openxmlformats.org/officeDocument/2006/relationships/hyperlink" Target="https://cdn2-retail-images.kiotviet.vn/2025/10/30/giabaopharma/92df54ed92fd43b08c7be15a0a0f574f.png" TargetMode="External"/><Relationship Id="rId326" Type="http://schemas.openxmlformats.org/officeDocument/2006/relationships/hyperlink" Target="https://product.hstatic.net/200000428801/product/0f99b818d89c1bc2428d58_3ebb99d087d14d789e65435fb61b4435.jpg" TargetMode="External"/><Relationship Id="rId533" Type="http://schemas.openxmlformats.org/officeDocument/2006/relationships/hyperlink" Target="https://product.hstatic.net/200000428801/product/zalo_screenshot_18_11_2021_830488_4a78d03990c34d8aae33b5843cfcdda8.png" TargetMode="External"/><Relationship Id="rId740" Type="http://schemas.openxmlformats.org/officeDocument/2006/relationships/hyperlink" Target="https://product.hstatic.net/200000428801/product/41_63458a8c279a47f0a22d5527fa71076e.png" TargetMode="External"/><Relationship Id="rId838" Type="http://schemas.openxmlformats.org/officeDocument/2006/relationships/hyperlink" Target="https://cdn2-retail-images.kiotviet.vn/2025/08/01/giabaopharma/cdf1001fed5045fa85599a8c64d137b5.jpg,https:/cdn2-retail-images.kiotviet.vn/2025/08/01/giabaopharma/6d03063d2a5a40678534c31968a039b8.jpg" TargetMode="External"/><Relationship Id="rId172" Type="http://schemas.openxmlformats.org/officeDocument/2006/relationships/hyperlink" Target="https://cdn2-retail-images.kiotviet.vn/2025/02/06/giabaopharma/aa3b651794ab4fc3bba80effcf1979fa.jpg" TargetMode="External"/><Relationship Id="rId477" Type="http://schemas.openxmlformats.org/officeDocument/2006/relationships/hyperlink" Target="https://cdn2-retail-images.kiotviet.vn/2025/10/22/giabaopharma/09e92ec6c60b4ac0962b231538dd0bcb.jpg" TargetMode="External"/><Relationship Id="rId600" Type="http://schemas.openxmlformats.org/officeDocument/2006/relationships/hyperlink" Target="https://cdn2-retail-images.kiotviet.vn/2025/10/06/giabaopharma/16d1ea0dc96242f89e533dc6f460d270.jpg" TargetMode="External"/><Relationship Id="rId684" Type="http://schemas.openxmlformats.org/officeDocument/2006/relationships/hyperlink" Target="https://cdn2-retail-images.kiotviet.vn/giabaopharma/7cc17df1cbd54382a6a93661a6e3c0e9.jpg,https:/cdn2-retail-images.kiotviet.vn/giabaopharma/3508b5ccf6724d0798bc60cf58275c92.jpg,https:/cdn2-retail-images.kiotviet.vn/giabaopharma/e7ba284e7a3b43d0b2ba0a4be67d90b9.jpg,https:/cdn2-retail-images.kiotviet.vn/giabaopharma/749fb0bedf6c42dc9267ba72d65c807d.jpg,https:/cdn2-retail-images.kiotviet.vn/giabaopharma/ae8a1e967d1f48c882a08e40527ff6c0.jpg" TargetMode="External"/><Relationship Id="rId337" Type="http://schemas.openxmlformats.org/officeDocument/2006/relationships/hyperlink" Target="https://cdn2-retail-images.kiotviet.vn/2025/10/23/giabaopharma/8fe7c16ad69d435ead7230251533091a.jpg" TargetMode="External"/><Relationship Id="rId891" Type="http://schemas.openxmlformats.org/officeDocument/2006/relationships/hyperlink" Target="https://cdn1-retail-images.kiotviet.vn/2026/01/10/giabaopharma/370efe5b0dbc48ffab519b285a0ca6b2.jpg" TargetMode="External"/><Relationship Id="rId905" Type="http://schemas.openxmlformats.org/officeDocument/2006/relationships/hyperlink" Target="https://product.hstatic.net/200000428801/product/bb7e2e7054279279cb36_390b3cffebae4ed49130ab94ba181f31.jpg" TargetMode="External"/><Relationship Id="rId34" Type="http://schemas.openxmlformats.org/officeDocument/2006/relationships/hyperlink" Target="https://cdn2-retail-images.kiotviet.vn/2026/03/18/giabaopharma/71e43f3190ae408e8c70dd5b12c61968.jpg" TargetMode="External"/><Relationship Id="rId544" Type="http://schemas.openxmlformats.org/officeDocument/2006/relationships/hyperlink" Target="https://product.hstatic.net/200000428801/product/d0d550fec154000a5945_bb18439fee964317acb44bb7100f4885.jpg" TargetMode="External"/><Relationship Id="rId751" Type="http://schemas.openxmlformats.org/officeDocument/2006/relationships/hyperlink" Target="https://product.hstatic.net/200000428801/product/zalo_screenshot_18_11_2021_95223_41f85a6eba194b12b9707cecdc4ed2c9.png" TargetMode="External"/><Relationship Id="rId849" Type="http://schemas.openxmlformats.org/officeDocument/2006/relationships/hyperlink" Target="https://product.hstatic.net/200000428801/product/zalo_screenshot_20_11_2021_636423_52d6c269177544d2b10dd22ad6ee9109.png" TargetMode="External"/><Relationship Id="rId183" Type="http://schemas.openxmlformats.org/officeDocument/2006/relationships/hyperlink" Target="https://product.hstatic.net/200000428801/product/89a5edbb8c3f4f61162e25_fe207a340ecf46a6a0aa33f71300a5ae.jpg" TargetMode="External"/><Relationship Id="rId390" Type="http://schemas.openxmlformats.org/officeDocument/2006/relationships/hyperlink" Target="https://product.hstatic.net/200000428801/product/16_85240c8fc4694ddcb5b9c5d636f0074c.png" TargetMode="External"/><Relationship Id="rId404" Type="http://schemas.openxmlformats.org/officeDocument/2006/relationships/hyperlink" Target="https://cdn2-retail-images.kiotviet.vn/2025/02/05/giabaopharma/c50429ab5d9d4c43ba5fd5cbac848a2c.jpg" TargetMode="External"/><Relationship Id="rId611" Type="http://schemas.openxmlformats.org/officeDocument/2006/relationships/hyperlink" Target="https://cdn2-retail-images.kiotviet.vn/2025/06/02/giabaopharma/59e919bb17e54951b1a52fee813db215.jpg" TargetMode="External"/><Relationship Id="rId250" Type="http://schemas.openxmlformats.org/officeDocument/2006/relationships/hyperlink" Target="https://product.hstatic.net/200000428801/product/6c08c1b0dba94ac89ead690cf9b5272a_10991fc2d02444abba446b730d7558ca.png" TargetMode="External"/><Relationship Id="rId488" Type="http://schemas.openxmlformats.org/officeDocument/2006/relationships/hyperlink" Target="https://cdn2-retail-images.kiotviet.vn/2025/12/30/giabaopharma/64ad9b3568844108a8dd210788de0c9d.png,https:/cdn2-retail-images.kiotviet.vn/2025/12/30/giabaopharma/45eb4a16dc0f4c1d9e90070eff14be7e.png,https:/cdn2-retail-images.kiotviet.vn/2025/12/30/giabaopharma/4b51d629b22d4fdea37f57a183a7ab43.png,https:/cdn2-retail-images.kiotviet.vn/2025/12/30/giabaopharma/ab97e39781ee4ef3987d9ab8ef33b31c.png" TargetMode="External"/><Relationship Id="rId695" Type="http://schemas.openxmlformats.org/officeDocument/2006/relationships/hyperlink" Target="https://product.hstatic.net/200000428801/product/6f26750291cd4f8d8f3bd22dece4f4c7_08d5fe3bcb094595bcad16f8d69d29dc.png" TargetMode="External"/><Relationship Id="rId709" Type="http://schemas.openxmlformats.org/officeDocument/2006/relationships/hyperlink" Target="https://product.hstatic.net/200000428801/product/23_74e2806b27b6451f9a26264b3fb89959.png" TargetMode="External"/><Relationship Id="rId45" Type="http://schemas.openxmlformats.org/officeDocument/2006/relationships/hyperlink" Target="https://product.hstatic.net/200000428801/product/d915d580a22e63703a3f_4c4f4341883e429d82781bfeb7d3f1da.jpg" TargetMode="External"/><Relationship Id="rId110" Type="http://schemas.openxmlformats.org/officeDocument/2006/relationships/hyperlink" Target="https://cdn2-retail-images.kiotviet.vn/2025/02/10/giabaopharma/31b6e1608ff5401f9a7a1772cf7e1a65.jpg" TargetMode="External"/><Relationship Id="rId348" Type="http://schemas.openxmlformats.org/officeDocument/2006/relationships/hyperlink" Target="https://cdn2-retail-images.kiotviet.vn/2025/10/30/giabaopharma/53b3da8cc45a4417aa298f6454583670.png" TargetMode="External"/><Relationship Id="rId555" Type="http://schemas.openxmlformats.org/officeDocument/2006/relationships/hyperlink" Target="https://cdn2-retail-images.kiotviet.vn/2025/05/28/giabaopharma/2f07070fbf3e4638ad7665fb447554eb.jpg,https:/cdn-images.kiotviet.vn/2025/05/28/giabaopharma/5973e769e7154a3bb7e254f7b3baa3f6.jpg" TargetMode="External"/><Relationship Id="rId762" Type="http://schemas.openxmlformats.org/officeDocument/2006/relationships/hyperlink" Target="https://cdn2-retail-images.kiotviet.vn/2025/10/23/giabaopharma/885dbc703cd04d239b96173ae3f03b46.png" TargetMode="External"/><Relationship Id="rId194" Type="http://schemas.openxmlformats.org/officeDocument/2006/relationships/hyperlink" Target="https://cdn2-retail-images.kiotviet.vn/2026/03/07/giabaopharma/e08acc2c19b84e87a1659f64dfbe4658.jpg" TargetMode="External"/><Relationship Id="rId208" Type="http://schemas.openxmlformats.org/officeDocument/2006/relationships/hyperlink" Target="https://cdn2-retail-images.kiotviet.vn/2025/03/03/giabaopharma/baa9e9c428a4459895f77c7bb7e0c1ed.jpg" TargetMode="External"/><Relationship Id="rId415" Type="http://schemas.openxmlformats.org/officeDocument/2006/relationships/hyperlink" Target="https://cdn2-retail-images.kiotviet.vn/giabaopharma/67854895995c4aa1bfb82ad0fa90d890.jpg,https:/cdn2-retail-images.kiotviet.vn/giabaopharma/0cdc0eccab424e2fb27696452c1fa08b.jpg,https:/cdn2-retail-images.kiotviet.vn/giabaopharma/628b19b633544b35977ced5c55a1cf1c.jpg,https:/cdn2-retail-images.kiotviet.vn/giabaopharma/faac8008c08841d387eed20c243c9d7c.jpg,https:/cdn2-retail-images.kiotviet.vn/giabaopharma/1fb0315296bc41d5b6c598477f72970d.jpg" TargetMode="External"/><Relationship Id="rId622" Type="http://schemas.openxmlformats.org/officeDocument/2006/relationships/hyperlink" Target="https://cdn2-retail-images.kiotviet.vn/2025/04/12/giabaopharma/a9cec9db5e9248e7911cfe532374c8c3.jpg,https:/cdn2-retail-images.kiotviet.vn/2025/04/15/giabaopharma/df379efbdcd24bc08ac495da99aa0fcf.jpg,https:/cdn2-retail-images.kiotviet.vn/2025/04/15/giabaopharma/873c1e835d024dff9f8696767fb5b2d7.jpg,https:/cdn2-retail-images.kiotviet.vn/2025/04/18/giabaopharma/b1eafadabbe5414ab0031d4c077d0a21.png" TargetMode="External"/><Relationship Id="rId261" Type="http://schemas.openxmlformats.org/officeDocument/2006/relationships/hyperlink" Target="https://cdn2-retail-images.kiotviet.vn/2024/09/04/giabaopharma/2e315d166758484ebe7ae796b5a4aa0f.png" TargetMode="External"/><Relationship Id="rId499" Type="http://schemas.openxmlformats.org/officeDocument/2006/relationships/hyperlink" Target="https://cdn2-retail-images.kiotviet.vn/2025/03/07/giabaopharma/fec9d40410b74b11b6b9209dc3562457.jpg" TargetMode="External"/><Relationship Id="rId56" Type="http://schemas.openxmlformats.org/officeDocument/2006/relationships/hyperlink" Target="https://product.hstatic.net/200000428801/product/9_9daf1570b8c14f95827f9c016ffd2941.png" TargetMode="External"/><Relationship Id="rId359" Type="http://schemas.openxmlformats.org/officeDocument/2006/relationships/hyperlink" Target="https://cdn1-retail-images.kiotviet.vn/2026/03/10/giabaopharma/0d5b5a329aaa4428a4fd35c7bf873328.jpg" TargetMode="External"/><Relationship Id="rId566" Type="http://schemas.openxmlformats.org/officeDocument/2006/relationships/hyperlink" Target="https://product.hstatic.net/200000428801/product/f2a6f4a3262446ba9ad44151106f7456_e9dafbb5af2e4bd583a36f3e317812d6.png" TargetMode="External"/><Relationship Id="rId773" Type="http://schemas.openxmlformats.org/officeDocument/2006/relationships/hyperlink" Target="https://product.hstatic.net/200000428801/product/ki_16136614ca2d4794a41cd4efe1699160.jpg" TargetMode="External"/><Relationship Id="rId121" Type="http://schemas.openxmlformats.org/officeDocument/2006/relationships/hyperlink" Target="https://product.hstatic.net/200000428801/product/f791b9fa81d749f795c090c42dcc49c6_0a7f95c4d7d649a3adb7bddfdb11f487.png" TargetMode="External"/><Relationship Id="rId219" Type="http://schemas.openxmlformats.org/officeDocument/2006/relationships/hyperlink" Target="https://cdn2-retail-images.kiotviet.vn/giabaopharma/090509eb1c5a4b7193190350630be6b8.jpg,https:/cdn2-retail-images.kiotviet.vn/giabaopharma/5aba60d8bd1a4348ba1c60d1103022ab.jpg,https:/cdn2-retail-images.kiotviet.vn/giabaopharma/3e81bd19cc5d47f5a7e596ae9d39a4d9.jpg,https:/cdn2-retail-images.kiotviet.vn/giabaopharma/15f99b729f6049f3a59544e90805a44a.jpg,https:/cdn2-retail-images.kiotviet.vn/giabaopharma/abb4391a19b549a9b1b8b372a8d4a59c.jpg" TargetMode="External"/><Relationship Id="rId426" Type="http://schemas.openxmlformats.org/officeDocument/2006/relationships/hyperlink" Target="https://cdn2-retail-images.kiotviet.vn/2025/10/30/giabaopharma/85f0f45612a74afb90073b3a3bf72e25.png" TargetMode="External"/><Relationship Id="rId633" Type="http://schemas.openxmlformats.org/officeDocument/2006/relationships/hyperlink" Target="https://cdn2-retail-images.kiotviet.vn/2025/03/24/giabaopharma/7faf6361e7264e499f933cbd9b7318ac.jpg,https:/cdn2-retail-images.kiotviet.vn/2025/05/29/giabaopharma/2ce22d088ff2488eaae9ddb579a4920a.jpg,https:/cdn2-retail-images.kiotviet.vn/2025/05/29/giabaopharma/315274f1b33d4e428adbee5b4aff515a.jpg" TargetMode="External"/><Relationship Id="rId840" Type="http://schemas.openxmlformats.org/officeDocument/2006/relationships/hyperlink" Target="https://cdn2-retail-images.kiotviet.vn/2025/10/09/giabaopharma/4c13d71f94e34b05863b00671ebdc309.jpg" TargetMode="External"/><Relationship Id="rId67" Type="http://schemas.openxmlformats.org/officeDocument/2006/relationships/hyperlink" Target="https://product.hstatic.net/200000428801/product/genflu-n-10g-mac-dinh-3-1-700x467_51878aa323464bc0a1696443286d0aaf.jpg" TargetMode="External"/><Relationship Id="rId272" Type="http://schemas.openxmlformats.org/officeDocument/2006/relationships/hyperlink" Target="https://product.hstatic.net/200000428801/product/9a2ed2802677e529bc66_a54d5bac63bf43519252dc9160868411.jpg" TargetMode="External"/><Relationship Id="rId577" Type="http://schemas.openxmlformats.org/officeDocument/2006/relationships/hyperlink" Target="https://cdn1-retail-images.kiotviet.vn/2026/01/15/giabaopharma/bdd6110c96804bb4ae512bbb5e0e66bf.jpg" TargetMode="External"/><Relationship Id="rId700" Type="http://schemas.openxmlformats.org/officeDocument/2006/relationships/hyperlink" Target="https://product.hstatic.net/200000428801/product/b6c36f1a069d43d9837538cb7495c801_f9e19004fb39476bb814af4b17f4a9cc.png" TargetMode="External"/><Relationship Id="rId132" Type="http://schemas.openxmlformats.org/officeDocument/2006/relationships/hyperlink" Target="https://product.hstatic.net/200000428801/product/7e7752f8e11625487c07_0407deeebdd34cce81e93fa52fb51466.jpg" TargetMode="External"/><Relationship Id="rId784" Type="http://schemas.openxmlformats.org/officeDocument/2006/relationships/hyperlink" Target="https://product.hstatic.net/200000428801/product/huong_nang_xuan__1__870ccb6743af4304a0bc6f6fd827425e.png" TargetMode="External"/><Relationship Id="rId437" Type="http://schemas.openxmlformats.org/officeDocument/2006/relationships/hyperlink" Target="https://cdn2-retail-images.kiotviet.vn/2026/03/09/giabaopharma/eda3c2a5da9c4587a5a284a0d9e3f2d6.jpg" TargetMode="External"/><Relationship Id="rId644" Type="http://schemas.openxmlformats.org/officeDocument/2006/relationships/hyperlink" Target="https://cdn2-retail-images.kiotviet.vn/2025/03/12/giabaopharma/6117512b892d42869632b53f314d69dd.jpg,https:/cdn2-retail-images.kiotviet.vn/2025/03/12/giabaopharma/9bf8ec1fc3854d32999fee47c89638b1.jpg" TargetMode="External"/><Relationship Id="rId851" Type="http://schemas.openxmlformats.org/officeDocument/2006/relationships/hyperlink" Target="https://product.hstatic.net/200000428801/product/71866600f1d1348f6dc0_fe7a8524c5634f20937188524bb2ffcf.jpg" TargetMode="External"/><Relationship Id="rId283" Type="http://schemas.openxmlformats.org/officeDocument/2006/relationships/hyperlink" Target="https://product.hstatic.net/200000428801/product/4504482e6e40ae1ef751_ab124baf9fab4b02868a8b838c470d0a.jpg" TargetMode="External"/><Relationship Id="rId490" Type="http://schemas.openxmlformats.org/officeDocument/2006/relationships/hyperlink" Target="https://cdn2-retail-images.kiotviet.vn/2025/11/06/giabaopharma/8478895b04e744fdb8bfc52c1fe09830.jpg" TargetMode="External"/><Relationship Id="rId504" Type="http://schemas.openxmlformats.org/officeDocument/2006/relationships/hyperlink" Target="https://cdn2-retail-images.kiotviet.vn/giabaopharma/d5853bcbcc644883b33ffc8bc820859a.jpg" TargetMode="External"/><Relationship Id="rId711" Type="http://schemas.openxmlformats.org/officeDocument/2006/relationships/hyperlink" Target="https://product.hstatic.net/200000428801/product/13_bb3a2c652b97486d88644789b02c068b.png" TargetMode="External"/><Relationship Id="rId78" Type="http://schemas.openxmlformats.org/officeDocument/2006/relationships/hyperlink" Target="https://cdn-images.kiotviet.vn/giabaopharma/c18cb484b31e45aa88b48b16d10c1cc7.png,https:/cdn-images.kiotviet.vn/giabaopharma/c890e43f66434cc6971900bca0fc930b.png,https:/cdn-images.kiotviet.vn/giabaopharma/011d66c264f843648a10c1c68bac9015.png,https:/cdn-images.kiotviet.vn/giabaopharma/f04d19e8c1364d28a1a87bdd8093c81f.png,https:/cdn-images.kiotviet.vn/giabaopharma/f0a69ca85bec430d8a7800a0571ff94b.png" TargetMode="External"/><Relationship Id="rId143" Type="http://schemas.openxmlformats.org/officeDocument/2006/relationships/hyperlink" Target="https://product.hstatic.net/200000428801/product/zalo_screenshot_18_11_2021_756289_d15bcec9216b452ebb52f1a2bbd90e2f.png" TargetMode="External"/><Relationship Id="rId350" Type="http://schemas.openxmlformats.org/officeDocument/2006/relationships/hyperlink" Target="https://product.hstatic.net/200000428801/product/ea95bb68dbb81ae643a9_92fb4d21dcbc40339ca7e5990bc8b465.jpg" TargetMode="External"/><Relationship Id="rId588" Type="http://schemas.openxmlformats.org/officeDocument/2006/relationships/hyperlink" Target="https://i.postimg.cc/QN0pxbFS/3432728936254009a571a5db22edf988.jpg" TargetMode="External"/><Relationship Id="rId795" Type="http://schemas.openxmlformats.org/officeDocument/2006/relationships/hyperlink" Target="https://product.hstatic.net/200000428801/product/3a_c4b83a051233487f88c8e8de29d70da8.jpg" TargetMode="External"/><Relationship Id="rId809" Type="http://schemas.openxmlformats.org/officeDocument/2006/relationships/hyperlink" Target="https://product.hstatic.net/200000428801/product/f8513993f54737196e56_dcb5d329220141c9b9fed3d5b2e07866.jpg" TargetMode="External"/><Relationship Id="rId9" Type="http://schemas.openxmlformats.org/officeDocument/2006/relationships/hyperlink" Target="https://cdn-images.kiotviet.vn/giabaopharma/63320416cc504723b5242c7220caacd5.jpg" TargetMode="External"/><Relationship Id="rId210" Type="http://schemas.openxmlformats.org/officeDocument/2006/relationships/hyperlink" Target="https://cdn2-retail-images.kiotviet.vn/2024/12/28/giabaopharma/ca601e8530944cefaaaec1a399a88518.jpg" TargetMode="External"/><Relationship Id="rId448" Type="http://schemas.openxmlformats.org/officeDocument/2006/relationships/hyperlink" Target="https://product.hstatic.net/200000428801/product/c36cfced36b4e9eab0a511_96630c9ffe644708925a340352889374.jpg" TargetMode="External"/><Relationship Id="rId655" Type="http://schemas.openxmlformats.org/officeDocument/2006/relationships/hyperlink" Target="https://cdn2-retail-images.kiotviet.vn/2025/02/12/giabaopharma/a6b9e3267e6442e3a6782a36e67bc1c5.jpg" TargetMode="External"/><Relationship Id="rId862" Type="http://schemas.openxmlformats.org/officeDocument/2006/relationships/hyperlink" Target="https://product.hstatic.net/200000428801/product/8de1937db3757c2b2564_76f106087e364d4cbff2bc1f57b002ab.jpg" TargetMode="External"/><Relationship Id="rId294" Type="http://schemas.openxmlformats.org/officeDocument/2006/relationships/hyperlink" Target="https://product.hstatic.net/200000428801/product/bfc84b73b76e7a30237f_07780de9dd6e43738d21b0aed7d08264.jpg" TargetMode="External"/><Relationship Id="rId308" Type="http://schemas.openxmlformats.org/officeDocument/2006/relationships/hyperlink" Target="https://product.hstatic.net/200000428801/product/74a1ef40869e49c0108f_4b5ea4f417ef4bbcb05edf745c00703a.jpg" TargetMode="External"/><Relationship Id="rId515" Type="http://schemas.openxmlformats.org/officeDocument/2006/relationships/hyperlink" Target="https://product.hstatic.net/200000428801/product/945b3b7f5354970ace45_84401b508d72441dac8befbf2ff2e4e8.jpg" TargetMode="External"/><Relationship Id="rId722" Type="http://schemas.openxmlformats.org/officeDocument/2006/relationships/hyperlink" Target="https://product.hstatic.net/200000428801/product/9e24b292766bb635ef7a_ae0452dc4b974bbf943c984196543cf1.jpg" TargetMode="External"/><Relationship Id="rId89" Type="http://schemas.openxmlformats.org/officeDocument/2006/relationships/hyperlink" Target="https://cdn1-retail-images.kiotviet.vn/2026/01/10/giabaopharma/d9b70fe888144c13aa913c1f1f9f21ed.jpg" TargetMode="External"/><Relationship Id="rId154" Type="http://schemas.openxmlformats.org/officeDocument/2006/relationships/hyperlink" Target="https://product.hstatic.net/200000428801/product/67c80e7e32374f6788e7f492b67a0f9e_28da79052cfd430b8715b75a29aaec07.jpg" TargetMode="External"/><Relationship Id="rId361" Type="http://schemas.openxmlformats.org/officeDocument/2006/relationships/hyperlink" Target="https://product.hstatic.net/200000428801/product/0643b28a7a76ba28e367_98fd6e61c79249fb967ec5ac57b56443.jpg" TargetMode="External"/><Relationship Id="rId599" Type="http://schemas.openxmlformats.org/officeDocument/2006/relationships/hyperlink" Target="https://i.postimg.cc/RhccWWYC/Vi-n-u-ng-Soft-n-ng-ngon-Kingphar-h-tr-n-ng-ngon-t-ng-c-ng-s-c-kh-ng-H-30-vi-n-2.png" TargetMode="External"/><Relationship Id="rId459" Type="http://schemas.openxmlformats.org/officeDocument/2006/relationships/hyperlink" Target="https://cdn2-retail-images.kiotviet.vn/2025/11/15/giabaopharma/9f4d79f1f36948eeabfab9258ef31c08.jpg" TargetMode="External"/><Relationship Id="rId666" Type="http://schemas.openxmlformats.org/officeDocument/2006/relationships/hyperlink" Target="https://cdn2-retail-images.kiotviet.vn/2025/10/23/giabaopharma/52b7c4aa931a4587a58416b0e0c02f93.jpg" TargetMode="External"/><Relationship Id="rId873" Type="http://schemas.openxmlformats.org/officeDocument/2006/relationships/hyperlink" Target="https://product.hstatic.net/200000428801/product/22_6a44c6a5a39d4f11974ad41451abf65e.png" TargetMode="External"/><Relationship Id="rId16" Type="http://schemas.openxmlformats.org/officeDocument/2006/relationships/hyperlink" Target="https://product.hstatic.net/200000428801/product/zalo_screenshot_19_11_2021_639360_58de639c7a1f48f5b9e9787c00bf9f09.png" TargetMode="External"/><Relationship Id="rId221" Type="http://schemas.openxmlformats.org/officeDocument/2006/relationships/hyperlink" Target="https://cdn2-retail-images.kiotviet.vn/giabaopharma/c96516e3bd4449ef8ba79b6c18ad26e7.png" TargetMode="External"/><Relationship Id="rId319" Type="http://schemas.openxmlformats.org/officeDocument/2006/relationships/hyperlink" Target="https://product.hstatic.net/200000428801/product/55b56ba92f2ce572bc3d_bba0aaf610ac47c891a02f3fe6ccd95f.jpg" TargetMode="External"/><Relationship Id="rId526" Type="http://schemas.openxmlformats.org/officeDocument/2006/relationships/hyperlink" Target="https://product.hstatic.net/200000428801/product/155f7935b5677b392276_67317524035446999445cd054d1b8f7b.png" TargetMode="External"/><Relationship Id="rId733" Type="http://schemas.openxmlformats.org/officeDocument/2006/relationships/hyperlink" Target="https://product.hstatic.net/200000428801/product/vite_94975ebb06c74005808dce7242e26a91.jpg" TargetMode="External"/><Relationship Id="rId165" Type="http://schemas.openxmlformats.org/officeDocument/2006/relationships/hyperlink" Target="https://product.hstatic.net/200000428801/product/5eadf94e1013de4d8702_855a6fc93edc4d59bddf9131cfddd3db.png" TargetMode="External"/><Relationship Id="rId372" Type="http://schemas.openxmlformats.org/officeDocument/2006/relationships/hyperlink" Target="https://cdn2-retail-images.kiotviet.vn/2024/12/25/giabaopharma/4c227cdeea414cbfacfee281a8a85d2a.jpg" TargetMode="External"/><Relationship Id="rId677" Type="http://schemas.openxmlformats.org/officeDocument/2006/relationships/hyperlink" Target="https://cdn2-retail-images.kiotviet.vn/2025/04/22/giabaopharma/524b219775f745d990b0f09a40648e57.jpg,https:/cdn2-retail-images.kiotviet.vn/2025/05/29/giabaopharma/ed43fbc42d284f0d81ead90c29c1a52f.jpg,https:/cdn2-retail-images.kiotviet.vn/2025/05/29/giabaopharma/f0b81e4ce6c744b896f4fb2f934f94de.jpg" TargetMode="External"/><Relationship Id="rId800" Type="http://schemas.openxmlformats.org/officeDocument/2006/relationships/hyperlink" Target="https://cdn2-retail-images.kiotviet.vn/2025/12/23/giabaopharma/1d169866b1e446fb85a39681b7b0c8de.png" TargetMode="External"/><Relationship Id="rId232" Type="http://schemas.openxmlformats.org/officeDocument/2006/relationships/hyperlink" Target="https://cdn2-retail-images.kiotviet.vn/giabaopharma/7d76dd46daaf42398f6bec550c499a5b.png,https:/cdn2-retail-images.kiotviet.vn/giabaopharma/14f6fb847de345698d720760e435defc.png" TargetMode="External"/><Relationship Id="rId884" Type="http://schemas.openxmlformats.org/officeDocument/2006/relationships/hyperlink" Target="https://product.hstatic.net/200000428801/product/zalo_screenshot_18_11_2021_829696_4f73d1fcee9245fcacd040f9c99810ae.png" TargetMode="External"/><Relationship Id="rId27" Type="http://schemas.openxmlformats.org/officeDocument/2006/relationships/hyperlink" Target="https://product.hstatic.net/200000428801/product/8c773e0a2ae7e8b9b1f6_10e9ac448f28416e9eea94d38a391c6e.jpg" TargetMode="External"/><Relationship Id="rId537" Type="http://schemas.openxmlformats.org/officeDocument/2006/relationships/hyperlink" Target="https://product.hstatic.net/200000428801/product/zalo_screenshot_18_11_2021_828820_fed748ffd3fc47e9bb0bc3b759e6d63a.png" TargetMode="External"/><Relationship Id="rId744" Type="http://schemas.openxmlformats.org/officeDocument/2006/relationships/hyperlink" Target="https://product.hstatic.net/200000428801/product/a492ac304251820fdb40_b2009ba77d5d4a4ea43b52dcdbd743c6.jpg" TargetMode="External"/><Relationship Id="rId80" Type="http://schemas.openxmlformats.org/officeDocument/2006/relationships/hyperlink" Target="https://product.hstatic.net/200000428801/product/5_a0540c42f0664520897604b1713129fd.png" TargetMode="External"/><Relationship Id="rId176" Type="http://schemas.openxmlformats.org/officeDocument/2006/relationships/hyperlink" Target="https://cdn-images.kiotviet.vn/giabaopharma/cb95607d9556427f8bfd055e791b0863.png,https:/cdn-images.kiotviet.vn/giabaopharma/fdd25faef33b4e6693076532c248595c.png,https:/cdn-images.kiotviet.vn/giabaopharma/c86b6a8640f54d259d018129cf059d22.png,https:/cdn-images.kiotviet.vn/giabaopharma/5c12f7d7cb7f4ecc8193ed992eab010b.png,https:/cdn-images.kiotviet.vn/giabaopharma/fb43c9818fa3452184d8a148142493d6.png" TargetMode="External"/><Relationship Id="rId383" Type="http://schemas.openxmlformats.org/officeDocument/2006/relationships/hyperlink" Target="https://product.hstatic.net/200000428801/product/27_3b0a5f46068847ae8b0cd4c5d6b69511.png" TargetMode="External"/><Relationship Id="rId590" Type="http://schemas.openxmlformats.org/officeDocument/2006/relationships/hyperlink" Target="https://i.postimg.cc/1tGBb7KS/Vi-n-u-ng-Huy-t-ng-gi-m-nguy-c-ng-huy-t-cao-1-L-40-vi-n-2.png" TargetMode="External"/><Relationship Id="rId604" Type="http://schemas.openxmlformats.org/officeDocument/2006/relationships/hyperlink" Target="https://i.postimg.cc/nc9CbY7g/1020187ead6a4aa5ae3ed8ca196d8e57.jpg" TargetMode="External"/><Relationship Id="rId811" Type="http://schemas.openxmlformats.org/officeDocument/2006/relationships/hyperlink" Target="https://product.hstatic.net/200000428801/product/cc4793e0a38069de3091_9e3f2a38ea104c36b3832064df55fda9.jpg" TargetMode="External"/><Relationship Id="rId243" Type="http://schemas.openxmlformats.org/officeDocument/2006/relationships/hyperlink" Target="https://product.hstatic.net/200000428801/product/489a28f1d41d419d96d283197d98ac70_0ccc2e0b32ce4c49aa6e8b65bdb826ac.png" TargetMode="External"/><Relationship Id="rId450" Type="http://schemas.openxmlformats.org/officeDocument/2006/relationships/hyperlink" Target="https://product.hstatic.net/200000428801/product/dc7e423d9a8f4a1085a18316cc5cbf63_87139bf99bb24ae591d87a2ed3333485.png" TargetMode="External"/><Relationship Id="rId688" Type="http://schemas.openxmlformats.org/officeDocument/2006/relationships/hyperlink" Target="https://product.hstatic.net/200000428801/product/b6c36f1a069d43d9837538cb7495c801_f9e19004fb39476bb814af4b17f4a9cc.png" TargetMode="External"/><Relationship Id="rId895" Type="http://schemas.openxmlformats.org/officeDocument/2006/relationships/hyperlink" Target="https://cdn2-retail-images.kiotviet.vn/2025/02/28/giabaopharma/d3890c9b0c1d45169962473d64d1abb2.jpg" TargetMode="External"/><Relationship Id="rId38" Type="http://schemas.openxmlformats.org/officeDocument/2006/relationships/hyperlink" Target="https://i.postimg.cc/3wYRvs6p/111f492ee4c6483b89502979d4176520.jpg" TargetMode="External"/><Relationship Id="rId103" Type="http://schemas.openxmlformats.org/officeDocument/2006/relationships/hyperlink" Target="https://cdn2-retail-images.kiotviet.vn/2025/02/22/giabaopharma/797586afaaae4af3b05d8d9a5bb21f98.jpg" TargetMode="External"/><Relationship Id="rId310" Type="http://schemas.openxmlformats.org/officeDocument/2006/relationships/hyperlink" Target="https://product.hstatic.net/200000428801/product/c95ab8c31e8ddbd3829c_068bed7279c241f2a0f62278d80aba8c.jpg" TargetMode="External"/><Relationship Id="rId548" Type="http://schemas.openxmlformats.org/officeDocument/2006/relationships/hyperlink" Target="https://cdn1-retail-images.kiotviet.vn/2026/01/10/giabaopharma/b58d8739dd59442488ee355d40103620.jpg" TargetMode="External"/><Relationship Id="rId755" Type="http://schemas.openxmlformats.org/officeDocument/2006/relationships/hyperlink" Target="https://product.hstatic.net/200000428801/product/fff_668a21a80ff04df68bd857faa0af8843.jpg" TargetMode="External"/><Relationship Id="rId91" Type="http://schemas.openxmlformats.org/officeDocument/2006/relationships/hyperlink" Target="https://product.hstatic.net/200000428801/product/zalo_screenshot_20_11_2021_628833_a713e19145c149b4a189909be0aa19f1.png" TargetMode="External"/><Relationship Id="rId187" Type="http://schemas.openxmlformats.org/officeDocument/2006/relationships/hyperlink" Target="https://product.hstatic.net/200000428801/product/thuoc-lorfact-d-5mg__d07d5e1af45b49e5a739fe251f0276a7.jpg" TargetMode="External"/><Relationship Id="rId394" Type="http://schemas.openxmlformats.org/officeDocument/2006/relationships/hyperlink" Target="https://product.hstatic.net/200000428801/product/24_b8ed1d478a7b48e6802bd66dd1093c75.png" TargetMode="External"/><Relationship Id="rId408" Type="http://schemas.openxmlformats.org/officeDocument/2006/relationships/hyperlink" Target="https://cdn-images.kiotviet.vn/2025/05/06/giabaopharma/6ea45501b86244029447a7c17eb24baa.jpg" TargetMode="External"/><Relationship Id="rId615" Type="http://schemas.openxmlformats.org/officeDocument/2006/relationships/hyperlink" Target="https://cdn2-retail-images.kiotviet.vn/2025/05/28/giabaopharma/9ff423bc388745ed82ce2bf42ae36880.jpg,https:/cdn-images.kiotviet.vn/2025/05/28/giabaopharma/f6f0ab5614e24915aae89bbf124b0855.jpg,https:/cdn-images.kiotviet.vn/2025/05/28/giabaopharma/cb6cbe46a59148a6aa31e985825d9451.jpg" TargetMode="External"/><Relationship Id="rId822" Type="http://schemas.openxmlformats.org/officeDocument/2006/relationships/hyperlink" Target="https://product.hstatic.net/200000428801/product/4a373f266bbca4e2fdad_d346702e9c4f4cafb09f7f8628a3bd9a.jpg" TargetMode="External"/><Relationship Id="rId254" Type="http://schemas.openxmlformats.org/officeDocument/2006/relationships/hyperlink" Target="https://product.hstatic.net/200000428801/product/e7450c608de34779bd07f4bb508356d0_b952e9378f244214a686c1dc1a7a344c.png" TargetMode="External"/><Relationship Id="rId699" Type="http://schemas.openxmlformats.org/officeDocument/2006/relationships/hyperlink" Target="https://product.hstatic.net/200000428801/product/18bd68ebd4a04f1d83f547f74fdc802c_a7e412cc713046e98dfffbeb9d561214.jpg" TargetMode="External"/><Relationship Id="rId49" Type="http://schemas.openxmlformats.org/officeDocument/2006/relationships/hyperlink" Target="https://cdn2-retail-images.kiotviet.vn/2025/10/30/giabaopharma/f78b3e53e447430ca5df71aa619af12f.png" TargetMode="External"/><Relationship Id="rId114" Type="http://schemas.openxmlformats.org/officeDocument/2006/relationships/hyperlink" Target="https://cdn2-retail-images.kiotviet.vn/giabaopharma/a73c4bd71cfc446aa261fea2c853856f.jpg" TargetMode="External"/><Relationship Id="rId461" Type="http://schemas.openxmlformats.org/officeDocument/2006/relationships/hyperlink" Target="https://product.hstatic.net/200000428801/product/zalo_screenshot_19_11_2021_626157_dee49ebd222140ecb06347a40e49252f.png" TargetMode="External"/><Relationship Id="rId559" Type="http://schemas.openxmlformats.org/officeDocument/2006/relationships/hyperlink" Target="https://cdn2-retail-images.kiotviet.vn/giabaopharma/9a513fa7fa68456fa5b136cf3333ca32.jpg" TargetMode="External"/><Relationship Id="rId766" Type="http://schemas.openxmlformats.org/officeDocument/2006/relationships/hyperlink" Target="https://cdn-images.kiotviet.vn/2025/09/12/giabaopharma/b42ff313dbc54abca6db33e9b4b8a312.jpg" TargetMode="External"/><Relationship Id="rId198" Type="http://schemas.openxmlformats.org/officeDocument/2006/relationships/hyperlink" Target="https://cdn2-retail-images.kiotviet.vn/2025/12/17/giabaopharma/0352bf5dcab4461f96a9b1123cd6bc70.jpg" TargetMode="External"/><Relationship Id="rId321" Type="http://schemas.openxmlformats.org/officeDocument/2006/relationships/hyperlink" Target="https://product.hstatic.net/200000428801/product/thiet_ke_khong_ten__27__a802dd80f64042529fcde23ca153f68d.png" TargetMode="External"/><Relationship Id="rId419" Type="http://schemas.openxmlformats.org/officeDocument/2006/relationships/hyperlink" Target="https://product.hstatic.net/200000428801/product/upload_ac9da3c6859545eb90cdc4156216d01d.jpg" TargetMode="External"/><Relationship Id="rId626" Type="http://schemas.openxmlformats.org/officeDocument/2006/relationships/hyperlink" Target="https://cdn2-retail-images.kiotviet.vn/2025/04/01/giabaopharma/d5665c7f8c0942a993302dc2010a6c83.jpg" TargetMode="External"/><Relationship Id="rId833" Type="http://schemas.openxmlformats.org/officeDocument/2006/relationships/hyperlink" Target="https://product.hstatic.net/200000428801/product/zalo_screenshot_20_11_2021_638477_56c7f0e89ec2439382c0937ec7a61cf4.png" TargetMode="External"/><Relationship Id="rId265" Type="http://schemas.openxmlformats.org/officeDocument/2006/relationships/hyperlink" Target="https://cdn1-retail-images.kiotviet.vn/2026/01/15/giabaopharma/3c2584a8377748e780e09dfe281893b7.jpg" TargetMode="External"/><Relationship Id="rId472" Type="http://schemas.openxmlformats.org/officeDocument/2006/relationships/hyperlink" Target="https://product.hstatic.net/200000428801/product/zalo_screenshot_18_11_2021_826401_8de4e51b9f084e878929f0580ac581fa.png" TargetMode="External"/><Relationship Id="rId900" Type="http://schemas.openxmlformats.org/officeDocument/2006/relationships/hyperlink" Target="https://product.hstatic.net/200000428801/product/91_910ff517582843feb23338319bacc0de.png" TargetMode="External"/><Relationship Id="rId125" Type="http://schemas.openxmlformats.org/officeDocument/2006/relationships/hyperlink" Target="https://product.hstatic.net/200000428801/product/5fc0554d17784326899f3d33bb5233bf_13672eee37584ecd9c02227db8343cd1.png" TargetMode="External"/><Relationship Id="rId332" Type="http://schemas.openxmlformats.org/officeDocument/2006/relationships/hyperlink" Target="https://product.hstatic.net/200000428801/product/thiet_ke_khong_ten__54__c41d62cdbfd9423ea238db897d04ea1c.png" TargetMode="External"/><Relationship Id="rId777" Type="http://schemas.openxmlformats.org/officeDocument/2006/relationships/hyperlink" Target="https://product.hstatic.net/200000428801/product/kh_3b5b501ee1da4021bc59ecf672b20167.jpg" TargetMode="External"/><Relationship Id="rId637" Type="http://schemas.openxmlformats.org/officeDocument/2006/relationships/hyperlink" Target="https://cdn2-retail-images.kiotviet.vn/2025/03/22/giabaopharma/5f2bd4e84bbe42f39d45252b767d0136.jpg" TargetMode="External"/><Relationship Id="rId844" Type="http://schemas.openxmlformats.org/officeDocument/2006/relationships/hyperlink" Target="https://cdn2-retail-images.kiotviet.vn/2025/08/01/giabaopharma/6003eacaae3740d7a24d9e3305737c9c.jpg" TargetMode="External"/><Relationship Id="rId276" Type="http://schemas.openxmlformats.org/officeDocument/2006/relationships/hyperlink" Target="https://product.hstatic.net/200000428801/product/39_ebc7e75222dc4daaa80ccd40021b1a93.png" TargetMode="External"/><Relationship Id="rId483" Type="http://schemas.openxmlformats.org/officeDocument/2006/relationships/hyperlink" Target="https://product.hstatic.net/200000428801/product/b8671c839f23517d0832_1e48b536d37a4dab9c48fd22fec9c8cc.jpg" TargetMode="External"/><Relationship Id="rId690" Type="http://schemas.openxmlformats.org/officeDocument/2006/relationships/hyperlink" Target="https://cdn2-retail-images.kiotviet.vn/2025/12/23/giabaopharma/7cb6586ad5304089af8714a53ac83322.png" TargetMode="External"/><Relationship Id="rId704" Type="http://schemas.openxmlformats.org/officeDocument/2006/relationships/hyperlink" Target="https://product.hstatic.net/200000428801/product/85f82f4020af4f36bad601e814680896_8196426c7cea49098d80a1d8fe5b6cd8.png" TargetMode="External"/><Relationship Id="rId40" Type="http://schemas.openxmlformats.org/officeDocument/2006/relationships/hyperlink" Target="https://cdn-images.kiotviet.vn/2024/12/18/giabaopharma/0cf8054e3f7e4a49ae37bf15010e7fc3.jpg" TargetMode="External"/><Relationship Id="rId136" Type="http://schemas.openxmlformats.org/officeDocument/2006/relationships/hyperlink" Target="https://product.hstatic.net/200000428801/product/14_8151033c5f344db1bc7e152d2a3ac6bd.png" TargetMode="External"/><Relationship Id="rId343" Type="http://schemas.openxmlformats.org/officeDocument/2006/relationships/hyperlink" Target="https://cdn1-retail-images.kiotviet.vn/2026/01/10/giabaopharma/1fcc90603d314f349194e69e94e6c46a.jpg" TargetMode="External"/><Relationship Id="rId550" Type="http://schemas.openxmlformats.org/officeDocument/2006/relationships/hyperlink" Target="https://product.hstatic.net/200000428801/product/apitim-5mg-h-30v-1-700x467_01f0d7e9e9df401fa4ecc6880721ba41.jpg" TargetMode="External"/><Relationship Id="rId788" Type="http://schemas.openxmlformats.org/officeDocument/2006/relationships/hyperlink" Target="https://product.hstatic.net/200000428801/product/7c64659261e8a2b6fbf9_d28797bf57da445b9ca7feffb0202be7.jpg" TargetMode="External"/><Relationship Id="rId203" Type="http://schemas.openxmlformats.org/officeDocument/2006/relationships/hyperlink" Target="https://i.postimg.cc/KvWBt8ry/6f9275f5f5a04ec98b26f8246d8f03d0.jpg" TargetMode="External"/><Relationship Id="rId648" Type="http://schemas.openxmlformats.org/officeDocument/2006/relationships/hyperlink" Target="https://cdn2-retail-images.kiotviet.vn/2025/03/12/giabaopharma/20e014b490ea4ff4a2ba1ae8f60acaa2.jpg,https:/cdn2-retail-images.kiotviet.vn/2025/03/12/giabaopharma/b9fe378ace1d4e44b7938c0be1023009.jpg" TargetMode="External"/><Relationship Id="rId855" Type="http://schemas.openxmlformats.org/officeDocument/2006/relationships/hyperlink" Target="https://i.postimg.cc/MTtjH6KP/8572ba3c0a1b428aafd2e5d7108d174e.jpg" TargetMode="External"/><Relationship Id="rId287" Type="http://schemas.openxmlformats.org/officeDocument/2006/relationships/hyperlink" Target="https://product.hstatic.net/200000428801/product/300388db7dbbb7e5eeaa_df960ace41674526a3c309ef36291224.jpg" TargetMode="External"/><Relationship Id="rId410" Type="http://schemas.openxmlformats.org/officeDocument/2006/relationships/hyperlink" Target="https://cdn-images.kiotviet.vn/2025/09/04/giabaopharma/028ca05d6cb94e19b4f7d09c3b3c8bca.jpg,https:/cdn-images.kiotviet.vn/2025/09/04/giabaopharma/cbbfbdf98fcd4756a4a542e6609b410b.jpg" TargetMode="External"/><Relationship Id="rId494" Type="http://schemas.openxmlformats.org/officeDocument/2006/relationships/hyperlink" Target="https://cdn2-retail-images.kiotviet.vn/2025/08/05/giabaopharma/91d336b2ceb04a36985e2f50de55229c.jpg" TargetMode="External"/><Relationship Id="rId508" Type="http://schemas.openxmlformats.org/officeDocument/2006/relationships/hyperlink" Target="https://product.hstatic.net/200000428801/product/8_d175a127ba384ad4b206e5afba433370.png" TargetMode="External"/><Relationship Id="rId715" Type="http://schemas.openxmlformats.org/officeDocument/2006/relationships/hyperlink" Target="https://product.hstatic.net/200000428801/product/4_d37122b073334333a576257bbee41d4d.png" TargetMode="External"/><Relationship Id="rId147" Type="http://schemas.openxmlformats.org/officeDocument/2006/relationships/hyperlink" Target="https://product.hstatic.net/200000428801/product/7f69fed0be55740b2d44_aec874c4e9314e2cab286f782ebd94e5.jpg" TargetMode="External"/><Relationship Id="rId354" Type="http://schemas.openxmlformats.org/officeDocument/2006/relationships/hyperlink" Target="https://cdn2-retail-images.kiotviet.vn/2026/02/07/giabaopharma/b8b6d847937244619f2a6b37d52f4433.jpg" TargetMode="External"/><Relationship Id="rId799" Type="http://schemas.openxmlformats.org/officeDocument/2006/relationships/hyperlink" Target="https://product.hstatic.net/200000428801/product/zalo_screenshot_20_11_2021_627335_15d7441d7f3e4138922309b8a5c43ea8.png" TargetMode="External"/><Relationship Id="rId51" Type="http://schemas.openxmlformats.org/officeDocument/2006/relationships/hyperlink" Target="https://product.hstatic.net/200000428801/product/zalo_screenshot_18_11_2021_716458_0fd01ec13d6e42259cf651543b45ea19.png" TargetMode="External"/><Relationship Id="rId561" Type="http://schemas.openxmlformats.org/officeDocument/2006/relationships/hyperlink" Target="https://product.hstatic.net/200000428801/product/f2a6f4a3262446ba9ad44151106f7456_e9dafbb5af2e4bd583a36f3e317812d6.png" TargetMode="External"/><Relationship Id="rId659" Type="http://schemas.openxmlformats.org/officeDocument/2006/relationships/hyperlink" Target="https://cdn-images.kiotviet.vn/2024/12/17/giabaopharma/e355fcf8ab4848ed94cf766d1858f3c8.jpg" TargetMode="External"/><Relationship Id="rId866" Type="http://schemas.openxmlformats.org/officeDocument/2006/relationships/hyperlink" Target="https://product.hstatic.net/200000428801/product/59f257a56f55a50bfc44_93ff4ee05c5b43dbb5a1e79628004cd0.jpg" TargetMode="External"/><Relationship Id="rId214" Type="http://schemas.openxmlformats.org/officeDocument/2006/relationships/hyperlink" Target="https://cdn2-retail-images.kiotviet.vn/2024/10/10/giabaopharma/58ee22d30b7345c29a28af64032f9c40.png" TargetMode="External"/><Relationship Id="rId298" Type="http://schemas.openxmlformats.org/officeDocument/2006/relationships/hyperlink" Target="https://cdn2-retail-images.kiotviet.vn/2025/10/31/giabaopharma/6d7b2873e433438ab1bdc91b92a5bb79.jpg" TargetMode="External"/><Relationship Id="rId421" Type="http://schemas.openxmlformats.org/officeDocument/2006/relationships/hyperlink" Target="https://cdn-images.kiotviet.vn/giabaopharma/738e99b46751481ba890a8b7f58b9736.png,https:/cdn-images.kiotviet.vn/giabaopharma/01551dc239ba4c8b8485a169ece31854.png,https:/cdn-images.kiotviet.vn/giabaopharma/4fb151c6b5254678bb3cd0111227e080.png,https:/cdn-images.kiotviet.vn/giabaopharma/e9a5a2b875d64af7a1008d01d490d954.png,https:/cdn-images.kiotviet.vn/giabaopharma/bff5c78f780341d29b8ab474a47fa3b6.png" TargetMode="External"/><Relationship Id="rId519" Type="http://schemas.openxmlformats.org/officeDocument/2006/relationships/hyperlink" Target="https://product.hstatic.net/200000428801/product/3b5b8a0b5310994ec001_bf8b5a2fcd894b909837b60f4ac653a6.jpg" TargetMode="External"/><Relationship Id="rId158" Type="http://schemas.openxmlformats.org/officeDocument/2006/relationships/hyperlink" Target="https://product.hstatic.net/200000428801/product/zalo_screenshot_19_11_2021_627194_fdbbf51d7c164567a9fc1382b280a765.png" TargetMode="External"/><Relationship Id="rId726" Type="http://schemas.openxmlformats.org/officeDocument/2006/relationships/hyperlink" Target="https://product.hstatic.net/200000428801/product/2b7f4a5722cded93b4dc_07f99518f66a4e67970755028395b083.jpg" TargetMode="External"/><Relationship Id="rId62" Type="http://schemas.openxmlformats.org/officeDocument/2006/relationships/hyperlink" Target="https://product.hstatic.net/200000428801/product/713433d5158ad0d4899b_2ee86b38d72d446791315904db834e23.jpg" TargetMode="External"/><Relationship Id="rId365" Type="http://schemas.openxmlformats.org/officeDocument/2006/relationships/hyperlink" Target="https://product.hstatic.net/200000428801/product/zalo_screenshot_17_11_2021_941709_41f68449853a4ba790be4bbbb029359c.png" TargetMode="External"/><Relationship Id="rId572" Type="http://schemas.openxmlformats.org/officeDocument/2006/relationships/hyperlink" Target="https://product.hstatic.net/200000428801/product/24000b05a8cc6a9233dd_fea37acac83d472a853e630530db89cb.jpg" TargetMode="External"/><Relationship Id="rId225" Type="http://schemas.openxmlformats.org/officeDocument/2006/relationships/hyperlink" Target="https://cdn-images.kiotviet.vn/giabaopharma/efa61bfd75a14893a5f5b98e3b4e7d1f.png,https:/cdn-images.kiotviet.vn/giabaopharma/d6f72640015b43d3b8fb1460ee2f7a68.png,https:/cdn-images.kiotviet.vn/giabaopharma/518d85c2c8c74734b2869877cf951ea0.png,https:/cdn-images.kiotviet.vn/giabaopharma/f335cbc050d7454891e52682d2015e28.png,https:/cdn-images.kiotviet.vn/giabaopharma/b59d053f83d942009754e3b24885f780.png" TargetMode="External"/><Relationship Id="rId432" Type="http://schemas.openxmlformats.org/officeDocument/2006/relationships/hyperlink" Target="https://product.hstatic.net/200000428801/product/e1c16ed65072942ccd63_aa6964e03b5147ef982528befb31ae0c.jpg" TargetMode="External"/><Relationship Id="rId877" Type="http://schemas.openxmlformats.org/officeDocument/2006/relationships/hyperlink" Target="https://product.hstatic.net/200000428801/product/163_52d38aa6415e4091958b5cbd2d1c914d.png" TargetMode="External"/><Relationship Id="rId737" Type="http://schemas.openxmlformats.org/officeDocument/2006/relationships/hyperlink" Target="https://product.hstatic.net/200000428801/product/3db811ad4c4a8714de5b_ae50f92707c24e54ac61856c16cea4ef.jpg" TargetMode="External"/><Relationship Id="rId73" Type="http://schemas.openxmlformats.org/officeDocument/2006/relationships/hyperlink" Target="https://product.hstatic.net/200000428801/product/thiet_ke_khong_ten__81__ce9e2b5915d240ce9c9772f227b9c1cc.png" TargetMode="External"/><Relationship Id="rId169" Type="http://schemas.openxmlformats.org/officeDocument/2006/relationships/hyperlink" Target="https://product.hstatic.net/200000428801/product/thiet_ke_khong_ten__44__fbe6376928a446d3bc36d708004fd6ee.png" TargetMode="External"/><Relationship Id="rId376" Type="http://schemas.openxmlformats.org/officeDocument/2006/relationships/hyperlink" Target="https://cdn2-retail-images.kiotviet.vn/giabaopharma/45d2933a759b4a1298f78b27aec29f62.png" TargetMode="External"/><Relationship Id="rId583" Type="http://schemas.openxmlformats.org/officeDocument/2006/relationships/hyperlink" Target="https://i.postimg.cc/FzyjQ7PY/Vi-n-u-ng-gout-Urique-Kingphar-gi-m-acid-uric-m-u-gi-m-nguy-c-vi-m-kh-p-do-gout-1-L-40-vi-n-4.png" TargetMode="External"/><Relationship Id="rId790" Type="http://schemas.openxmlformats.org/officeDocument/2006/relationships/hyperlink" Target="https://product.hstatic.net/200000428801/product/zalo_screenshot_18_11_2021_759825_aff8b4a2941d430083b4f386824cb7cb.png" TargetMode="External"/><Relationship Id="rId804" Type="http://schemas.openxmlformats.org/officeDocument/2006/relationships/hyperlink" Target="https://cdn2-retail-images.kiotviet.vn/2025/11/07/giabaopharma/eb85852f51394b32ac316c9737a558ae.jpg" TargetMode="External"/><Relationship Id="rId4" Type="http://schemas.openxmlformats.org/officeDocument/2006/relationships/hyperlink" Target="https://cdn2-retail-images.kiotviet.vn/2025/02/13/giabaopharma/7e0b804d613c4f878fd4ab458f3db5ac.jpg" TargetMode="External"/><Relationship Id="rId236" Type="http://schemas.openxmlformats.org/officeDocument/2006/relationships/hyperlink" Target="https://product.hstatic.net/200000428801/product/bf5db122ad17476797e4e27424fb154f_a419229513bb4f8496895fbb229498cf.png" TargetMode="External"/><Relationship Id="rId443" Type="http://schemas.openxmlformats.org/officeDocument/2006/relationships/hyperlink" Target="https://cdn2-retail-images.kiotviet.vn/2025/02/25/giabaopharma/06600dfcd215486aa0802276f5156a87.jpg" TargetMode="External"/><Relationship Id="rId650" Type="http://schemas.openxmlformats.org/officeDocument/2006/relationships/hyperlink" Target="https://cdn2-retail-images.kiotviet.vn/2025/03/07/giabaopharma/ad0d59a876254c24af0a38606f783a2d.jpg" TargetMode="External"/><Relationship Id="rId888" Type="http://schemas.openxmlformats.org/officeDocument/2006/relationships/hyperlink" Target="https://i.postimg.cc/ZYQs1vgK/Alpha-tex.png" TargetMode="External"/><Relationship Id="rId303" Type="http://schemas.openxmlformats.org/officeDocument/2006/relationships/hyperlink" Target="https://product.hstatic.net/200000428801/product/20211211_142551_ce518ded7d2b4e4f8a0d9cfc8d2f08b9.png" TargetMode="External"/><Relationship Id="rId748" Type="http://schemas.openxmlformats.org/officeDocument/2006/relationships/hyperlink" Target="https://product.hstatic.net/200000428801/product/6cc0c7526087a5d9fc96_540f61d2088a44e3833189aab462eeda.jpg" TargetMode="External"/><Relationship Id="rId84" Type="http://schemas.openxmlformats.org/officeDocument/2006/relationships/hyperlink" Target="https://product.hstatic.net/200000428801/product/4a2610a4729f489c80b254c36e3bff5a_099297ac8355499992ff9c8ee5a6bb5b.png" TargetMode="External"/><Relationship Id="rId387" Type="http://schemas.openxmlformats.org/officeDocument/2006/relationships/hyperlink" Target="https://product.hstatic.net/200000428801/product/a5ecbd2bc0f10caf55e0_e398031c402c49a78ffa8677bb34718c.jpg" TargetMode="External"/><Relationship Id="rId510" Type="http://schemas.openxmlformats.org/officeDocument/2006/relationships/hyperlink" Target="https://product.hstatic.net/200000428801/product/upload_dbd1bcb20d7942dfa3b4fdf6565f851e.jpg" TargetMode="External"/><Relationship Id="rId594" Type="http://schemas.openxmlformats.org/officeDocument/2006/relationships/hyperlink" Target="https://i.postimg.cc/RZ1cSJtx/z6960036079932-a403a431c9ff6df41548854d123e5d74.jpg" TargetMode="External"/><Relationship Id="rId608" Type="http://schemas.openxmlformats.org/officeDocument/2006/relationships/hyperlink" Target="https://cdn2-retail-images.kiotviet.vn/2025/06/14/giabaopharma/661216c3c9544621acf4d001b25ad168.jpg" TargetMode="External"/><Relationship Id="rId815" Type="http://schemas.openxmlformats.org/officeDocument/2006/relationships/hyperlink" Target="https://product.hstatic.net/200000428801/product/thiet_ke_khong_ten__6__8ad54b6e121f499db4f194da52b2fd0e.png" TargetMode="External"/><Relationship Id="rId247" Type="http://schemas.openxmlformats.org/officeDocument/2006/relationships/hyperlink" Target="https://product.hstatic.net/200000428801/product/192_e6bb8ce8a9e943cb8c140240fc2c9f01.png" TargetMode="External"/><Relationship Id="rId899" Type="http://schemas.openxmlformats.org/officeDocument/2006/relationships/hyperlink" Target="https://product.hstatic.net/200000428801/product/01c73350058ec9d0909f_64c94ef166054602808a2d8b94106a50.jpg" TargetMode="External"/><Relationship Id="rId107" Type="http://schemas.openxmlformats.org/officeDocument/2006/relationships/hyperlink" Target="https://product.hstatic.net/200000428801/product/eff_0f6a457db77c49a5a6790f44fbe8f8cc.jpg" TargetMode="External"/><Relationship Id="rId454" Type="http://schemas.openxmlformats.org/officeDocument/2006/relationships/hyperlink" Target="https://cdn2-retail-images.kiotviet.vn/2025/06/10/giabaopharma/4020c8a5a1a246099990d35098fceda3.jpg" TargetMode="External"/><Relationship Id="rId661" Type="http://schemas.openxmlformats.org/officeDocument/2006/relationships/hyperlink" Target="https://cdn-images.kiotviet.vn/2024/11/29/giabaopharma/409f9efd9e9149e2a7a07f40bf97c261.jpg" TargetMode="External"/><Relationship Id="rId759" Type="http://schemas.openxmlformats.org/officeDocument/2006/relationships/hyperlink" Target="https://product.hstatic.net/200000428801/product/p_aae338e1faca467992eebb9fe897114b.jpg" TargetMode="External"/><Relationship Id="rId11" Type="http://schemas.openxmlformats.org/officeDocument/2006/relationships/hyperlink" Target="https://cdn-images.kiotviet.vn/giabaopharma/adc3a78e7e5b4503976f173429370b31.png,https:/cdn-images.kiotviet.vn/giabaopharma/9fa484bdd1664c56868d678e86154c67.png,https:/cdn-images.kiotviet.vn/giabaopharma/fcc49c655b8e4fd5b065b16bc7266db9.png,https:/cdn-images.kiotviet.vn/giabaopharma/e7f3520f986940ae8ced32d7cef84778.png,https:/cdn-images.kiotviet.vn/giabaopharma/8d5b7067fd704aa4b81e4520bd76f95a.png" TargetMode="External"/><Relationship Id="rId314" Type="http://schemas.openxmlformats.org/officeDocument/2006/relationships/hyperlink" Target="https://product.hstatic.net/200000428801/product/730832d425dfe581bcce_0b4ed0c334734405974a30453705f94f.jpg" TargetMode="External"/><Relationship Id="rId398" Type="http://schemas.openxmlformats.org/officeDocument/2006/relationships/hyperlink" Target="https://product.hstatic.net/200000428801/product/19_043b6b8eb898416bbf0dda2ad09dde77.png" TargetMode="External"/><Relationship Id="rId521" Type="http://schemas.openxmlformats.org/officeDocument/2006/relationships/hyperlink" Target="https://product.hstatic.net/200000428801/product/0486ba51fdd4378a6ec5_01ac175c6853417f933959506b15eb8c.jpg" TargetMode="External"/><Relationship Id="rId619" Type="http://schemas.openxmlformats.org/officeDocument/2006/relationships/hyperlink" Target="https://cdn-images.kiotviet.vn/2025/05/20/giabaopharma/ce82bcd26cce45cd9c172bba89629182.jpg,https:/cdn-images.kiotviet.vn/2025/05/20/giabaopharma/d68e93c09c82447f90c15a59accb9db0.jpg" TargetMode="External"/><Relationship Id="rId95" Type="http://schemas.openxmlformats.org/officeDocument/2006/relationships/hyperlink" Target="https://cdn2-retail-images.kiotviet.vn/2025/02/07/giabaopharma/85fc98277ac8447a96a889decaebcd8a.jpg" TargetMode="External"/><Relationship Id="rId160" Type="http://schemas.openxmlformats.org/officeDocument/2006/relationships/hyperlink" Target="https://product.hstatic.net/200000428801/product/zalo_screenshot_20_11_2021_721707_52155db9fa52469ca59a6700882c3e46.png" TargetMode="External"/><Relationship Id="rId826" Type="http://schemas.openxmlformats.org/officeDocument/2006/relationships/hyperlink" Target="https://cdn2-retail-images.kiotviet.vn/2025/12/30/giabaopharma/167859d7e9fa400ebe4ba42d5abb56b2.jpg" TargetMode="External"/><Relationship Id="rId258" Type="http://schemas.openxmlformats.org/officeDocument/2006/relationships/hyperlink" Target="https://cdn2-retail-images.kiotviet.vn/2025/12/29/giabaopharma/7e3362c1b7b44f67a3995ecccb7848bb.jpg" TargetMode="External"/><Relationship Id="rId465" Type="http://schemas.openxmlformats.org/officeDocument/2006/relationships/hyperlink" Target="https://product.hstatic.net/200000428801/product/zalo_screenshot_19_11_2021_626862_acc8c21e671c415880851aa8bb974d8f.png" TargetMode="External"/><Relationship Id="rId672" Type="http://schemas.openxmlformats.org/officeDocument/2006/relationships/hyperlink" Target="https://cdn2-retail-images.kiotviet.vn/giabaopharma/defa2b9761d44237816a3e41e492a92b.jpg" TargetMode="External"/><Relationship Id="rId22" Type="http://schemas.openxmlformats.org/officeDocument/2006/relationships/hyperlink" Target="https://cdn1-retail-images.kiotviet.vn/2026/01/15/giabaopharma/2349c757f04047c183cdaa9648a96b7c.jpg" TargetMode="External"/><Relationship Id="rId118" Type="http://schemas.openxmlformats.org/officeDocument/2006/relationships/hyperlink" Target="https://product.hstatic.net/200000428801/product/0bde9c4fe4b24af290f110caa93138ac_6de0420769024258be25cb9d11a28d23.jpg" TargetMode="External"/><Relationship Id="rId325" Type="http://schemas.openxmlformats.org/officeDocument/2006/relationships/hyperlink" Target="https://cdn2-retail-images.kiotviet.vn/2025/10/30/giabaopharma/91949ed11fe741d582e7747a49be4419.png" TargetMode="External"/><Relationship Id="rId532" Type="http://schemas.openxmlformats.org/officeDocument/2006/relationships/hyperlink" Target="https://cdn2-retail-images.kiotviet.vn/2025/10/23/giabaopharma/3b06bec375de4279b8951608dc440812.jpg" TargetMode="External"/><Relationship Id="rId171" Type="http://schemas.openxmlformats.org/officeDocument/2006/relationships/hyperlink" Target="https://cdn2-retail-images.kiotviet.vn/2025/03/28/giabaopharma/b7befa3c0ef84a75ad3e82ab488b999c.jpg" TargetMode="External"/><Relationship Id="rId837" Type="http://schemas.openxmlformats.org/officeDocument/2006/relationships/hyperlink" Target="https://product.hstatic.net/200000428801/product/zalo_screenshot_18_11_2021_643179_397a3be1647d4476b39b06cf3ad9c5c6.png" TargetMode="External"/><Relationship Id="rId269" Type="http://schemas.openxmlformats.org/officeDocument/2006/relationships/hyperlink" Target="https://product.hstatic.net/200000428801/product/thiet_ke_khong_ten__34__7436a24270ba4ad48a6069c0b992db53.png" TargetMode="External"/><Relationship Id="rId476" Type="http://schemas.openxmlformats.org/officeDocument/2006/relationships/hyperlink" Target="https://product.hstatic.net/200000428801/product/zalo_screenshot_20_11_2021_718289_075d1123d6bb4b838784984514350921.png" TargetMode="External"/><Relationship Id="rId683" Type="http://schemas.openxmlformats.org/officeDocument/2006/relationships/hyperlink" Target="https://cdn2-retail-images.kiotviet.vn/giabaopharma/d8f9d6e917bb4b07b523d29f00d952be.jpg,https:/cdn-images.kiotviet.vn/giabaopharma/32df601ff31e4a36a90251aab1c7f0a8.jpg,https:/cdn-images.kiotviet.vn/giabaopharma/bc530f6e29f94759b08993e6e7e4cf1d.jpg,https:/cdn-images.kiotviet.vn/giabaopharma/e435b281f23f43d7b79c788f78319170.jpg,https:/cdn-images.kiotviet.vn/giabaopharma/e08be76def9a4ee2812c0d38a70679e0.jpg" TargetMode="External"/><Relationship Id="rId890" Type="http://schemas.openxmlformats.org/officeDocument/2006/relationships/hyperlink" Target="https://cdn2-retail-images.kiotviet.vn/2026/01/20/giabaopharma/c26a1c3169af4669bc6d8e145128e6ec.jpg" TargetMode="External"/><Relationship Id="rId904" Type="http://schemas.openxmlformats.org/officeDocument/2006/relationships/hyperlink" Target="https://cdn2-retail-images.kiotviet.vn/2025/11/20/giabaopharma/9866d4f41f5c49f1846a5e147a7c422d.png" TargetMode="External"/><Relationship Id="rId33" Type="http://schemas.openxmlformats.org/officeDocument/2006/relationships/hyperlink" Target="https://product.hstatic.net/200000428801/product/zalo_screenshot_17_11_2021_950921_e54d5f29afc0474da8b33dad61594dc0.png" TargetMode="External"/><Relationship Id="rId129" Type="http://schemas.openxmlformats.org/officeDocument/2006/relationships/hyperlink" Target="https://cdn1-retail-images.kiotviet.vn/2026/03/10/giabaopharma/b4ea7d7985fe4232834a68179cdb719d.jpg" TargetMode="External"/><Relationship Id="rId336" Type="http://schemas.openxmlformats.org/officeDocument/2006/relationships/hyperlink" Target="https://product.hstatic.net/200000428801/product/7c2a5c1a1e00d05e8911_1b9ebd1f6dec4d6b9cbb15f6179f3702.png" TargetMode="External"/><Relationship Id="rId543" Type="http://schemas.openxmlformats.org/officeDocument/2006/relationships/hyperlink" Target="https://product.hstatic.net/200000428801/product/zalo_screenshot_20_11_2021_634142_74ecd74e98644941ad97ec36b7d063ca.png" TargetMode="External"/><Relationship Id="rId182" Type="http://schemas.openxmlformats.org/officeDocument/2006/relationships/hyperlink" Target="https://cdn-images.kiotviet.vn/giabaopharma/2fb8e298826245cbaa6e6edb9820a3a2.png,https:/cdn-images.kiotviet.vn/giabaopharma/3d57cc0c11e34cb584bfeff9b387d1d9.png,https:/cdn-images.kiotviet.vn/giabaopharma/d27abb5a3b2544e49fcb04d07d4d46d6.png,https:/cdn-images.kiotviet.vn/giabaopharma/2a6a35d0f98d43e7abb2a810e0b525ff.png,https:/cdn-images.kiotviet.vn/giabaopharma/b61769e614f041ec91e0cc4a6d896750.png" TargetMode="External"/><Relationship Id="rId403" Type="http://schemas.openxmlformats.org/officeDocument/2006/relationships/hyperlink" Target="https://product.hstatic.net/200000428801/product/09080d09438c89d2d09d_fcb39a964b0244ddb3c66bddf0beff4f.jpg" TargetMode="External"/><Relationship Id="rId750" Type="http://schemas.openxmlformats.org/officeDocument/2006/relationships/hyperlink" Target="https://product.hstatic.net/200000428801/product/thiet_ke_khong_ten__63__2db7833b52da4546831f650067c57e48.png" TargetMode="External"/><Relationship Id="rId848" Type="http://schemas.openxmlformats.org/officeDocument/2006/relationships/hyperlink" Target="https://cdn2-retail-images.kiotviet.vn/2025/12/22/giabaopharma/6898ba2f72cb41e19b6d2a545c3a63e1.jpg" TargetMode="External"/><Relationship Id="rId487" Type="http://schemas.openxmlformats.org/officeDocument/2006/relationships/hyperlink" Target="https://cdn2-retail-images.kiotviet.vn/2025/12/30/giabaopharma/6584ee3c3c0648668bc71c7c800baf04.png,https:/cdn2-retail-images.kiotviet.vn/2025/12/30/giabaopharma/b291ec684f1a4d0eb2389c43c9fde0b9.png,https:/cdn2-retail-images.kiotviet.vn/2025/12/30/giabaopharma/c74e5058a3d84e969f231db6ffd448f7.png,https:/cdn2-retail-images.kiotviet.vn/2025/12/30/giabaopharma/ca0c1ff42bee4e3bab67f8006de8f7b3.png" TargetMode="External"/><Relationship Id="rId610" Type="http://schemas.openxmlformats.org/officeDocument/2006/relationships/hyperlink" Target="https://cdn-images.kiotviet.vn/2025/06/19/giabaopharma/82fe1c8d50be41c18e28e93980bee514.jpg,https:/cdn-images.kiotviet.vn/2025/06/19/giabaopharma/5801e19c1be2412eb333dc3d0e91ebc9.jpg,https:/cdn-images.kiotviet.vn/2025/06/19/giabaopharma/79009d1c2b6445a79532113d838c30bb.jpg" TargetMode="External"/><Relationship Id="rId694" Type="http://schemas.openxmlformats.org/officeDocument/2006/relationships/hyperlink" Target="https://product.hstatic.net/200000428801/product/879e3a9762f64c8e861721c0cf27ba73_8d3c4c3bad6e44089a3f82a4f19bf883.jpg" TargetMode="External"/><Relationship Id="rId708" Type="http://schemas.openxmlformats.org/officeDocument/2006/relationships/hyperlink" Target="https://product.hstatic.net/200000428801/product/1d66dde1e799461783d06c05a678e248_7c0db14e36c34e329f64b8fd8a29fb4e.png" TargetMode="External"/><Relationship Id="rId347" Type="http://schemas.openxmlformats.org/officeDocument/2006/relationships/hyperlink" Target="https://product.hstatic.net/200000428801/product/zalo_screenshot_18_11_2021_636454_10d59e46ca2944849d9239fb47411edb.png" TargetMode="External"/><Relationship Id="rId44" Type="http://schemas.openxmlformats.org/officeDocument/2006/relationships/hyperlink" Target="https://cdn2-retail-images.kiotviet.vn/2025/10/30/giabaopharma/4306de85fe13481585e119eae35f3b6a.png" TargetMode="External"/><Relationship Id="rId554" Type="http://schemas.openxmlformats.org/officeDocument/2006/relationships/hyperlink" Target="https://product.hstatic.net/200000428801/product/581ee4cd2668e236bb79_d29f34269e014d38b356aaab51f46c32.jpg" TargetMode="External"/><Relationship Id="rId761" Type="http://schemas.openxmlformats.org/officeDocument/2006/relationships/hyperlink" Target="https://cdn-images.kiotviet.vn/2025/06/30/giabaopharma/28734c70d31e4e17a601fce91a30c515.jpg" TargetMode="External"/><Relationship Id="rId859" Type="http://schemas.openxmlformats.org/officeDocument/2006/relationships/hyperlink" Target="https://product.hstatic.net/200000428801/product/16040369eb0046368eae677d6d0ad8af_a1b956b79e284c5e9db3464702bc91d6.png" TargetMode="External"/><Relationship Id="rId193" Type="http://schemas.openxmlformats.org/officeDocument/2006/relationships/hyperlink" Target="https://cdn2-retail-images.kiotviet.vn/2025/10/30/giabaopharma/33ac9ffb5d46469f9e2c4770fa058cf9.png" TargetMode="External"/><Relationship Id="rId207" Type="http://schemas.openxmlformats.org/officeDocument/2006/relationships/hyperlink" Target="https://cdn2-retail-images.kiotviet.vn/2025/03/20/giabaopharma/4153e67b0c0b48c2beb798009d7ec23c.jpg" TargetMode="External"/><Relationship Id="rId414" Type="http://schemas.openxmlformats.org/officeDocument/2006/relationships/hyperlink" Target="https://cdn2-retail-images.kiotviet.vn/2024/09/30/giabaopharma/e8e62f4012c345d49ba1ac58294881da.jpg" TargetMode="External"/><Relationship Id="rId498" Type="http://schemas.openxmlformats.org/officeDocument/2006/relationships/hyperlink" Target="https://cdn2-retail-images.kiotviet.vn/2025/03/13/giabaopharma/3ce159cb9c554557b1b7219ca907989e.jpg" TargetMode="External"/><Relationship Id="rId621" Type="http://schemas.openxmlformats.org/officeDocument/2006/relationships/hyperlink" Target="https://cdn2-retail-images.kiotviet.vn/2025/11/22/giabaopharma/8347597feec84118b4013980fbf4ad2c.png" TargetMode="External"/><Relationship Id="rId260" Type="http://schemas.openxmlformats.org/officeDocument/2006/relationships/hyperlink" Target="https://product.hstatic.net/200000428801/product/45aa5d2926aae5f4bcbb_db193a0ec1f449be98ce9dfa5038f134.jpg" TargetMode="External"/><Relationship Id="rId719" Type="http://schemas.openxmlformats.org/officeDocument/2006/relationships/hyperlink" Target="https://cdn1-retail-images.kiotviet.vn/2026/01/07/giabaopharma/33f26010434541878f312a293a488c27.jpg" TargetMode="External"/><Relationship Id="rId55" Type="http://schemas.openxmlformats.org/officeDocument/2006/relationships/hyperlink" Target="https://product.hstatic.net/200000428801/product/1_ccda1d3310604143bb10e05f60f65578.png" TargetMode="External"/><Relationship Id="rId120" Type="http://schemas.openxmlformats.org/officeDocument/2006/relationships/hyperlink" Target="https://cdn2-retail-images.kiotviet.vn/2025/10/30/giabaopharma/20493ed1b8e94b2c973729ce72d81e9a.png" TargetMode="External"/><Relationship Id="rId358" Type="http://schemas.openxmlformats.org/officeDocument/2006/relationships/hyperlink" Target="https://cdn1-retail-images.kiotviet.vn/2026/01/10/giabaopharma/bc4531c349114e11a74d5e8a77fbfdce.jpg" TargetMode="External"/><Relationship Id="rId565" Type="http://schemas.openxmlformats.org/officeDocument/2006/relationships/hyperlink" Target="https://product.hstatic.net/200000428801/product/67a9807578fc41db9e2a5aead8eadcff_d468fdac5a3c47dd9cfb9202d8938581.png" TargetMode="External"/><Relationship Id="rId772" Type="http://schemas.openxmlformats.org/officeDocument/2006/relationships/hyperlink" Target="https://product.hstatic.net/200000428801/product/f3b477387ffebea0e7ef_220d3675648b45a888168a72441f044a.jpg" TargetMode="External"/><Relationship Id="rId218" Type="http://schemas.openxmlformats.org/officeDocument/2006/relationships/hyperlink" Target="https://cdn2-retail-images.kiotviet.vn/giabaopharma/7519640700cd489c80334a91790b456a.jpg" TargetMode="External"/><Relationship Id="rId425" Type="http://schemas.openxmlformats.org/officeDocument/2006/relationships/hyperlink" Target="https://product.hstatic.net/200000428801/product/30f550d53051f30faa4013_24b737d3c9eb45249e43dc518cde24a4.jpg" TargetMode="External"/><Relationship Id="rId632" Type="http://schemas.openxmlformats.org/officeDocument/2006/relationships/hyperlink" Target="https://cdn2-retail-images.kiotviet.vn/2025/03/24/giabaopharma/b69d241839d54bf49c84411b330af984.jpg" TargetMode="External"/><Relationship Id="rId271" Type="http://schemas.openxmlformats.org/officeDocument/2006/relationships/hyperlink" Target="https://product.hstatic.net/200000428801/product/zalo_screenshot_18_11_2021_94303_90962bf2dccc46f5b78b4068a1997d44.png" TargetMode="External"/><Relationship Id="rId66" Type="http://schemas.openxmlformats.org/officeDocument/2006/relationships/hyperlink" Target="https://product.hstatic.net/200000428801/product/f44c89a6f15630086947_b58546a998be439a971d25b0105ffcf8.jpg" TargetMode="External"/><Relationship Id="rId131" Type="http://schemas.openxmlformats.org/officeDocument/2006/relationships/hyperlink" Target="https://product.hstatic.net/200000428801/product/8f41375b4bde8180d8cf_9a0f669f4dab43d6a6878d6f9d5fc2cf.jpg" TargetMode="External"/><Relationship Id="rId369" Type="http://schemas.openxmlformats.org/officeDocument/2006/relationships/hyperlink" Target="https://cdn2-retail-images.kiotviet.vn/2026/03/07/giabaopharma/10731d2a6d704a23ba345438a52ae007.jpg" TargetMode="External"/><Relationship Id="rId576" Type="http://schemas.openxmlformats.org/officeDocument/2006/relationships/hyperlink" Target="https://product.hstatic.net/200000428801/product/clotrimazol__1__a78577230a034be496721fa3944eea22.png" TargetMode="External"/><Relationship Id="rId783" Type="http://schemas.openxmlformats.org/officeDocument/2006/relationships/hyperlink" Target="https://product.hstatic.net/200000428801/product/hhhh_f907a890d63c4dc2be25cac6fe756fcf.jpg" TargetMode="External"/><Relationship Id="rId229" Type="http://schemas.openxmlformats.org/officeDocument/2006/relationships/hyperlink" Target="https://cdn-images.kiotviet.vn/giabaopharma/a87d863cb0394e8c9f8f7a63c4df70da.png,https:/cdn-images.kiotviet.vn/giabaopharma/64f4d5d89f1447dcba34877e6ed23871.png,https:/cdn-images.kiotviet.vn/giabaopharma/80d1dcf3a1364dd19cf797686e9f04a3.png,https:/cdn-images.kiotviet.vn/giabaopharma/cb846ee0a7814e90b680875dd197b637.png,https:/cdn-images.kiotviet.vn/giabaopharma/eb3656b011c040a99b6b0bfc97501ab5.png" TargetMode="External"/><Relationship Id="rId436" Type="http://schemas.openxmlformats.org/officeDocument/2006/relationships/hyperlink" Target="https://cdn2-retail-images.kiotviet.vn/2026/03/30/giabaopharma/3634d7fbf8c34f7ea19b5c42f985c783.jpg" TargetMode="External"/><Relationship Id="rId643" Type="http://schemas.openxmlformats.org/officeDocument/2006/relationships/hyperlink" Target="https://cdn2-retail-images.kiotviet.vn/2025/03/13/giabaopharma/b8cd0053295a4e52851abf5aecca9213.jpg" TargetMode="External"/><Relationship Id="rId850" Type="http://schemas.openxmlformats.org/officeDocument/2006/relationships/hyperlink" Target="https://product.hstatic.net/200000428801/product/515037f43e32ff6ca623_47577231d6524bc6922c67f7a9583d24.png" TargetMode="External"/><Relationship Id="rId77" Type="http://schemas.openxmlformats.org/officeDocument/2006/relationships/hyperlink" Target="https://cdn-images.kiotviet.vn/giabaopharma/ccab6efbb75446c489478d87e4b1b81a.jpg" TargetMode="External"/><Relationship Id="rId282" Type="http://schemas.openxmlformats.org/officeDocument/2006/relationships/hyperlink" Target="https://cdn1-retail-images.kiotviet.vn/2026/01/20/giabaopharma/58ebbae77c0b4f7db3061abeda979996.jpg" TargetMode="External"/><Relationship Id="rId503" Type="http://schemas.openxmlformats.org/officeDocument/2006/relationships/hyperlink" Target="https://cdn2-retail-images.kiotviet.vn/giabaopharma/9396f41a42924c9584aab00ed9fd5e06.jpg,https:/cdn2-retail-images.kiotviet.vn/giabaopharma/8a22d5a8dfcb49b5bcf2a60b734d4df3.jpg,https:/cdn2-retail-images.kiotviet.vn/giabaopharma/2039b4d9d3b74c9a9271e6f788fb230e.jpg,https:/cdn2-retail-images.kiotviet.vn/giabaopharma/861314a749ce47b4be2d2d48596b2931.jpg,https:/cdn2-retail-images.kiotviet.vn/giabaopharma/fb3653dfa2bd44008cc9c564e8ae8254.jpg" TargetMode="External"/><Relationship Id="rId587" Type="http://schemas.openxmlformats.org/officeDocument/2006/relationships/hyperlink" Target="https://i.postimg.cc/xjtKTRXN/435e80a30aa94ba881c013d7b30a2aed.jpg" TargetMode="External"/><Relationship Id="rId710" Type="http://schemas.openxmlformats.org/officeDocument/2006/relationships/hyperlink" Target="https://product.hstatic.net/200000428801/product/82cad4a8be044651a6e88731287d51ed_5dec2d2ce772448288f74763dbf804c8.png" TargetMode="External"/><Relationship Id="rId808" Type="http://schemas.openxmlformats.org/officeDocument/2006/relationships/hyperlink" Target="https://product.hstatic.net/200000428801/product/eaae481aa67b66253f6a_f02a53b0e6164689ba51731c90fdb53b.jpg" TargetMode="External"/><Relationship Id="rId8" Type="http://schemas.openxmlformats.org/officeDocument/2006/relationships/hyperlink" Target="https://cdn2-retail-images.kiotviet.vn/giabaopharma/1801bb0c2ea54428a64ea9c40b58c51a.jpg" TargetMode="External"/><Relationship Id="rId142" Type="http://schemas.openxmlformats.org/officeDocument/2006/relationships/hyperlink" Target="https://cdn2-retail-images.kiotviet.vn/2025/10/30/giabaopharma/e8af7c4fa3494f25aceff5bf4528339a.png" TargetMode="External"/><Relationship Id="rId447" Type="http://schemas.openxmlformats.org/officeDocument/2006/relationships/hyperlink" Target="https://cdn2-retail-images.kiotviet.vn/giabaopharma/dcaa49d214a14d9aa7c55fc861964653.jpg" TargetMode="External"/><Relationship Id="rId794" Type="http://schemas.openxmlformats.org/officeDocument/2006/relationships/hyperlink" Target="https://cdn2-retail-images.kiotviet.vn/2025/11/12/giabaopharma/f99f1a46c43e45c7bc3f1139c8a2abab.jpg" TargetMode="External"/><Relationship Id="rId654" Type="http://schemas.openxmlformats.org/officeDocument/2006/relationships/hyperlink" Target="https://cdn2-retail-images.kiotviet.vn/2025/02/12/giabaopharma/9e29cc075e204a54b3554d324606b786.jpg" TargetMode="External"/><Relationship Id="rId861" Type="http://schemas.openxmlformats.org/officeDocument/2006/relationships/hyperlink" Target="https://cdn2-retail-images.kiotviet.vn/2025/10/23/giabaopharma/5e58d27b64a041e48abaa8077377bd91.png" TargetMode="External"/><Relationship Id="rId293" Type="http://schemas.openxmlformats.org/officeDocument/2006/relationships/hyperlink" Target="https://cdn1-retail-images.kiotviet.vn/2026/01/15/giabaopharma/3509d4b0835d4437a883529ddc13a1d8.jpg" TargetMode="External"/><Relationship Id="rId307" Type="http://schemas.openxmlformats.org/officeDocument/2006/relationships/hyperlink" Target="https://cdn2-retail-images.kiotviet.vn/2025/10/30/giabaopharma/d6549fc2f87b4ba1b8ac481e9b6c2710.png" TargetMode="External"/><Relationship Id="rId514" Type="http://schemas.openxmlformats.org/officeDocument/2006/relationships/hyperlink" Target="https://product.hstatic.net/200000428801/product/9c4977fb1a664884be8a8bd05d6b25de_667db24a810e44479a11c1b3b640bf3f.png" TargetMode="External"/><Relationship Id="rId721" Type="http://schemas.openxmlformats.org/officeDocument/2006/relationships/hyperlink" Target="https://product.hstatic.net/200000428801/product/94cc2a39c1640f3a5675_142a2c9634c3440ba33908cc07c93781.png" TargetMode="External"/><Relationship Id="rId88" Type="http://schemas.openxmlformats.org/officeDocument/2006/relationships/hyperlink" Target="https://product.hstatic.net/200000428801/product/72dcf2bfceb20dec54a3_f0860424993649f4b790e6e6b78efa59.jpg" TargetMode="External"/><Relationship Id="rId153" Type="http://schemas.openxmlformats.org/officeDocument/2006/relationships/hyperlink" Target="https://product.hstatic.net/200000428801/product/b68af5cf72b4a3eafaa52_af40c91a380c4441aa7c19dd88e8f8a9.jpg" TargetMode="External"/><Relationship Id="rId360" Type="http://schemas.openxmlformats.org/officeDocument/2006/relationships/hyperlink" Target="https://cdn1-retail-images.kiotviet.vn/2026/01/10/giabaopharma/2e9738929df943a3988938b59ded855e.jpg" TargetMode="External"/><Relationship Id="rId598" Type="http://schemas.openxmlformats.org/officeDocument/2006/relationships/hyperlink" Target="https://i.postimg.cc/5NXF9Md4/e140beacb60c4b0695b84e6710c87c9b.jpg" TargetMode="External"/><Relationship Id="rId819" Type="http://schemas.openxmlformats.org/officeDocument/2006/relationships/hyperlink" Target="https://product.hstatic.net/200000428801/product/14_9d3d6ce7b6b7477cb290cd150cba2d70.png" TargetMode="External"/><Relationship Id="rId220" Type="http://schemas.openxmlformats.org/officeDocument/2006/relationships/hyperlink" Target="https://cdn-images.kiotviet.vn/giabaopharma/eb9eec10858e4d19affc82452da7650b.jpg" TargetMode="External"/><Relationship Id="rId458" Type="http://schemas.openxmlformats.org/officeDocument/2006/relationships/hyperlink" Target="https://cdn2-retail-images.kiotviet.vn/2025/10/30/giabaopharma/c4cc7015c4bb4508b392fbc9051667d5.png" TargetMode="External"/><Relationship Id="rId665" Type="http://schemas.openxmlformats.org/officeDocument/2006/relationships/hyperlink" Target="https://cdn2-retail-images.kiotviet.vn/2025/10/23/giabaopharma/2a413176a57f4eddbed528e9a543c1f3.jpg" TargetMode="External"/><Relationship Id="rId872" Type="http://schemas.openxmlformats.org/officeDocument/2006/relationships/hyperlink" Target="https://product.hstatic.net/200000428801/product/zalo_screenshot_19_11_2021_627132_404487e1aa314e8dabd9a0d673d20fde.png" TargetMode="External"/><Relationship Id="rId15" Type="http://schemas.openxmlformats.org/officeDocument/2006/relationships/hyperlink" Target="https://product.hstatic.net/200000428801/product/21144cdb94064a50af77bb34ef999079_10e7d5650aaa4eb1a18b03ad0705e86c.png" TargetMode="External"/><Relationship Id="rId318" Type="http://schemas.openxmlformats.org/officeDocument/2006/relationships/hyperlink" Target="https://product.hstatic.net/200000428801/product/celeco_70760320e2d74242ab583015ae6e1ae0.png" TargetMode="External"/><Relationship Id="rId525" Type="http://schemas.openxmlformats.org/officeDocument/2006/relationships/hyperlink" Target="https://product.hstatic.net/200000428801/product/thiet_ke_khong_ten__14__bae8423348a04c5a82ad4cb266129098.png" TargetMode="External"/><Relationship Id="rId732" Type="http://schemas.openxmlformats.org/officeDocument/2006/relationships/hyperlink" Target="https://cdn2-retail-images.kiotviet.vn/2025/10/23/giabaopharma/6d69c651415e471da9e50a38c4ff3ba3.png" TargetMode="External"/><Relationship Id="rId99" Type="http://schemas.openxmlformats.org/officeDocument/2006/relationships/hyperlink" Target="https://cdn2-retail-images.kiotviet.vn/2025/10/30/giabaopharma/9353b359dc734997ae36d0c5fc810c3b.png" TargetMode="External"/><Relationship Id="rId164" Type="http://schemas.openxmlformats.org/officeDocument/2006/relationships/hyperlink" Target="https://product.hstatic.net/200000428801/product/68765cc47c84b2daeb95_d402aa19c34541d29e4493809aa9e885.jpg" TargetMode="External"/><Relationship Id="rId371" Type="http://schemas.openxmlformats.org/officeDocument/2006/relationships/hyperlink" Target="https://cdn2-retail-images.kiotviet.vn/2025/01/08/giabaopharma/7ee360b3b191435584f7a3fe15dba992.jpg" TargetMode="External"/><Relationship Id="rId469" Type="http://schemas.openxmlformats.org/officeDocument/2006/relationships/hyperlink" Target="https://product.hstatic.net/200000428801/product/zalo_screenshot_18_11_2021_829748_19eec616ba29498eb5414a2dcc6ca69c.png" TargetMode="External"/><Relationship Id="rId676" Type="http://schemas.openxmlformats.org/officeDocument/2006/relationships/hyperlink" Target="https://cdn2-retail-images.kiotviet.vn/giabaopharma/2c93c56fccc546208bff25d2c38e94fc.jpg,https:/cdn-images.kiotviet.vn/giabaopharma/2365869aac0949d2bb2cdd208d53e5f2.jpg" TargetMode="External"/><Relationship Id="rId883" Type="http://schemas.openxmlformats.org/officeDocument/2006/relationships/hyperlink" Target="https://cdn2-retail-images.kiotviet.vn/2026/03/07/giabaopharma/8c190e826250467d8bed17515b3aae3c.jpg" TargetMode="External"/><Relationship Id="rId26" Type="http://schemas.openxmlformats.org/officeDocument/2006/relationships/hyperlink" Target="https://product.hstatic.net/200000428801/product/9a026ebaa2b761e938a6_b3f21e3bd1004a3db0315f98464f093a.jpg" TargetMode="External"/><Relationship Id="rId231" Type="http://schemas.openxmlformats.org/officeDocument/2006/relationships/hyperlink" Target="https://product.hstatic.net/200000428801/product/9ac53e9b9bd2598c00c3_c7082ad52640463290bbdefc5f36bcf6.jpg" TargetMode="External"/><Relationship Id="rId329" Type="http://schemas.openxmlformats.org/officeDocument/2006/relationships/hyperlink" Target="https://product.hstatic.net/200000428801/product/008773956778a526fc69_a4d75c07514544f3a75fb978dcb8ad8d.jpg" TargetMode="External"/><Relationship Id="rId536" Type="http://schemas.openxmlformats.org/officeDocument/2006/relationships/hyperlink" Target="https://product.hstatic.net/200000428801/product/99474533ca14004a5905_e852a0c322584550b974f0c45c396dc2.jpg" TargetMode="External"/><Relationship Id="rId175" Type="http://schemas.openxmlformats.org/officeDocument/2006/relationships/hyperlink" Target="https://cdn2-retail-images.kiotviet.vn/giabaopharma/6af0d69637db48249416a256798d55f4.jpg,https:/cdn2-retail-images.kiotviet.vn/giabaopharma/5bb9a4f8561b44039bd0a2cf41c63711.jpg,https:/cdn2-retail-images.kiotviet.vn/giabaopharma/1d055a11c8ba4428b0e1f3a53be56b73.jpg,https:/cdn2-retail-images.kiotviet.vn/giabaopharma/cb86ee0db2664d8aa953bf6986bec88c.jpg,https:/cdn2-retail-images.kiotviet.vn/giabaopharma/796f18864e634a09b69f0782f48ec73f.jpg" TargetMode="External"/><Relationship Id="rId743" Type="http://schemas.openxmlformats.org/officeDocument/2006/relationships/hyperlink" Target="https://product.hstatic.net/200000428801/product/zalo_screenshot_20_11_2021_721855_330974328a7e4782be96a8569c806143.png" TargetMode="External"/><Relationship Id="rId382" Type="http://schemas.openxmlformats.org/officeDocument/2006/relationships/hyperlink" Target="https://cdn2-retail-images.kiotviet.vn/giabaopharma/45d2933a759b4a1298f78b27aec29f62.png" TargetMode="External"/><Relationship Id="rId603" Type="http://schemas.openxmlformats.org/officeDocument/2006/relationships/hyperlink" Target="https://i.postimg.cc/GtVtTH0Q/d601cb34777e401aae6a4b226a862d30.jpg" TargetMode="External"/><Relationship Id="rId687" Type="http://schemas.openxmlformats.org/officeDocument/2006/relationships/hyperlink" Target="https://cdn-images.kiotviet.vn/giabaopharma/a61e21849c054f88920c1898cfb2637d.png,https:/cdn-images.kiotviet.vn/giabaopharma/deb44c06f5264c51bf89a25001bf6ef2.png,https:/cdn2-retail-images.kiotviet.vn/2025/10/06/giabaopharma/00e4305357ad47919d97d7ec9dca255d.jpg,https:/cdn2-retail-images.kiotviet.vn/2025/10/06/giabaopharma/c0993ec868f946bd9eaa8efde5112f72.jpg" TargetMode="External"/><Relationship Id="rId810" Type="http://schemas.openxmlformats.org/officeDocument/2006/relationships/hyperlink" Target="https://product.hstatic.net/200000428801/product/zalo_screenshot_20_11_2021_636192_ad6c67d13f144817933184890744edf9.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14152-CEF7-C543-8AD1-0A97B81C9C09}">
  <dimension ref="A1:H1"/>
  <sheetViews>
    <sheetView tabSelected="1" workbookViewId="0"/>
  </sheetViews>
  <sheetFormatPr baseColWidth="10" defaultRowHeight="13" x14ac:dyDescent="0.15"/>
  <sheetData>
    <row r="1" spans="1:8" x14ac:dyDescent="0.15">
      <c r="A1" t="s">
        <v>16071</v>
      </c>
      <c r="B1" t="s">
        <v>38</v>
      </c>
      <c r="C1" t="s">
        <v>16061</v>
      </c>
      <c r="D1" t="s">
        <v>5</v>
      </c>
      <c r="E1" t="s">
        <v>68</v>
      </c>
      <c r="F1" t="s">
        <v>37</v>
      </c>
      <c r="G1" t="s">
        <v>16063</v>
      </c>
      <c r="H1"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DF92-DEDB-1B4E-B289-B2650D7192EF}">
  <dimension ref="A1:B7"/>
  <sheetViews>
    <sheetView workbookViewId="0"/>
  </sheetViews>
  <sheetFormatPr baseColWidth="10" defaultRowHeight="13" x14ac:dyDescent="0.15"/>
  <sheetData>
    <row r="1" spans="1:2" x14ac:dyDescent="0.15">
      <c r="A1" t="s">
        <v>16067</v>
      </c>
    </row>
    <row r="2" spans="1:2" x14ac:dyDescent="0.15">
      <c r="A2" t="s">
        <v>16031</v>
      </c>
      <c r="B2" t="s">
        <v>16032</v>
      </c>
    </row>
    <row r="3" spans="1:2" x14ac:dyDescent="0.15">
      <c r="A3" t="s">
        <v>16034</v>
      </c>
      <c r="B3" t="s">
        <v>16035</v>
      </c>
    </row>
    <row r="4" spans="1:2" x14ac:dyDescent="0.15">
      <c r="A4" t="s">
        <v>16068</v>
      </c>
      <c r="B4" t="s">
        <v>16038</v>
      </c>
    </row>
    <row r="5" spans="1:2" x14ac:dyDescent="0.15">
      <c r="A5" t="s">
        <v>16040</v>
      </c>
      <c r="B5" t="s">
        <v>16041</v>
      </c>
    </row>
    <row r="6" spans="1:2" x14ac:dyDescent="0.15">
      <c r="A6" t="s">
        <v>16043</v>
      </c>
      <c r="B6" t="s">
        <v>16044</v>
      </c>
    </row>
    <row r="7" spans="1:2" x14ac:dyDescent="0.15">
      <c r="A7" t="s">
        <v>16069</v>
      </c>
      <c r="B7" t="s">
        <v>16070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2A0E7-0C51-B54B-9C54-0E7F813EAF22}">
  <dimension ref="A1:B8"/>
  <sheetViews>
    <sheetView workbookViewId="0"/>
  </sheetViews>
  <sheetFormatPr baseColWidth="10" defaultRowHeight="13" x14ac:dyDescent="0.15"/>
  <sheetData>
    <row r="1" spans="1:2" x14ac:dyDescent="0.15">
      <c r="A1" t="s">
        <v>16060</v>
      </c>
    </row>
    <row r="2" spans="1:2" x14ac:dyDescent="0.15">
      <c r="A2" t="s">
        <v>16061</v>
      </c>
      <c r="B2" t="s">
        <v>16062</v>
      </c>
    </row>
    <row r="3" spans="1:2" x14ac:dyDescent="0.15">
      <c r="A3" t="s">
        <v>5</v>
      </c>
    </row>
    <row r="4" spans="1:2" x14ac:dyDescent="0.15">
      <c r="A4" t="s">
        <v>37</v>
      </c>
    </row>
    <row r="5" spans="1:2" x14ac:dyDescent="0.15">
      <c r="A5" t="s">
        <v>16063</v>
      </c>
      <c r="B5">
        <v>0</v>
      </c>
    </row>
    <row r="6" spans="1:2" x14ac:dyDescent="0.15">
      <c r="A6" t="s">
        <v>16064</v>
      </c>
      <c r="B6" t="s">
        <v>16065</v>
      </c>
    </row>
    <row r="7" spans="1:2" x14ac:dyDescent="0.15">
      <c r="A7" t="s">
        <v>63</v>
      </c>
    </row>
    <row r="8" spans="1:2" x14ac:dyDescent="0.15">
      <c r="A8" t="s">
        <v>16066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EC7BE-AAD8-3046-A368-85D12CBCD4FE}">
  <dimension ref="A1:B10"/>
  <sheetViews>
    <sheetView workbookViewId="0"/>
  </sheetViews>
  <sheetFormatPr baseColWidth="10" defaultRowHeight="13" x14ac:dyDescent="0.15"/>
  <sheetData>
    <row r="1" spans="1:2" x14ac:dyDescent="0.15">
      <c r="A1" t="s">
        <v>16057</v>
      </c>
    </row>
    <row r="2" spans="1:2" x14ac:dyDescent="0.15">
      <c r="A2" t="s">
        <v>5</v>
      </c>
    </row>
    <row r="3" spans="1:2" x14ac:dyDescent="0.15">
      <c r="A3" t="s">
        <v>68</v>
      </c>
    </row>
    <row r="4" spans="1:2" x14ac:dyDescent="0.15">
      <c r="A4" t="s">
        <v>63</v>
      </c>
    </row>
    <row r="5" spans="1:2" x14ac:dyDescent="0.15">
      <c r="A5" t="s">
        <v>16058</v>
      </c>
      <c r="B5" t="s">
        <v>42</v>
      </c>
    </row>
    <row r="10" spans="1:2" x14ac:dyDescent="0.15">
      <c r="A10" t="s">
        <v>16059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2EF0A-1D0E-2C45-8934-BC695EE7CB17}">
  <dimension ref="A1:B8"/>
  <sheetViews>
    <sheetView workbookViewId="0"/>
  </sheetViews>
  <sheetFormatPr baseColWidth="10" defaultRowHeight="13" x14ac:dyDescent="0.15"/>
  <sheetData>
    <row r="1" spans="1:2" x14ac:dyDescent="0.15">
      <c r="A1" t="s">
        <v>16049</v>
      </c>
    </row>
    <row r="2" spans="1:2" x14ac:dyDescent="0.15">
      <c r="A2" t="s">
        <v>16050</v>
      </c>
      <c r="B2">
        <f>COUNTA('KHÁCH HÀNG'!B:B)-1</f>
        <v>946</v>
      </c>
    </row>
    <row r="3" spans="1:2" x14ac:dyDescent="0.15">
      <c r="A3" t="s">
        <v>16051</v>
      </c>
      <c r="B3">
        <f>COUNTA('Hàng Q302'!C:C)-1</f>
        <v>909</v>
      </c>
    </row>
    <row r="4" spans="1:2" x14ac:dyDescent="0.15">
      <c r="A4" t="s">
        <v>16052</v>
      </c>
      <c r="B4">
        <f>COUNTA('CÔNG NỢ THEO HÓA ĐƠN'!A:A)-1</f>
        <v>2</v>
      </c>
    </row>
    <row r="5" spans="1:2" x14ac:dyDescent="0.15">
      <c r="A5" t="s">
        <v>16053</v>
      </c>
      <c r="B5">
        <f>SUM('CÔNG NỢ THEO HÓA ĐƠN'!G:G)-SUM('CÔNG NỢ THEO HÓA ĐƠN'!H:H)</f>
        <v>3988000</v>
      </c>
    </row>
    <row r="6" spans="1:2" x14ac:dyDescent="0.15">
      <c r="A6" t="s">
        <v>16054</v>
      </c>
      <c r="B6">
        <f>SUM('KHÁCH HÀNG'!H:H)</f>
        <v>45451378</v>
      </c>
    </row>
    <row r="7" spans="1:2" x14ac:dyDescent="0.15">
      <c r="A7" t="s">
        <v>16055</v>
      </c>
    </row>
    <row r="8" spans="1:2" x14ac:dyDescent="0.15">
      <c r="A8" t="s">
        <v>16056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8C86-E618-A64A-B57B-FFBE05332869}">
  <dimension ref="A1:C8"/>
  <sheetViews>
    <sheetView workbookViewId="0"/>
  </sheetViews>
  <sheetFormatPr baseColWidth="10" defaultRowHeight="13" x14ac:dyDescent="0.15"/>
  <sheetData>
    <row r="1" spans="1:3" x14ac:dyDescent="0.15">
      <c r="A1" t="s">
        <v>16028</v>
      </c>
    </row>
    <row r="2" spans="1:3" x14ac:dyDescent="0.15">
      <c r="A2" t="s">
        <v>16029</v>
      </c>
      <c r="B2" t="s">
        <v>16030</v>
      </c>
      <c r="C2" t="s">
        <v>63</v>
      </c>
    </row>
    <row r="3" spans="1:3" x14ac:dyDescent="0.15">
      <c r="A3" t="s">
        <v>16031</v>
      </c>
      <c r="B3" t="s">
        <v>16032</v>
      </c>
      <c r="C3" t="s">
        <v>16033</v>
      </c>
    </row>
    <row r="4" spans="1:3" x14ac:dyDescent="0.15">
      <c r="A4" t="s">
        <v>16034</v>
      </c>
      <c r="B4" t="s">
        <v>16035</v>
      </c>
      <c r="C4" t="s">
        <v>16036</v>
      </c>
    </row>
    <row r="5" spans="1:3" x14ac:dyDescent="0.15">
      <c r="A5" t="s">
        <v>16037</v>
      </c>
      <c r="B5" t="s">
        <v>16038</v>
      </c>
      <c r="C5" t="s">
        <v>16039</v>
      </c>
    </row>
    <row r="6" spans="1:3" x14ac:dyDescent="0.15">
      <c r="A6" t="s">
        <v>16040</v>
      </c>
      <c r="B6" t="s">
        <v>16041</v>
      </c>
      <c r="C6" t="s">
        <v>16042</v>
      </c>
    </row>
    <row r="7" spans="1:3" x14ac:dyDescent="0.15">
      <c r="A7" t="s">
        <v>16043</v>
      </c>
      <c r="B7" t="s">
        <v>16044</v>
      </c>
      <c r="C7" t="s">
        <v>16045</v>
      </c>
    </row>
    <row r="8" spans="1:3" x14ac:dyDescent="0.15">
      <c r="A8" t="s">
        <v>16046</v>
      </c>
      <c r="B8" t="s">
        <v>16047</v>
      </c>
      <c r="C8" t="s">
        <v>16048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996"/>
  <sheetViews>
    <sheetView showGridLines="0" workbookViewId="0"/>
  </sheetViews>
  <sheetFormatPr baseColWidth="10" defaultColWidth="12.6640625" defaultRowHeight="15.75" customHeight="1" x14ac:dyDescent="0.15"/>
  <cols>
    <col min="1" max="1" width="12.6640625" customWidth="1"/>
    <col min="2" max="2" width="15" customWidth="1"/>
    <col min="3" max="3" width="28.5" customWidth="1"/>
    <col min="4" max="4" width="26.6640625" customWidth="1"/>
    <col min="5" max="5" width="11.1640625" customWidth="1"/>
    <col min="6" max="6" width="13.6640625" customWidth="1"/>
    <col min="7" max="7" width="17.83203125" customWidth="1"/>
  </cols>
  <sheetData>
    <row r="1" spans="1:10" ht="13" x14ac:dyDescent="0.15">
      <c r="A1" s="1"/>
      <c r="B1" s="113" t="s">
        <v>0</v>
      </c>
      <c r="C1" s="112"/>
      <c r="D1" s="2"/>
      <c r="E1" s="3"/>
      <c r="F1" s="2"/>
      <c r="G1" s="2"/>
      <c r="H1" s="2"/>
      <c r="I1" s="2"/>
      <c r="J1" s="2"/>
    </row>
    <row r="2" spans="1:10" ht="13" x14ac:dyDescent="0.15">
      <c r="A2" s="1"/>
      <c r="B2" s="113" t="s">
        <v>1</v>
      </c>
      <c r="C2" s="112"/>
      <c r="D2" s="2"/>
      <c r="E2" s="3"/>
      <c r="F2" s="2"/>
      <c r="G2" s="2"/>
      <c r="H2" s="2"/>
      <c r="I2" s="2"/>
      <c r="J2" s="2"/>
    </row>
    <row r="3" spans="1:10" ht="13" x14ac:dyDescent="0.15">
      <c r="A3" s="1"/>
      <c r="B3" s="113" t="s">
        <v>2</v>
      </c>
      <c r="C3" s="112"/>
      <c r="D3" s="2"/>
      <c r="E3" s="3"/>
      <c r="F3" s="2"/>
      <c r="G3" s="2"/>
      <c r="H3" s="2"/>
      <c r="I3" s="2"/>
      <c r="J3" s="2"/>
    </row>
    <row r="4" spans="1:10" ht="13" x14ac:dyDescent="0.15">
      <c r="A4" s="4"/>
      <c r="B4" s="2"/>
      <c r="C4" s="2"/>
      <c r="D4" s="2"/>
      <c r="E4" s="3"/>
      <c r="F4" s="2"/>
      <c r="G4" s="2"/>
      <c r="H4" s="2"/>
      <c r="I4" s="2"/>
      <c r="J4" s="2"/>
    </row>
    <row r="5" spans="1:10" ht="13" x14ac:dyDescent="0.15">
      <c r="A5" s="114" t="s">
        <v>3</v>
      </c>
      <c r="B5" s="112"/>
      <c r="C5" s="112"/>
      <c r="D5" s="112"/>
      <c r="E5" s="112"/>
      <c r="F5" s="112"/>
      <c r="G5" s="112"/>
      <c r="H5" s="2"/>
      <c r="I5" s="2"/>
      <c r="J5" s="2"/>
    </row>
    <row r="6" spans="1:10" ht="13" x14ac:dyDescent="0.15">
      <c r="A6" s="115" t="s">
        <v>4</v>
      </c>
      <c r="B6" s="116"/>
      <c r="C6" s="116"/>
      <c r="D6" s="116"/>
      <c r="E6" s="116"/>
      <c r="F6" s="116"/>
      <c r="G6" s="117"/>
      <c r="H6" s="2"/>
      <c r="I6" s="2"/>
      <c r="J6" s="2"/>
    </row>
    <row r="7" spans="1:10" ht="13" x14ac:dyDescent="0.15">
      <c r="A7" s="4"/>
      <c r="B7" s="2"/>
      <c r="C7" s="2"/>
      <c r="D7" s="2"/>
      <c r="E7" s="3"/>
      <c r="F7" s="2"/>
      <c r="G7" s="2"/>
      <c r="H7" s="2"/>
      <c r="I7" s="2"/>
      <c r="J7" s="2"/>
    </row>
    <row r="8" spans="1:10" ht="13" x14ac:dyDescent="0.15">
      <c r="A8" s="118"/>
      <c r="B8" s="112"/>
      <c r="C8" s="2"/>
      <c r="D8" s="2"/>
      <c r="E8" s="3"/>
      <c r="F8" s="2"/>
      <c r="G8" s="2"/>
      <c r="H8" s="2"/>
      <c r="I8" s="2"/>
      <c r="J8" s="2"/>
    </row>
    <row r="9" spans="1:10" ht="28" x14ac:dyDescent="0.2">
      <c r="A9" s="1" t="s">
        <v>5</v>
      </c>
      <c r="B9" s="5" t="str">
        <f t="array" aca="1" ref="B9" ca="1">IFERROR(INDEX('KHÁCH HÀNG'!B:B, MATCH(B10, 'KHÁCH HÀNG'!C:C, 0)), "")</f>
        <v>KH302775123</v>
      </c>
      <c r="C9" s="2"/>
      <c r="D9" s="2"/>
      <c r="E9" s="3"/>
      <c r="F9" s="2"/>
      <c r="G9" s="2"/>
      <c r="H9" s="2"/>
      <c r="I9" s="2"/>
      <c r="J9" s="2"/>
    </row>
    <row r="10" spans="1:10" ht="15" x14ac:dyDescent="0.2">
      <c r="A10" s="1" t="s">
        <v>6</v>
      </c>
      <c r="B10" s="6" t="str">
        <f ca="1">IFERROR(__xludf.DUMMYFUNCTION("IFERROR(INDEX(FILTER('KHÁCH HÀNG'!C2:C996, ISNUMBER(SEARCH(C10, 'KHÁCH HÀNG'!C2:C996))), 1), """")"),"C Liên Nghệ An")</f>
        <v>C Liên Nghệ An</v>
      </c>
      <c r="C10" s="7" t="s">
        <v>7</v>
      </c>
      <c r="D10" s="2"/>
      <c r="E10" s="3"/>
      <c r="F10" s="2"/>
      <c r="G10" s="2"/>
      <c r="H10" s="2"/>
      <c r="I10" s="2"/>
      <c r="J10" s="2"/>
    </row>
    <row r="11" spans="1:10" ht="14" x14ac:dyDescent="0.15">
      <c r="A11" s="1" t="s">
        <v>8</v>
      </c>
      <c r="B11" s="6" t="str">
        <f t="array" aca="1" ref="B11" ca="1">IFERROR(INDEX('KHÁCH HÀNG'!E:E, MATCH(TRIM(B9), 'KHÁCH HÀNG'!B:B, 0)), "")</f>
        <v>Số 425 đường Phủ Quỳ(gần Vincom),Thị Xã Thái Hòa,Nghệ An</v>
      </c>
      <c r="C11" s="2"/>
      <c r="D11" s="2"/>
      <c r="E11" s="3"/>
      <c r="F11" s="2"/>
      <c r="G11" s="2"/>
      <c r="H11" s="2"/>
      <c r="I11" s="2"/>
      <c r="J11" s="2"/>
    </row>
    <row r="12" spans="1:10" ht="14" x14ac:dyDescent="0.15">
      <c r="A12" s="1" t="s">
        <v>9</v>
      </c>
      <c r="B12" s="6" t="str">
        <f t="array" aca="1" ref="B12" ca="1">IFERROR(INDEX('KHÁCH HÀNG'!D:D, MATCH(TRIM(B9), 'KHÁCH HÀNG'!B:B, 0))&amp;"", "")</f>
        <v>984126238</v>
      </c>
      <c r="C12" s="2"/>
      <c r="D12" s="2"/>
      <c r="E12" s="3"/>
      <c r="F12" s="2"/>
      <c r="G12" s="2"/>
      <c r="H12" s="2"/>
      <c r="I12" s="2"/>
      <c r="J12" s="2"/>
    </row>
    <row r="13" spans="1:10" ht="13" x14ac:dyDescent="0.15">
      <c r="A13" s="4"/>
      <c r="B13" s="2"/>
      <c r="C13" s="2"/>
      <c r="D13" s="2"/>
      <c r="E13" s="3"/>
      <c r="F13" s="2"/>
      <c r="G13" s="2"/>
      <c r="H13" s="2"/>
      <c r="I13" s="2"/>
      <c r="J13" s="2"/>
    </row>
    <row r="14" spans="1:10" ht="25.5" customHeight="1" x14ac:dyDescent="0.15">
      <c r="A14" s="8" t="s">
        <v>10</v>
      </c>
      <c r="B14" s="9" t="s">
        <v>11</v>
      </c>
      <c r="C14" s="10" t="s">
        <v>12</v>
      </c>
      <c r="D14" s="10" t="s">
        <v>13</v>
      </c>
      <c r="E14" s="11" t="s">
        <v>14</v>
      </c>
      <c r="F14" s="10" t="s">
        <v>15</v>
      </c>
      <c r="G14" s="10" t="s">
        <v>16</v>
      </c>
      <c r="H14" s="2"/>
      <c r="I14" s="2"/>
      <c r="J14" s="2"/>
    </row>
    <row r="15" spans="1:10" ht="72" customHeight="1" x14ac:dyDescent="0.15">
      <c r="A15" s="12">
        <v>1</v>
      </c>
      <c r="B15" s="13" t="str">
        <f t="array" ref="B15">IFERROR(INDEX('HÀNG HÓA'!C:C, MATCH(C15, 'HÀNG HÓA'!D:D, 0)), "")</f>
        <v>SP64856123</v>
      </c>
      <c r="C15" s="14" t="s">
        <v>17</v>
      </c>
      <c r="D15" s="15">
        <f t="array" ref="D15">IFERROR(INDEX('HÀNG HÓA'!E:E, MATCH(C15, 'HÀNG HÓA'!D:D, 0)), "")</f>
        <v>0</v>
      </c>
      <c r="E15" s="16">
        <v>2</v>
      </c>
      <c r="F15" s="16">
        <f t="array" ref="F15">IFERROR(INDEX('HÀNG HÓA'!F:F, MATCH(C15, 'HÀNG HÓA'!D:D, 0)), "")</f>
        <v>42000</v>
      </c>
      <c r="G15" s="16">
        <f>F15*E15</f>
        <v>84000</v>
      </c>
      <c r="H15" s="17"/>
      <c r="I15" s="2"/>
      <c r="J15" s="2"/>
    </row>
    <row r="16" spans="1:10" ht="72" customHeight="1" x14ac:dyDescent="0.15">
      <c r="A16" s="12">
        <v>2</v>
      </c>
      <c r="B16" s="13" t="str">
        <f t="array" ref="B16">IFERROR(INDEX('HÀNG HÓA'!C:C, MATCH(C16, 'HÀNG HÓA'!D:D, 0)), "")</f>
        <v>SP64856118</v>
      </c>
      <c r="C16" s="14" t="s">
        <v>18</v>
      </c>
      <c r="D16" s="15">
        <f t="array" ref="D16">IFERROR(INDEX('HÀNG HÓA'!E:E, MATCH(C16, 'HÀNG HÓA'!D:D, 0)), "")</f>
        <v>0</v>
      </c>
      <c r="E16" s="16">
        <v>5</v>
      </c>
      <c r="F16" s="16">
        <f t="array" ref="F16">IFERROR(INDEX('HÀNG HÓA'!F:F, MATCH(C16, 'HÀNG HÓA'!D:D, 0)), "")</f>
        <v>55000</v>
      </c>
      <c r="G16" s="16">
        <f t="shared" ref="G16:G21" si="0">E16*F16</f>
        <v>275000</v>
      </c>
      <c r="H16" s="17"/>
      <c r="I16" s="2"/>
      <c r="J16" s="2"/>
    </row>
    <row r="17" spans="1:10" ht="72" customHeight="1" x14ac:dyDescent="0.15">
      <c r="A17" s="12">
        <v>3</v>
      </c>
      <c r="B17" s="13" t="str">
        <f t="array" ref="B17">IFERROR(INDEX('HÀNG HÓA'!C:C, MATCH(C17, 'HÀNG HÓA'!D:D, 0)), "")</f>
        <v>SP64856123</v>
      </c>
      <c r="C17" s="14" t="s">
        <v>17</v>
      </c>
      <c r="D17" s="15">
        <f t="array" ref="D17">IFERROR(INDEX('HÀNG HÓA'!E:E, MATCH(C17, 'HÀNG HÓA'!D:D, 0)), "")</f>
        <v>0</v>
      </c>
      <c r="E17" s="16">
        <v>4</v>
      </c>
      <c r="F17" s="16">
        <f t="array" ref="F17">IFERROR(INDEX('HÀNG HÓA'!F:F, MATCH(C17, 'HÀNG HÓA'!D:D, 0)), "")</f>
        <v>42000</v>
      </c>
      <c r="G17" s="16">
        <f t="shared" si="0"/>
        <v>168000</v>
      </c>
      <c r="H17" s="17"/>
      <c r="I17" s="2"/>
      <c r="J17" s="2"/>
    </row>
    <row r="18" spans="1:10" ht="72" customHeight="1" x14ac:dyDescent="0.15">
      <c r="A18" s="12">
        <v>4</v>
      </c>
      <c r="B18" s="13"/>
      <c r="C18" s="18"/>
      <c r="D18" s="15" t="str">
        <f t="array" ref="D18">IFERROR(INDEX('HÀNG HÓA'!E:E, MATCH(C18, 'HÀNG HÓA'!D:D, 0)), "")</f>
        <v/>
      </c>
      <c r="E18" s="16"/>
      <c r="F18" s="16"/>
      <c r="G18" s="16">
        <f t="shared" si="0"/>
        <v>0</v>
      </c>
      <c r="H18" s="17"/>
      <c r="I18" s="2"/>
      <c r="J18" s="2"/>
    </row>
    <row r="19" spans="1:10" ht="72" customHeight="1" x14ac:dyDescent="0.15">
      <c r="A19" s="12">
        <v>5</v>
      </c>
      <c r="B19" s="13"/>
      <c r="C19" s="18"/>
      <c r="D19" s="15" t="str">
        <f t="array" ref="D19">IFERROR(INDEX('HÀNG HÓA'!E:E, MATCH(C19, 'HÀNG HÓA'!D:D, 0)), "")</f>
        <v/>
      </c>
      <c r="E19" s="16"/>
      <c r="F19" s="16"/>
      <c r="G19" s="16">
        <f t="shared" si="0"/>
        <v>0</v>
      </c>
      <c r="H19" s="17"/>
      <c r="I19" s="2"/>
      <c r="J19" s="2"/>
    </row>
    <row r="20" spans="1:10" ht="72" customHeight="1" x14ac:dyDescent="0.15">
      <c r="A20" s="12">
        <v>6</v>
      </c>
      <c r="B20" s="13" t="str">
        <f t="array" ref="B20">IFERROR(INDEX('HÀNG HÓA'!C:C, MATCH(C20, 'HÀNG HÓA'!D:D, 0)), "")</f>
        <v/>
      </c>
      <c r="C20" s="18"/>
      <c r="D20" s="15" t="str">
        <f t="array" ref="D20">IFERROR(INDEX('HÀNG HÓA'!E:E, MATCH(C20, 'HÀNG HÓA'!D:D, 0)), "")</f>
        <v/>
      </c>
      <c r="E20" s="16"/>
      <c r="F20" s="16" t="str">
        <f t="array" ref="F20">IFERROR(INDEX('HÀNG HÓA'!F:F, MATCH(C20, 'HÀNG HÓA'!D:D, 0)), "")</f>
        <v/>
      </c>
      <c r="G20" s="16" t="e">
        <f t="shared" si="0"/>
        <v>#VALUE!</v>
      </c>
      <c r="H20" s="17"/>
      <c r="I20" s="2"/>
      <c r="J20" s="2"/>
    </row>
    <row r="21" spans="1:10" ht="72" customHeight="1" x14ac:dyDescent="0.15">
      <c r="A21" s="12">
        <v>7</v>
      </c>
      <c r="B21" s="13" t="str">
        <f t="array" ref="B21">IFERROR(INDEX('HÀNG HÓA'!C:C, MATCH(C21, 'HÀNG HÓA'!D:D, 0)), "")</f>
        <v/>
      </c>
      <c r="C21" s="18"/>
      <c r="D21" s="15" t="str">
        <f t="array" ref="D21">IFERROR(INDEX('HÀNG HÓA'!E:E, MATCH(C21, 'HÀNG HÓA'!D:D, 0)), "")</f>
        <v/>
      </c>
      <c r="E21" s="16"/>
      <c r="F21" s="16" t="str">
        <f t="array" ref="F21">IFERROR(INDEX('HÀNG HÓA'!F:F, MATCH(C21, 'HÀNG HÓA'!D:D, 0)), "")</f>
        <v/>
      </c>
      <c r="G21" s="16" t="e">
        <f t="shared" si="0"/>
        <v>#VALUE!</v>
      </c>
      <c r="H21" s="17"/>
      <c r="I21" s="2"/>
      <c r="J21" s="2"/>
    </row>
    <row r="22" spans="1:10" ht="14" x14ac:dyDescent="0.15">
      <c r="A22" s="12" t="s">
        <v>19</v>
      </c>
      <c r="B22" s="15"/>
      <c r="C22" s="15"/>
      <c r="D22" s="15"/>
      <c r="E22" s="16"/>
      <c r="F22" s="16"/>
      <c r="G22" s="16" t="e">
        <f>SUM(G15:G21)</f>
        <v>#VALUE!</v>
      </c>
      <c r="H22" s="2"/>
      <c r="I22" s="2"/>
      <c r="J22" s="2"/>
    </row>
    <row r="23" spans="1:10" ht="14" x14ac:dyDescent="0.15">
      <c r="A23" s="12" t="s">
        <v>20</v>
      </c>
      <c r="B23" s="15"/>
      <c r="C23" s="15"/>
      <c r="D23" s="15"/>
      <c r="E23" s="16"/>
      <c r="F23" s="16"/>
      <c r="G23" s="16"/>
      <c r="H23" s="2"/>
      <c r="I23" s="2"/>
      <c r="J23" s="2"/>
    </row>
    <row r="24" spans="1:10" ht="14" x14ac:dyDescent="0.15">
      <c r="A24" s="12" t="s">
        <v>21</v>
      </c>
      <c r="B24" s="15"/>
      <c r="C24" s="15"/>
      <c r="D24" s="15"/>
      <c r="E24" s="16"/>
      <c r="F24" s="16"/>
      <c r="G24" s="16"/>
      <c r="H24" s="2"/>
      <c r="I24" s="2"/>
      <c r="J24" s="2"/>
    </row>
    <row r="25" spans="1:10" ht="13" x14ac:dyDescent="0.15">
      <c r="A25" s="119" t="s">
        <v>22</v>
      </c>
      <c r="B25" s="117"/>
      <c r="C25" s="15"/>
      <c r="D25" s="15"/>
      <c r="E25" s="16"/>
      <c r="F25" s="16"/>
      <c r="G25" s="16"/>
      <c r="H25" s="2"/>
      <c r="I25" s="2"/>
      <c r="J25" s="2"/>
    </row>
    <row r="26" spans="1:10" ht="14" x14ac:dyDescent="0.15">
      <c r="A26" s="12" t="s">
        <v>23</v>
      </c>
      <c r="B26" s="15"/>
      <c r="C26" s="15"/>
      <c r="D26" s="15"/>
      <c r="E26" s="16"/>
      <c r="F26" s="16"/>
      <c r="G26" s="16"/>
      <c r="H26" s="2"/>
      <c r="I26" s="2"/>
      <c r="J26" s="2"/>
    </row>
    <row r="27" spans="1:10" ht="13" x14ac:dyDescent="0.15">
      <c r="A27" s="120" t="s">
        <v>24</v>
      </c>
      <c r="B27" s="117"/>
      <c r="C27" s="15"/>
      <c r="D27" s="15"/>
      <c r="E27" s="16"/>
      <c r="F27" s="16"/>
      <c r="G27" s="16">
        <v>0</v>
      </c>
      <c r="H27" s="2"/>
      <c r="I27" s="2"/>
      <c r="J27" s="2"/>
    </row>
    <row r="28" spans="1:10" ht="28" x14ac:dyDescent="0.15">
      <c r="A28" s="8" t="s">
        <v>25</v>
      </c>
      <c r="B28" s="15"/>
      <c r="C28" s="15"/>
      <c r="D28" s="15"/>
      <c r="E28" s="16"/>
      <c r="F28" s="16"/>
      <c r="G28" s="16" t="e">
        <f>G22-G23+G24+G25+G26-G27</f>
        <v>#VALUE!</v>
      </c>
      <c r="H28" s="2"/>
      <c r="I28" s="2"/>
      <c r="J28" s="2"/>
    </row>
    <row r="29" spans="1:10" ht="13" x14ac:dyDescent="0.15">
      <c r="A29" s="4"/>
      <c r="B29" s="2"/>
      <c r="C29" s="2"/>
      <c r="D29" s="2"/>
      <c r="E29" s="3"/>
      <c r="F29" s="2"/>
      <c r="G29" s="2"/>
      <c r="H29" s="2"/>
      <c r="I29" s="2"/>
      <c r="J29" s="2"/>
    </row>
    <row r="30" spans="1:10" ht="13" x14ac:dyDescent="0.15">
      <c r="A30" s="111"/>
      <c r="B30" s="112"/>
      <c r="C30" s="2"/>
      <c r="D30" s="2"/>
      <c r="E30" s="3"/>
      <c r="F30" s="2"/>
      <c r="G30" s="2"/>
      <c r="H30" s="2"/>
      <c r="I30" s="2"/>
      <c r="J30" s="2"/>
    </row>
    <row r="31" spans="1:10" ht="13" x14ac:dyDescent="0.15">
      <c r="A31" s="4"/>
      <c r="B31" s="2"/>
      <c r="C31" s="2"/>
      <c r="D31" s="2"/>
      <c r="E31" s="3"/>
      <c r="F31" s="2"/>
      <c r="G31" s="2"/>
      <c r="H31" s="2"/>
      <c r="I31" s="2"/>
      <c r="J31" s="2"/>
    </row>
    <row r="32" spans="1:10" ht="13" x14ac:dyDescent="0.15">
      <c r="A32" s="121" t="s">
        <v>26</v>
      </c>
      <c r="B32" s="112"/>
      <c r="C32" s="112"/>
      <c r="D32" s="112"/>
      <c r="E32" s="112"/>
      <c r="F32" s="112"/>
      <c r="G32" s="112"/>
      <c r="H32" s="2"/>
      <c r="I32" s="2"/>
      <c r="J32" s="2"/>
    </row>
    <row r="33" spans="1:10" ht="13" x14ac:dyDescent="0.15">
      <c r="A33" s="4"/>
      <c r="B33" s="2"/>
      <c r="C33" s="2"/>
      <c r="D33" s="2"/>
      <c r="E33" s="3"/>
      <c r="F33" s="2"/>
      <c r="G33" s="2"/>
      <c r="H33" s="2"/>
      <c r="I33" s="2"/>
      <c r="J33" s="2"/>
    </row>
    <row r="34" spans="1:10" ht="84" customHeight="1" x14ac:dyDescent="0.15">
      <c r="A34" s="4" t="s">
        <v>27</v>
      </c>
      <c r="B34" s="19" t="str">
        <f t="array" aca="1" ref="B34" ca="1">IFERROR(INDEX('KHÁCH HÀNG'!F:F, MATCH(B9, 'KHÁCH HÀNG'!B:B, 0)), "")</f>
        <v>CHUYỂN KHOẢN TRƯỚC
 XE BỒ CÂU
 CƯỚC KHÁCH TRẢ</v>
      </c>
      <c r="D34" s="2"/>
      <c r="E34" s="3"/>
      <c r="F34" s="2"/>
      <c r="G34" s="2"/>
      <c r="H34" s="2"/>
      <c r="I34" s="2"/>
      <c r="J34" s="2"/>
    </row>
    <row r="35" spans="1:10" ht="13" x14ac:dyDescent="0.15">
      <c r="A35" s="111" t="s">
        <v>28</v>
      </c>
      <c r="B35" s="112"/>
      <c r="C35" s="112"/>
      <c r="D35" s="112"/>
      <c r="E35" s="112"/>
      <c r="F35" s="112"/>
      <c r="G35" s="112"/>
      <c r="H35" s="2"/>
      <c r="I35" s="2"/>
      <c r="J35" s="2"/>
    </row>
    <row r="36" spans="1:10" ht="13" x14ac:dyDescent="0.15">
      <c r="A36" s="4"/>
      <c r="B36" s="2"/>
      <c r="C36" s="2"/>
      <c r="D36" s="2"/>
      <c r="E36" s="3"/>
      <c r="F36" s="2"/>
      <c r="G36" s="2"/>
      <c r="H36" s="2"/>
      <c r="I36" s="2"/>
      <c r="J36" s="2"/>
    </row>
    <row r="37" spans="1:10" ht="13" x14ac:dyDescent="0.15">
      <c r="A37" s="111" t="s">
        <v>29</v>
      </c>
      <c r="B37" s="112"/>
      <c r="C37" s="112"/>
      <c r="D37" s="112"/>
      <c r="E37" s="112"/>
      <c r="F37" s="112"/>
      <c r="G37" s="112"/>
      <c r="H37" s="2"/>
      <c r="I37" s="2"/>
      <c r="J37" s="2"/>
    </row>
    <row r="38" spans="1:10" ht="13" x14ac:dyDescent="0.15">
      <c r="A38" s="111" t="s">
        <v>30</v>
      </c>
      <c r="B38" s="112"/>
      <c r="C38" s="112"/>
      <c r="D38" s="112"/>
      <c r="E38" s="112"/>
      <c r="F38" s="112"/>
      <c r="G38" s="112"/>
      <c r="H38" s="2"/>
      <c r="I38" s="2"/>
      <c r="J38" s="2"/>
    </row>
    <row r="39" spans="1:10" ht="13" x14ac:dyDescent="0.15">
      <c r="A39" s="4"/>
      <c r="B39" s="20"/>
      <c r="C39" s="20"/>
      <c r="D39" s="20"/>
      <c r="E39" s="21"/>
      <c r="F39" s="20"/>
      <c r="G39" s="20"/>
      <c r="H39" s="2"/>
      <c r="I39" s="2"/>
      <c r="J39" s="2"/>
    </row>
    <row r="40" spans="1:10" ht="13" x14ac:dyDescent="0.15">
      <c r="A40" s="4"/>
      <c r="B40" s="2"/>
      <c r="C40" s="2"/>
      <c r="D40" s="2"/>
      <c r="E40" s="3"/>
      <c r="F40" s="2"/>
      <c r="G40" s="2"/>
      <c r="H40" s="2"/>
      <c r="I40" s="2"/>
      <c r="J40" s="2"/>
    </row>
    <row r="41" spans="1:10" ht="13" x14ac:dyDescent="0.15">
      <c r="A41" s="4"/>
      <c r="B41" s="2"/>
      <c r="C41" s="2"/>
      <c r="D41" s="2"/>
      <c r="E41" s="3"/>
      <c r="F41" s="2"/>
      <c r="G41" s="2"/>
      <c r="H41" s="2"/>
      <c r="I41" s="2"/>
      <c r="J41" s="2"/>
    </row>
    <row r="42" spans="1:10" ht="13" x14ac:dyDescent="0.15">
      <c r="A42" s="4"/>
      <c r="B42" s="2"/>
      <c r="C42" s="2"/>
      <c r="D42" s="2"/>
      <c r="E42" s="3"/>
      <c r="F42" s="2"/>
      <c r="G42" s="2"/>
      <c r="H42" s="2"/>
      <c r="I42" s="2"/>
      <c r="J42" s="2"/>
    </row>
    <row r="43" spans="1:10" ht="13" x14ac:dyDescent="0.15">
      <c r="A43" s="4"/>
      <c r="B43" s="2"/>
      <c r="C43" s="2"/>
      <c r="D43" s="2"/>
      <c r="E43" s="3"/>
      <c r="F43" s="2"/>
      <c r="G43" s="2"/>
      <c r="H43" s="2"/>
      <c r="I43" s="2"/>
      <c r="J43" s="2"/>
    </row>
    <row r="44" spans="1:10" ht="13" x14ac:dyDescent="0.15">
      <c r="A44" s="4"/>
      <c r="B44" s="2"/>
      <c r="C44" s="2"/>
      <c r="D44" s="2"/>
      <c r="E44" s="3"/>
      <c r="F44" s="2"/>
      <c r="G44" s="2"/>
      <c r="H44" s="2"/>
      <c r="I44" s="2"/>
      <c r="J44" s="2"/>
    </row>
    <row r="45" spans="1:10" ht="13" x14ac:dyDescent="0.15">
      <c r="A45" s="4"/>
      <c r="B45" s="2"/>
      <c r="C45" s="2"/>
      <c r="D45" s="2"/>
      <c r="E45" s="3"/>
      <c r="F45" s="2"/>
      <c r="G45" s="2"/>
      <c r="H45" s="2"/>
      <c r="I45" s="2"/>
      <c r="J45" s="2"/>
    </row>
    <row r="46" spans="1:10" ht="13" x14ac:dyDescent="0.15">
      <c r="A46" s="4"/>
      <c r="B46" s="2"/>
      <c r="C46" s="2"/>
      <c r="D46" s="2"/>
      <c r="E46" s="3"/>
      <c r="F46" s="2"/>
      <c r="G46" s="2"/>
      <c r="H46" s="2"/>
      <c r="I46" s="2"/>
      <c r="J46" s="2"/>
    </row>
    <row r="47" spans="1:10" ht="13" x14ac:dyDescent="0.15">
      <c r="A47" s="4"/>
      <c r="B47" s="2"/>
      <c r="C47" s="2"/>
      <c r="D47" s="2"/>
      <c r="E47" s="3"/>
      <c r="F47" s="2"/>
      <c r="G47" s="2"/>
      <c r="H47" s="2"/>
      <c r="I47" s="2"/>
      <c r="J47" s="2"/>
    </row>
    <row r="48" spans="1:10" ht="13" x14ac:dyDescent="0.15">
      <c r="A48" s="4"/>
      <c r="B48" s="2"/>
      <c r="C48" s="2"/>
      <c r="D48" s="2"/>
      <c r="E48" s="3"/>
      <c r="F48" s="2"/>
      <c r="G48" s="2"/>
      <c r="H48" s="2"/>
      <c r="I48" s="2"/>
      <c r="J48" s="2"/>
    </row>
    <row r="49" spans="1:10" ht="13" x14ac:dyDescent="0.15">
      <c r="A49" s="4"/>
      <c r="B49" s="2"/>
      <c r="C49" s="2"/>
      <c r="D49" s="2"/>
      <c r="E49" s="3"/>
      <c r="F49" s="2"/>
      <c r="G49" s="2"/>
      <c r="H49" s="2"/>
      <c r="I49" s="2"/>
      <c r="J49" s="2"/>
    </row>
    <row r="50" spans="1:10" ht="13" x14ac:dyDescent="0.15">
      <c r="A50" s="4"/>
      <c r="B50" s="2"/>
      <c r="C50" s="2"/>
      <c r="D50" s="2"/>
      <c r="E50" s="3"/>
      <c r="F50" s="2"/>
      <c r="G50" s="2"/>
      <c r="H50" s="2"/>
      <c r="I50" s="2"/>
      <c r="J50" s="2"/>
    </row>
    <row r="51" spans="1:10" ht="13" x14ac:dyDescent="0.15">
      <c r="A51" s="4"/>
      <c r="B51" s="2"/>
      <c r="C51" s="2"/>
      <c r="D51" s="2"/>
      <c r="E51" s="3"/>
      <c r="F51" s="2"/>
      <c r="G51" s="2"/>
      <c r="H51" s="2"/>
      <c r="I51" s="2"/>
      <c r="J51" s="2"/>
    </row>
    <row r="52" spans="1:10" ht="13" x14ac:dyDescent="0.15">
      <c r="A52" s="4"/>
      <c r="B52" s="2"/>
      <c r="C52" s="2"/>
      <c r="D52" s="2"/>
      <c r="E52" s="3"/>
      <c r="F52" s="2"/>
      <c r="G52" s="2"/>
      <c r="H52" s="2"/>
      <c r="I52" s="2"/>
      <c r="J52" s="2"/>
    </row>
    <row r="53" spans="1:10" ht="13" x14ac:dyDescent="0.15">
      <c r="A53" s="4"/>
      <c r="B53" s="2"/>
      <c r="C53" s="2"/>
      <c r="D53" s="2"/>
      <c r="E53" s="3"/>
      <c r="F53" s="2"/>
      <c r="G53" s="2"/>
      <c r="H53" s="2"/>
      <c r="I53" s="2"/>
      <c r="J53" s="2"/>
    </row>
    <row r="54" spans="1:10" ht="13" x14ac:dyDescent="0.15">
      <c r="A54" s="4"/>
      <c r="B54" s="2"/>
      <c r="C54" s="2"/>
      <c r="D54" s="2"/>
      <c r="E54" s="3"/>
      <c r="F54" s="2"/>
      <c r="G54" s="2"/>
      <c r="H54" s="2"/>
      <c r="I54" s="2"/>
      <c r="J54" s="2"/>
    </row>
    <row r="55" spans="1:10" ht="13" x14ac:dyDescent="0.15">
      <c r="A55" s="4"/>
      <c r="B55" s="2"/>
      <c r="C55" s="2"/>
      <c r="D55" s="2"/>
      <c r="E55" s="3"/>
      <c r="F55" s="2"/>
      <c r="G55" s="2"/>
      <c r="H55" s="2"/>
      <c r="I55" s="2"/>
      <c r="J55" s="2"/>
    </row>
    <row r="56" spans="1:10" ht="13" x14ac:dyDescent="0.15">
      <c r="A56" s="4"/>
      <c r="B56" s="2"/>
      <c r="C56" s="2"/>
      <c r="D56" s="2"/>
      <c r="E56" s="3"/>
      <c r="F56" s="2"/>
      <c r="G56" s="2"/>
      <c r="H56" s="2"/>
      <c r="I56" s="2"/>
      <c r="J56" s="2"/>
    </row>
    <row r="57" spans="1:10" ht="13" x14ac:dyDescent="0.15">
      <c r="A57" s="4"/>
      <c r="B57" s="2"/>
      <c r="C57" s="2"/>
      <c r="D57" s="2"/>
      <c r="E57" s="3"/>
      <c r="F57" s="2"/>
      <c r="G57" s="2"/>
      <c r="H57" s="2"/>
      <c r="I57" s="2"/>
      <c r="J57" s="2"/>
    </row>
    <row r="58" spans="1:10" ht="13" x14ac:dyDescent="0.15">
      <c r="A58" s="4"/>
      <c r="B58" s="2"/>
      <c r="C58" s="2"/>
      <c r="D58" s="2"/>
      <c r="E58" s="3"/>
      <c r="F58" s="2"/>
      <c r="G58" s="2"/>
      <c r="H58" s="2"/>
      <c r="I58" s="2"/>
      <c r="J58" s="2"/>
    </row>
    <row r="59" spans="1:10" ht="13" x14ac:dyDescent="0.15">
      <c r="A59" s="4"/>
      <c r="B59" s="2"/>
      <c r="C59" s="2"/>
      <c r="D59" s="2"/>
      <c r="E59" s="3"/>
      <c r="F59" s="2"/>
      <c r="G59" s="2"/>
      <c r="H59" s="2"/>
      <c r="I59" s="2"/>
      <c r="J59" s="2"/>
    </row>
    <row r="60" spans="1:10" ht="13" x14ac:dyDescent="0.15">
      <c r="A60" s="4"/>
      <c r="B60" s="2"/>
      <c r="C60" s="2"/>
      <c r="D60" s="2"/>
      <c r="E60" s="3"/>
      <c r="F60" s="2"/>
      <c r="G60" s="2"/>
      <c r="H60" s="2"/>
      <c r="I60" s="2"/>
      <c r="J60" s="2"/>
    </row>
    <row r="61" spans="1:10" ht="13" x14ac:dyDescent="0.15">
      <c r="A61" s="4"/>
      <c r="B61" s="2"/>
      <c r="C61" s="2"/>
      <c r="D61" s="2"/>
      <c r="E61" s="3"/>
      <c r="F61" s="2"/>
      <c r="G61" s="2"/>
      <c r="H61" s="2"/>
      <c r="I61" s="2"/>
      <c r="J61" s="2"/>
    </row>
    <row r="62" spans="1:10" ht="13" x14ac:dyDescent="0.15">
      <c r="A62" s="4"/>
      <c r="B62" s="2"/>
      <c r="C62" s="2"/>
      <c r="D62" s="2"/>
      <c r="E62" s="3"/>
      <c r="F62" s="2"/>
      <c r="G62" s="2"/>
      <c r="H62" s="2"/>
      <c r="I62" s="2"/>
      <c r="J62" s="2"/>
    </row>
    <row r="63" spans="1:10" ht="13" x14ac:dyDescent="0.15">
      <c r="A63" s="4"/>
      <c r="B63" s="2"/>
      <c r="C63" s="2"/>
      <c r="D63" s="2"/>
      <c r="E63" s="3"/>
      <c r="F63" s="2"/>
      <c r="G63" s="2"/>
      <c r="H63" s="2"/>
      <c r="I63" s="2"/>
      <c r="J63" s="2"/>
    </row>
    <row r="64" spans="1:10" ht="13" x14ac:dyDescent="0.15">
      <c r="A64" s="4"/>
      <c r="B64" s="2"/>
      <c r="C64" s="2"/>
      <c r="D64" s="2"/>
      <c r="E64" s="3"/>
      <c r="F64" s="2"/>
      <c r="G64" s="2"/>
      <c r="H64" s="2"/>
      <c r="I64" s="2"/>
      <c r="J64" s="2"/>
    </row>
    <row r="65" spans="1:10" ht="13" x14ac:dyDescent="0.15">
      <c r="A65" s="4"/>
      <c r="B65" s="2"/>
      <c r="C65" s="2"/>
      <c r="D65" s="2"/>
      <c r="E65" s="3"/>
      <c r="F65" s="2"/>
      <c r="G65" s="2"/>
      <c r="H65" s="2"/>
      <c r="I65" s="2"/>
      <c r="J65" s="2"/>
    </row>
    <row r="66" spans="1:10" ht="13" x14ac:dyDescent="0.15">
      <c r="A66" s="4"/>
      <c r="B66" s="2"/>
      <c r="C66" s="2"/>
      <c r="D66" s="2"/>
      <c r="E66" s="3"/>
      <c r="F66" s="2"/>
      <c r="G66" s="2"/>
      <c r="H66" s="2"/>
      <c r="I66" s="2"/>
      <c r="J66" s="2"/>
    </row>
    <row r="67" spans="1:10" ht="13" x14ac:dyDescent="0.15">
      <c r="A67" s="4"/>
      <c r="B67" s="2"/>
      <c r="C67" s="2"/>
      <c r="D67" s="2"/>
      <c r="E67" s="3"/>
      <c r="F67" s="2"/>
      <c r="G67" s="2"/>
      <c r="H67" s="2"/>
      <c r="I67" s="2"/>
      <c r="J67" s="2"/>
    </row>
    <row r="68" spans="1:10" ht="13" x14ac:dyDescent="0.15">
      <c r="A68" s="4"/>
      <c r="B68" s="2"/>
      <c r="C68" s="2"/>
      <c r="D68" s="2"/>
      <c r="E68" s="3"/>
      <c r="F68" s="2"/>
      <c r="G68" s="2"/>
      <c r="H68" s="2"/>
      <c r="I68" s="2"/>
      <c r="J68" s="2"/>
    </row>
    <row r="69" spans="1:10" ht="13" x14ac:dyDescent="0.15">
      <c r="A69" s="4"/>
      <c r="B69" s="2"/>
      <c r="C69" s="2"/>
      <c r="D69" s="2"/>
      <c r="E69" s="3"/>
      <c r="F69" s="2"/>
      <c r="G69" s="2"/>
      <c r="H69" s="2"/>
      <c r="I69" s="2"/>
      <c r="J69" s="2"/>
    </row>
    <row r="70" spans="1:10" ht="13" x14ac:dyDescent="0.15">
      <c r="A70" s="4"/>
      <c r="B70" s="2"/>
      <c r="C70" s="2"/>
      <c r="D70" s="2"/>
      <c r="E70" s="3"/>
      <c r="F70" s="2"/>
      <c r="G70" s="2"/>
      <c r="H70" s="2"/>
      <c r="I70" s="2"/>
      <c r="J70" s="2"/>
    </row>
    <row r="71" spans="1:10" ht="13" x14ac:dyDescent="0.15">
      <c r="A71" s="4"/>
      <c r="B71" s="2"/>
      <c r="C71" s="2"/>
      <c r="D71" s="2"/>
      <c r="E71" s="3"/>
      <c r="F71" s="2"/>
      <c r="G71" s="2"/>
      <c r="H71" s="2"/>
      <c r="I71" s="2"/>
      <c r="J71" s="2"/>
    </row>
    <row r="72" spans="1:10" ht="13" x14ac:dyDescent="0.15">
      <c r="A72" s="4"/>
      <c r="B72" s="2"/>
      <c r="C72" s="2"/>
      <c r="D72" s="2"/>
      <c r="E72" s="3"/>
      <c r="F72" s="2"/>
      <c r="G72" s="2"/>
      <c r="H72" s="2"/>
      <c r="I72" s="2"/>
      <c r="J72" s="2"/>
    </row>
    <row r="73" spans="1:10" ht="13" x14ac:dyDescent="0.15">
      <c r="A73" s="4"/>
      <c r="B73" s="2"/>
      <c r="C73" s="2"/>
      <c r="D73" s="2"/>
      <c r="E73" s="3"/>
      <c r="F73" s="2"/>
      <c r="G73" s="2"/>
      <c r="H73" s="2"/>
      <c r="I73" s="2"/>
      <c r="J73" s="2"/>
    </row>
    <row r="74" spans="1:10" ht="13" x14ac:dyDescent="0.15">
      <c r="A74" s="4"/>
      <c r="B74" s="2"/>
      <c r="C74" s="2"/>
      <c r="D74" s="2"/>
      <c r="E74" s="3"/>
      <c r="F74" s="2"/>
      <c r="G74" s="2"/>
      <c r="H74" s="2"/>
      <c r="I74" s="2"/>
      <c r="J74" s="2"/>
    </row>
    <row r="75" spans="1:10" ht="13" x14ac:dyDescent="0.15">
      <c r="A75" s="4"/>
      <c r="B75" s="2"/>
      <c r="C75" s="2"/>
      <c r="D75" s="2"/>
      <c r="E75" s="3"/>
      <c r="F75" s="2"/>
      <c r="G75" s="2"/>
      <c r="H75" s="2"/>
      <c r="I75" s="2"/>
      <c r="J75" s="2"/>
    </row>
    <row r="76" spans="1:10" ht="13" x14ac:dyDescent="0.15">
      <c r="A76" s="4"/>
      <c r="B76" s="2"/>
      <c r="C76" s="2"/>
      <c r="D76" s="2"/>
      <c r="E76" s="3"/>
      <c r="F76" s="2"/>
      <c r="G76" s="2"/>
      <c r="H76" s="2"/>
      <c r="I76" s="2"/>
      <c r="J76" s="2"/>
    </row>
    <row r="77" spans="1:10" ht="13" x14ac:dyDescent="0.15">
      <c r="A77" s="4"/>
      <c r="B77" s="2"/>
      <c r="C77" s="2"/>
      <c r="D77" s="2"/>
      <c r="E77" s="3"/>
      <c r="F77" s="2"/>
      <c r="G77" s="2"/>
      <c r="H77" s="2"/>
      <c r="I77" s="2"/>
      <c r="J77" s="2"/>
    </row>
    <row r="78" spans="1:10" ht="13" x14ac:dyDescent="0.15">
      <c r="A78" s="4"/>
      <c r="B78" s="2"/>
      <c r="C78" s="2"/>
      <c r="D78" s="2"/>
      <c r="E78" s="3"/>
      <c r="F78" s="2"/>
      <c r="G78" s="2"/>
      <c r="H78" s="2"/>
      <c r="I78" s="2"/>
      <c r="J78" s="2"/>
    </row>
    <row r="79" spans="1:10" ht="13" x14ac:dyDescent="0.15">
      <c r="A79" s="4"/>
      <c r="B79" s="2"/>
      <c r="C79" s="2"/>
      <c r="D79" s="2"/>
      <c r="E79" s="3"/>
      <c r="F79" s="2"/>
      <c r="G79" s="2"/>
      <c r="H79" s="2"/>
      <c r="I79" s="2"/>
      <c r="J79" s="2"/>
    </row>
    <row r="80" spans="1:10" ht="13" x14ac:dyDescent="0.15">
      <c r="A80" s="4"/>
      <c r="B80" s="2"/>
      <c r="C80" s="2"/>
      <c r="D80" s="2"/>
      <c r="E80" s="3"/>
      <c r="F80" s="2"/>
      <c r="G80" s="2"/>
      <c r="H80" s="2"/>
      <c r="I80" s="2"/>
      <c r="J80" s="2"/>
    </row>
    <row r="81" spans="1:10" ht="13" x14ac:dyDescent="0.15">
      <c r="A81" s="4"/>
      <c r="B81" s="2"/>
      <c r="C81" s="2"/>
      <c r="D81" s="2"/>
      <c r="E81" s="3"/>
      <c r="F81" s="2"/>
      <c r="G81" s="2"/>
      <c r="H81" s="2"/>
      <c r="I81" s="2"/>
      <c r="J81" s="2"/>
    </row>
    <row r="82" spans="1:10" ht="13" x14ac:dyDescent="0.15">
      <c r="A82" s="4"/>
      <c r="B82" s="2"/>
      <c r="C82" s="2"/>
      <c r="D82" s="2"/>
      <c r="E82" s="3"/>
      <c r="F82" s="2"/>
      <c r="G82" s="2"/>
      <c r="H82" s="2"/>
      <c r="I82" s="2"/>
      <c r="J82" s="2"/>
    </row>
    <row r="83" spans="1:10" ht="13" x14ac:dyDescent="0.15">
      <c r="A83" s="4"/>
      <c r="B83" s="2"/>
      <c r="C83" s="2"/>
      <c r="D83" s="2"/>
      <c r="E83" s="3"/>
      <c r="F83" s="2"/>
      <c r="G83" s="2"/>
      <c r="H83" s="2"/>
      <c r="I83" s="2"/>
      <c r="J83" s="2"/>
    </row>
    <row r="84" spans="1:10" ht="13" x14ac:dyDescent="0.15">
      <c r="A84" s="4"/>
      <c r="B84" s="2"/>
      <c r="C84" s="2"/>
      <c r="D84" s="2"/>
      <c r="E84" s="3"/>
      <c r="F84" s="2"/>
      <c r="G84" s="2"/>
      <c r="H84" s="2"/>
      <c r="I84" s="2"/>
      <c r="J84" s="2"/>
    </row>
    <row r="85" spans="1:10" ht="13" x14ac:dyDescent="0.15">
      <c r="A85" s="4"/>
      <c r="B85" s="2"/>
      <c r="C85" s="2"/>
      <c r="D85" s="2"/>
      <c r="E85" s="3"/>
      <c r="F85" s="2"/>
      <c r="G85" s="2"/>
      <c r="H85" s="2"/>
      <c r="I85" s="2"/>
      <c r="J85" s="2"/>
    </row>
    <row r="86" spans="1:10" ht="13" x14ac:dyDescent="0.15">
      <c r="A86" s="4"/>
      <c r="B86" s="2"/>
      <c r="C86" s="2"/>
      <c r="D86" s="2"/>
      <c r="E86" s="3"/>
      <c r="F86" s="2"/>
      <c r="G86" s="2"/>
      <c r="H86" s="2"/>
      <c r="I86" s="2"/>
      <c r="J86" s="2"/>
    </row>
    <row r="87" spans="1:10" ht="13" x14ac:dyDescent="0.15">
      <c r="A87" s="4"/>
      <c r="B87" s="2"/>
      <c r="C87" s="2"/>
      <c r="D87" s="2"/>
      <c r="E87" s="3"/>
      <c r="F87" s="2"/>
      <c r="G87" s="2"/>
      <c r="H87" s="2"/>
      <c r="I87" s="2"/>
      <c r="J87" s="2"/>
    </row>
    <row r="88" spans="1:10" ht="13" x14ac:dyDescent="0.15">
      <c r="A88" s="4"/>
      <c r="B88" s="2"/>
      <c r="C88" s="2"/>
      <c r="D88" s="2"/>
      <c r="E88" s="3"/>
      <c r="F88" s="2"/>
      <c r="G88" s="2"/>
      <c r="H88" s="2"/>
      <c r="I88" s="2"/>
      <c r="J88" s="2"/>
    </row>
    <row r="89" spans="1:10" ht="13" x14ac:dyDescent="0.15">
      <c r="A89" s="4"/>
      <c r="B89" s="2"/>
      <c r="C89" s="2"/>
      <c r="D89" s="2"/>
      <c r="E89" s="3"/>
      <c r="F89" s="2"/>
      <c r="G89" s="2"/>
      <c r="H89" s="2"/>
      <c r="I89" s="2"/>
      <c r="J89" s="2"/>
    </row>
    <row r="90" spans="1:10" ht="13" x14ac:dyDescent="0.15">
      <c r="A90" s="4"/>
      <c r="B90" s="2"/>
      <c r="C90" s="2"/>
      <c r="D90" s="2"/>
      <c r="E90" s="3"/>
      <c r="F90" s="2"/>
      <c r="G90" s="2"/>
      <c r="H90" s="2"/>
      <c r="I90" s="2"/>
      <c r="J90" s="2"/>
    </row>
    <row r="91" spans="1:10" ht="13" x14ac:dyDescent="0.15">
      <c r="A91" s="4"/>
      <c r="B91" s="2"/>
      <c r="C91" s="2"/>
      <c r="D91" s="2"/>
      <c r="E91" s="3"/>
      <c r="F91" s="2"/>
      <c r="G91" s="2"/>
      <c r="H91" s="2"/>
      <c r="I91" s="2"/>
      <c r="J91" s="2"/>
    </row>
    <row r="92" spans="1:10" ht="13" x14ac:dyDescent="0.15">
      <c r="A92" s="4"/>
      <c r="B92" s="2"/>
      <c r="C92" s="2"/>
      <c r="D92" s="2"/>
      <c r="E92" s="3"/>
      <c r="F92" s="2"/>
      <c r="G92" s="2"/>
      <c r="H92" s="2"/>
      <c r="I92" s="2"/>
      <c r="J92" s="2"/>
    </row>
    <row r="93" spans="1:10" ht="13" x14ac:dyDescent="0.15">
      <c r="A93" s="4"/>
      <c r="B93" s="2"/>
      <c r="C93" s="2"/>
      <c r="D93" s="2"/>
      <c r="E93" s="3"/>
      <c r="F93" s="2"/>
      <c r="G93" s="2"/>
      <c r="H93" s="2"/>
      <c r="I93" s="2"/>
      <c r="J93" s="2"/>
    </row>
    <row r="94" spans="1:10" ht="13" x14ac:dyDescent="0.15">
      <c r="A94" s="4"/>
      <c r="B94" s="2"/>
      <c r="C94" s="2"/>
      <c r="D94" s="2"/>
      <c r="E94" s="3"/>
      <c r="F94" s="2"/>
      <c r="G94" s="2"/>
      <c r="H94" s="2"/>
      <c r="I94" s="2"/>
      <c r="J94" s="2"/>
    </row>
    <row r="95" spans="1:10" ht="13" x14ac:dyDescent="0.15">
      <c r="A95" s="4"/>
      <c r="B95" s="2"/>
      <c r="C95" s="2"/>
      <c r="D95" s="2"/>
      <c r="E95" s="3"/>
      <c r="F95" s="2"/>
      <c r="G95" s="2"/>
      <c r="H95" s="2"/>
      <c r="I95" s="2"/>
      <c r="J95" s="2"/>
    </row>
    <row r="96" spans="1:10" ht="13" x14ac:dyDescent="0.15">
      <c r="A96" s="4"/>
      <c r="B96" s="2"/>
      <c r="C96" s="2"/>
      <c r="D96" s="2"/>
      <c r="E96" s="3"/>
      <c r="F96" s="2"/>
      <c r="G96" s="2"/>
      <c r="H96" s="2"/>
      <c r="I96" s="2"/>
      <c r="J96" s="2"/>
    </row>
    <row r="97" spans="1:10" ht="13" x14ac:dyDescent="0.15">
      <c r="A97" s="4"/>
      <c r="B97" s="2"/>
      <c r="C97" s="2"/>
      <c r="D97" s="2"/>
      <c r="E97" s="3"/>
      <c r="F97" s="2"/>
      <c r="G97" s="2"/>
      <c r="H97" s="2"/>
      <c r="I97" s="2"/>
      <c r="J97" s="2"/>
    </row>
    <row r="98" spans="1:10" ht="13" x14ac:dyDescent="0.15">
      <c r="A98" s="4"/>
      <c r="B98" s="2"/>
      <c r="C98" s="2"/>
      <c r="D98" s="2"/>
      <c r="E98" s="3"/>
      <c r="F98" s="2"/>
      <c r="G98" s="2"/>
      <c r="H98" s="2"/>
      <c r="I98" s="2"/>
      <c r="J98" s="2"/>
    </row>
    <row r="99" spans="1:10" ht="13" x14ac:dyDescent="0.15">
      <c r="A99" s="4"/>
      <c r="B99" s="2"/>
      <c r="C99" s="2"/>
      <c r="D99" s="2"/>
      <c r="E99" s="3"/>
      <c r="F99" s="2"/>
      <c r="G99" s="2"/>
      <c r="H99" s="2"/>
      <c r="I99" s="2"/>
      <c r="J99" s="2"/>
    </row>
    <row r="100" spans="1:10" ht="13" x14ac:dyDescent="0.15">
      <c r="A100" s="4"/>
      <c r="B100" s="2"/>
      <c r="C100" s="2"/>
      <c r="D100" s="2"/>
      <c r="E100" s="3"/>
      <c r="F100" s="2"/>
      <c r="G100" s="2"/>
      <c r="H100" s="2"/>
      <c r="I100" s="2"/>
      <c r="J100" s="2"/>
    </row>
    <row r="101" spans="1:10" ht="13" x14ac:dyDescent="0.15">
      <c r="A101" s="4"/>
      <c r="B101" s="2"/>
      <c r="C101" s="2"/>
      <c r="D101" s="2"/>
      <c r="E101" s="3"/>
      <c r="F101" s="2"/>
      <c r="G101" s="2"/>
      <c r="H101" s="2"/>
      <c r="I101" s="2"/>
      <c r="J101" s="2"/>
    </row>
    <row r="102" spans="1:10" ht="13" x14ac:dyDescent="0.15">
      <c r="A102" s="4"/>
      <c r="B102" s="2"/>
      <c r="C102" s="2"/>
      <c r="D102" s="2"/>
      <c r="E102" s="3"/>
      <c r="F102" s="2"/>
      <c r="G102" s="2"/>
      <c r="H102" s="2"/>
      <c r="I102" s="2"/>
      <c r="J102" s="2"/>
    </row>
    <row r="103" spans="1:10" ht="13" x14ac:dyDescent="0.15">
      <c r="A103" s="4"/>
      <c r="B103" s="2"/>
      <c r="C103" s="2"/>
      <c r="D103" s="2"/>
      <c r="E103" s="3"/>
      <c r="F103" s="2"/>
      <c r="G103" s="2"/>
      <c r="H103" s="2"/>
      <c r="I103" s="2"/>
      <c r="J103" s="2"/>
    </row>
    <row r="104" spans="1:10" ht="13" x14ac:dyDescent="0.15">
      <c r="A104" s="4"/>
      <c r="B104" s="2"/>
      <c r="C104" s="2"/>
      <c r="D104" s="2"/>
      <c r="E104" s="3"/>
      <c r="F104" s="2"/>
      <c r="G104" s="2"/>
      <c r="H104" s="2"/>
      <c r="I104" s="2"/>
      <c r="J104" s="2"/>
    </row>
    <row r="105" spans="1:10" ht="13" x14ac:dyDescent="0.15">
      <c r="A105" s="4"/>
      <c r="B105" s="2"/>
      <c r="C105" s="2"/>
      <c r="D105" s="2"/>
      <c r="E105" s="3"/>
      <c r="F105" s="2"/>
      <c r="G105" s="2"/>
      <c r="H105" s="2"/>
      <c r="I105" s="2"/>
      <c r="J105" s="2"/>
    </row>
    <row r="106" spans="1:10" ht="13" x14ac:dyDescent="0.15">
      <c r="A106" s="4"/>
      <c r="B106" s="2"/>
      <c r="C106" s="2"/>
      <c r="D106" s="2"/>
      <c r="E106" s="3"/>
      <c r="F106" s="2"/>
      <c r="G106" s="2"/>
      <c r="H106" s="2"/>
      <c r="I106" s="2"/>
      <c r="J106" s="2"/>
    </row>
    <row r="107" spans="1:10" ht="13" x14ac:dyDescent="0.15">
      <c r="A107" s="4"/>
      <c r="B107" s="2"/>
      <c r="C107" s="2"/>
      <c r="D107" s="2"/>
      <c r="E107" s="3"/>
      <c r="F107" s="2"/>
      <c r="G107" s="2"/>
      <c r="H107" s="2"/>
      <c r="I107" s="2"/>
      <c r="J107" s="2"/>
    </row>
    <row r="108" spans="1:10" ht="13" x14ac:dyDescent="0.15">
      <c r="A108" s="4"/>
      <c r="B108" s="2"/>
      <c r="C108" s="2"/>
      <c r="D108" s="2"/>
      <c r="E108" s="3"/>
      <c r="F108" s="2"/>
      <c r="G108" s="2"/>
      <c r="H108" s="2"/>
      <c r="I108" s="2"/>
      <c r="J108" s="2"/>
    </row>
    <row r="109" spans="1:10" ht="13" x14ac:dyDescent="0.15">
      <c r="A109" s="4"/>
      <c r="B109" s="2"/>
      <c r="C109" s="2"/>
      <c r="D109" s="2"/>
      <c r="E109" s="3"/>
      <c r="F109" s="2"/>
      <c r="G109" s="2"/>
      <c r="H109" s="2"/>
      <c r="I109" s="2"/>
      <c r="J109" s="2"/>
    </row>
    <row r="110" spans="1:10" ht="13" x14ac:dyDescent="0.15">
      <c r="A110" s="4"/>
      <c r="B110" s="2"/>
      <c r="C110" s="2"/>
      <c r="D110" s="2"/>
      <c r="E110" s="3"/>
      <c r="F110" s="2"/>
      <c r="G110" s="2"/>
      <c r="H110" s="2"/>
      <c r="I110" s="2"/>
      <c r="J110" s="2"/>
    </row>
    <row r="111" spans="1:10" ht="13" x14ac:dyDescent="0.15">
      <c r="A111" s="4"/>
      <c r="B111" s="2"/>
      <c r="C111" s="2"/>
      <c r="D111" s="2"/>
      <c r="E111" s="3"/>
      <c r="F111" s="2"/>
      <c r="G111" s="2"/>
      <c r="H111" s="2"/>
      <c r="I111" s="2"/>
      <c r="J111" s="2"/>
    </row>
    <row r="112" spans="1:10" ht="13" x14ac:dyDescent="0.15">
      <c r="A112" s="4"/>
      <c r="B112" s="2"/>
      <c r="C112" s="2"/>
      <c r="D112" s="2"/>
      <c r="E112" s="3"/>
      <c r="F112" s="2"/>
      <c r="G112" s="2"/>
      <c r="H112" s="2"/>
      <c r="I112" s="2"/>
      <c r="J112" s="2"/>
    </row>
    <row r="113" spans="1:10" ht="13" x14ac:dyDescent="0.15">
      <c r="A113" s="4"/>
      <c r="B113" s="2"/>
      <c r="C113" s="2"/>
      <c r="D113" s="2"/>
      <c r="E113" s="3"/>
      <c r="F113" s="2"/>
      <c r="G113" s="2"/>
      <c r="H113" s="2"/>
      <c r="I113" s="2"/>
      <c r="J113" s="2"/>
    </row>
    <row r="114" spans="1:10" ht="13" x14ac:dyDescent="0.15">
      <c r="A114" s="4"/>
      <c r="B114" s="2"/>
      <c r="C114" s="2"/>
      <c r="D114" s="2"/>
      <c r="E114" s="3"/>
      <c r="F114" s="2"/>
      <c r="G114" s="2"/>
      <c r="H114" s="2"/>
      <c r="I114" s="2"/>
      <c r="J114" s="2"/>
    </row>
    <row r="115" spans="1:10" ht="13" x14ac:dyDescent="0.15">
      <c r="A115" s="4"/>
      <c r="B115" s="2"/>
      <c r="C115" s="2"/>
      <c r="D115" s="2"/>
      <c r="E115" s="3"/>
      <c r="F115" s="2"/>
      <c r="G115" s="2"/>
      <c r="H115" s="2"/>
      <c r="I115" s="2"/>
      <c r="J115" s="2"/>
    </row>
    <row r="116" spans="1:10" ht="13" x14ac:dyDescent="0.15">
      <c r="A116" s="4"/>
      <c r="B116" s="2"/>
      <c r="C116" s="2"/>
      <c r="D116" s="2"/>
      <c r="E116" s="3"/>
      <c r="F116" s="2"/>
      <c r="G116" s="2"/>
      <c r="H116" s="2"/>
      <c r="I116" s="2"/>
      <c r="J116" s="2"/>
    </row>
    <row r="117" spans="1:10" ht="13" x14ac:dyDescent="0.15">
      <c r="A117" s="4"/>
      <c r="B117" s="2"/>
      <c r="C117" s="2"/>
      <c r="D117" s="2"/>
      <c r="E117" s="3"/>
      <c r="F117" s="2"/>
      <c r="G117" s="2"/>
      <c r="H117" s="2"/>
      <c r="I117" s="2"/>
      <c r="J117" s="2"/>
    </row>
    <row r="118" spans="1:10" ht="13" x14ac:dyDescent="0.15">
      <c r="A118" s="4"/>
      <c r="B118" s="2"/>
      <c r="C118" s="2"/>
      <c r="D118" s="2"/>
      <c r="E118" s="3"/>
      <c r="F118" s="2"/>
      <c r="G118" s="2"/>
      <c r="H118" s="2"/>
      <c r="I118" s="2"/>
      <c r="J118" s="2"/>
    </row>
    <row r="119" spans="1:10" ht="13" x14ac:dyDescent="0.15">
      <c r="A119" s="4"/>
      <c r="B119" s="2"/>
      <c r="C119" s="2"/>
      <c r="D119" s="2"/>
      <c r="E119" s="3"/>
      <c r="F119" s="2"/>
      <c r="G119" s="2"/>
      <c r="H119" s="2"/>
      <c r="I119" s="2"/>
      <c r="J119" s="2"/>
    </row>
    <row r="120" spans="1:10" ht="13" x14ac:dyDescent="0.15">
      <c r="A120" s="4"/>
      <c r="B120" s="2"/>
      <c r="C120" s="2"/>
      <c r="D120" s="2"/>
      <c r="E120" s="3"/>
      <c r="F120" s="2"/>
      <c r="G120" s="2"/>
      <c r="H120" s="2"/>
      <c r="I120" s="2"/>
      <c r="J120" s="2"/>
    </row>
    <row r="121" spans="1:10" ht="13" x14ac:dyDescent="0.15">
      <c r="A121" s="4"/>
      <c r="B121" s="2"/>
      <c r="C121" s="2"/>
      <c r="D121" s="2"/>
      <c r="E121" s="3"/>
      <c r="F121" s="2"/>
      <c r="G121" s="2"/>
      <c r="H121" s="2"/>
      <c r="I121" s="2"/>
      <c r="J121" s="2"/>
    </row>
    <row r="122" spans="1:10" ht="13" x14ac:dyDescent="0.15">
      <c r="A122" s="4"/>
      <c r="B122" s="2"/>
      <c r="C122" s="2"/>
      <c r="D122" s="2"/>
      <c r="E122" s="3"/>
      <c r="F122" s="2"/>
      <c r="G122" s="2"/>
      <c r="H122" s="2"/>
      <c r="I122" s="2"/>
      <c r="J122" s="2"/>
    </row>
    <row r="123" spans="1:10" ht="13" x14ac:dyDescent="0.15">
      <c r="A123" s="4"/>
      <c r="B123" s="2"/>
      <c r="C123" s="2"/>
      <c r="D123" s="2"/>
      <c r="E123" s="3"/>
      <c r="F123" s="2"/>
      <c r="G123" s="2"/>
      <c r="H123" s="2"/>
      <c r="I123" s="2"/>
      <c r="J123" s="2"/>
    </row>
    <row r="124" spans="1:10" ht="13" x14ac:dyDescent="0.15">
      <c r="A124" s="4"/>
      <c r="B124" s="2"/>
      <c r="C124" s="2"/>
      <c r="D124" s="2"/>
      <c r="E124" s="3"/>
      <c r="F124" s="2"/>
      <c r="G124" s="2"/>
      <c r="H124" s="2"/>
      <c r="I124" s="2"/>
      <c r="J124" s="2"/>
    </row>
    <row r="125" spans="1:10" ht="13" x14ac:dyDescent="0.15">
      <c r="A125" s="4"/>
      <c r="B125" s="2"/>
      <c r="C125" s="2"/>
      <c r="D125" s="2"/>
      <c r="E125" s="3"/>
      <c r="F125" s="2"/>
      <c r="G125" s="2"/>
      <c r="H125" s="2"/>
      <c r="I125" s="2"/>
      <c r="J125" s="2"/>
    </row>
    <row r="126" spans="1:10" ht="13" x14ac:dyDescent="0.15">
      <c r="A126" s="4"/>
      <c r="B126" s="2"/>
      <c r="C126" s="2"/>
      <c r="D126" s="2"/>
      <c r="E126" s="3"/>
      <c r="F126" s="2"/>
      <c r="G126" s="2"/>
      <c r="H126" s="2"/>
      <c r="I126" s="2"/>
      <c r="J126" s="2"/>
    </row>
    <row r="127" spans="1:10" ht="13" x14ac:dyDescent="0.15">
      <c r="A127" s="4"/>
      <c r="B127" s="2"/>
      <c r="C127" s="2"/>
      <c r="D127" s="2"/>
      <c r="E127" s="3"/>
      <c r="F127" s="2"/>
      <c r="G127" s="2"/>
      <c r="H127" s="2"/>
      <c r="I127" s="2"/>
      <c r="J127" s="2"/>
    </row>
    <row r="128" spans="1:10" ht="13" x14ac:dyDescent="0.15">
      <c r="A128" s="4"/>
      <c r="B128" s="2"/>
      <c r="C128" s="2"/>
      <c r="D128" s="2"/>
      <c r="E128" s="3"/>
      <c r="F128" s="2"/>
      <c r="G128" s="2"/>
      <c r="H128" s="2"/>
      <c r="I128" s="2"/>
      <c r="J128" s="2"/>
    </row>
    <row r="129" spans="1:10" ht="13" x14ac:dyDescent="0.15">
      <c r="A129" s="4"/>
      <c r="B129" s="2"/>
      <c r="C129" s="2"/>
      <c r="D129" s="2"/>
      <c r="E129" s="3"/>
      <c r="F129" s="2"/>
      <c r="G129" s="2"/>
      <c r="H129" s="2"/>
      <c r="I129" s="2"/>
      <c r="J129" s="2"/>
    </row>
    <row r="130" spans="1:10" ht="13" x14ac:dyDescent="0.15">
      <c r="A130" s="4"/>
      <c r="B130" s="2"/>
      <c r="C130" s="2"/>
      <c r="D130" s="2"/>
      <c r="E130" s="3"/>
      <c r="F130" s="2"/>
      <c r="G130" s="2"/>
      <c r="H130" s="2"/>
      <c r="I130" s="2"/>
      <c r="J130" s="2"/>
    </row>
    <row r="131" spans="1:10" ht="13" x14ac:dyDescent="0.15">
      <c r="A131" s="4"/>
      <c r="B131" s="2"/>
      <c r="C131" s="2"/>
      <c r="D131" s="2"/>
      <c r="E131" s="3"/>
      <c r="F131" s="2"/>
      <c r="G131" s="2"/>
      <c r="H131" s="2"/>
      <c r="I131" s="2"/>
      <c r="J131" s="2"/>
    </row>
    <row r="132" spans="1:10" ht="13" x14ac:dyDescent="0.15">
      <c r="A132" s="4"/>
      <c r="B132" s="2"/>
      <c r="C132" s="2"/>
      <c r="D132" s="2"/>
      <c r="E132" s="3"/>
      <c r="F132" s="2"/>
      <c r="G132" s="2"/>
      <c r="H132" s="2"/>
      <c r="I132" s="2"/>
      <c r="J132" s="2"/>
    </row>
    <row r="133" spans="1:10" ht="13" x14ac:dyDescent="0.15">
      <c r="A133" s="4"/>
      <c r="B133" s="2"/>
      <c r="C133" s="2"/>
      <c r="D133" s="2"/>
      <c r="E133" s="3"/>
      <c r="F133" s="2"/>
      <c r="G133" s="2"/>
      <c r="H133" s="2"/>
      <c r="I133" s="2"/>
      <c r="J133" s="2"/>
    </row>
    <row r="134" spans="1:10" ht="13" x14ac:dyDescent="0.15">
      <c r="A134" s="4"/>
      <c r="B134" s="2"/>
      <c r="C134" s="2"/>
      <c r="D134" s="2"/>
      <c r="E134" s="3"/>
      <c r="F134" s="2"/>
      <c r="G134" s="2"/>
      <c r="H134" s="2"/>
      <c r="I134" s="2"/>
      <c r="J134" s="2"/>
    </row>
    <row r="135" spans="1:10" ht="13" x14ac:dyDescent="0.15">
      <c r="A135" s="4"/>
      <c r="B135" s="2"/>
      <c r="C135" s="2"/>
      <c r="D135" s="2"/>
      <c r="E135" s="3"/>
      <c r="F135" s="2"/>
      <c r="G135" s="2"/>
      <c r="H135" s="2"/>
      <c r="I135" s="2"/>
      <c r="J135" s="2"/>
    </row>
    <row r="136" spans="1:10" ht="13" x14ac:dyDescent="0.15">
      <c r="A136" s="4"/>
      <c r="B136" s="2"/>
      <c r="C136" s="2"/>
      <c r="D136" s="2"/>
      <c r="E136" s="3"/>
      <c r="F136" s="2"/>
      <c r="G136" s="2"/>
      <c r="H136" s="2"/>
      <c r="I136" s="2"/>
      <c r="J136" s="2"/>
    </row>
    <row r="137" spans="1:10" ht="13" x14ac:dyDescent="0.15">
      <c r="A137" s="4"/>
      <c r="B137" s="2"/>
      <c r="C137" s="2"/>
      <c r="D137" s="2"/>
      <c r="E137" s="3"/>
      <c r="F137" s="2"/>
      <c r="G137" s="2"/>
      <c r="H137" s="2"/>
      <c r="I137" s="2"/>
      <c r="J137" s="2"/>
    </row>
    <row r="138" spans="1:10" ht="13" x14ac:dyDescent="0.15">
      <c r="A138" s="4"/>
      <c r="B138" s="2"/>
      <c r="C138" s="2"/>
      <c r="D138" s="2"/>
      <c r="E138" s="3"/>
      <c r="F138" s="2"/>
      <c r="G138" s="2"/>
      <c r="H138" s="2"/>
      <c r="I138" s="2"/>
      <c r="J138" s="2"/>
    </row>
    <row r="139" spans="1:10" ht="13" x14ac:dyDescent="0.15">
      <c r="A139" s="4"/>
      <c r="B139" s="2"/>
      <c r="C139" s="2"/>
      <c r="D139" s="2"/>
      <c r="E139" s="3"/>
      <c r="F139" s="2"/>
      <c r="G139" s="2"/>
      <c r="H139" s="2"/>
      <c r="I139" s="2"/>
      <c r="J139" s="2"/>
    </row>
    <row r="140" spans="1:10" ht="13" x14ac:dyDescent="0.15">
      <c r="A140" s="4"/>
      <c r="B140" s="2"/>
      <c r="C140" s="2"/>
      <c r="D140" s="2"/>
      <c r="E140" s="3"/>
      <c r="F140" s="2"/>
      <c r="G140" s="2"/>
      <c r="H140" s="2"/>
      <c r="I140" s="2"/>
      <c r="J140" s="2"/>
    </row>
    <row r="141" spans="1:10" ht="13" x14ac:dyDescent="0.15">
      <c r="A141" s="4"/>
      <c r="B141" s="2"/>
      <c r="C141" s="2"/>
      <c r="D141" s="2"/>
      <c r="E141" s="3"/>
      <c r="F141" s="2"/>
      <c r="G141" s="2"/>
      <c r="H141" s="2"/>
      <c r="I141" s="2"/>
      <c r="J141" s="2"/>
    </row>
    <row r="142" spans="1:10" ht="13" x14ac:dyDescent="0.15">
      <c r="A142" s="4"/>
      <c r="B142" s="2"/>
      <c r="C142" s="2"/>
      <c r="D142" s="2"/>
      <c r="E142" s="3"/>
      <c r="F142" s="2"/>
      <c r="G142" s="2"/>
      <c r="H142" s="2"/>
      <c r="I142" s="2"/>
      <c r="J142" s="2"/>
    </row>
    <row r="143" spans="1:10" ht="13" x14ac:dyDescent="0.15">
      <c r="A143" s="4"/>
      <c r="B143" s="2"/>
      <c r="C143" s="2"/>
      <c r="D143" s="2"/>
      <c r="E143" s="3"/>
      <c r="F143" s="2"/>
      <c r="G143" s="2"/>
      <c r="H143" s="2"/>
      <c r="I143" s="2"/>
      <c r="J143" s="2"/>
    </row>
    <row r="144" spans="1:10" ht="13" x14ac:dyDescent="0.15">
      <c r="A144" s="4"/>
      <c r="B144" s="2"/>
      <c r="C144" s="2"/>
      <c r="D144" s="2"/>
      <c r="E144" s="3"/>
      <c r="F144" s="2"/>
      <c r="G144" s="2"/>
      <c r="H144" s="2"/>
      <c r="I144" s="2"/>
      <c r="J144" s="2"/>
    </row>
    <row r="145" spans="1:10" ht="13" x14ac:dyDescent="0.15">
      <c r="A145" s="4"/>
      <c r="B145" s="2"/>
      <c r="C145" s="2"/>
      <c r="D145" s="2"/>
      <c r="E145" s="3"/>
      <c r="F145" s="2"/>
      <c r="G145" s="2"/>
      <c r="H145" s="2"/>
      <c r="I145" s="2"/>
      <c r="J145" s="2"/>
    </row>
    <row r="146" spans="1:10" ht="13" x14ac:dyDescent="0.15">
      <c r="A146" s="4"/>
      <c r="B146" s="2"/>
      <c r="C146" s="2"/>
      <c r="D146" s="2"/>
      <c r="E146" s="3"/>
      <c r="F146" s="2"/>
      <c r="G146" s="2"/>
      <c r="H146" s="2"/>
      <c r="I146" s="2"/>
      <c r="J146" s="2"/>
    </row>
    <row r="147" spans="1:10" ht="13" x14ac:dyDescent="0.15">
      <c r="A147" s="4"/>
      <c r="B147" s="2"/>
      <c r="C147" s="2"/>
      <c r="D147" s="2"/>
      <c r="E147" s="3"/>
      <c r="F147" s="2"/>
      <c r="G147" s="2"/>
      <c r="H147" s="2"/>
      <c r="I147" s="2"/>
      <c r="J147" s="2"/>
    </row>
    <row r="148" spans="1:10" ht="13" x14ac:dyDescent="0.15">
      <c r="A148" s="4"/>
      <c r="B148" s="2"/>
      <c r="C148" s="2"/>
      <c r="D148" s="2"/>
      <c r="E148" s="3"/>
      <c r="F148" s="2"/>
      <c r="G148" s="2"/>
      <c r="H148" s="2"/>
      <c r="I148" s="2"/>
      <c r="J148" s="2"/>
    </row>
    <row r="149" spans="1:10" ht="13" x14ac:dyDescent="0.15">
      <c r="A149" s="4"/>
      <c r="B149" s="2"/>
      <c r="C149" s="2"/>
      <c r="D149" s="2"/>
      <c r="E149" s="3"/>
      <c r="F149" s="2"/>
      <c r="G149" s="2"/>
      <c r="H149" s="2"/>
      <c r="I149" s="2"/>
      <c r="J149" s="2"/>
    </row>
    <row r="150" spans="1:10" ht="13" x14ac:dyDescent="0.15">
      <c r="A150" s="4"/>
      <c r="B150" s="2"/>
      <c r="C150" s="2"/>
      <c r="D150" s="2"/>
      <c r="E150" s="3"/>
      <c r="F150" s="2"/>
      <c r="G150" s="2"/>
      <c r="H150" s="2"/>
      <c r="I150" s="2"/>
      <c r="J150" s="2"/>
    </row>
    <row r="151" spans="1:10" ht="13" x14ac:dyDescent="0.15">
      <c r="A151" s="4"/>
      <c r="B151" s="2"/>
      <c r="C151" s="2"/>
      <c r="D151" s="2"/>
      <c r="E151" s="3"/>
      <c r="F151" s="2"/>
      <c r="G151" s="2"/>
      <c r="H151" s="2"/>
      <c r="I151" s="2"/>
      <c r="J151" s="2"/>
    </row>
    <row r="152" spans="1:10" ht="13" x14ac:dyDescent="0.15">
      <c r="A152" s="4"/>
      <c r="B152" s="2"/>
      <c r="C152" s="2"/>
      <c r="D152" s="2"/>
      <c r="E152" s="3"/>
      <c r="F152" s="2"/>
      <c r="G152" s="2"/>
      <c r="H152" s="2"/>
      <c r="I152" s="2"/>
      <c r="J152" s="2"/>
    </row>
    <row r="153" spans="1:10" ht="13" x14ac:dyDescent="0.15">
      <c r="A153" s="4"/>
      <c r="B153" s="2"/>
      <c r="C153" s="2"/>
      <c r="D153" s="2"/>
      <c r="E153" s="3"/>
      <c r="F153" s="2"/>
      <c r="G153" s="2"/>
      <c r="H153" s="2"/>
      <c r="I153" s="2"/>
      <c r="J153" s="2"/>
    </row>
    <row r="154" spans="1:10" ht="13" x14ac:dyDescent="0.15">
      <c r="A154" s="4"/>
      <c r="B154" s="2"/>
      <c r="C154" s="2"/>
      <c r="D154" s="2"/>
      <c r="E154" s="3"/>
      <c r="F154" s="2"/>
      <c r="G154" s="2"/>
      <c r="H154" s="2"/>
      <c r="I154" s="2"/>
      <c r="J154" s="2"/>
    </row>
    <row r="155" spans="1:10" ht="13" x14ac:dyDescent="0.15">
      <c r="A155" s="4"/>
      <c r="B155" s="2"/>
      <c r="C155" s="2"/>
      <c r="D155" s="2"/>
      <c r="E155" s="3"/>
      <c r="F155" s="2"/>
      <c r="G155" s="2"/>
      <c r="H155" s="2"/>
      <c r="I155" s="2"/>
      <c r="J155" s="2"/>
    </row>
    <row r="156" spans="1:10" ht="13" x14ac:dyDescent="0.15">
      <c r="A156" s="4"/>
      <c r="B156" s="2"/>
      <c r="C156" s="2"/>
      <c r="D156" s="2"/>
      <c r="E156" s="3"/>
      <c r="F156" s="2"/>
      <c r="G156" s="2"/>
      <c r="H156" s="2"/>
      <c r="I156" s="2"/>
      <c r="J156" s="2"/>
    </row>
    <row r="157" spans="1:10" ht="13" x14ac:dyDescent="0.15">
      <c r="A157" s="4"/>
      <c r="B157" s="2"/>
      <c r="C157" s="2"/>
      <c r="D157" s="2"/>
      <c r="E157" s="3"/>
      <c r="F157" s="2"/>
      <c r="G157" s="2"/>
      <c r="H157" s="2"/>
      <c r="I157" s="2"/>
      <c r="J157" s="2"/>
    </row>
    <row r="158" spans="1:10" ht="13" x14ac:dyDescent="0.15">
      <c r="A158" s="4"/>
      <c r="B158" s="2"/>
      <c r="C158" s="2"/>
      <c r="D158" s="2"/>
      <c r="E158" s="3"/>
      <c r="F158" s="2"/>
      <c r="G158" s="2"/>
      <c r="H158" s="2"/>
      <c r="I158" s="2"/>
      <c r="J158" s="2"/>
    </row>
    <row r="159" spans="1:10" ht="13" x14ac:dyDescent="0.15">
      <c r="A159" s="4"/>
      <c r="B159" s="2"/>
      <c r="C159" s="2"/>
      <c r="D159" s="2"/>
      <c r="E159" s="3"/>
      <c r="F159" s="2"/>
      <c r="G159" s="2"/>
      <c r="H159" s="2"/>
      <c r="I159" s="2"/>
      <c r="J159" s="2"/>
    </row>
    <row r="160" spans="1:10" ht="13" x14ac:dyDescent="0.15">
      <c r="A160" s="4"/>
      <c r="B160" s="2"/>
      <c r="C160" s="2"/>
      <c r="D160" s="2"/>
      <c r="E160" s="3"/>
      <c r="F160" s="2"/>
      <c r="G160" s="2"/>
      <c r="H160" s="2"/>
      <c r="I160" s="2"/>
      <c r="J160" s="2"/>
    </row>
    <row r="161" spans="1:10" ht="13" x14ac:dyDescent="0.15">
      <c r="A161" s="4"/>
      <c r="B161" s="2"/>
      <c r="C161" s="2"/>
      <c r="D161" s="2"/>
      <c r="E161" s="3"/>
      <c r="F161" s="2"/>
      <c r="G161" s="2"/>
      <c r="H161" s="2"/>
      <c r="I161" s="2"/>
      <c r="J161" s="2"/>
    </row>
    <row r="162" spans="1:10" ht="13" x14ac:dyDescent="0.15">
      <c r="A162" s="4"/>
      <c r="B162" s="2"/>
      <c r="C162" s="2"/>
      <c r="D162" s="2"/>
      <c r="E162" s="3"/>
      <c r="F162" s="2"/>
      <c r="G162" s="2"/>
      <c r="H162" s="2"/>
      <c r="I162" s="2"/>
      <c r="J162" s="2"/>
    </row>
    <row r="163" spans="1:10" ht="13" x14ac:dyDescent="0.15">
      <c r="A163" s="4"/>
      <c r="B163" s="2"/>
      <c r="C163" s="2"/>
      <c r="D163" s="2"/>
      <c r="E163" s="3"/>
      <c r="F163" s="2"/>
      <c r="G163" s="2"/>
      <c r="H163" s="2"/>
      <c r="I163" s="2"/>
      <c r="J163" s="2"/>
    </row>
    <row r="164" spans="1:10" ht="13" x14ac:dyDescent="0.15">
      <c r="A164" s="4"/>
      <c r="B164" s="2"/>
      <c r="C164" s="2"/>
      <c r="D164" s="2"/>
      <c r="E164" s="3"/>
      <c r="F164" s="2"/>
      <c r="G164" s="2"/>
      <c r="H164" s="2"/>
      <c r="I164" s="2"/>
      <c r="J164" s="2"/>
    </row>
    <row r="165" spans="1:10" ht="13" x14ac:dyDescent="0.15">
      <c r="A165" s="4"/>
      <c r="B165" s="2"/>
      <c r="C165" s="2"/>
      <c r="D165" s="2"/>
      <c r="E165" s="3"/>
      <c r="F165" s="2"/>
      <c r="G165" s="2"/>
      <c r="H165" s="2"/>
      <c r="I165" s="2"/>
      <c r="J165" s="2"/>
    </row>
    <row r="166" spans="1:10" ht="13" x14ac:dyDescent="0.15">
      <c r="A166" s="4"/>
      <c r="B166" s="2"/>
      <c r="C166" s="2"/>
      <c r="D166" s="2"/>
      <c r="E166" s="3"/>
      <c r="F166" s="2"/>
      <c r="G166" s="2"/>
      <c r="H166" s="2"/>
      <c r="I166" s="2"/>
      <c r="J166" s="2"/>
    </row>
    <row r="167" spans="1:10" ht="13" x14ac:dyDescent="0.15">
      <c r="A167" s="4"/>
      <c r="B167" s="2"/>
      <c r="C167" s="2"/>
      <c r="D167" s="2"/>
      <c r="E167" s="3"/>
      <c r="F167" s="2"/>
      <c r="G167" s="2"/>
      <c r="H167" s="2"/>
      <c r="I167" s="2"/>
      <c r="J167" s="2"/>
    </row>
    <row r="168" spans="1:10" ht="13" x14ac:dyDescent="0.15">
      <c r="A168" s="4"/>
      <c r="B168" s="2"/>
      <c r="C168" s="2"/>
      <c r="D168" s="2"/>
      <c r="E168" s="3"/>
      <c r="F168" s="2"/>
      <c r="G168" s="2"/>
      <c r="H168" s="2"/>
      <c r="I168" s="2"/>
      <c r="J168" s="2"/>
    </row>
    <row r="169" spans="1:10" ht="13" x14ac:dyDescent="0.15">
      <c r="A169" s="4"/>
      <c r="B169" s="2"/>
      <c r="C169" s="2"/>
      <c r="D169" s="2"/>
      <c r="E169" s="3"/>
      <c r="F169" s="2"/>
      <c r="G169" s="2"/>
      <c r="H169" s="2"/>
      <c r="I169" s="2"/>
      <c r="J169" s="2"/>
    </row>
    <row r="170" spans="1:10" ht="13" x14ac:dyDescent="0.15">
      <c r="A170" s="4"/>
      <c r="B170" s="2"/>
      <c r="C170" s="2"/>
      <c r="D170" s="2"/>
      <c r="E170" s="3"/>
      <c r="F170" s="2"/>
      <c r="G170" s="2"/>
      <c r="H170" s="2"/>
      <c r="I170" s="2"/>
      <c r="J170" s="2"/>
    </row>
    <row r="171" spans="1:10" ht="13" x14ac:dyDescent="0.15">
      <c r="A171" s="4"/>
      <c r="B171" s="2"/>
      <c r="C171" s="2"/>
      <c r="D171" s="2"/>
      <c r="E171" s="3"/>
      <c r="F171" s="2"/>
      <c r="G171" s="2"/>
      <c r="H171" s="2"/>
      <c r="I171" s="2"/>
      <c r="J171" s="2"/>
    </row>
    <row r="172" spans="1:10" ht="13" x14ac:dyDescent="0.15">
      <c r="A172" s="4"/>
      <c r="B172" s="2"/>
      <c r="C172" s="2"/>
      <c r="D172" s="2"/>
      <c r="E172" s="3"/>
      <c r="F172" s="2"/>
      <c r="G172" s="2"/>
      <c r="H172" s="2"/>
      <c r="I172" s="2"/>
      <c r="J172" s="2"/>
    </row>
    <row r="173" spans="1:10" ht="13" x14ac:dyDescent="0.15">
      <c r="A173" s="4"/>
      <c r="B173" s="2"/>
      <c r="C173" s="2"/>
      <c r="D173" s="2"/>
      <c r="E173" s="3"/>
      <c r="F173" s="2"/>
      <c r="G173" s="2"/>
      <c r="H173" s="2"/>
      <c r="I173" s="2"/>
      <c r="J173" s="2"/>
    </row>
    <row r="174" spans="1:10" ht="13" x14ac:dyDescent="0.15">
      <c r="A174" s="4"/>
      <c r="B174" s="2"/>
      <c r="C174" s="2"/>
      <c r="D174" s="2"/>
      <c r="E174" s="3"/>
      <c r="F174" s="2"/>
      <c r="G174" s="2"/>
      <c r="H174" s="2"/>
      <c r="I174" s="2"/>
      <c r="J174" s="2"/>
    </row>
    <row r="175" spans="1:10" ht="13" x14ac:dyDescent="0.15">
      <c r="A175" s="4"/>
      <c r="B175" s="2"/>
      <c r="C175" s="2"/>
      <c r="D175" s="2"/>
      <c r="E175" s="3"/>
      <c r="F175" s="2"/>
      <c r="G175" s="2"/>
      <c r="H175" s="2"/>
      <c r="I175" s="2"/>
      <c r="J175" s="2"/>
    </row>
    <row r="176" spans="1:10" ht="13" x14ac:dyDescent="0.15">
      <c r="A176" s="4"/>
      <c r="B176" s="2"/>
      <c r="C176" s="2"/>
      <c r="D176" s="2"/>
      <c r="E176" s="3"/>
      <c r="F176" s="2"/>
      <c r="G176" s="2"/>
      <c r="H176" s="2"/>
      <c r="I176" s="2"/>
      <c r="J176" s="2"/>
    </row>
    <row r="177" spans="1:10" ht="13" x14ac:dyDescent="0.15">
      <c r="A177" s="4"/>
      <c r="B177" s="2"/>
      <c r="C177" s="2"/>
      <c r="D177" s="2"/>
      <c r="E177" s="3"/>
      <c r="F177" s="2"/>
      <c r="G177" s="2"/>
      <c r="H177" s="2"/>
      <c r="I177" s="2"/>
      <c r="J177" s="2"/>
    </row>
    <row r="178" spans="1:10" ht="13" x14ac:dyDescent="0.15">
      <c r="A178" s="4"/>
      <c r="B178" s="2"/>
      <c r="C178" s="2"/>
      <c r="D178" s="2"/>
      <c r="E178" s="3"/>
      <c r="F178" s="2"/>
      <c r="G178" s="2"/>
      <c r="H178" s="2"/>
      <c r="I178" s="2"/>
      <c r="J178" s="2"/>
    </row>
    <row r="179" spans="1:10" ht="13" x14ac:dyDescent="0.15">
      <c r="A179" s="4"/>
      <c r="B179" s="2"/>
      <c r="C179" s="2"/>
      <c r="D179" s="2"/>
      <c r="E179" s="3"/>
      <c r="F179" s="2"/>
      <c r="G179" s="2"/>
      <c r="H179" s="2"/>
      <c r="I179" s="2"/>
      <c r="J179" s="2"/>
    </row>
    <row r="180" spans="1:10" ht="13" x14ac:dyDescent="0.15">
      <c r="A180" s="4"/>
      <c r="B180" s="2"/>
      <c r="C180" s="2"/>
      <c r="D180" s="2"/>
      <c r="E180" s="3"/>
      <c r="F180" s="2"/>
      <c r="G180" s="2"/>
      <c r="H180" s="2"/>
      <c r="I180" s="2"/>
      <c r="J180" s="2"/>
    </row>
    <row r="181" spans="1:10" ht="13" x14ac:dyDescent="0.15">
      <c r="A181" s="4"/>
      <c r="B181" s="2"/>
      <c r="C181" s="2"/>
      <c r="D181" s="2"/>
      <c r="E181" s="3"/>
      <c r="F181" s="2"/>
      <c r="G181" s="2"/>
      <c r="H181" s="2"/>
      <c r="I181" s="2"/>
      <c r="J181" s="2"/>
    </row>
    <row r="182" spans="1:10" ht="13" x14ac:dyDescent="0.15">
      <c r="A182" s="4"/>
      <c r="B182" s="2"/>
      <c r="C182" s="2"/>
      <c r="D182" s="2"/>
      <c r="E182" s="3"/>
      <c r="F182" s="2"/>
      <c r="G182" s="2"/>
      <c r="H182" s="2"/>
      <c r="I182" s="2"/>
      <c r="J182" s="2"/>
    </row>
    <row r="183" spans="1:10" ht="13" x14ac:dyDescent="0.15">
      <c r="A183" s="4"/>
      <c r="B183" s="2"/>
      <c r="C183" s="2"/>
      <c r="D183" s="2"/>
      <c r="E183" s="3"/>
      <c r="F183" s="2"/>
      <c r="G183" s="2"/>
      <c r="H183" s="2"/>
      <c r="I183" s="2"/>
      <c r="J183" s="2"/>
    </row>
    <row r="184" spans="1:10" ht="13" x14ac:dyDescent="0.15">
      <c r="A184" s="4"/>
      <c r="B184" s="2"/>
      <c r="C184" s="2"/>
      <c r="D184" s="2"/>
      <c r="E184" s="3"/>
      <c r="F184" s="2"/>
      <c r="G184" s="2"/>
      <c r="H184" s="2"/>
      <c r="I184" s="2"/>
      <c r="J184" s="2"/>
    </row>
    <row r="185" spans="1:10" ht="13" x14ac:dyDescent="0.15">
      <c r="A185" s="4"/>
      <c r="B185" s="2"/>
      <c r="C185" s="2"/>
      <c r="D185" s="2"/>
      <c r="E185" s="3"/>
      <c r="F185" s="2"/>
      <c r="G185" s="2"/>
      <c r="H185" s="2"/>
      <c r="I185" s="2"/>
      <c r="J185" s="2"/>
    </row>
    <row r="186" spans="1:10" ht="13" x14ac:dyDescent="0.15">
      <c r="A186" s="4"/>
      <c r="B186" s="2"/>
      <c r="C186" s="2"/>
      <c r="D186" s="2"/>
      <c r="E186" s="3"/>
      <c r="F186" s="2"/>
      <c r="G186" s="2"/>
      <c r="H186" s="2"/>
      <c r="I186" s="2"/>
      <c r="J186" s="2"/>
    </row>
    <row r="187" spans="1:10" ht="13" x14ac:dyDescent="0.15">
      <c r="A187" s="4"/>
      <c r="B187" s="2"/>
      <c r="C187" s="2"/>
      <c r="D187" s="2"/>
      <c r="E187" s="3"/>
      <c r="F187" s="2"/>
      <c r="G187" s="2"/>
      <c r="H187" s="2"/>
      <c r="I187" s="2"/>
      <c r="J187" s="2"/>
    </row>
    <row r="188" spans="1:10" ht="13" x14ac:dyDescent="0.15">
      <c r="A188" s="4"/>
      <c r="B188" s="2"/>
      <c r="C188" s="2"/>
      <c r="D188" s="2"/>
      <c r="E188" s="3"/>
      <c r="F188" s="2"/>
      <c r="G188" s="2"/>
      <c r="H188" s="2"/>
      <c r="I188" s="2"/>
      <c r="J188" s="2"/>
    </row>
    <row r="189" spans="1:10" ht="13" x14ac:dyDescent="0.15">
      <c r="A189" s="4"/>
      <c r="B189" s="2"/>
      <c r="C189" s="2"/>
      <c r="D189" s="2"/>
      <c r="E189" s="3"/>
      <c r="F189" s="2"/>
      <c r="G189" s="2"/>
      <c r="H189" s="2"/>
      <c r="I189" s="2"/>
      <c r="J189" s="2"/>
    </row>
    <row r="190" spans="1:10" ht="13" x14ac:dyDescent="0.15">
      <c r="A190" s="4"/>
      <c r="B190" s="2"/>
      <c r="C190" s="2"/>
      <c r="D190" s="2"/>
      <c r="E190" s="3"/>
      <c r="F190" s="2"/>
      <c r="G190" s="2"/>
      <c r="H190" s="2"/>
      <c r="I190" s="2"/>
      <c r="J190" s="2"/>
    </row>
    <row r="191" spans="1:10" ht="13" x14ac:dyDescent="0.15">
      <c r="A191" s="4"/>
      <c r="B191" s="2"/>
      <c r="C191" s="2"/>
      <c r="D191" s="2"/>
      <c r="E191" s="3"/>
      <c r="F191" s="2"/>
      <c r="G191" s="2"/>
      <c r="H191" s="2"/>
      <c r="I191" s="2"/>
      <c r="J191" s="2"/>
    </row>
    <row r="192" spans="1:10" ht="13" x14ac:dyDescent="0.15">
      <c r="A192" s="4"/>
      <c r="B192" s="2"/>
      <c r="C192" s="2"/>
      <c r="D192" s="2"/>
      <c r="E192" s="3"/>
      <c r="F192" s="2"/>
      <c r="G192" s="2"/>
      <c r="H192" s="2"/>
      <c r="I192" s="2"/>
      <c r="J192" s="2"/>
    </row>
    <row r="193" spans="1:10" ht="13" x14ac:dyDescent="0.15">
      <c r="A193" s="4"/>
      <c r="B193" s="2"/>
      <c r="C193" s="2"/>
      <c r="D193" s="2"/>
      <c r="E193" s="3"/>
      <c r="F193" s="2"/>
      <c r="G193" s="2"/>
      <c r="H193" s="2"/>
      <c r="I193" s="2"/>
      <c r="J193" s="2"/>
    </row>
    <row r="194" spans="1:10" ht="13" x14ac:dyDescent="0.15">
      <c r="A194" s="4"/>
      <c r="B194" s="2"/>
      <c r="C194" s="2"/>
      <c r="D194" s="2"/>
      <c r="E194" s="3"/>
      <c r="F194" s="2"/>
      <c r="G194" s="2"/>
      <c r="H194" s="2"/>
      <c r="I194" s="2"/>
      <c r="J194" s="2"/>
    </row>
    <row r="195" spans="1:10" ht="13" x14ac:dyDescent="0.15">
      <c r="A195" s="4"/>
      <c r="B195" s="2"/>
      <c r="C195" s="2"/>
      <c r="D195" s="2"/>
      <c r="E195" s="3"/>
      <c r="F195" s="2"/>
      <c r="G195" s="2"/>
      <c r="H195" s="2"/>
      <c r="I195" s="2"/>
      <c r="J195" s="2"/>
    </row>
    <row r="196" spans="1:10" ht="13" x14ac:dyDescent="0.15">
      <c r="A196" s="4"/>
      <c r="B196" s="2"/>
      <c r="C196" s="2"/>
      <c r="D196" s="2"/>
      <c r="E196" s="3"/>
      <c r="F196" s="2"/>
      <c r="G196" s="2"/>
      <c r="H196" s="2"/>
      <c r="I196" s="2"/>
      <c r="J196" s="2"/>
    </row>
    <row r="197" spans="1:10" ht="13" x14ac:dyDescent="0.15">
      <c r="A197" s="4"/>
      <c r="B197" s="2"/>
      <c r="C197" s="2"/>
      <c r="D197" s="2"/>
      <c r="E197" s="3"/>
      <c r="F197" s="2"/>
      <c r="G197" s="2"/>
      <c r="H197" s="2"/>
      <c r="I197" s="2"/>
      <c r="J197" s="2"/>
    </row>
    <row r="198" spans="1:10" ht="13" x14ac:dyDescent="0.15">
      <c r="A198" s="4"/>
      <c r="B198" s="2"/>
      <c r="C198" s="2"/>
      <c r="D198" s="2"/>
      <c r="E198" s="3"/>
      <c r="F198" s="2"/>
      <c r="G198" s="2"/>
      <c r="H198" s="2"/>
      <c r="I198" s="2"/>
      <c r="J198" s="2"/>
    </row>
    <row r="199" spans="1:10" ht="13" x14ac:dyDescent="0.15">
      <c r="A199" s="4"/>
      <c r="B199" s="2"/>
      <c r="C199" s="2"/>
      <c r="D199" s="2"/>
      <c r="E199" s="3"/>
      <c r="F199" s="2"/>
      <c r="G199" s="2"/>
      <c r="H199" s="2"/>
      <c r="I199" s="2"/>
      <c r="J199" s="2"/>
    </row>
    <row r="200" spans="1:10" ht="13" x14ac:dyDescent="0.15">
      <c r="A200" s="4"/>
      <c r="B200" s="2"/>
      <c r="C200" s="2"/>
      <c r="D200" s="2"/>
      <c r="E200" s="3"/>
      <c r="F200" s="2"/>
      <c r="G200" s="2"/>
      <c r="H200" s="2"/>
      <c r="I200" s="2"/>
      <c r="J200" s="2"/>
    </row>
    <row r="201" spans="1:10" ht="13" x14ac:dyDescent="0.15">
      <c r="A201" s="4"/>
      <c r="B201" s="2"/>
      <c r="C201" s="2"/>
      <c r="D201" s="2"/>
      <c r="E201" s="3"/>
      <c r="F201" s="2"/>
      <c r="G201" s="2"/>
      <c r="H201" s="2"/>
      <c r="I201" s="2"/>
      <c r="J201" s="2"/>
    </row>
    <row r="202" spans="1:10" ht="13" x14ac:dyDescent="0.15">
      <c r="A202" s="4"/>
      <c r="B202" s="2"/>
      <c r="C202" s="2"/>
      <c r="D202" s="2"/>
      <c r="E202" s="3"/>
      <c r="F202" s="2"/>
      <c r="G202" s="2"/>
      <c r="H202" s="2"/>
      <c r="I202" s="2"/>
      <c r="J202" s="2"/>
    </row>
    <row r="203" spans="1:10" ht="13" x14ac:dyDescent="0.15">
      <c r="A203" s="4"/>
      <c r="B203" s="2"/>
      <c r="C203" s="2"/>
      <c r="D203" s="2"/>
      <c r="E203" s="3"/>
      <c r="F203" s="2"/>
      <c r="G203" s="2"/>
      <c r="H203" s="2"/>
      <c r="I203" s="2"/>
      <c r="J203" s="2"/>
    </row>
    <row r="204" spans="1:10" ht="13" x14ac:dyDescent="0.15">
      <c r="A204" s="4"/>
      <c r="B204" s="2"/>
      <c r="C204" s="2"/>
      <c r="D204" s="2"/>
      <c r="E204" s="3"/>
      <c r="F204" s="2"/>
      <c r="G204" s="2"/>
      <c r="H204" s="2"/>
      <c r="I204" s="2"/>
      <c r="J204" s="2"/>
    </row>
    <row r="205" spans="1:10" ht="13" x14ac:dyDescent="0.15">
      <c r="A205" s="4"/>
      <c r="B205" s="2"/>
      <c r="C205" s="2"/>
      <c r="D205" s="2"/>
      <c r="E205" s="3"/>
      <c r="F205" s="2"/>
      <c r="G205" s="2"/>
      <c r="H205" s="2"/>
      <c r="I205" s="2"/>
      <c r="J205" s="2"/>
    </row>
    <row r="206" spans="1:10" ht="13" x14ac:dyDescent="0.15">
      <c r="A206" s="4"/>
      <c r="B206" s="2"/>
      <c r="C206" s="2"/>
      <c r="D206" s="2"/>
      <c r="E206" s="3"/>
      <c r="F206" s="2"/>
      <c r="G206" s="2"/>
      <c r="H206" s="2"/>
      <c r="I206" s="2"/>
      <c r="J206" s="2"/>
    </row>
    <row r="207" spans="1:10" ht="13" x14ac:dyDescent="0.15">
      <c r="A207" s="4"/>
      <c r="B207" s="2"/>
      <c r="C207" s="2"/>
      <c r="D207" s="2"/>
      <c r="E207" s="3"/>
      <c r="F207" s="2"/>
      <c r="G207" s="2"/>
      <c r="H207" s="2"/>
      <c r="I207" s="2"/>
      <c r="J207" s="2"/>
    </row>
    <row r="208" spans="1:10" ht="13" x14ac:dyDescent="0.15">
      <c r="A208" s="4"/>
      <c r="B208" s="2"/>
      <c r="C208" s="2"/>
      <c r="D208" s="2"/>
      <c r="E208" s="3"/>
      <c r="F208" s="2"/>
      <c r="G208" s="2"/>
      <c r="H208" s="2"/>
      <c r="I208" s="2"/>
      <c r="J208" s="2"/>
    </row>
    <row r="209" spans="1:10" ht="13" x14ac:dyDescent="0.15">
      <c r="A209" s="4"/>
      <c r="B209" s="2"/>
      <c r="C209" s="2"/>
      <c r="D209" s="2"/>
      <c r="E209" s="3"/>
      <c r="F209" s="2"/>
      <c r="G209" s="2"/>
      <c r="H209" s="2"/>
      <c r="I209" s="2"/>
      <c r="J209" s="2"/>
    </row>
    <row r="210" spans="1:10" ht="13" x14ac:dyDescent="0.15">
      <c r="A210" s="4"/>
      <c r="B210" s="2"/>
      <c r="C210" s="2"/>
      <c r="D210" s="2"/>
      <c r="E210" s="3"/>
      <c r="F210" s="2"/>
      <c r="G210" s="2"/>
      <c r="H210" s="2"/>
      <c r="I210" s="2"/>
      <c r="J210" s="2"/>
    </row>
    <row r="211" spans="1:10" ht="13" x14ac:dyDescent="0.15">
      <c r="A211" s="4"/>
      <c r="B211" s="2"/>
      <c r="C211" s="2"/>
      <c r="D211" s="2"/>
      <c r="E211" s="3"/>
      <c r="F211" s="2"/>
      <c r="G211" s="2"/>
      <c r="H211" s="2"/>
      <c r="I211" s="2"/>
      <c r="J211" s="2"/>
    </row>
    <row r="212" spans="1:10" ht="13" x14ac:dyDescent="0.15">
      <c r="A212" s="4"/>
      <c r="B212" s="2"/>
      <c r="C212" s="2"/>
      <c r="D212" s="2"/>
      <c r="E212" s="3"/>
      <c r="F212" s="2"/>
      <c r="G212" s="2"/>
      <c r="H212" s="2"/>
      <c r="I212" s="2"/>
      <c r="J212" s="2"/>
    </row>
    <row r="213" spans="1:10" ht="13" x14ac:dyDescent="0.15">
      <c r="A213" s="4"/>
      <c r="B213" s="2"/>
      <c r="C213" s="2"/>
      <c r="D213" s="2"/>
      <c r="E213" s="3"/>
      <c r="F213" s="2"/>
      <c r="G213" s="2"/>
      <c r="H213" s="2"/>
      <c r="I213" s="2"/>
      <c r="J213" s="2"/>
    </row>
    <row r="214" spans="1:10" ht="13" x14ac:dyDescent="0.15">
      <c r="A214" s="4"/>
      <c r="B214" s="2"/>
      <c r="C214" s="2"/>
      <c r="D214" s="2"/>
      <c r="E214" s="3"/>
      <c r="F214" s="2"/>
      <c r="G214" s="2"/>
      <c r="H214" s="2"/>
      <c r="I214" s="2"/>
      <c r="J214" s="2"/>
    </row>
    <row r="215" spans="1:10" ht="13" x14ac:dyDescent="0.15">
      <c r="A215" s="4"/>
      <c r="B215" s="2"/>
      <c r="C215" s="2"/>
      <c r="D215" s="2"/>
      <c r="E215" s="3"/>
      <c r="F215" s="2"/>
      <c r="G215" s="2"/>
      <c r="H215" s="2"/>
      <c r="I215" s="2"/>
      <c r="J215" s="2"/>
    </row>
    <row r="216" spans="1:10" ht="13" x14ac:dyDescent="0.15">
      <c r="A216" s="4"/>
      <c r="B216" s="2"/>
      <c r="C216" s="2"/>
      <c r="D216" s="2"/>
      <c r="E216" s="3"/>
      <c r="F216" s="2"/>
      <c r="G216" s="2"/>
      <c r="H216" s="2"/>
      <c r="I216" s="2"/>
      <c r="J216" s="2"/>
    </row>
    <row r="217" spans="1:10" ht="13" x14ac:dyDescent="0.15">
      <c r="A217" s="4"/>
      <c r="B217" s="2"/>
      <c r="C217" s="2"/>
      <c r="D217" s="2"/>
      <c r="E217" s="3"/>
      <c r="F217" s="2"/>
      <c r="G217" s="2"/>
      <c r="H217" s="2"/>
      <c r="I217" s="2"/>
      <c r="J217" s="2"/>
    </row>
    <row r="218" spans="1:10" ht="13" x14ac:dyDescent="0.15">
      <c r="A218" s="4"/>
      <c r="B218" s="2"/>
      <c r="C218" s="2"/>
      <c r="D218" s="2"/>
      <c r="E218" s="3"/>
      <c r="F218" s="2"/>
      <c r="G218" s="2"/>
      <c r="H218" s="2"/>
      <c r="I218" s="2"/>
      <c r="J218" s="2"/>
    </row>
    <row r="219" spans="1:10" ht="13" x14ac:dyDescent="0.15">
      <c r="A219" s="4"/>
      <c r="B219" s="2"/>
      <c r="C219" s="2"/>
      <c r="D219" s="2"/>
      <c r="E219" s="3"/>
      <c r="F219" s="2"/>
      <c r="G219" s="2"/>
      <c r="H219" s="2"/>
      <c r="I219" s="2"/>
      <c r="J219" s="2"/>
    </row>
    <row r="220" spans="1:10" ht="13" x14ac:dyDescent="0.15">
      <c r="A220" s="4"/>
      <c r="B220" s="2"/>
      <c r="C220" s="2"/>
      <c r="D220" s="2"/>
      <c r="E220" s="3"/>
      <c r="F220" s="2"/>
      <c r="G220" s="2"/>
      <c r="H220" s="2"/>
      <c r="I220" s="2"/>
      <c r="J220" s="2"/>
    </row>
    <row r="221" spans="1:10" ht="13" x14ac:dyDescent="0.15">
      <c r="A221" s="4"/>
      <c r="B221" s="2"/>
      <c r="C221" s="2"/>
      <c r="D221" s="2"/>
      <c r="E221" s="3"/>
      <c r="F221" s="2"/>
      <c r="G221" s="2"/>
      <c r="H221" s="2"/>
      <c r="I221" s="2"/>
      <c r="J221" s="2"/>
    </row>
    <row r="222" spans="1:10" ht="13" x14ac:dyDescent="0.15">
      <c r="A222" s="4"/>
      <c r="B222" s="2"/>
      <c r="C222" s="2"/>
      <c r="D222" s="2"/>
      <c r="E222" s="3"/>
      <c r="F222" s="2"/>
      <c r="G222" s="2"/>
      <c r="H222" s="2"/>
      <c r="I222" s="2"/>
      <c r="J222" s="2"/>
    </row>
    <row r="223" spans="1:10" ht="13" x14ac:dyDescent="0.15">
      <c r="A223" s="4"/>
      <c r="B223" s="2"/>
      <c r="C223" s="2"/>
      <c r="D223" s="2"/>
      <c r="E223" s="3"/>
      <c r="F223" s="2"/>
      <c r="G223" s="2"/>
      <c r="H223" s="2"/>
      <c r="I223" s="2"/>
      <c r="J223" s="2"/>
    </row>
    <row r="224" spans="1:10" ht="13" x14ac:dyDescent="0.15">
      <c r="A224" s="4"/>
      <c r="B224" s="2"/>
      <c r="C224" s="2"/>
      <c r="D224" s="2"/>
      <c r="E224" s="3"/>
      <c r="F224" s="2"/>
      <c r="G224" s="2"/>
      <c r="H224" s="2"/>
      <c r="I224" s="2"/>
      <c r="J224" s="2"/>
    </row>
    <row r="225" spans="1:10" ht="13" x14ac:dyDescent="0.15">
      <c r="A225" s="4"/>
      <c r="B225" s="2"/>
      <c r="C225" s="2"/>
      <c r="D225" s="2"/>
      <c r="E225" s="3"/>
      <c r="F225" s="2"/>
      <c r="G225" s="2"/>
      <c r="H225" s="2"/>
      <c r="I225" s="2"/>
      <c r="J225" s="2"/>
    </row>
    <row r="226" spans="1:10" ht="13" x14ac:dyDescent="0.15">
      <c r="A226" s="4"/>
      <c r="B226" s="2"/>
      <c r="C226" s="2"/>
      <c r="D226" s="2"/>
      <c r="E226" s="3"/>
      <c r="F226" s="2"/>
      <c r="G226" s="2"/>
      <c r="H226" s="2"/>
      <c r="I226" s="2"/>
      <c r="J226" s="2"/>
    </row>
    <row r="227" spans="1:10" ht="13" x14ac:dyDescent="0.15">
      <c r="A227" s="4"/>
      <c r="B227" s="2"/>
      <c r="C227" s="2"/>
      <c r="D227" s="2"/>
      <c r="E227" s="3"/>
      <c r="F227" s="2"/>
      <c r="G227" s="2"/>
      <c r="H227" s="2"/>
      <c r="I227" s="2"/>
      <c r="J227" s="2"/>
    </row>
    <row r="228" spans="1:10" ht="13" x14ac:dyDescent="0.15">
      <c r="A228" s="4"/>
      <c r="B228" s="2"/>
      <c r="C228" s="2"/>
      <c r="D228" s="2"/>
      <c r="E228" s="3"/>
      <c r="F228" s="2"/>
      <c r="G228" s="2"/>
      <c r="H228" s="2"/>
      <c r="I228" s="2"/>
      <c r="J228" s="2"/>
    </row>
    <row r="229" spans="1:10" ht="13" x14ac:dyDescent="0.15">
      <c r="A229" s="4"/>
      <c r="B229" s="2"/>
      <c r="C229" s="2"/>
      <c r="D229" s="2"/>
      <c r="E229" s="3"/>
      <c r="F229" s="2"/>
      <c r="G229" s="2"/>
      <c r="H229" s="2"/>
      <c r="I229" s="2"/>
      <c r="J229" s="2"/>
    </row>
    <row r="230" spans="1:10" ht="13" x14ac:dyDescent="0.15">
      <c r="A230" s="4"/>
      <c r="B230" s="2"/>
      <c r="C230" s="2"/>
      <c r="D230" s="2"/>
      <c r="E230" s="3"/>
      <c r="F230" s="2"/>
      <c r="G230" s="2"/>
      <c r="H230" s="2"/>
      <c r="I230" s="2"/>
      <c r="J230" s="2"/>
    </row>
    <row r="231" spans="1:10" ht="13" x14ac:dyDescent="0.15">
      <c r="A231" s="4"/>
      <c r="B231" s="2"/>
      <c r="C231" s="2"/>
      <c r="D231" s="2"/>
      <c r="E231" s="3"/>
      <c r="F231" s="2"/>
      <c r="G231" s="2"/>
      <c r="H231" s="2"/>
      <c r="I231" s="2"/>
      <c r="J231" s="2"/>
    </row>
    <row r="232" spans="1:10" ht="13" x14ac:dyDescent="0.15">
      <c r="A232" s="4"/>
      <c r="B232" s="2"/>
      <c r="C232" s="2"/>
      <c r="D232" s="2"/>
      <c r="E232" s="3"/>
      <c r="F232" s="2"/>
      <c r="G232" s="2"/>
      <c r="H232" s="2"/>
      <c r="I232" s="2"/>
      <c r="J232" s="2"/>
    </row>
    <row r="233" spans="1:10" ht="13" x14ac:dyDescent="0.15">
      <c r="A233" s="4"/>
      <c r="B233" s="2"/>
      <c r="C233" s="2"/>
      <c r="D233" s="2"/>
      <c r="E233" s="3"/>
      <c r="F233" s="2"/>
      <c r="G233" s="2"/>
      <c r="H233" s="2"/>
      <c r="I233" s="2"/>
      <c r="J233" s="2"/>
    </row>
    <row r="234" spans="1:10" ht="13" x14ac:dyDescent="0.15">
      <c r="A234" s="4"/>
      <c r="B234" s="2"/>
      <c r="C234" s="2"/>
      <c r="D234" s="2"/>
      <c r="E234" s="3"/>
      <c r="F234" s="2"/>
      <c r="G234" s="2"/>
      <c r="H234" s="2"/>
      <c r="I234" s="2"/>
      <c r="J234" s="2"/>
    </row>
    <row r="235" spans="1:10" ht="13" x14ac:dyDescent="0.15">
      <c r="A235" s="4"/>
      <c r="B235" s="2"/>
      <c r="C235" s="2"/>
      <c r="D235" s="2"/>
      <c r="E235" s="3"/>
      <c r="F235" s="2"/>
      <c r="G235" s="2"/>
      <c r="H235" s="2"/>
      <c r="I235" s="2"/>
      <c r="J235" s="2"/>
    </row>
    <row r="236" spans="1:10" ht="13" x14ac:dyDescent="0.15">
      <c r="A236" s="4"/>
      <c r="B236" s="2"/>
      <c r="C236" s="2"/>
      <c r="D236" s="2"/>
      <c r="E236" s="3"/>
      <c r="F236" s="2"/>
      <c r="G236" s="2"/>
      <c r="H236" s="2"/>
      <c r="I236" s="2"/>
      <c r="J236" s="2"/>
    </row>
    <row r="237" spans="1:10" ht="13" x14ac:dyDescent="0.15">
      <c r="A237" s="4"/>
      <c r="B237" s="2"/>
      <c r="C237" s="2"/>
      <c r="D237" s="2"/>
      <c r="E237" s="3"/>
      <c r="F237" s="2"/>
      <c r="G237" s="2"/>
      <c r="H237" s="2"/>
      <c r="I237" s="2"/>
      <c r="J237" s="2"/>
    </row>
    <row r="238" spans="1:10" ht="13" x14ac:dyDescent="0.15">
      <c r="A238" s="4"/>
      <c r="B238" s="2"/>
      <c r="C238" s="2"/>
      <c r="D238" s="2"/>
      <c r="E238" s="3"/>
      <c r="F238" s="2"/>
      <c r="G238" s="2"/>
      <c r="H238" s="2"/>
      <c r="I238" s="2"/>
      <c r="J238" s="2"/>
    </row>
    <row r="239" spans="1:10" ht="13" x14ac:dyDescent="0.15">
      <c r="A239" s="4"/>
      <c r="B239" s="2"/>
      <c r="C239" s="2"/>
      <c r="D239" s="2"/>
      <c r="E239" s="3"/>
      <c r="F239" s="2"/>
      <c r="G239" s="2"/>
      <c r="H239" s="2"/>
      <c r="I239" s="2"/>
      <c r="J239" s="2"/>
    </row>
    <row r="240" spans="1:10" ht="13" x14ac:dyDescent="0.15">
      <c r="A240" s="4"/>
      <c r="B240" s="2"/>
      <c r="C240" s="2"/>
      <c r="D240" s="2"/>
      <c r="E240" s="3"/>
      <c r="F240" s="2"/>
      <c r="G240" s="2"/>
      <c r="H240" s="2"/>
      <c r="I240" s="2"/>
      <c r="J240" s="2"/>
    </row>
    <row r="241" spans="1:10" ht="13" x14ac:dyDescent="0.15">
      <c r="A241" s="4"/>
      <c r="B241" s="2"/>
      <c r="C241" s="2"/>
      <c r="D241" s="2"/>
      <c r="E241" s="3"/>
      <c r="F241" s="2"/>
      <c r="G241" s="2"/>
      <c r="H241" s="2"/>
      <c r="I241" s="2"/>
      <c r="J241" s="2"/>
    </row>
    <row r="242" spans="1:10" ht="13" x14ac:dyDescent="0.15">
      <c r="A242" s="4"/>
      <c r="B242" s="2"/>
      <c r="C242" s="2"/>
      <c r="D242" s="2"/>
      <c r="E242" s="3"/>
      <c r="F242" s="2"/>
      <c r="G242" s="2"/>
      <c r="H242" s="2"/>
      <c r="I242" s="2"/>
      <c r="J242" s="2"/>
    </row>
    <row r="243" spans="1:10" ht="13" x14ac:dyDescent="0.15">
      <c r="A243" s="4"/>
      <c r="B243" s="2"/>
      <c r="C243" s="2"/>
      <c r="D243" s="2"/>
      <c r="E243" s="3"/>
      <c r="F243" s="2"/>
      <c r="G243" s="2"/>
      <c r="H243" s="2"/>
      <c r="I243" s="2"/>
      <c r="J243" s="2"/>
    </row>
    <row r="244" spans="1:10" ht="13" x14ac:dyDescent="0.15">
      <c r="A244" s="4"/>
      <c r="B244" s="2"/>
      <c r="C244" s="2"/>
      <c r="D244" s="2"/>
      <c r="E244" s="3"/>
      <c r="F244" s="2"/>
      <c r="G244" s="2"/>
      <c r="H244" s="2"/>
      <c r="I244" s="2"/>
      <c r="J244" s="2"/>
    </row>
    <row r="245" spans="1:10" ht="13" x14ac:dyDescent="0.15">
      <c r="A245" s="4"/>
      <c r="B245" s="2"/>
      <c r="C245" s="2"/>
      <c r="D245" s="2"/>
      <c r="E245" s="3"/>
      <c r="F245" s="2"/>
      <c r="G245" s="2"/>
      <c r="H245" s="2"/>
      <c r="I245" s="2"/>
      <c r="J245" s="2"/>
    </row>
    <row r="246" spans="1:10" ht="13" x14ac:dyDescent="0.15">
      <c r="A246" s="4"/>
      <c r="B246" s="2"/>
      <c r="C246" s="2"/>
      <c r="D246" s="2"/>
      <c r="E246" s="3"/>
      <c r="F246" s="2"/>
      <c r="G246" s="2"/>
      <c r="H246" s="2"/>
      <c r="I246" s="2"/>
      <c r="J246" s="2"/>
    </row>
    <row r="247" spans="1:10" ht="13" x14ac:dyDescent="0.15">
      <c r="A247" s="4"/>
      <c r="B247" s="2"/>
      <c r="C247" s="2"/>
      <c r="D247" s="2"/>
      <c r="E247" s="3"/>
      <c r="F247" s="2"/>
      <c r="G247" s="2"/>
      <c r="H247" s="2"/>
      <c r="I247" s="2"/>
      <c r="J247" s="2"/>
    </row>
    <row r="248" spans="1:10" ht="13" x14ac:dyDescent="0.15">
      <c r="A248" s="4"/>
      <c r="B248" s="2"/>
      <c r="C248" s="2"/>
      <c r="D248" s="2"/>
      <c r="E248" s="3"/>
      <c r="F248" s="2"/>
      <c r="G248" s="2"/>
      <c r="H248" s="2"/>
      <c r="I248" s="2"/>
      <c r="J248" s="2"/>
    </row>
    <row r="249" spans="1:10" ht="13" x14ac:dyDescent="0.15">
      <c r="A249" s="4"/>
      <c r="B249" s="2"/>
      <c r="C249" s="2"/>
      <c r="D249" s="2"/>
      <c r="E249" s="3"/>
      <c r="F249" s="2"/>
      <c r="G249" s="2"/>
      <c r="H249" s="2"/>
      <c r="I249" s="2"/>
      <c r="J249" s="2"/>
    </row>
    <row r="250" spans="1:10" ht="13" x14ac:dyDescent="0.15">
      <c r="A250" s="4"/>
      <c r="B250" s="2"/>
      <c r="C250" s="2"/>
      <c r="D250" s="2"/>
      <c r="E250" s="3"/>
      <c r="F250" s="2"/>
      <c r="G250" s="2"/>
      <c r="H250" s="2"/>
      <c r="I250" s="2"/>
      <c r="J250" s="2"/>
    </row>
    <row r="251" spans="1:10" ht="13" x14ac:dyDescent="0.15">
      <c r="A251" s="4"/>
      <c r="B251" s="2"/>
      <c r="C251" s="2"/>
      <c r="D251" s="2"/>
      <c r="E251" s="3"/>
      <c r="F251" s="2"/>
      <c r="G251" s="2"/>
      <c r="H251" s="2"/>
      <c r="I251" s="2"/>
      <c r="J251" s="2"/>
    </row>
    <row r="252" spans="1:10" ht="13" x14ac:dyDescent="0.15">
      <c r="A252" s="4"/>
      <c r="B252" s="2"/>
      <c r="C252" s="2"/>
      <c r="D252" s="2"/>
      <c r="E252" s="3"/>
      <c r="F252" s="2"/>
      <c r="G252" s="2"/>
      <c r="H252" s="2"/>
      <c r="I252" s="2"/>
      <c r="J252" s="2"/>
    </row>
    <row r="253" spans="1:10" ht="13" x14ac:dyDescent="0.15">
      <c r="A253" s="4"/>
      <c r="B253" s="2"/>
      <c r="C253" s="2"/>
      <c r="D253" s="2"/>
      <c r="E253" s="3"/>
      <c r="F253" s="2"/>
      <c r="G253" s="2"/>
      <c r="H253" s="2"/>
      <c r="I253" s="2"/>
      <c r="J253" s="2"/>
    </row>
    <row r="254" spans="1:10" ht="13" x14ac:dyDescent="0.15">
      <c r="A254" s="4"/>
      <c r="B254" s="2"/>
      <c r="C254" s="2"/>
      <c r="D254" s="2"/>
      <c r="E254" s="3"/>
      <c r="F254" s="2"/>
      <c r="G254" s="2"/>
      <c r="H254" s="2"/>
      <c r="I254" s="2"/>
      <c r="J254" s="2"/>
    </row>
    <row r="255" spans="1:10" ht="13" x14ac:dyDescent="0.15">
      <c r="A255" s="4"/>
      <c r="B255" s="2"/>
      <c r="C255" s="2"/>
      <c r="D255" s="2"/>
      <c r="E255" s="3"/>
      <c r="F255" s="2"/>
      <c r="G255" s="2"/>
      <c r="H255" s="2"/>
      <c r="I255" s="2"/>
      <c r="J255" s="2"/>
    </row>
    <row r="256" spans="1:10" ht="13" x14ac:dyDescent="0.15">
      <c r="A256" s="4"/>
      <c r="B256" s="2"/>
      <c r="C256" s="2"/>
      <c r="D256" s="2"/>
      <c r="E256" s="3"/>
      <c r="F256" s="2"/>
      <c r="G256" s="2"/>
      <c r="H256" s="2"/>
      <c r="I256" s="2"/>
      <c r="J256" s="2"/>
    </row>
    <row r="257" spans="1:10" ht="13" x14ac:dyDescent="0.15">
      <c r="A257" s="4"/>
      <c r="B257" s="2"/>
      <c r="C257" s="2"/>
      <c r="D257" s="2"/>
      <c r="E257" s="3"/>
      <c r="F257" s="2"/>
      <c r="G257" s="2"/>
      <c r="H257" s="2"/>
      <c r="I257" s="2"/>
      <c r="J257" s="2"/>
    </row>
    <row r="258" spans="1:10" ht="13" x14ac:dyDescent="0.15">
      <c r="A258" s="4"/>
      <c r="B258" s="2"/>
      <c r="C258" s="2"/>
      <c r="D258" s="2"/>
      <c r="E258" s="3"/>
      <c r="F258" s="2"/>
      <c r="G258" s="2"/>
      <c r="H258" s="2"/>
      <c r="I258" s="2"/>
      <c r="J258" s="2"/>
    </row>
    <row r="259" spans="1:10" ht="13" x14ac:dyDescent="0.15">
      <c r="A259" s="4"/>
      <c r="B259" s="2"/>
      <c r="C259" s="2"/>
      <c r="D259" s="2"/>
      <c r="E259" s="3"/>
      <c r="F259" s="2"/>
      <c r="G259" s="2"/>
      <c r="H259" s="2"/>
      <c r="I259" s="2"/>
      <c r="J259" s="2"/>
    </row>
    <row r="260" spans="1:10" ht="13" x14ac:dyDescent="0.15">
      <c r="A260" s="4"/>
      <c r="B260" s="2"/>
      <c r="C260" s="2"/>
      <c r="D260" s="2"/>
      <c r="E260" s="3"/>
      <c r="F260" s="2"/>
      <c r="G260" s="2"/>
      <c r="H260" s="2"/>
      <c r="I260" s="2"/>
      <c r="J260" s="2"/>
    </row>
    <row r="261" spans="1:10" ht="13" x14ac:dyDescent="0.15">
      <c r="A261" s="4"/>
      <c r="B261" s="2"/>
      <c r="C261" s="2"/>
      <c r="D261" s="2"/>
      <c r="E261" s="3"/>
      <c r="F261" s="2"/>
      <c r="G261" s="2"/>
      <c r="H261" s="2"/>
      <c r="I261" s="2"/>
      <c r="J261" s="2"/>
    </row>
    <row r="262" spans="1:10" ht="13" x14ac:dyDescent="0.15">
      <c r="A262" s="4"/>
      <c r="B262" s="2"/>
      <c r="C262" s="2"/>
      <c r="D262" s="2"/>
      <c r="E262" s="3"/>
      <c r="F262" s="2"/>
      <c r="G262" s="2"/>
      <c r="H262" s="2"/>
      <c r="I262" s="2"/>
      <c r="J262" s="2"/>
    </row>
    <row r="263" spans="1:10" ht="13" x14ac:dyDescent="0.15">
      <c r="A263" s="4"/>
      <c r="B263" s="2"/>
      <c r="C263" s="2"/>
      <c r="D263" s="2"/>
      <c r="E263" s="3"/>
      <c r="F263" s="2"/>
      <c r="G263" s="2"/>
      <c r="H263" s="2"/>
      <c r="I263" s="2"/>
      <c r="J263" s="2"/>
    </row>
    <row r="264" spans="1:10" ht="13" x14ac:dyDescent="0.15">
      <c r="A264" s="4"/>
      <c r="B264" s="2"/>
      <c r="C264" s="2"/>
      <c r="D264" s="2"/>
      <c r="E264" s="3"/>
      <c r="F264" s="2"/>
      <c r="G264" s="2"/>
      <c r="H264" s="2"/>
      <c r="I264" s="2"/>
      <c r="J264" s="2"/>
    </row>
    <row r="265" spans="1:10" ht="13" x14ac:dyDescent="0.15">
      <c r="A265" s="4"/>
      <c r="B265" s="2"/>
      <c r="C265" s="2"/>
      <c r="D265" s="2"/>
      <c r="E265" s="3"/>
      <c r="F265" s="2"/>
      <c r="G265" s="2"/>
      <c r="H265" s="2"/>
      <c r="I265" s="2"/>
      <c r="J265" s="2"/>
    </row>
    <row r="266" spans="1:10" ht="13" x14ac:dyDescent="0.15">
      <c r="A266" s="4"/>
      <c r="B266" s="2"/>
      <c r="C266" s="2"/>
      <c r="D266" s="2"/>
      <c r="E266" s="3"/>
      <c r="F266" s="2"/>
      <c r="G266" s="2"/>
      <c r="H266" s="2"/>
      <c r="I266" s="2"/>
      <c r="J266" s="2"/>
    </row>
    <row r="267" spans="1:10" ht="13" x14ac:dyDescent="0.15">
      <c r="A267" s="4"/>
      <c r="B267" s="2"/>
      <c r="C267" s="2"/>
      <c r="D267" s="2"/>
      <c r="E267" s="3"/>
      <c r="F267" s="2"/>
      <c r="G267" s="2"/>
      <c r="H267" s="2"/>
      <c r="I267" s="2"/>
      <c r="J267" s="2"/>
    </row>
    <row r="268" spans="1:10" ht="13" x14ac:dyDescent="0.15">
      <c r="A268" s="4"/>
      <c r="B268" s="2"/>
      <c r="C268" s="2"/>
      <c r="D268" s="2"/>
      <c r="E268" s="3"/>
      <c r="F268" s="2"/>
      <c r="G268" s="2"/>
      <c r="H268" s="2"/>
      <c r="I268" s="2"/>
      <c r="J268" s="2"/>
    </row>
    <row r="269" spans="1:10" ht="13" x14ac:dyDescent="0.15">
      <c r="A269" s="4"/>
      <c r="B269" s="2"/>
      <c r="C269" s="2"/>
      <c r="D269" s="2"/>
      <c r="E269" s="3"/>
      <c r="F269" s="2"/>
      <c r="G269" s="2"/>
      <c r="H269" s="2"/>
      <c r="I269" s="2"/>
      <c r="J269" s="2"/>
    </row>
    <row r="270" spans="1:10" ht="13" x14ac:dyDescent="0.15">
      <c r="A270" s="4"/>
      <c r="B270" s="2"/>
      <c r="C270" s="2"/>
      <c r="D270" s="2"/>
      <c r="E270" s="3"/>
      <c r="F270" s="2"/>
      <c r="G270" s="2"/>
      <c r="H270" s="2"/>
      <c r="I270" s="2"/>
      <c r="J270" s="2"/>
    </row>
    <row r="271" spans="1:10" ht="13" x14ac:dyDescent="0.15">
      <c r="A271" s="4"/>
      <c r="B271" s="2"/>
      <c r="C271" s="2"/>
      <c r="D271" s="2"/>
      <c r="E271" s="3"/>
      <c r="F271" s="2"/>
      <c r="G271" s="2"/>
      <c r="H271" s="2"/>
      <c r="I271" s="2"/>
      <c r="J271" s="2"/>
    </row>
    <row r="272" spans="1:10" ht="13" x14ac:dyDescent="0.15">
      <c r="A272" s="4"/>
      <c r="B272" s="2"/>
      <c r="C272" s="2"/>
      <c r="D272" s="2"/>
      <c r="E272" s="3"/>
      <c r="F272" s="2"/>
      <c r="G272" s="2"/>
      <c r="H272" s="2"/>
      <c r="I272" s="2"/>
      <c r="J272" s="2"/>
    </row>
    <row r="273" spans="1:10" ht="13" x14ac:dyDescent="0.15">
      <c r="A273" s="4"/>
      <c r="B273" s="2"/>
      <c r="C273" s="2"/>
      <c r="D273" s="2"/>
      <c r="E273" s="3"/>
      <c r="F273" s="2"/>
      <c r="G273" s="2"/>
      <c r="H273" s="2"/>
      <c r="I273" s="2"/>
      <c r="J273" s="2"/>
    </row>
    <row r="274" spans="1:10" ht="13" x14ac:dyDescent="0.15">
      <c r="A274" s="4"/>
      <c r="B274" s="2"/>
      <c r="C274" s="2"/>
      <c r="D274" s="2"/>
      <c r="E274" s="3"/>
      <c r="F274" s="2"/>
      <c r="G274" s="2"/>
      <c r="H274" s="2"/>
      <c r="I274" s="2"/>
      <c r="J274" s="2"/>
    </row>
    <row r="275" spans="1:10" ht="13" x14ac:dyDescent="0.15">
      <c r="A275" s="4"/>
      <c r="B275" s="2"/>
      <c r="C275" s="2"/>
      <c r="D275" s="2"/>
      <c r="E275" s="3"/>
      <c r="F275" s="2"/>
      <c r="G275" s="2"/>
      <c r="H275" s="2"/>
      <c r="I275" s="2"/>
      <c r="J275" s="2"/>
    </row>
    <row r="276" spans="1:10" ht="13" x14ac:dyDescent="0.15">
      <c r="A276" s="4"/>
      <c r="B276" s="2"/>
      <c r="C276" s="2"/>
      <c r="D276" s="2"/>
      <c r="E276" s="3"/>
      <c r="F276" s="2"/>
      <c r="G276" s="2"/>
      <c r="H276" s="2"/>
      <c r="I276" s="2"/>
      <c r="J276" s="2"/>
    </row>
    <row r="277" spans="1:10" ht="13" x14ac:dyDescent="0.15">
      <c r="A277" s="4"/>
      <c r="B277" s="2"/>
      <c r="C277" s="2"/>
      <c r="D277" s="2"/>
      <c r="E277" s="3"/>
      <c r="F277" s="2"/>
      <c r="G277" s="2"/>
      <c r="H277" s="2"/>
      <c r="I277" s="2"/>
      <c r="J277" s="2"/>
    </row>
    <row r="278" spans="1:10" ht="13" x14ac:dyDescent="0.15">
      <c r="A278" s="4"/>
      <c r="B278" s="2"/>
      <c r="C278" s="2"/>
      <c r="D278" s="2"/>
      <c r="E278" s="3"/>
      <c r="F278" s="2"/>
      <c r="G278" s="2"/>
      <c r="H278" s="2"/>
      <c r="I278" s="2"/>
      <c r="J278" s="2"/>
    </row>
    <row r="279" spans="1:10" ht="13" x14ac:dyDescent="0.15">
      <c r="A279" s="4"/>
      <c r="B279" s="2"/>
      <c r="C279" s="2"/>
      <c r="D279" s="2"/>
      <c r="E279" s="3"/>
      <c r="F279" s="2"/>
      <c r="G279" s="2"/>
      <c r="H279" s="2"/>
      <c r="I279" s="2"/>
      <c r="J279" s="2"/>
    </row>
    <row r="280" spans="1:10" ht="13" x14ac:dyDescent="0.15">
      <c r="A280" s="4"/>
      <c r="B280" s="2"/>
      <c r="C280" s="2"/>
      <c r="D280" s="2"/>
      <c r="E280" s="3"/>
      <c r="F280" s="2"/>
      <c r="G280" s="2"/>
      <c r="H280" s="2"/>
      <c r="I280" s="2"/>
      <c r="J280" s="2"/>
    </row>
    <row r="281" spans="1:10" ht="13" x14ac:dyDescent="0.15">
      <c r="A281" s="4"/>
      <c r="B281" s="2"/>
      <c r="C281" s="2"/>
      <c r="D281" s="2"/>
      <c r="E281" s="3"/>
      <c r="F281" s="2"/>
      <c r="G281" s="2"/>
      <c r="H281" s="2"/>
      <c r="I281" s="2"/>
      <c r="J281" s="2"/>
    </row>
    <row r="282" spans="1:10" ht="13" x14ac:dyDescent="0.15">
      <c r="A282" s="4"/>
      <c r="B282" s="2"/>
      <c r="C282" s="2"/>
      <c r="D282" s="2"/>
      <c r="E282" s="3"/>
      <c r="F282" s="2"/>
      <c r="G282" s="2"/>
      <c r="H282" s="2"/>
      <c r="I282" s="2"/>
      <c r="J282" s="2"/>
    </row>
    <row r="283" spans="1:10" ht="13" x14ac:dyDescent="0.15">
      <c r="A283" s="4"/>
      <c r="B283" s="2"/>
      <c r="C283" s="2"/>
      <c r="D283" s="2"/>
      <c r="E283" s="3"/>
      <c r="F283" s="2"/>
      <c r="G283" s="2"/>
      <c r="H283" s="2"/>
      <c r="I283" s="2"/>
      <c r="J283" s="2"/>
    </row>
    <row r="284" spans="1:10" ht="13" x14ac:dyDescent="0.15">
      <c r="A284" s="4"/>
      <c r="B284" s="2"/>
      <c r="C284" s="2"/>
      <c r="D284" s="2"/>
      <c r="E284" s="3"/>
      <c r="F284" s="2"/>
      <c r="G284" s="2"/>
      <c r="H284" s="2"/>
      <c r="I284" s="2"/>
      <c r="J284" s="2"/>
    </row>
    <row r="285" spans="1:10" ht="13" x14ac:dyDescent="0.15">
      <c r="A285" s="4"/>
      <c r="B285" s="2"/>
      <c r="C285" s="2"/>
      <c r="D285" s="2"/>
      <c r="E285" s="3"/>
      <c r="F285" s="2"/>
      <c r="G285" s="2"/>
      <c r="H285" s="2"/>
      <c r="I285" s="2"/>
      <c r="J285" s="2"/>
    </row>
    <row r="286" spans="1:10" ht="13" x14ac:dyDescent="0.15">
      <c r="A286" s="4"/>
      <c r="B286" s="2"/>
      <c r="C286" s="2"/>
      <c r="D286" s="2"/>
      <c r="E286" s="3"/>
      <c r="F286" s="2"/>
      <c r="G286" s="2"/>
      <c r="H286" s="2"/>
      <c r="I286" s="2"/>
      <c r="J286" s="2"/>
    </row>
    <row r="287" spans="1:10" ht="13" x14ac:dyDescent="0.15">
      <c r="A287" s="4"/>
      <c r="B287" s="2"/>
      <c r="C287" s="2"/>
      <c r="D287" s="2"/>
      <c r="E287" s="3"/>
      <c r="F287" s="2"/>
      <c r="G287" s="2"/>
      <c r="H287" s="2"/>
      <c r="I287" s="2"/>
      <c r="J287" s="2"/>
    </row>
    <row r="288" spans="1:10" ht="13" x14ac:dyDescent="0.15">
      <c r="A288" s="4"/>
      <c r="B288" s="2"/>
      <c r="C288" s="2"/>
      <c r="D288" s="2"/>
      <c r="E288" s="3"/>
      <c r="F288" s="2"/>
      <c r="G288" s="2"/>
      <c r="H288" s="2"/>
      <c r="I288" s="2"/>
      <c r="J288" s="2"/>
    </row>
    <row r="289" spans="1:10" ht="13" x14ac:dyDescent="0.15">
      <c r="A289" s="4"/>
      <c r="B289" s="2"/>
      <c r="C289" s="2"/>
      <c r="D289" s="2"/>
      <c r="E289" s="3"/>
      <c r="F289" s="2"/>
      <c r="G289" s="2"/>
      <c r="H289" s="2"/>
      <c r="I289" s="2"/>
      <c r="J289" s="2"/>
    </row>
    <row r="290" spans="1:10" ht="13" x14ac:dyDescent="0.15">
      <c r="A290" s="4"/>
      <c r="B290" s="2"/>
      <c r="C290" s="2"/>
      <c r="D290" s="2"/>
      <c r="E290" s="3"/>
      <c r="F290" s="2"/>
      <c r="G290" s="2"/>
      <c r="H290" s="2"/>
      <c r="I290" s="2"/>
      <c r="J290" s="2"/>
    </row>
    <row r="291" spans="1:10" ht="13" x14ac:dyDescent="0.15">
      <c r="A291" s="4"/>
      <c r="B291" s="2"/>
      <c r="C291" s="2"/>
      <c r="D291" s="2"/>
      <c r="E291" s="3"/>
      <c r="F291" s="2"/>
      <c r="G291" s="2"/>
      <c r="H291" s="2"/>
      <c r="I291" s="2"/>
      <c r="J291" s="2"/>
    </row>
    <row r="292" spans="1:10" ht="13" x14ac:dyDescent="0.15">
      <c r="A292" s="4"/>
      <c r="B292" s="2"/>
      <c r="C292" s="2"/>
      <c r="D292" s="2"/>
      <c r="E292" s="3"/>
      <c r="F292" s="2"/>
      <c r="G292" s="2"/>
      <c r="H292" s="2"/>
      <c r="I292" s="2"/>
      <c r="J292" s="2"/>
    </row>
    <row r="293" spans="1:10" ht="13" x14ac:dyDescent="0.15">
      <c r="A293" s="4"/>
      <c r="B293" s="2"/>
      <c r="C293" s="2"/>
      <c r="D293" s="2"/>
      <c r="E293" s="3"/>
      <c r="F293" s="2"/>
      <c r="G293" s="2"/>
      <c r="H293" s="2"/>
      <c r="I293" s="2"/>
      <c r="J293" s="2"/>
    </row>
    <row r="294" spans="1:10" ht="13" x14ac:dyDescent="0.15">
      <c r="A294" s="4"/>
      <c r="B294" s="2"/>
      <c r="C294" s="2"/>
      <c r="D294" s="2"/>
      <c r="E294" s="3"/>
      <c r="F294" s="2"/>
      <c r="G294" s="2"/>
      <c r="H294" s="2"/>
      <c r="I294" s="2"/>
      <c r="J294" s="2"/>
    </row>
    <row r="295" spans="1:10" ht="13" x14ac:dyDescent="0.15">
      <c r="A295" s="4"/>
      <c r="B295" s="2"/>
      <c r="C295" s="2"/>
      <c r="D295" s="2"/>
      <c r="E295" s="3"/>
      <c r="F295" s="2"/>
      <c r="G295" s="2"/>
      <c r="H295" s="2"/>
      <c r="I295" s="2"/>
      <c r="J295" s="2"/>
    </row>
    <row r="296" spans="1:10" ht="13" x14ac:dyDescent="0.15">
      <c r="A296" s="4"/>
      <c r="B296" s="2"/>
      <c r="C296" s="2"/>
      <c r="D296" s="2"/>
      <c r="E296" s="3"/>
      <c r="F296" s="2"/>
      <c r="G296" s="2"/>
      <c r="H296" s="2"/>
      <c r="I296" s="2"/>
      <c r="J296" s="2"/>
    </row>
    <row r="297" spans="1:10" ht="13" x14ac:dyDescent="0.15">
      <c r="A297" s="4"/>
      <c r="B297" s="2"/>
      <c r="C297" s="2"/>
      <c r="D297" s="2"/>
      <c r="E297" s="3"/>
      <c r="F297" s="2"/>
      <c r="G297" s="2"/>
      <c r="H297" s="2"/>
      <c r="I297" s="2"/>
      <c r="J297" s="2"/>
    </row>
    <row r="298" spans="1:10" ht="13" x14ac:dyDescent="0.15">
      <c r="A298" s="4"/>
      <c r="B298" s="2"/>
      <c r="C298" s="2"/>
      <c r="D298" s="2"/>
      <c r="E298" s="3"/>
      <c r="F298" s="2"/>
      <c r="G298" s="2"/>
      <c r="H298" s="2"/>
      <c r="I298" s="2"/>
      <c r="J298" s="2"/>
    </row>
    <row r="299" spans="1:10" ht="13" x14ac:dyDescent="0.15">
      <c r="A299" s="4"/>
      <c r="B299" s="2"/>
      <c r="C299" s="2"/>
      <c r="D299" s="2"/>
      <c r="E299" s="3"/>
      <c r="F299" s="2"/>
      <c r="G299" s="2"/>
      <c r="H299" s="2"/>
      <c r="I299" s="2"/>
      <c r="J299" s="2"/>
    </row>
    <row r="300" spans="1:10" ht="13" x14ac:dyDescent="0.15">
      <c r="A300" s="4"/>
      <c r="B300" s="2"/>
      <c r="C300" s="2"/>
      <c r="D300" s="2"/>
      <c r="E300" s="3"/>
      <c r="F300" s="2"/>
      <c r="G300" s="2"/>
      <c r="H300" s="2"/>
      <c r="I300" s="2"/>
      <c r="J300" s="2"/>
    </row>
    <row r="301" spans="1:10" ht="13" x14ac:dyDescent="0.15">
      <c r="A301" s="4"/>
      <c r="B301" s="2"/>
      <c r="C301" s="2"/>
      <c r="D301" s="2"/>
      <c r="E301" s="3"/>
      <c r="F301" s="2"/>
      <c r="G301" s="2"/>
      <c r="H301" s="2"/>
      <c r="I301" s="2"/>
      <c r="J301" s="2"/>
    </row>
    <row r="302" spans="1:10" ht="13" x14ac:dyDescent="0.15">
      <c r="A302" s="4"/>
      <c r="B302" s="2"/>
      <c r="C302" s="2"/>
      <c r="D302" s="2"/>
      <c r="E302" s="3"/>
      <c r="F302" s="2"/>
      <c r="G302" s="2"/>
      <c r="H302" s="2"/>
      <c r="I302" s="2"/>
      <c r="J302" s="2"/>
    </row>
    <row r="303" spans="1:10" ht="13" x14ac:dyDescent="0.15">
      <c r="A303" s="4"/>
      <c r="B303" s="2"/>
      <c r="C303" s="2"/>
      <c r="D303" s="2"/>
      <c r="E303" s="3"/>
      <c r="F303" s="2"/>
      <c r="G303" s="2"/>
      <c r="H303" s="2"/>
      <c r="I303" s="2"/>
      <c r="J303" s="2"/>
    </row>
    <row r="304" spans="1:10" ht="13" x14ac:dyDescent="0.15">
      <c r="A304" s="4"/>
      <c r="B304" s="2"/>
      <c r="C304" s="2"/>
      <c r="D304" s="2"/>
      <c r="E304" s="3"/>
      <c r="F304" s="2"/>
      <c r="G304" s="2"/>
      <c r="H304" s="2"/>
      <c r="I304" s="2"/>
      <c r="J304" s="2"/>
    </row>
    <row r="305" spans="1:10" ht="13" x14ac:dyDescent="0.15">
      <c r="A305" s="4"/>
      <c r="B305" s="2"/>
      <c r="C305" s="2"/>
      <c r="D305" s="2"/>
      <c r="E305" s="3"/>
      <c r="F305" s="2"/>
      <c r="G305" s="2"/>
      <c r="H305" s="2"/>
      <c r="I305" s="2"/>
      <c r="J305" s="2"/>
    </row>
    <row r="306" spans="1:10" ht="13" x14ac:dyDescent="0.15">
      <c r="A306" s="4"/>
      <c r="B306" s="2"/>
      <c r="C306" s="2"/>
      <c r="D306" s="2"/>
      <c r="E306" s="3"/>
      <c r="F306" s="2"/>
      <c r="G306" s="2"/>
      <c r="H306" s="2"/>
      <c r="I306" s="2"/>
      <c r="J306" s="2"/>
    </row>
    <row r="307" spans="1:10" ht="13" x14ac:dyDescent="0.15">
      <c r="A307" s="4"/>
      <c r="B307" s="2"/>
      <c r="C307" s="2"/>
      <c r="D307" s="2"/>
      <c r="E307" s="3"/>
      <c r="F307" s="2"/>
      <c r="G307" s="2"/>
      <c r="H307" s="2"/>
      <c r="I307" s="2"/>
      <c r="J307" s="2"/>
    </row>
    <row r="308" spans="1:10" ht="13" x14ac:dyDescent="0.15">
      <c r="A308" s="4"/>
      <c r="B308" s="2"/>
      <c r="C308" s="2"/>
      <c r="D308" s="2"/>
      <c r="E308" s="3"/>
      <c r="F308" s="2"/>
      <c r="G308" s="2"/>
      <c r="H308" s="2"/>
      <c r="I308" s="2"/>
      <c r="J308" s="2"/>
    </row>
    <row r="309" spans="1:10" ht="13" x14ac:dyDescent="0.15">
      <c r="A309" s="4"/>
      <c r="B309" s="2"/>
      <c r="C309" s="2"/>
      <c r="D309" s="2"/>
      <c r="E309" s="3"/>
      <c r="F309" s="2"/>
      <c r="G309" s="2"/>
      <c r="H309" s="2"/>
      <c r="I309" s="2"/>
      <c r="J309" s="2"/>
    </row>
    <row r="310" spans="1:10" ht="13" x14ac:dyDescent="0.15">
      <c r="A310" s="4"/>
      <c r="B310" s="2"/>
      <c r="C310" s="2"/>
      <c r="D310" s="2"/>
      <c r="E310" s="3"/>
      <c r="F310" s="2"/>
      <c r="G310" s="2"/>
      <c r="H310" s="2"/>
      <c r="I310" s="2"/>
      <c r="J310" s="2"/>
    </row>
    <row r="311" spans="1:10" ht="13" x14ac:dyDescent="0.15">
      <c r="A311" s="4"/>
      <c r="B311" s="2"/>
      <c r="C311" s="2"/>
      <c r="D311" s="2"/>
      <c r="E311" s="3"/>
      <c r="F311" s="2"/>
      <c r="G311" s="2"/>
      <c r="H311" s="2"/>
      <c r="I311" s="2"/>
      <c r="J311" s="2"/>
    </row>
    <row r="312" spans="1:10" ht="13" x14ac:dyDescent="0.15">
      <c r="A312" s="4"/>
      <c r="B312" s="2"/>
      <c r="C312" s="2"/>
      <c r="D312" s="2"/>
      <c r="E312" s="3"/>
      <c r="F312" s="2"/>
      <c r="G312" s="2"/>
      <c r="H312" s="2"/>
      <c r="I312" s="2"/>
      <c r="J312" s="2"/>
    </row>
    <row r="313" spans="1:10" ht="13" x14ac:dyDescent="0.15">
      <c r="A313" s="4"/>
      <c r="B313" s="2"/>
      <c r="C313" s="2"/>
      <c r="D313" s="2"/>
      <c r="E313" s="3"/>
      <c r="F313" s="2"/>
      <c r="G313" s="2"/>
      <c r="H313" s="2"/>
      <c r="I313" s="2"/>
      <c r="J313" s="2"/>
    </row>
    <row r="314" spans="1:10" ht="13" x14ac:dyDescent="0.15">
      <c r="A314" s="4"/>
      <c r="B314" s="2"/>
      <c r="C314" s="2"/>
      <c r="D314" s="2"/>
      <c r="E314" s="3"/>
      <c r="F314" s="2"/>
      <c r="G314" s="2"/>
      <c r="H314" s="2"/>
      <c r="I314" s="2"/>
      <c r="J314" s="2"/>
    </row>
    <row r="315" spans="1:10" ht="13" x14ac:dyDescent="0.15">
      <c r="A315" s="4"/>
      <c r="B315" s="2"/>
      <c r="C315" s="2"/>
      <c r="D315" s="2"/>
      <c r="E315" s="3"/>
      <c r="F315" s="2"/>
      <c r="G315" s="2"/>
      <c r="H315" s="2"/>
      <c r="I315" s="2"/>
      <c r="J315" s="2"/>
    </row>
    <row r="316" spans="1:10" ht="13" x14ac:dyDescent="0.15">
      <c r="A316" s="4"/>
      <c r="B316" s="2"/>
      <c r="C316" s="2"/>
      <c r="D316" s="2"/>
      <c r="E316" s="3"/>
      <c r="F316" s="2"/>
      <c r="G316" s="2"/>
      <c r="H316" s="2"/>
      <c r="I316" s="2"/>
      <c r="J316" s="2"/>
    </row>
    <row r="317" spans="1:10" ht="13" x14ac:dyDescent="0.15">
      <c r="A317" s="4"/>
      <c r="B317" s="2"/>
      <c r="C317" s="2"/>
      <c r="D317" s="2"/>
      <c r="E317" s="3"/>
      <c r="F317" s="2"/>
      <c r="G317" s="2"/>
      <c r="H317" s="2"/>
      <c r="I317" s="2"/>
      <c r="J317" s="2"/>
    </row>
    <row r="318" spans="1:10" ht="13" x14ac:dyDescent="0.15">
      <c r="A318" s="4"/>
      <c r="B318" s="2"/>
      <c r="C318" s="2"/>
      <c r="D318" s="2"/>
      <c r="E318" s="3"/>
      <c r="F318" s="2"/>
      <c r="G318" s="2"/>
      <c r="H318" s="2"/>
      <c r="I318" s="2"/>
      <c r="J318" s="2"/>
    </row>
    <row r="319" spans="1:10" ht="13" x14ac:dyDescent="0.15">
      <c r="A319" s="4"/>
      <c r="B319" s="2"/>
      <c r="C319" s="2"/>
      <c r="D319" s="2"/>
      <c r="E319" s="3"/>
      <c r="F319" s="2"/>
      <c r="G319" s="2"/>
      <c r="H319" s="2"/>
      <c r="I319" s="2"/>
      <c r="J319" s="2"/>
    </row>
    <row r="320" spans="1:10" ht="13" x14ac:dyDescent="0.15">
      <c r="A320" s="4"/>
      <c r="B320" s="2"/>
      <c r="C320" s="2"/>
      <c r="D320" s="2"/>
      <c r="E320" s="3"/>
      <c r="F320" s="2"/>
      <c r="G320" s="2"/>
      <c r="H320" s="2"/>
      <c r="I320" s="2"/>
      <c r="J320" s="2"/>
    </row>
    <row r="321" spans="1:10" ht="13" x14ac:dyDescent="0.15">
      <c r="A321" s="4"/>
      <c r="B321" s="2"/>
      <c r="C321" s="2"/>
      <c r="D321" s="2"/>
      <c r="E321" s="3"/>
      <c r="F321" s="2"/>
      <c r="G321" s="2"/>
      <c r="H321" s="2"/>
      <c r="I321" s="2"/>
      <c r="J321" s="2"/>
    </row>
    <row r="322" spans="1:10" ht="13" x14ac:dyDescent="0.15">
      <c r="A322" s="4"/>
      <c r="B322" s="2"/>
      <c r="C322" s="2"/>
      <c r="D322" s="2"/>
      <c r="E322" s="3"/>
      <c r="F322" s="2"/>
      <c r="G322" s="2"/>
      <c r="H322" s="2"/>
      <c r="I322" s="2"/>
      <c r="J322" s="2"/>
    </row>
    <row r="323" spans="1:10" ht="13" x14ac:dyDescent="0.15">
      <c r="A323" s="4"/>
      <c r="B323" s="2"/>
      <c r="C323" s="2"/>
      <c r="D323" s="2"/>
      <c r="E323" s="3"/>
      <c r="F323" s="2"/>
      <c r="G323" s="2"/>
      <c r="H323" s="2"/>
      <c r="I323" s="2"/>
      <c r="J323" s="2"/>
    </row>
    <row r="324" spans="1:10" ht="13" x14ac:dyDescent="0.15">
      <c r="A324" s="4"/>
      <c r="B324" s="2"/>
      <c r="C324" s="2"/>
      <c r="D324" s="2"/>
      <c r="E324" s="3"/>
      <c r="F324" s="2"/>
      <c r="G324" s="2"/>
      <c r="H324" s="2"/>
      <c r="I324" s="2"/>
      <c r="J324" s="2"/>
    </row>
    <row r="325" spans="1:10" ht="13" x14ac:dyDescent="0.15">
      <c r="A325" s="4"/>
      <c r="B325" s="2"/>
      <c r="C325" s="2"/>
      <c r="D325" s="2"/>
      <c r="E325" s="3"/>
      <c r="F325" s="2"/>
      <c r="G325" s="2"/>
      <c r="H325" s="2"/>
      <c r="I325" s="2"/>
      <c r="J325" s="2"/>
    </row>
    <row r="326" spans="1:10" ht="13" x14ac:dyDescent="0.15">
      <c r="A326" s="4"/>
      <c r="B326" s="2"/>
      <c r="C326" s="2"/>
      <c r="D326" s="2"/>
      <c r="E326" s="3"/>
      <c r="F326" s="2"/>
      <c r="G326" s="2"/>
      <c r="H326" s="2"/>
      <c r="I326" s="2"/>
      <c r="J326" s="2"/>
    </row>
    <row r="327" spans="1:10" ht="13" x14ac:dyDescent="0.15">
      <c r="A327" s="4"/>
      <c r="B327" s="2"/>
      <c r="C327" s="2"/>
      <c r="D327" s="2"/>
      <c r="E327" s="3"/>
      <c r="F327" s="2"/>
      <c r="G327" s="2"/>
      <c r="H327" s="2"/>
      <c r="I327" s="2"/>
      <c r="J327" s="2"/>
    </row>
    <row r="328" spans="1:10" ht="13" x14ac:dyDescent="0.15">
      <c r="A328" s="4"/>
      <c r="B328" s="2"/>
      <c r="C328" s="2"/>
      <c r="D328" s="2"/>
      <c r="E328" s="3"/>
      <c r="F328" s="2"/>
      <c r="G328" s="2"/>
      <c r="H328" s="2"/>
      <c r="I328" s="2"/>
      <c r="J328" s="2"/>
    </row>
    <row r="329" spans="1:10" ht="13" x14ac:dyDescent="0.15">
      <c r="A329" s="4"/>
      <c r="B329" s="2"/>
      <c r="C329" s="2"/>
      <c r="D329" s="2"/>
      <c r="E329" s="3"/>
      <c r="F329" s="2"/>
      <c r="G329" s="2"/>
      <c r="H329" s="2"/>
      <c r="I329" s="2"/>
      <c r="J329" s="2"/>
    </row>
    <row r="330" spans="1:10" ht="13" x14ac:dyDescent="0.15">
      <c r="A330" s="4"/>
      <c r="B330" s="2"/>
      <c r="C330" s="2"/>
      <c r="D330" s="2"/>
      <c r="E330" s="3"/>
      <c r="F330" s="2"/>
      <c r="G330" s="2"/>
      <c r="H330" s="2"/>
      <c r="I330" s="2"/>
      <c r="J330" s="2"/>
    </row>
    <row r="331" spans="1:10" ht="13" x14ac:dyDescent="0.15">
      <c r="A331" s="4"/>
      <c r="B331" s="2"/>
      <c r="C331" s="2"/>
      <c r="D331" s="2"/>
      <c r="E331" s="3"/>
      <c r="F331" s="2"/>
      <c r="G331" s="2"/>
      <c r="H331" s="2"/>
      <c r="I331" s="2"/>
      <c r="J331" s="2"/>
    </row>
    <row r="332" spans="1:10" ht="13" x14ac:dyDescent="0.15">
      <c r="A332" s="4"/>
      <c r="B332" s="2"/>
      <c r="C332" s="2"/>
      <c r="D332" s="2"/>
      <c r="E332" s="3"/>
      <c r="F332" s="2"/>
      <c r="G332" s="2"/>
      <c r="H332" s="2"/>
      <c r="I332" s="2"/>
      <c r="J332" s="2"/>
    </row>
    <row r="333" spans="1:10" ht="13" x14ac:dyDescent="0.15">
      <c r="A333" s="4"/>
      <c r="B333" s="2"/>
      <c r="C333" s="2"/>
      <c r="D333" s="2"/>
      <c r="E333" s="3"/>
      <c r="F333" s="2"/>
      <c r="G333" s="2"/>
      <c r="H333" s="2"/>
      <c r="I333" s="2"/>
      <c r="J333" s="2"/>
    </row>
    <row r="334" spans="1:10" ht="13" x14ac:dyDescent="0.15">
      <c r="A334" s="4"/>
      <c r="B334" s="2"/>
      <c r="C334" s="2"/>
      <c r="D334" s="2"/>
      <c r="E334" s="3"/>
      <c r="F334" s="2"/>
      <c r="G334" s="2"/>
      <c r="H334" s="2"/>
      <c r="I334" s="2"/>
      <c r="J334" s="2"/>
    </row>
    <row r="335" spans="1:10" ht="13" x14ac:dyDescent="0.15">
      <c r="A335" s="4"/>
      <c r="B335" s="2"/>
      <c r="C335" s="2"/>
      <c r="D335" s="2"/>
      <c r="E335" s="3"/>
      <c r="F335" s="2"/>
      <c r="G335" s="2"/>
      <c r="H335" s="2"/>
      <c r="I335" s="2"/>
      <c r="J335" s="2"/>
    </row>
    <row r="336" spans="1:10" ht="13" x14ac:dyDescent="0.15">
      <c r="A336" s="4"/>
      <c r="B336" s="2"/>
      <c r="C336" s="2"/>
      <c r="D336" s="2"/>
      <c r="E336" s="3"/>
      <c r="F336" s="2"/>
      <c r="G336" s="2"/>
      <c r="H336" s="2"/>
      <c r="I336" s="2"/>
      <c r="J336" s="2"/>
    </row>
    <row r="337" spans="1:10" ht="13" x14ac:dyDescent="0.15">
      <c r="A337" s="4"/>
      <c r="B337" s="2"/>
      <c r="C337" s="2"/>
      <c r="D337" s="2"/>
      <c r="E337" s="3"/>
      <c r="F337" s="2"/>
      <c r="G337" s="2"/>
      <c r="H337" s="2"/>
      <c r="I337" s="2"/>
      <c r="J337" s="2"/>
    </row>
    <row r="338" spans="1:10" ht="13" x14ac:dyDescent="0.15">
      <c r="A338" s="4"/>
      <c r="B338" s="2"/>
      <c r="C338" s="2"/>
      <c r="D338" s="2"/>
      <c r="E338" s="3"/>
      <c r="F338" s="2"/>
      <c r="G338" s="2"/>
      <c r="H338" s="2"/>
      <c r="I338" s="2"/>
      <c r="J338" s="2"/>
    </row>
    <row r="339" spans="1:10" ht="13" x14ac:dyDescent="0.15">
      <c r="A339" s="4"/>
      <c r="B339" s="2"/>
      <c r="C339" s="2"/>
      <c r="D339" s="2"/>
      <c r="E339" s="3"/>
      <c r="F339" s="2"/>
      <c r="G339" s="2"/>
      <c r="H339" s="2"/>
      <c r="I339" s="2"/>
      <c r="J339" s="2"/>
    </row>
    <row r="340" spans="1:10" ht="13" x14ac:dyDescent="0.15">
      <c r="A340" s="4"/>
      <c r="B340" s="2"/>
      <c r="C340" s="2"/>
      <c r="D340" s="2"/>
      <c r="E340" s="3"/>
      <c r="F340" s="2"/>
      <c r="G340" s="2"/>
      <c r="H340" s="2"/>
      <c r="I340" s="2"/>
      <c r="J340" s="2"/>
    </row>
    <row r="341" spans="1:10" ht="13" x14ac:dyDescent="0.15">
      <c r="A341" s="4"/>
      <c r="B341" s="2"/>
      <c r="C341" s="2"/>
      <c r="D341" s="2"/>
      <c r="E341" s="3"/>
      <c r="F341" s="2"/>
      <c r="G341" s="2"/>
      <c r="H341" s="2"/>
      <c r="I341" s="2"/>
      <c r="J341" s="2"/>
    </row>
    <row r="342" spans="1:10" ht="13" x14ac:dyDescent="0.15">
      <c r="A342" s="4"/>
      <c r="B342" s="2"/>
      <c r="C342" s="2"/>
      <c r="D342" s="2"/>
      <c r="E342" s="3"/>
      <c r="F342" s="2"/>
      <c r="G342" s="2"/>
      <c r="H342" s="2"/>
      <c r="I342" s="2"/>
      <c r="J342" s="2"/>
    </row>
    <row r="343" spans="1:10" ht="13" x14ac:dyDescent="0.15">
      <c r="A343" s="4"/>
      <c r="B343" s="2"/>
      <c r="C343" s="2"/>
      <c r="D343" s="2"/>
      <c r="E343" s="3"/>
      <c r="F343" s="2"/>
      <c r="G343" s="2"/>
      <c r="H343" s="2"/>
      <c r="I343" s="2"/>
      <c r="J343" s="2"/>
    </row>
    <row r="344" spans="1:10" ht="13" x14ac:dyDescent="0.15">
      <c r="A344" s="4"/>
      <c r="B344" s="2"/>
      <c r="C344" s="2"/>
      <c r="D344" s="2"/>
      <c r="E344" s="3"/>
      <c r="F344" s="2"/>
      <c r="G344" s="2"/>
      <c r="H344" s="2"/>
      <c r="I344" s="2"/>
      <c r="J344" s="2"/>
    </row>
    <row r="345" spans="1:10" ht="13" x14ac:dyDescent="0.15">
      <c r="A345" s="4"/>
      <c r="B345" s="2"/>
      <c r="C345" s="2"/>
      <c r="D345" s="2"/>
      <c r="E345" s="3"/>
      <c r="F345" s="2"/>
      <c r="G345" s="2"/>
      <c r="H345" s="2"/>
      <c r="I345" s="2"/>
      <c r="J345" s="2"/>
    </row>
    <row r="346" spans="1:10" ht="13" x14ac:dyDescent="0.15">
      <c r="A346" s="4"/>
      <c r="B346" s="2"/>
      <c r="C346" s="2"/>
      <c r="D346" s="2"/>
      <c r="E346" s="3"/>
      <c r="F346" s="2"/>
      <c r="G346" s="2"/>
      <c r="H346" s="2"/>
      <c r="I346" s="2"/>
      <c r="J346" s="2"/>
    </row>
    <row r="347" spans="1:10" ht="13" x14ac:dyDescent="0.15">
      <c r="A347" s="4"/>
      <c r="B347" s="2"/>
      <c r="C347" s="2"/>
      <c r="D347" s="2"/>
      <c r="E347" s="3"/>
      <c r="F347" s="2"/>
      <c r="G347" s="2"/>
      <c r="H347" s="2"/>
      <c r="I347" s="2"/>
      <c r="J347" s="2"/>
    </row>
    <row r="348" spans="1:10" ht="13" x14ac:dyDescent="0.15">
      <c r="A348" s="4"/>
      <c r="B348" s="2"/>
      <c r="C348" s="2"/>
      <c r="D348" s="2"/>
      <c r="E348" s="3"/>
      <c r="F348" s="2"/>
      <c r="G348" s="2"/>
      <c r="H348" s="2"/>
      <c r="I348" s="2"/>
      <c r="J348" s="2"/>
    </row>
    <row r="349" spans="1:10" ht="13" x14ac:dyDescent="0.15">
      <c r="A349" s="4"/>
      <c r="B349" s="2"/>
      <c r="C349" s="2"/>
      <c r="D349" s="2"/>
      <c r="E349" s="3"/>
      <c r="F349" s="2"/>
      <c r="G349" s="2"/>
      <c r="H349" s="2"/>
      <c r="I349" s="2"/>
      <c r="J349" s="2"/>
    </row>
    <row r="350" spans="1:10" ht="13" x14ac:dyDescent="0.15">
      <c r="A350" s="4"/>
      <c r="B350" s="2"/>
      <c r="C350" s="2"/>
      <c r="D350" s="2"/>
      <c r="E350" s="3"/>
      <c r="F350" s="2"/>
      <c r="G350" s="2"/>
      <c r="H350" s="2"/>
      <c r="I350" s="2"/>
      <c r="J350" s="2"/>
    </row>
    <row r="351" spans="1:10" ht="13" x14ac:dyDescent="0.15">
      <c r="A351" s="4"/>
      <c r="B351" s="2"/>
      <c r="C351" s="2"/>
      <c r="D351" s="2"/>
      <c r="E351" s="3"/>
      <c r="F351" s="2"/>
      <c r="G351" s="2"/>
      <c r="H351" s="2"/>
      <c r="I351" s="2"/>
      <c r="J351" s="2"/>
    </row>
    <row r="352" spans="1:10" ht="13" x14ac:dyDescent="0.15">
      <c r="A352" s="4"/>
      <c r="B352" s="2"/>
      <c r="C352" s="2"/>
      <c r="D352" s="2"/>
      <c r="E352" s="3"/>
      <c r="F352" s="2"/>
      <c r="G352" s="2"/>
      <c r="H352" s="2"/>
      <c r="I352" s="2"/>
      <c r="J352" s="2"/>
    </row>
    <row r="353" spans="1:10" ht="13" x14ac:dyDescent="0.15">
      <c r="A353" s="4"/>
      <c r="B353" s="2"/>
      <c r="C353" s="2"/>
      <c r="D353" s="2"/>
      <c r="E353" s="3"/>
      <c r="F353" s="2"/>
      <c r="G353" s="2"/>
      <c r="H353" s="2"/>
      <c r="I353" s="2"/>
      <c r="J353" s="2"/>
    </row>
    <row r="354" spans="1:10" ht="13" x14ac:dyDescent="0.15">
      <c r="A354" s="4"/>
      <c r="B354" s="2"/>
      <c r="C354" s="2"/>
      <c r="D354" s="2"/>
      <c r="E354" s="3"/>
      <c r="F354" s="2"/>
      <c r="G354" s="2"/>
      <c r="H354" s="2"/>
      <c r="I354" s="2"/>
      <c r="J354" s="2"/>
    </row>
    <row r="355" spans="1:10" ht="13" x14ac:dyDescent="0.15">
      <c r="A355" s="4"/>
      <c r="B355" s="2"/>
      <c r="C355" s="2"/>
      <c r="D355" s="2"/>
      <c r="E355" s="3"/>
      <c r="F355" s="2"/>
      <c r="G355" s="2"/>
      <c r="H355" s="2"/>
      <c r="I355" s="2"/>
      <c r="J355" s="2"/>
    </row>
    <row r="356" spans="1:10" ht="13" x14ac:dyDescent="0.15">
      <c r="A356" s="4"/>
      <c r="B356" s="2"/>
      <c r="C356" s="2"/>
      <c r="D356" s="2"/>
      <c r="E356" s="3"/>
      <c r="F356" s="2"/>
      <c r="G356" s="2"/>
      <c r="H356" s="2"/>
      <c r="I356" s="2"/>
      <c r="J356" s="2"/>
    </row>
    <row r="357" spans="1:10" ht="13" x14ac:dyDescent="0.15">
      <c r="A357" s="4"/>
      <c r="B357" s="2"/>
      <c r="C357" s="2"/>
      <c r="D357" s="2"/>
      <c r="E357" s="3"/>
      <c r="F357" s="2"/>
      <c r="G357" s="2"/>
      <c r="H357" s="2"/>
      <c r="I357" s="2"/>
      <c r="J357" s="2"/>
    </row>
    <row r="358" spans="1:10" ht="13" x14ac:dyDescent="0.15">
      <c r="A358" s="4"/>
      <c r="B358" s="2"/>
      <c r="C358" s="2"/>
      <c r="D358" s="2"/>
      <c r="E358" s="3"/>
      <c r="F358" s="2"/>
      <c r="G358" s="2"/>
      <c r="H358" s="2"/>
      <c r="I358" s="2"/>
      <c r="J358" s="2"/>
    </row>
    <row r="359" spans="1:10" ht="13" x14ac:dyDescent="0.15">
      <c r="A359" s="4"/>
      <c r="B359" s="2"/>
      <c r="C359" s="2"/>
      <c r="D359" s="2"/>
      <c r="E359" s="3"/>
      <c r="F359" s="2"/>
      <c r="G359" s="2"/>
      <c r="H359" s="2"/>
      <c r="I359" s="2"/>
      <c r="J359" s="2"/>
    </row>
    <row r="360" spans="1:10" ht="13" x14ac:dyDescent="0.15">
      <c r="A360" s="4"/>
      <c r="B360" s="2"/>
      <c r="C360" s="2"/>
      <c r="D360" s="2"/>
      <c r="E360" s="3"/>
      <c r="F360" s="2"/>
      <c r="G360" s="2"/>
      <c r="H360" s="2"/>
      <c r="I360" s="2"/>
      <c r="J360" s="2"/>
    </row>
    <row r="361" spans="1:10" ht="13" x14ac:dyDescent="0.15">
      <c r="A361" s="4"/>
      <c r="B361" s="2"/>
      <c r="C361" s="2"/>
      <c r="D361" s="2"/>
      <c r="E361" s="3"/>
      <c r="F361" s="2"/>
      <c r="G361" s="2"/>
      <c r="H361" s="2"/>
      <c r="I361" s="2"/>
      <c r="J361" s="2"/>
    </row>
    <row r="362" spans="1:10" ht="13" x14ac:dyDescent="0.15">
      <c r="A362" s="4"/>
      <c r="B362" s="2"/>
      <c r="C362" s="2"/>
      <c r="D362" s="2"/>
      <c r="E362" s="3"/>
      <c r="F362" s="2"/>
      <c r="G362" s="2"/>
      <c r="H362" s="2"/>
      <c r="I362" s="2"/>
      <c r="J362" s="2"/>
    </row>
    <row r="363" spans="1:10" ht="13" x14ac:dyDescent="0.15">
      <c r="A363" s="4"/>
      <c r="B363" s="2"/>
      <c r="C363" s="2"/>
      <c r="D363" s="2"/>
      <c r="E363" s="3"/>
      <c r="F363" s="2"/>
      <c r="G363" s="2"/>
      <c r="H363" s="2"/>
      <c r="I363" s="2"/>
      <c r="J363" s="2"/>
    </row>
    <row r="364" spans="1:10" ht="13" x14ac:dyDescent="0.15">
      <c r="A364" s="4"/>
      <c r="B364" s="2"/>
      <c r="C364" s="2"/>
      <c r="D364" s="2"/>
      <c r="E364" s="3"/>
      <c r="F364" s="2"/>
      <c r="G364" s="2"/>
      <c r="H364" s="2"/>
      <c r="I364" s="2"/>
      <c r="J364" s="2"/>
    </row>
    <row r="365" spans="1:10" ht="13" x14ac:dyDescent="0.15">
      <c r="A365" s="4"/>
      <c r="B365" s="2"/>
      <c r="C365" s="2"/>
      <c r="D365" s="2"/>
      <c r="E365" s="3"/>
      <c r="F365" s="2"/>
      <c r="G365" s="2"/>
      <c r="H365" s="2"/>
      <c r="I365" s="2"/>
      <c r="J365" s="2"/>
    </row>
    <row r="366" spans="1:10" ht="13" x14ac:dyDescent="0.15">
      <c r="A366" s="4"/>
      <c r="B366" s="2"/>
      <c r="C366" s="2"/>
      <c r="D366" s="2"/>
      <c r="E366" s="3"/>
      <c r="F366" s="2"/>
      <c r="G366" s="2"/>
      <c r="H366" s="2"/>
      <c r="I366" s="2"/>
      <c r="J366" s="2"/>
    </row>
    <row r="367" spans="1:10" ht="13" x14ac:dyDescent="0.15">
      <c r="A367" s="4"/>
      <c r="B367" s="2"/>
      <c r="C367" s="2"/>
      <c r="D367" s="2"/>
      <c r="E367" s="3"/>
      <c r="F367" s="2"/>
      <c r="G367" s="2"/>
      <c r="H367" s="2"/>
      <c r="I367" s="2"/>
      <c r="J367" s="2"/>
    </row>
    <row r="368" spans="1:10" ht="13" x14ac:dyDescent="0.15">
      <c r="A368" s="4"/>
      <c r="B368" s="2"/>
      <c r="C368" s="2"/>
      <c r="D368" s="2"/>
      <c r="E368" s="3"/>
      <c r="F368" s="2"/>
      <c r="G368" s="2"/>
      <c r="H368" s="2"/>
      <c r="I368" s="2"/>
      <c r="J368" s="2"/>
    </row>
    <row r="369" spans="1:10" ht="13" x14ac:dyDescent="0.15">
      <c r="A369" s="4"/>
      <c r="B369" s="2"/>
      <c r="C369" s="2"/>
      <c r="D369" s="2"/>
      <c r="E369" s="3"/>
      <c r="F369" s="2"/>
      <c r="G369" s="2"/>
      <c r="H369" s="2"/>
      <c r="I369" s="2"/>
      <c r="J369" s="2"/>
    </row>
    <row r="370" spans="1:10" ht="13" x14ac:dyDescent="0.15">
      <c r="A370" s="4"/>
      <c r="B370" s="2"/>
      <c r="C370" s="2"/>
      <c r="D370" s="2"/>
      <c r="E370" s="3"/>
      <c r="F370" s="2"/>
      <c r="G370" s="2"/>
      <c r="H370" s="2"/>
      <c r="I370" s="2"/>
      <c r="J370" s="2"/>
    </row>
    <row r="371" spans="1:10" ht="13" x14ac:dyDescent="0.15">
      <c r="A371" s="4"/>
      <c r="B371" s="2"/>
      <c r="C371" s="2"/>
      <c r="D371" s="2"/>
      <c r="E371" s="3"/>
      <c r="F371" s="2"/>
      <c r="G371" s="2"/>
      <c r="H371" s="2"/>
      <c r="I371" s="2"/>
      <c r="J371" s="2"/>
    </row>
    <row r="372" spans="1:10" ht="13" x14ac:dyDescent="0.15">
      <c r="A372" s="4"/>
      <c r="B372" s="2"/>
      <c r="C372" s="2"/>
      <c r="D372" s="2"/>
      <c r="E372" s="3"/>
      <c r="F372" s="2"/>
      <c r="G372" s="2"/>
      <c r="H372" s="2"/>
      <c r="I372" s="2"/>
      <c r="J372" s="2"/>
    </row>
    <row r="373" spans="1:10" ht="13" x14ac:dyDescent="0.15">
      <c r="A373" s="4"/>
      <c r="B373" s="2"/>
      <c r="C373" s="2"/>
      <c r="D373" s="2"/>
      <c r="E373" s="3"/>
      <c r="F373" s="2"/>
      <c r="G373" s="2"/>
      <c r="H373" s="2"/>
      <c r="I373" s="2"/>
      <c r="J373" s="2"/>
    </row>
    <row r="374" spans="1:10" ht="13" x14ac:dyDescent="0.15">
      <c r="A374" s="4"/>
      <c r="B374" s="2"/>
      <c r="C374" s="2"/>
      <c r="D374" s="2"/>
      <c r="E374" s="3"/>
      <c r="F374" s="2"/>
      <c r="G374" s="2"/>
      <c r="H374" s="2"/>
      <c r="I374" s="2"/>
      <c r="J374" s="2"/>
    </row>
    <row r="375" spans="1:10" ht="13" x14ac:dyDescent="0.15">
      <c r="A375" s="4"/>
      <c r="B375" s="2"/>
      <c r="C375" s="2"/>
      <c r="D375" s="2"/>
      <c r="E375" s="3"/>
      <c r="F375" s="2"/>
      <c r="G375" s="2"/>
      <c r="H375" s="2"/>
      <c r="I375" s="2"/>
      <c r="J375" s="2"/>
    </row>
    <row r="376" spans="1:10" ht="13" x14ac:dyDescent="0.15">
      <c r="A376" s="4"/>
      <c r="B376" s="2"/>
      <c r="C376" s="2"/>
      <c r="D376" s="2"/>
      <c r="E376" s="3"/>
      <c r="F376" s="2"/>
      <c r="G376" s="2"/>
      <c r="H376" s="2"/>
      <c r="I376" s="2"/>
      <c r="J376" s="2"/>
    </row>
    <row r="377" spans="1:10" ht="13" x14ac:dyDescent="0.15">
      <c r="A377" s="4"/>
      <c r="B377" s="2"/>
      <c r="C377" s="2"/>
      <c r="D377" s="2"/>
      <c r="E377" s="3"/>
      <c r="F377" s="2"/>
      <c r="G377" s="2"/>
      <c r="H377" s="2"/>
      <c r="I377" s="2"/>
      <c r="J377" s="2"/>
    </row>
    <row r="378" spans="1:10" ht="13" x14ac:dyDescent="0.15">
      <c r="A378" s="4"/>
      <c r="B378" s="2"/>
      <c r="C378" s="2"/>
      <c r="D378" s="2"/>
      <c r="E378" s="3"/>
      <c r="F378" s="2"/>
      <c r="G378" s="2"/>
      <c r="H378" s="2"/>
      <c r="I378" s="2"/>
      <c r="J378" s="2"/>
    </row>
    <row r="379" spans="1:10" ht="13" x14ac:dyDescent="0.15">
      <c r="A379" s="4"/>
      <c r="B379" s="2"/>
      <c r="C379" s="2"/>
      <c r="D379" s="2"/>
      <c r="E379" s="3"/>
      <c r="F379" s="2"/>
      <c r="G379" s="2"/>
      <c r="H379" s="2"/>
      <c r="I379" s="2"/>
      <c r="J379" s="2"/>
    </row>
    <row r="380" spans="1:10" ht="13" x14ac:dyDescent="0.15">
      <c r="A380" s="4"/>
      <c r="B380" s="2"/>
      <c r="C380" s="2"/>
      <c r="D380" s="2"/>
      <c r="E380" s="3"/>
      <c r="F380" s="2"/>
      <c r="G380" s="2"/>
      <c r="H380" s="2"/>
      <c r="I380" s="2"/>
      <c r="J380" s="2"/>
    </row>
    <row r="381" spans="1:10" ht="13" x14ac:dyDescent="0.15">
      <c r="A381" s="4"/>
      <c r="B381" s="2"/>
      <c r="C381" s="2"/>
      <c r="D381" s="2"/>
      <c r="E381" s="3"/>
      <c r="F381" s="2"/>
      <c r="G381" s="2"/>
      <c r="H381" s="2"/>
      <c r="I381" s="2"/>
      <c r="J381" s="2"/>
    </row>
    <row r="382" spans="1:10" ht="13" x14ac:dyDescent="0.15">
      <c r="A382" s="4"/>
      <c r="B382" s="2"/>
      <c r="C382" s="2"/>
      <c r="D382" s="2"/>
      <c r="E382" s="3"/>
      <c r="F382" s="2"/>
      <c r="G382" s="2"/>
      <c r="H382" s="2"/>
      <c r="I382" s="2"/>
      <c r="J382" s="2"/>
    </row>
    <row r="383" spans="1:10" ht="13" x14ac:dyDescent="0.15">
      <c r="A383" s="4"/>
      <c r="B383" s="2"/>
      <c r="C383" s="2"/>
      <c r="D383" s="2"/>
      <c r="E383" s="3"/>
      <c r="F383" s="2"/>
      <c r="G383" s="2"/>
      <c r="H383" s="2"/>
      <c r="I383" s="2"/>
      <c r="J383" s="2"/>
    </row>
    <row r="384" spans="1:10" ht="13" x14ac:dyDescent="0.15">
      <c r="A384" s="4"/>
      <c r="B384" s="2"/>
      <c r="C384" s="2"/>
      <c r="D384" s="2"/>
      <c r="E384" s="3"/>
      <c r="F384" s="2"/>
      <c r="G384" s="2"/>
      <c r="H384" s="2"/>
      <c r="I384" s="2"/>
      <c r="J384" s="2"/>
    </row>
    <row r="385" spans="1:10" ht="13" x14ac:dyDescent="0.15">
      <c r="A385" s="4"/>
      <c r="B385" s="2"/>
      <c r="C385" s="2"/>
      <c r="D385" s="2"/>
      <c r="E385" s="3"/>
      <c r="F385" s="2"/>
      <c r="G385" s="2"/>
      <c r="H385" s="2"/>
      <c r="I385" s="2"/>
      <c r="J385" s="2"/>
    </row>
    <row r="386" spans="1:10" ht="13" x14ac:dyDescent="0.15">
      <c r="A386" s="4"/>
      <c r="B386" s="2"/>
      <c r="C386" s="2"/>
      <c r="D386" s="2"/>
      <c r="E386" s="3"/>
      <c r="F386" s="2"/>
      <c r="G386" s="2"/>
      <c r="H386" s="2"/>
      <c r="I386" s="2"/>
      <c r="J386" s="2"/>
    </row>
    <row r="387" spans="1:10" ht="13" x14ac:dyDescent="0.15">
      <c r="A387" s="4"/>
      <c r="B387" s="2"/>
      <c r="C387" s="2"/>
      <c r="D387" s="2"/>
      <c r="E387" s="3"/>
      <c r="F387" s="2"/>
      <c r="G387" s="2"/>
      <c r="H387" s="2"/>
      <c r="I387" s="2"/>
      <c r="J387" s="2"/>
    </row>
    <row r="388" spans="1:10" ht="13" x14ac:dyDescent="0.15">
      <c r="A388" s="4"/>
      <c r="B388" s="2"/>
      <c r="C388" s="2"/>
      <c r="D388" s="2"/>
      <c r="E388" s="3"/>
      <c r="F388" s="2"/>
      <c r="G388" s="2"/>
      <c r="H388" s="2"/>
      <c r="I388" s="2"/>
      <c r="J388" s="2"/>
    </row>
    <row r="389" spans="1:10" ht="13" x14ac:dyDescent="0.15">
      <c r="A389" s="4"/>
      <c r="B389" s="2"/>
      <c r="C389" s="2"/>
      <c r="D389" s="2"/>
      <c r="E389" s="3"/>
      <c r="F389" s="2"/>
      <c r="G389" s="2"/>
      <c r="H389" s="2"/>
      <c r="I389" s="2"/>
      <c r="J389" s="2"/>
    </row>
    <row r="390" spans="1:10" ht="13" x14ac:dyDescent="0.15">
      <c r="A390" s="4"/>
      <c r="B390" s="2"/>
      <c r="C390" s="2"/>
      <c r="D390" s="2"/>
      <c r="E390" s="3"/>
      <c r="F390" s="2"/>
      <c r="G390" s="2"/>
      <c r="H390" s="2"/>
      <c r="I390" s="2"/>
      <c r="J390" s="2"/>
    </row>
    <row r="391" spans="1:10" ht="13" x14ac:dyDescent="0.15">
      <c r="A391" s="4"/>
      <c r="B391" s="2"/>
      <c r="C391" s="2"/>
      <c r="D391" s="2"/>
      <c r="E391" s="3"/>
      <c r="F391" s="2"/>
      <c r="G391" s="2"/>
      <c r="H391" s="2"/>
      <c r="I391" s="2"/>
      <c r="J391" s="2"/>
    </row>
    <row r="392" spans="1:10" ht="13" x14ac:dyDescent="0.15">
      <c r="A392" s="4"/>
      <c r="B392" s="2"/>
      <c r="C392" s="2"/>
      <c r="D392" s="2"/>
      <c r="E392" s="3"/>
      <c r="F392" s="2"/>
      <c r="G392" s="2"/>
      <c r="H392" s="2"/>
      <c r="I392" s="2"/>
      <c r="J392" s="2"/>
    </row>
    <row r="393" spans="1:10" ht="13" x14ac:dyDescent="0.15">
      <c r="A393" s="4"/>
      <c r="B393" s="2"/>
      <c r="C393" s="2"/>
      <c r="D393" s="2"/>
      <c r="E393" s="3"/>
      <c r="F393" s="2"/>
      <c r="G393" s="2"/>
      <c r="H393" s="2"/>
      <c r="I393" s="2"/>
      <c r="J393" s="2"/>
    </row>
    <row r="394" spans="1:10" ht="13" x14ac:dyDescent="0.15">
      <c r="A394" s="4"/>
      <c r="B394" s="2"/>
      <c r="C394" s="2"/>
      <c r="D394" s="2"/>
      <c r="E394" s="3"/>
      <c r="F394" s="2"/>
      <c r="G394" s="2"/>
      <c r="H394" s="2"/>
      <c r="I394" s="2"/>
      <c r="J394" s="2"/>
    </row>
    <row r="395" spans="1:10" ht="13" x14ac:dyDescent="0.15">
      <c r="A395" s="4"/>
      <c r="B395" s="2"/>
      <c r="C395" s="2"/>
      <c r="D395" s="2"/>
      <c r="E395" s="3"/>
      <c r="F395" s="2"/>
      <c r="G395" s="2"/>
      <c r="H395" s="2"/>
      <c r="I395" s="2"/>
      <c r="J395" s="2"/>
    </row>
    <row r="396" spans="1:10" ht="13" x14ac:dyDescent="0.15">
      <c r="A396" s="4"/>
      <c r="B396" s="2"/>
      <c r="C396" s="2"/>
      <c r="D396" s="2"/>
      <c r="E396" s="3"/>
      <c r="F396" s="2"/>
      <c r="G396" s="2"/>
      <c r="H396" s="2"/>
      <c r="I396" s="2"/>
      <c r="J396" s="2"/>
    </row>
    <row r="397" spans="1:10" ht="13" x14ac:dyDescent="0.15">
      <c r="A397" s="4"/>
      <c r="B397" s="2"/>
      <c r="C397" s="2"/>
      <c r="D397" s="2"/>
      <c r="E397" s="3"/>
      <c r="F397" s="2"/>
      <c r="G397" s="2"/>
      <c r="H397" s="2"/>
      <c r="I397" s="2"/>
      <c r="J397" s="2"/>
    </row>
    <row r="398" spans="1:10" ht="13" x14ac:dyDescent="0.15">
      <c r="A398" s="4"/>
      <c r="B398" s="2"/>
      <c r="C398" s="2"/>
      <c r="D398" s="2"/>
      <c r="E398" s="3"/>
      <c r="F398" s="2"/>
      <c r="G398" s="2"/>
      <c r="H398" s="2"/>
      <c r="I398" s="2"/>
      <c r="J398" s="2"/>
    </row>
    <row r="399" spans="1:10" ht="13" x14ac:dyDescent="0.15">
      <c r="A399" s="4"/>
      <c r="B399" s="2"/>
      <c r="C399" s="2"/>
      <c r="D399" s="2"/>
      <c r="E399" s="3"/>
      <c r="F399" s="2"/>
      <c r="G399" s="2"/>
      <c r="H399" s="2"/>
      <c r="I399" s="2"/>
      <c r="J399" s="2"/>
    </row>
    <row r="400" spans="1:10" ht="13" x14ac:dyDescent="0.15">
      <c r="A400" s="4"/>
      <c r="B400" s="2"/>
      <c r="C400" s="2"/>
      <c r="D400" s="2"/>
      <c r="E400" s="3"/>
      <c r="F400" s="2"/>
      <c r="G400" s="2"/>
      <c r="H400" s="2"/>
      <c r="I400" s="2"/>
      <c r="J400" s="2"/>
    </row>
    <row r="401" spans="1:10" ht="13" x14ac:dyDescent="0.15">
      <c r="A401" s="4"/>
      <c r="B401" s="2"/>
      <c r="C401" s="2"/>
      <c r="D401" s="2"/>
      <c r="E401" s="3"/>
      <c r="F401" s="2"/>
      <c r="G401" s="2"/>
      <c r="H401" s="2"/>
      <c r="I401" s="2"/>
      <c r="J401" s="2"/>
    </row>
    <row r="402" spans="1:10" ht="13" x14ac:dyDescent="0.15">
      <c r="A402" s="4"/>
      <c r="B402" s="2"/>
      <c r="C402" s="2"/>
      <c r="D402" s="2"/>
      <c r="E402" s="3"/>
      <c r="F402" s="2"/>
      <c r="G402" s="2"/>
      <c r="H402" s="2"/>
      <c r="I402" s="2"/>
      <c r="J402" s="2"/>
    </row>
    <row r="403" spans="1:10" ht="13" x14ac:dyDescent="0.15">
      <c r="A403" s="4"/>
      <c r="B403" s="2"/>
      <c r="C403" s="2"/>
      <c r="D403" s="2"/>
      <c r="E403" s="3"/>
      <c r="F403" s="2"/>
      <c r="G403" s="2"/>
      <c r="H403" s="2"/>
      <c r="I403" s="2"/>
      <c r="J403" s="2"/>
    </row>
    <row r="404" spans="1:10" ht="13" x14ac:dyDescent="0.15">
      <c r="A404" s="4"/>
      <c r="B404" s="2"/>
      <c r="C404" s="2"/>
      <c r="D404" s="2"/>
      <c r="E404" s="3"/>
      <c r="F404" s="2"/>
      <c r="G404" s="2"/>
      <c r="H404" s="2"/>
      <c r="I404" s="2"/>
      <c r="J404" s="2"/>
    </row>
    <row r="405" spans="1:10" ht="13" x14ac:dyDescent="0.15">
      <c r="A405" s="4"/>
      <c r="B405" s="2"/>
      <c r="C405" s="2"/>
      <c r="D405" s="2"/>
      <c r="E405" s="3"/>
      <c r="F405" s="2"/>
      <c r="G405" s="2"/>
      <c r="H405" s="2"/>
      <c r="I405" s="2"/>
      <c r="J405" s="2"/>
    </row>
    <row r="406" spans="1:10" ht="13" x14ac:dyDescent="0.15">
      <c r="A406" s="4"/>
      <c r="B406" s="2"/>
      <c r="C406" s="2"/>
      <c r="D406" s="2"/>
      <c r="E406" s="3"/>
      <c r="F406" s="2"/>
      <c r="G406" s="2"/>
      <c r="H406" s="2"/>
      <c r="I406" s="2"/>
      <c r="J406" s="2"/>
    </row>
    <row r="407" spans="1:10" ht="13" x14ac:dyDescent="0.15">
      <c r="A407" s="4"/>
      <c r="B407" s="2"/>
      <c r="C407" s="2"/>
      <c r="D407" s="2"/>
      <c r="E407" s="3"/>
      <c r="F407" s="2"/>
      <c r="G407" s="2"/>
      <c r="H407" s="2"/>
      <c r="I407" s="2"/>
      <c r="J407" s="2"/>
    </row>
    <row r="408" spans="1:10" ht="13" x14ac:dyDescent="0.15">
      <c r="A408" s="4"/>
      <c r="B408" s="2"/>
      <c r="C408" s="2"/>
      <c r="D408" s="2"/>
      <c r="E408" s="3"/>
      <c r="F408" s="2"/>
      <c r="G408" s="2"/>
      <c r="H408" s="2"/>
      <c r="I408" s="2"/>
      <c r="J408" s="2"/>
    </row>
    <row r="409" spans="1:10" ht="13" x14ac:dyDescent="0.15">
      <c r="A409" s="4"/>
      <c r="B409" s="2"/>
      <c r="C409" s="2"/>
      <c r="D409" s="2"/>
      <c r="E409" s="3"/>
      <c r="F409" s="2"/>
      <c r="G409" s="2"/>
      <c r="H409" s="2"/>
      <c r="I409" s="2"/>
      <c r="J409" s="2"/>
    </row>
    <row r="410" spans="1:10" ht="13" x14ac:dyDescent="0.15">
      <c r="A410" s="4"/>
      <c r="B410" s="2"/>
      <c r="C410" s="2"/>
      <c r="D410" s="2"/>
      <c r="E410" s="3"/>
      <c r="F410" s="2"/>
      <c r="G410" s="2"/>
      <c r="H410" s="2"/>
      <c r="I410" s="2"/>
      <c r="J410" s="2"/>
    </row>
    <row r="411" spans="1:10" ht="13" x14ac:dyDescent="0.15">
      <c r="A411" s="4"/>
      <c r="B411" s="2"/>
      <c r="C411" s="2"/>
      <c r="D411" s="2"/>
      <c r="E411" s="3"/>
      <c r="F411" s="2"/>
      <c r="G411" s="2"/>
      <c r="H411" s="2"/>
      <c r="I411" s="2"/>
      <c r="J411" s="2"/>
    </row>
    <row r="412" spans="1:10" ht="13" x14ac:dyDescent="0.15">
      <c r="A412" s="4"/>
      <c r="B412" s="2"/>
      <c r="C412" s="2"/>
      <c r="D412" s="2"/>
      <c r="E412" s="3"/>
      <c r="F412" s="2"/>
      <c r="G412" s="2"/>
      <c r="H412" s="2"/>
      <c r="I412" s="2"/>
      <c r="J412" s="2"/>
    </row>
    <row r="413" spans="1:10" ht="13" x14ac:dyDescent="0.15">
      <c r="A413" s="4"/>
      <c r="B413" s="2"/>
      <c r="C413" s="2"/>
      <c r="D413" s="2"/>
      <c r="E413" s="3"/>
      <c r="F413" s="2"/>
      <c r="G413" s="2"/>
      <c r="H413" s="2"/>
      <c r="I413" s="2"/>
      <c r="J413" s="2"/>
    </row>
    <row r="414" spans="1:10" ht="13" x14ac:dyDescent="0.15">
      <c r="A414" s="4"/>
      <c r="B414" s="2"/>
      <c r="C414" s="2"/>
      <c r="D414" s="2"/>
      <c r="E414" s="3"/>
      <c r="F414" s="2"/>
      <c r="G414" s="2"/>
      <c r="H414" s="2"/>
      <c r="I414" s="2"/>
      <c r="J414" s="2"/>
    </row>
    <row r="415" spans="1:10" ht="13" x14ac:dyDescent="0.15">
      <c r="A415" s="4"/>
      <c r="B415" s="2"/>
      <c r="C415" s="2"/>
      <c r="D415" s="2"/>
      <c r="E415" s="3"/>
      <c r="F415" s="2"/>
      <c r="G415" s="2"/>
      <c r="H415" s="2"/>
      <c r="I415" s="2"/>
      <c r="J415" s="2"/>
    </row>
    <row r="416" spans="1:10" ht="13" x14ac:dyDescent="0.15">
      <c r="A416" s="4"/>
      <c r="B416" s="2"/>
      <c r="C416" s="2"/>
      <c r="D416" s="2"/>
      <c r="E416" s="3"/>
      <c r="F416" s="2"/>
      <c r="G416" s="2"/>
      <c r="H416" s="2"/>
      <c r="I416" s="2"/>
      <c r="J416" s="2"/>
    </row>
    <row r="417" spans="1:10" ht="13" x14ac:dyDescent="0.15">
      <c r="A417" s="4"/>
      <c r="B417" s="2"/>
      <c r="C417" s="2"/>
      <c r="D417" s="2"/>
      <c r="E417" s="3"/>
      <c r="F417" s="2"/>
      <c r="G417" s="2"/>
      <c r="H417" s="2"/>
      <c r="I417" s="2"/>
      <c r="J417" s="2"/>
    </row>
    <row r="418" spans="1:10" ht="13" x14ac:dyDescent="0.15">
      <c r="A418" s="4"/>
      <c r="B418" s="2"/>
      <c r="C418" s="2"/>
      <c r="D418" s="2"/>
      <c r="E418" s="3"/>
      <c r="F418" s="2"/>
      <c r="G418" s="2"/>
      <c r="H418" s="2"/>
      <c r="I418" s="2"/>
      <c r="J418" s="2"/>
    </row>
    <row r="419" spans="1:10" ht="13" x14ac:dyDescent="0.15">
      <c r="A419" s="4"/>
      <c r="B419" s="2"/>
      <c r="C419" s="2"/>
      <c r="D419" s="2"/>
      <c r="E419" s="3"/>
      <c r="F419" s="2"/>
      <c r="G419" s="2"/>
      <c r="H419" s="2"/>
      <c r="I419" s="2"/>
      <c r="J419" s="2"/>
    </row>
    <row r="420" spans="1:10" ht="13" x14ac:dyDescent="0.15">
      <c r="A420" s="4"/>
      <c r="B420" s="2"/>
      <c r="C420" s="2"/>
      <c r="D420" s="2"/>
      <c r="E420" s="3"/>
      <c r="F420" s="2"/>
      <c r="G420" s="2"/>
      <c r="H420" s="2"/>
      <c r="I420" s="2"/>
      <c r="J420" s="2"/>
    </row>
    <row r="421" spans="1:10" ht="13" x14ac:dyDescent="0.15">
      <c r="A421" s="4"/>
      <c r="B421" s="2"/>
      <c r="C421" s="2"/>
      <c r="D421" s="2"/>
      <c r="E421" s="3"/>
      <c r="F421" s="2"/>
      <c r="G421" s="2"/>
      <c r="H421" s="2"/>
      <c r="I421" s="2"/>
      <c r="J421" s="2"/>
    </row>
    <row r="422" spans="1:10" ht="13" x14ac:dyDescent="0.15">
      <c r="A422" s="4"/>
      <c r="B422" s="2"/>
      <c r="C422" s="2"/>
      <c r="D422" s="2"/>
      <c r="E422" s="3"/>
      <c r="F422" s="2"/>
      <c r="G422" s="2"/>
      <c r="H422" s="2"/>
      <c r="I422" s="2"/>
      <c r="J422" s="2"/>
    </row>
    <row r="423" spans="1:10" ht="13" x14ac:dyDescent="0.15">
      <c r="A423" s="4"/>
      <c r="B423" s="2"/>
      <c r="C423" s="2"/>
      <c r="D423" s="2"/>
      <c r="E423" s="3"/>
      <c r="F423" s="2"/>
      <c r="G423" s="2"/>
      <c r="H423" s="2"/>
      <c r="I423" s="2"/>
      <c r="J423" s="2"/>
    </row>
    <row r="424" spans="1:10" ht="13" x14ac:dyDescent="0.15">
      <c r="A424" s="4"/>
      <c r="B424" s="2"/>
      <c r="C424" s="2"/>
      <c r="D424" s="2"/>
      <c r="E424" s="3"/>
      <c r="F424" s="2"/>
      <c r="G424" s="2"/>
      <c r="H424" s="2"/>
      <c r="I424" s="2"/>
      <c r="J424" s="2"/>
    </row>
    <row r="425" spans="1:10" ht="13" x14ac:dyDescent="0.15">
      <c r="A425" s="4"/>
      <c r="B425" s="2"/>
      <c r="C425" s="2"/>
      <c r="D425" s="2"/>
      <c r="E425" s="3"/>
      <c r="F425" s="2"/>
      <c r="G425" s="2"/>
      <c r="H425" s="2"/>
      <c r="I425" s="2"/>
      <c r="J425" s="2"/>
    </row>
    <row r="426" spans="1:10" ht="13" x14ac:dyDescent="0.15">
      <c r="A426" s="4"/>
      <c r="B426" s="2"/>
      <c r="C426" s="2"/>
      <c r="D426" s="2"/>
      <c r="E426" s="3"/>
      <c r="F426" s="2"/>
      <c r="G426" s="2"/>
      <c r="H426" s="2"/>
      <c r="I426" s="2"/>
      <c r="J426" s="2"/>
    </row>
    <row r="427" spans="1:10" ht="13" x14ac:dyDescent="0.15">
      <c r="A427" s="4"/>
      <c r="B427" s="2"/>
      <c r="C427" s="2"/>
      <c r="D427" s="2"/>
      <c r="E427" s="3"/>
      <c r="F427" s="2"/>
      <c r="G427" s="2"/>
      <c r="H427" s="2"/>
      <c r="I427" s="2"/>
      <c r="J427" s="2"/>
    </row>
    <row r="428" spans="1:10" ht="13" x14ac:dyDescent="0.15">
      <c r="A428" s="4"/>
      <c r="B428" s="2"/>
      <c r="C428" s="2"/>
      <c r="D428" s="2"/>
      <c r="E428" s="3"/>
      <c r="F428" s="2"/>
      <c r="G428" s="2"/>
      <c r="H428" s="2"/>
      <c r="I428" s="2"/>
      <c r="J428" s="2"/>
    </row>
    <row r="429" spans="1:10" ht="13" x14ac:dyDescent="0.15">
      <c r="A429" s="4"/>
      <c r="B429" s="2"/>
      <c r="C429" s="2"/>
      <c r="D429" s="2"/>
      <c r="E429" s="3"/>
      <c r="F429" s="2"/>
      <c r="G429" s="2"/>
      <c r="H429" s="2"/>
      <c r="I429" s="2"/>
      <c r="J429" s="2"/>
    </row>
    <row r="430" spans="1:10" ht="13" x14ac:dyDescent="0.15">
      <c r="A430" s="4"/>
      <c r="B430" s="2"/>
      <c r="C430" s="2"/>
      <c r="D430" s="2"/>
      <c r="E430" s="3"/>
      <c r="F430" s="2"/>
      <c r="G430" s="2"/>
      <c r="H430" s="2"/>
      <c r="I430" s="2"/>
      <c r="J430" s="2"/>
    </row>
    <row r="431" spans="1:10" ht="13" x14ac:dyDescent="0.15">
      <c r="A431" s="4"/>
      <c r="B431" s="2"/>
      <c r="C431" s="2"/>
      <c r="D431" s="2"/>
      <c r="E431" s="3"/>
      <c r="F431" s="2"/>
      <c r="G431" s="2"/>
      <c r="H431" s="2"/>
      <c r="I431" s="2"/>
      <c r="J431" s="2"/>
    </row>
    <row r="432" spans="1:10" ht="13" x14ac:dyDescent="0.15">
      <c r="A432" s="4"/>
      <c r="B432" s="2"/>
      <c r="C432" s="2"/>
      <c r="D432" s="2"/>
      <c r="E432" s="3"/>
      <c r="F432" s="2"/>
      <c r="G432" s="2"/>
      <c r="H432" s="2"/>
      <c r="I432" s="2"/>
      <c r="J432" s="2"/>
    </row>
    <row r="433" spans="1:10" ht="13" x14ac:dyDescent="0.15">
      <c r="A433" s="4"/>
      <c r="B433" s="2"/>
      <c r="C433" s="2"/>
      <c r="D433" s="2"/>
      <c r="E433" s="3"/>
      <c r="F433" s="2"/>
      <c r="G433" s="2"/>
      <c r="H433" s="2"/>
      <c r="I433" s="2"/>
      <c r="J433" s="2"/>
    </row>
    <row r="434" spans="1:10" ht="13" x14ac:dyDescent="0.15">
      <c r="A434" s="4"/>
      <c r="B434" s="2"/>
      <c r="C434" s="2"/>
      <c r="D434" s="2"/>
      <c r="E434" s="3"/>
      <c r="F434" s="2"/>
      <c r="G434" s="2"/>
      <c r="H434" s="2"/>
      <c r="I434" s="2"/>
      <c r="J434" s="2"/>
    </row>
    <row r="435" spans="1:10" ht="13" x14ac:dyDescent="0.15">
      <c r="A435" s="4"/>
      <c r="B435" s="2"/>
      <c r="C435" s="2"/>
      <c r="D435" s="2"/>
      <c r="E435" s="3"/>
      <c r="F435" s="2"/>
      <c r="G435" s="2"/>
      <c r="H435" s="2"/>
      <c r="I435" s="2"/>
      <c r="J435" s="2"/>
    </row>
    <row r="436" spans="1:10" ht="13" x14ac:dyDescent="0.15">
      <c r="A436" s="4"/>
      <c r="B436" s="2"/>
      <c r="C436" s="2"/>
      <c r="D436" s="2"/>
      <c r="E436" s="3"/>
      <c r="F436" s="2"/>
      <c r="G436" s="2"/>
      <c r="H436" s="2"/>
      <c r="I436" s="2"/>
      <c r="J436" s="2"/>
    </row>
    <row r="437" spans="1:10" ht="13" x14ac:dyDescent="0.15">
      <c r="A437" s="4"/>
      <c r="B437" s="2"/>
      <c r="C437" s="2"/>
      <c r="D437" s="2"/>
      <c r="E437" s="3"/>
      <c r="F437" s="2"/>
      <c r="G437" s="2"/>
      <c r="H437" s="2"/>
      <c r="I437" s="2"/>
      <c r="J437" s="2"/>
    </row>
    <row r="438" spans="1:10" ht="13" x14ac:dyDescent="0.15">
      <c r="A438" s="4"/>
      <c r="B438" s="2"/>
      <c r="C438" s="2"/>
      <c r="D438" s="2"/>
      <c r="E438" s="3"/>
      <c r="F438" s="2"/>
      <c r="G438" s="2"/>
      <c r="H438" s="2"/>
      <c r="I438" s="2"/>
      <c r="J438" s="2"/>
    </row>
    <row r="439" spans="1:10" ht="13" x14ac:dyDescent="0.15">
      <c r="A439" s="4"/>
      <c r="B439" s="2"/>
      <c r="C439" s="2"/>
      <c r="D439" s="2"/>
      <c r="E439" s="3"/>
      <c r="F439" s="2"/>
      <c r="G439" s="2"/>
      <c r="H439" s="2"/>
      <c r="I439" s="2"/>
      <c r="J439" s="2"/>
    </row>
    <row r="440" spans="1:10" ht="13" x14ac:dyDescent="0.15">
      <c r="A440" s="4"/>
      <c r="B440" s="2"/>
      <c r="C440" s="2"/>
      <c r="D440" s="2"/>
      <c r="E440" s="3"/>
      <c r="F440" s="2"/>
      <c r="G440" s="2"/>
      <c r="H440" s="2"/>
      <c r="I440" s="2"/>
      <c r="J440" s="2"/>
    </row>
    <row r="441" spans="1:10" ht="13" x14ac:dyDescent="0.15">
      <c r="A441" s="4"/>
      <c r="B441" s="2"/>
      <c r="C441" s="2"/>
      <c r="D441" s="2"/>
      <c r="E441" s="3"/>
      <c r="F441" s="2"/>
      <c r="G441" s="2"/>
      <c r="H441" s="2"/>
      <c r="I441" s="2"/>
      <c r="J441" s="2"/>
    </row>
    <row r="442" spans="1:10" ht="13" x14ac:dyDescent="0.15">
      <c r="A442" s="4"/>
      <c r="B442" s="2"/>
      <c r="C442" s="2"/>
      <c r="D442" s="2"/>
      <c r="E442" s="3"/>
      <c r="F442" s="2"/>
      <c r="G442" s="2"/>
      <c r="H442" s="2"/>
      <c r="I442" s="2"/>
      <c r="J442" s="2"/>
    </row>
    <row r="443" spans="1:10" ht="13" x14ac:dyDescent="0.15">
      <c r="A443" s="4"/>
      <c r="B443" s="2"/>
      <c r="C443" s="2"/>
      <c r="D443" s="2"/>
      <c r="E443" s="3"/>
      <c r="F443" s="2"/>
      <c r="G443" s="2"/>
      <c r="H443" s="2"/>
      <c r="I443" s="2"/>
      <c r="J443" s="2"/>
    </row>
    <row r="444" spans="1:10" ht="13" x14ac:dyDescent="0.15">
      <c r="A444" s="4"/>
      <c r="B444" s="2"/>
      <c r="C444" s="2"/>
      <c r="D444" s="2"/>
      <c r="E444" s="3"/>
      <c r="F444" s="2"/>
      <c r="G444" s="2"/>
      <c r="H444" s="2"/>
      <c r="I444" s="2"/>
      <c r="J444" s="2"/>
    </row>
    <row r="445" spans="1:10" ht="13" x14ac:dyDescent="0.15">
      <c r="A445" s="4"/>
      <c r="B445" s="2"/>
      <c r="C445" s="2"/>
      <c r="D445" s="2"/>
      <c r="E445" s="3"/>
      <c r="F445" s="2"/>
      <c r="G445" s="2"/>
      <c r="H445" s="2"/>
      <c r="I445" s="2"/>
      <c r="J445" s="2"/>
    </row>
    <row r="446" spans="1:10" ht="13" x14ac:dyDescent="0.15">
      <c r="A446" s="4"/>
      <c r="B446" s="2"/>
      <c r="C446" s="2"/>
      <c r="D446" s="2"/>
      <c r="E446" s="3"/>
      <c r="F446" s="2"/>
      <c r="G446" s="2"/>
      <c r="H446" s="2"/>
      <c r="I446" s="2"/>
      <c r="J446" s="2"/>
    </row>
    <row r="447" spans="1:10" ht="13" x14ac:dyDescent="0.15">
      <c r="A447" s="4"/>
      <c r="B447" s="2"/>
      <c r="C447" s="2"/>
      <c r="D447" s="2"/>
      <c r="E447" s="3"/>
      <c r="F447" s="2"/>
      <c r="G447" s="2"/>
      <c r="H447" s="2"/>
      <c r="I447" s="2"/>
      <c r="J447" s="2"/>
    </row>
    <row r="448" spans="1:10" ht="13" x14ac:dyDescent="0.15">
      <c r="A448" s="4"/>
      <c r="B448" s="2"/>
      <c r="C448" s="2"/>
      <c r="D448" s="2"/>
      <c r="E448" s="3"/>
      <c r="F448" s="2"/>
      <c r="G448" s="2"/>
      <c r="H448" s="2"/>
      <c r="I448" s="2"/>
      <c r="J448" s="2"/>
    </row>
    <row r="449" spans="1:10" ht="13" x14ac:dyDescent="0.15">
      <c r="A449" s="4"/>
      <c r="B449" s="2"/>
      <c r="C449" s="2"/>
      <c r="D449" s="2"/>
      <c r="E449" s="3"/>
      <c r="F449" s="2"/>
      <c r="G449" s="2"/>
      <c r="H449" s="2"/>
      <c r="I449" s="2"/>
      <c r="J449" s="2"/>
    </row>
    <row r="450" spans="1:10" ht="13" x14ac:dyDescent="0.15">
      <c r="A450" s="4"/>
      <c r="B450" s="2"/>
      <c r="C450" s="2"/>
      <c r="D450" s="2"/>
      <c r="E450" s="3"/>
      <c r="F450" s="2"/>
      <c r="G450" s="2"/>
      <c r="H450" s="2"/>
      <c r="I450" s="2"/>
      <c r="J450" s="2"/>
    </row>
    <row r="451" spans="1:10" ht="13" x14ac:dyDescent="0.15">
      <c r="A451" s="4"/>
      <c r="B451" s="2"/>
      <c r="C451" s="2"/>
      <c r="D451" s="2"/>
      <c r="E451" s="3"/>
      <c r="F451" s="2"/>
      <c r="G451" s="2"/>
      <c r="H451" s="2"/>
      <c r="I451" s="2"/>
      <c r="J451" s="2"/>
    </row>
    <row r="452" spans="1:10" ht="13" x14ac:dyDescent="0.15">
      <c r="A452" s="4"/>
      <c r="B452" s="2"/>
      <c r="C452" s="2"/>
      <c r="D452" s="2"/>
      <c r="E452" s="3"/>
      <c r="F452" s="2"/>
      <c r="G452" s="2"/>
      <c r="H452" s="2"/>
      <c r="I452" s="2"/>
      <c r="J452" s="2"/>
    </row>
    <row r="453" spans="1:10" ht="13" x14ac:dyDescent="0.15">
      <c r="A453" s="4"/>
      <c r="B453" s="2"/>
      <c r="C453" s="2"/>
      <c r="D453" s="2"/>
      <c r="E453" s="3"/>
      <c r="F453" s="2"/>
      <c r="G453" s="2"/>
      <c r="H453" s="2"/>
      <c r="I453" s="2"/>
      <c r="J453" s="2"/>
    </row>
    <row r="454" spans="1:10" ht="13" x14ac:dyDescent="0.15">
      <c r="A454" s="4"/>
      <c r="B454" s="2"/>
      <c r="C454" s="2"/>
      <c r="D454" s="2"/>
      <c r="E454" s="3"/>
      <c r="F454" s="2"/>
      <c r="G454" s="2"/>
      <c r="H454" s="2"/>
      <c r="I454" s="2"/>
      <c r="J454" s="2"/>
    </row>
    <row r="455" spans="1:10" ht="13" x14ac:dyDescent="0.15">
      <c r="A455" s="4"/>
      <c r="B455" s="2"/>
      <c r="C455" s="2"/>
      <c r="D455" s="2"/>
      <c r="E455" s="3"/>
      <c r="F455" s="2"/>
      <c r="G455" s="2"/>
      <c r="H455" s="2"/>
      <c r="I455" s="2"/>
      <c r="J455" s="2"/>
    </row>
    <row r="456" spans="1:10" ht="13" x14ac:dyDescent="0.15">
      <c r="A456" s="4"/>
      <c r="B456" s="2"/>
      <c r="C456" s="2"/>
      <c r="D456" s="2"/>
      <c r="E456" s="3"/>
      <c r="F456" s="2"/>
      <c r="G456" s="2"/>
      <c r="H456" s="2"/>
      <c r="I456" s="2"/>
      <c r="J456" s="2"/>
    </row>
    <row r="457" spans="1:10" ht="13" x14ac:dyDescent="0.15">
      <c r="A457" s="4"/>
      <c r="B457" s="2"/>
      <c r="C457" s="2"/>
      <c r="D457" s="2"/>
      <c r="E457" s="3"/>
      <c r="F457" s="2"/>
      <c r="G457" s="2"/>
      <c r="H457" s="2"/>
      <c r="I457" s="2"/>
      <c r="J457" s="2"/>
    </row>
    <row r="458" spans="1:10" ht="13" x14ac:dyDescent="0.15">
      <c r="A458" s="4"/>
      <c r="B458" s="2"/>
      <c r="C458" s="2"/>
      <c r="D458" s="2"/>
      <c r="E458" s="3"/>
      <c r="F458" s="2"/>
      <c r="G458" s="2"/>
      <c r="H458" s="2"/>
      <c r="I458" s="2"/>
      <c r="J458" s="2"/>
    </row>
    <row r="459" spans="1:10" ht="13" x14ac:dyDescent="0.15">
      <c r="A459" s="4"/>
      <c r="B459" s="2"/>
      <c r="C459" s="2"/>
      <c r="D459" s="2"/>
      <c r="E459" s="3"/>
      <c r="F459" s="2"/>
      <c r="G459" s="2"/>
      <c r="H459" s="2"/>
      <c r="I459" s="2"/>
      <c r="J459" s="2"/>
    </row>
    <row r="460" spans="1:10" ht="13" x14ac:dyDescent="0.15">
      <c r="A460" s="4"/>
      <c r="B460" s="2"/>
      <c r="C460" s="2"/>
      <c r="D460" s="2"/>
      <c r="E460" s="3"/>
      <c r="F460" s="2"/>
      <c r="G460" s="2"/>
      <c r="H460" s="2"/>
      <c r="I460" s="2"/>
      <c r="J460" s="2"/>
    </row>
    <row r="461" spans="1:10" ht="13" x14ac:dyDescent="0.15">
      <c r="A461" s="4"/>
      <c r="B461" s="2"/>
      <c r="C461" s="2"/>
      <c r="D461" s="2"/>
      <c r="E461" s="3"/>
      <c r="F461" s="2"/>
      <c r="G461" s="2"/>
      <c r="H461" s="2"/>
      <c r="I461" s="2"/>
      <c r="J461" s="2"/>
    </row>
    <row r="462" spans="1:10" ht="13" x14ac:dyDescent="0.15">
      <c r="A462" s="4"/>
      <c r="B462" s="2"/>
      <c r="C462" s="2"/>
      <c r="D462" s="2"/>
      <c r="E462" s="3"/>
      <c r="F462" s="2"/>
      <c r="G462" s="2"/>
      <c r="H462" s="2"/>
      <c r="I462" s="2"/>
      <c r="J462" s="2"/>
    </row>
    <row r="463" spans="1:10" ht="13" x14ac:dyDescent="0.15">
      <c r="A463" s="4"/>
      <c r="B463" s="2"/>
      <c r="C463" s="2"/>
      <c r="D463" s="2"/>
      <c r="E463" s="3"/>
      <c r="F463" s="2"/>
      <c r="G463" s="2"/>
      <c r="H463" s="2"/>
      <c r="I463" s="2"/>
      <c r="J463" s="2"/>
    </row>
    <row r="464" spans="1:10" ht="13" x14ac:dyDescent="0.15">
      <c r="A464" s="4"/>
      <c r="B464" s="2"/>
      <c r="C464" s="2"/>
      <c r="D464" s="2"/>
      <c r="E464" s="3"/>
      <c r="F464" s="2"/>
      <c r="G464" s="2"/>
      <c r="H464" s="2"/>
      <c r="I464" s="2"/>
      <c r="J464" s="2"/>
    </row>
    <row r="465" spans="1:10" ht="13" x14ac:dyDescent="0.15">
      <c r="A465" s="4"/>
      <c r="B465" s="2"/>
      <c r="C465" s="2"/>
      <c r="D465" s="2"/>
      <c r="E465" s="3"/>
      <c r="F465" s="2"/>
      <c r="G465" s="2"/>
      <c r="H465" s="2"/>
      <c r="I465" s="2"/>
      <c r="J465" s="2"/>
    </row>
    <row r="466" spans="1:10" ht="13" x14ac:dyDescent="0.15">
      <c r="A466" s="4"/>
      <c r="B466" s="2"/>
      <c r="C466" s="2"/>
      <c r="D466" s="2"/>
      <c r="E466" s="3"/>
      <c r="F466" s="2"/>
      <c r="G466" s="2"/>
      <c r="H466" s="2"/>
      <c r="I466" s="2"/>
      <c r="J466" s="2"/>
    </row>
    <row r="467" spans="1:10" ht="13" x14ac:dyDescent="0.15">
      <c r="A467" s="4"/>
      <c r="B467" s="2"/>
      <c r="C467" s="2"/>
      <c r="D467" s="2"/>
      <c r="E467" s="3"/>
      <c r="F467" s="2"/>
      <c r="G467" s="2"/>
      <c r="H467" s="2"/>
      <c r="I467" s="2"/>
      <c r="J467" s="2"/>
    </row>
    <row r="468" spans="1:10" ht="13" x14ac:dyDescent="0.15">
      <c r="A468" s="4"/>
      <c r="B468" s="2"/>
      <c r="C468" s="2"/>
      <c r="D468" s="2"/>
      <c r="E468" s="3"/>
      <c r="F468" s="2"/>
      <c r="G468" s="2"/>
      <c r="H468" s="2"/>
      <c r="I468" s="2"/>
      <c r="J468" s="2"/>
    </row>
    <row r="469" spans="1:10" ht="13" x14ac:dyDescent="0.15">
      <c r="A469" s="4"/>
      <c r="B469" s="2"/>
      <c r="C469" s="2"/>
      <c r="D469" s="2"/>
      <c r="E469" s="3"/>
      <c r="F469" s="2"/>
      <c r="G469" s="2"/>
      <c r="H469" s="2"/>
      <c r="I469" s="2"/>
      <c r="J469" s="2"/>
    </row>
    <row r="470" spans="1:10" ht="13" x14ac:dyDescent="0.15">
      <c r="A470" s="4"/>
      <c r="B470" s="2"/>
      <c r="C470" s="2"/>
      <c r="D470" s="2"/>
      <c r="E470" s="3"/>
      <c r="F470" s="2"/>
      <c r="G470" s="2"/>
      <c r="H470" s="2"/>
      <c r="I470" s="2"/>
      <c r="J470" s="2"/>
    </row>
    <row r="471" spans="1:10" ht="13" x14ac:dyDescent="0.15">
      <c r="A471" s="4"/>
      <c r="B471" s="2"/>
      <c r="C471" s="2"/>
      <c r="D471" s="2"/>
      <c r="E471" s="3"/>
      <c r="F471" s="2"/>
      <c r="G471" s="2"/>
      <c r="H471" s="2"/>
      <c r="I471" s="2"/>
      <c r="J471" s="2"/>
    </row>
    <row r="472" spans="1:10" ht="13" x14ac:dyDescent="0.15">
      <c r="A472" s="4"/>
      <c r="B472" s="2"/>
      <c r="C472" s="2"/>
      <c r="D472" s="2"/>
      <c r="E472" s="3"/>
      <c r="F472" s="2"/>
      <c r="G472" s="2"/>
      <c r="H472" s="2"/>
      <c r="I472" s="2"/>
      <c r="J472" s="2"/>
    </row>
    <row r="473" spans="1:10" ht="13" x14ac:dyDescent="0.15">
      <c r="A473" s="4"/>
      <c r="B473" s="2"/>
      <c r="C473" s="2"/>
      <c r="D473" s="2"/>
      <c r="E473" s="3"/>
      <c r="F473" s="2"/>
      <c r="G473" s="2"/>
      <c r="H473" s="2"/>
      <c r="I473" s="2"/>
      <c r="J473" s="2"/>
    </row>
    <row r="474" spans="1:10" ht="13" x14ac:dyDescent="0.15">
      <c r="A474" s="4"/>
      <c r="B474" s="2"/>
      <c r="C474" s="2"/>
      <c r="D474" s="2"/>
      <c r="E474" s="3"/>
      <c r="F474" s="2"/>
      <c r="G474" s="2"/>
      <c r="H474" s="2"/>
      <c r="I474" s="2"/>
      <c r="J474" s="2"/>
    </row>
    <row r="475" spans="1:10" ht="13" x14ac:dyDescent="0.15">
      <c r="A475" s="4"/>
      <c r="B475" s="2"/>
      <c r="C475" s="2"/>
      <c r="D475" s="2"/>
      <c r="E475" s="3"/>
      <c r="F475" s="2"/>
      <c r="G475" s="2"/>
      <c r="H475" s="2"/>
      <c r="I475" s="2"/>
      <c r="J475" s="2"/>
    </row>
    <row r="476" spans="1:10" ht="13" x14ac:dyDescent="0.15">
      <c r="A476" s="4"/>
      <c r="B476" s="2"/>
      <c r="C476" s="2"/>
      <c r="D476" s="2"/>
      <c r="E476" s="3"/>
      <c r="F476" s="2"/>
      <c r="G476" s="2"/>
      <c r="H476" s="2"/>
      <c r="I476" s="2"/>
      <c r="J476" s="2"/>
    </row>
    <row r="477" spans="1:10" ht="13" x14ac:dyDescent="0.15">
      <c r="A477" s="4"/>
      <c r="B477" s="2"/>
      <c r="C477" s="2"/>
      <c r="D477" s="2"/>
      <c r="E477" s="3"/>
      <c r="F477" s="2"/>
      <c r="G477" s="2"/>
      <c r="H477" s="2"/>
      <c r="I477" s="2"/>
      <c r="J477" s="2"/>
    </row>
    <row r="478" spans="1:10" ht="13" x14ac:dyDescent="0.15">
      <c r="A478" s="4"/>
      <c r="B478" s="2"/>
      <c r="C478" s="2"/>
      <c r="D478" s="2"/>
      <c r="E478" s="3"/>
      <c r="F478" s="2"/>
      <c r="G478" s="2"/>
      <c r="H478" s="2"/>
      <c r="I478" s="2"/>
      <c r="J478" s="2"/>
    </row>
    <row r="479" spans="1:10" ht="13" x14ac:dyDescent="0.15">
      <c r="A479" s="4"/>
      <c r="B479" s="2"/>
      <c r="C479" s="2"/>
      <c r="D479" s="2"/>
      <c r="E479" s="3"/>
      <c r="F479" s="2"/>
      <c r="G479" s="2"/>
      <c r="H479" s="2"/>
      <c r="I479" s="2"/>
      <c r="J479" s="2"/>
    </row>
    <row r="480" spans="1:10" ht="13" x14ac:dyDescent="0.15">
      <c r="A480" s="4"/>
      <c r="B480" s="2"/>
      <c r="C480" s="2"/>
      <c r="D480" s="2"/>
      <c r="E480" s="3"/>
      <c r="F480" s="2"/>
      <c r="G480" s="2"/>
      <c r="H480" s="2"/>
      <c r="I480" s="2"/>
      <c r="J480" s="2"/>
    </row>
    <row r="481" spans="1:10" ht="13" x14ac:dyDescent="0.15">
      <c r="A481" s="4"/>
      <c r="B481" s="2"/>
      <c r="C481" s="2"/>
      <c r="D481" s="2"/>
      <c r="E481" s="3"/>
      <c r="F481" s="2"/>
      <c r="G481" s="2"/>
      <c r="H481" s="2"/>
      <c r="I481" s="2"/>
      <c r="J481" s="2"/>
    </row>
    <row r="482" spans="1:10" ht="13" x14ac:dyDescent="0.15">
      <c r="A482" s="4"/>
      <c r="B482" s="2"/>
      <c r="C482" s="2"/>
      <c r="D482" s="2"/>
      <c r="E482" s="3"/>
      <c r="F482" s="2"/>
      <c r="G482" s="2"/>
      <c r="H482" s="2"/>
      <c r="I482" s="2"/>
      <c r="J482" s="2"/>
    </row>
    <row r="483" spans="1:10" ht="13" x14ac:dyDescent="0.15">
      <c r="A483" s="4"/>
      <c r="B483" s="2"/>
      <c r="C483" s="2"/>
      <c r="D483" s="2"/>
      <c r="E483" s="3"/>
      <c r="F483" s="2"/>
      <c r="G483" s="2"/>
      <c r="H483" s="2"/>
      <c r="I483" s="2"/>
      <c r="J483" s="2"/>
    </row>
    <row r="484" spans="1:10" ht="13" x14ac:dyDescent="0.15">
      <c r="A484" s="4"/>
      <c r="B484" s="2"/>
      <c r="C484" s="2"/>
      <c r="D484" s="2"/>
      <c r="E484" s="3"/>
      <c r="F484" s="2"/>
      <c r="G484" s="2"/>
      <c r="H484" s="2"/>
      <c r="I484" s="2"/>
      <c r="J484" s="2"/>
    </row>
    <row r="485" spans="1:10" ht="13" x14ac:dyDescent="0.15">
      <c r="A485" s="4"/>
      <c r="B485" s="2"/>
      <c r="C485" s="2"/>
      <c r="D485" s="2"/>
      <c r="E485" s="3"/>
      <c r="F485" s="2"/>
      <c r="G485" s="2"/>
      <c r="H485" s="2"/>
      <c r="I485" s="2"/>
      <c r="J485" s="2"/>
    </row>
    <row r="486" spans="1:10" ht="13" x14ac:dyDescent="0.15">
      <c r="A486" s="4"/>
      <c r="B486" s="2"/>
      <c r="C486" s="2"/>
      <c r="D486" s="2"/>
      <c r="E486" s="3"/>
      <c r="F486" s="2"/>
      <c r="G486" s="2"/>
      <c r="H486" s="2"/>
      <c r="I486" s="2"/>
      <c r="J486" s="2"/>
    </row>
    <row r="487" spans="1:10" ht="13" x14ac:dyDescent="0.15">
      <c r="A487" s="4"/>
      <c r="B487" s="2"/>
      <c r="C487" s="2"/>
      <c r="D487" s="2"/>
      <c r="E487" s="3"/>
      <c r="F487" s="2"/>
      <c r="G487" s="2"/>
      <c r="H487" s="2"/>
      <c r="I487" s="2"/>
      <c r="J487" s="2"/>
    </row>
    <row r="488" spans="1:10" ht="13" x14ac:dyDescent="0.15">
      <c r="A488" s="4"/>
      <c r="B488" s="2"/>
      <c r="C488" s="2"/>
      <c r="D488" s="2"/>
      <c r="E488" s="3"/>
      <c r="F488" s="2"/>
      <c r="G488" s="2"/>
      <c r="H488" s="2"/>
      <c r="I488" s="2"/>
      <c r="J488" s="2"/>
    </row>
    <row r="489" spans="1:10" ht="13" x14ac:dyDescent="0.15">
      <c r="A489" s="4"/>
      <c r="B489" s="2"/>
      <c r="C489" s="2"/>
      <c r="D489" s="2"/>
      <c r="E489" s="3"/>
      <c r="F489" s="2"/>
      <c r="G489" s="2"/>
      <c r="H489" s="2"/>
      <c r="I489" s="2"/>
      <c r="J489" s="2"/>
    </row>
    <row r="490" spans="1:10" ht="13" x14ac:dyDescent="0.15">
      <c r="A490" s="4"/>
      <c r="B490" s="2"/>
      <c r="C490" s="2"/>
      <c r="D490" s="2"/>
      <c r="E490" s="3"/>
      <c r="F490" s="2"/>
      <c r="G490" s="2"/>
      <c r="H490" s="2"/>
      <c r="I490" s="2"/>
      <c r="J490" s="2"/>
    </row>
    <row r="491" spans="1:10" ht="13" x14ac:dyDescent="0.15">
      <c r="A491" s="4"/>
      <c r="B491" s="2"/>
      <c r="C491" s="2"/>
      <c r="D491" s="2"/>
      <c r="E491" s="3"/>
      <c r="F491" s="2"/>
      <c r="G491" s="2"/>
      <c r="H491" s="2"/>
      <c r="I491" s="2"/>
      <c r="J491" s="2"/>
    </row>
    <row r="492" spans="1:10" ht="13" x14ac:dyDescent="0.15">
      <c r="A492" s="4"/>
      <c r="B492" s="2"/>
      <c r="C492" s="2"/>
      <c r="D492" s="2"/>
      <c r="E492" s="3"/>
      <c r="F492" s="2"/>
      <c r="G492" s="2"/>
      <c r="H492" s="2"/>
      <c r="I492" s="2"/>
      <c r="J492" s="2"/>
    </row>
    <row r="493" spans="1:10" ht="13" x14ac:dyDescent="0.15">
      <c r="A493" s="4"/>
      <c r="B493" s="2"/>
      <c r="C493" s="2"/>
      <c r="D493" s="2"/>
      <c r="E493" s="3"/>
      <c r="F493" s="2"/>
      <c r="G493" s="2"/>
      <c r="H493" s="2"/>
      <c r="I493" s="2"/>
      <c r="J493" s="2"/>
    </row>
    <row r="494" spans="1:10" ht="13" x14ac:dyDescent="0.15">
      <c r="A494" s="4"/>
      <c r="B494" s="2"/>
      <c r="C494" s="2"/>
      <c r="D494" s="2"/>
      <c r="E494" s="3"/>
      <c r="F494" s="2"/>
      <c r="G494" s="2"/>
      <c r="H494" s="2"/>
      <c r="I494" s="2"/>
      <c r="J494" s="2"/>
    </row>
    <row r="495" spans="1:10" ht="13" x14ac:dyDescent="0.15">
      <c r="A495" s="4"/>
      <c r="B495" s="2"/>
      <c r="C495" s="2"/>
      <c r="D495" s="2"/>
      <c r="E495" s="3"/>
      <c r="F495" s="2"/>
      <c r="G495" s="2"/>
      <c r="H495" s="2"/>
      <c r="I495" s="2"/>
      <c r="J495" s="2"/>
    </row>
    <row r="496" spans="1:10" ht="13" x14ac:dyDescent="0.15">
      <c r="A496" s="4"/>
      <c r="B496" s="2"/>
      <c r="C496" s="2"/>
      <c r="D496" s="2"/>
      <c r="E496" s="3"/>
      <c r="F496" s="2"/>
      <c r="G496" s="2"/>
      <c r="H496" s="2"/>
      <c r="I496" s="2"/>
      <c r="J496" s="2"/>
    </row>
    <row r="497" spans="1:10" ht="13" x14ac:dyDescent="0.15">
      <c r="A497" s="4"/>
      <c r="B497" s="2"/>
      <c r="C497" s="2"/>
      <c r="D497" s="2"/>
      <c r="E497" s="3"/>
      <c r="F497" s="2"/>
      <c r="G497" s="2"/>
      <c r="H497" s="2"/>
      <c r="I497" s="2"/>
      <c r="J497" s="2"/>
    </row>
    <row r="498" spans="1:10" ht="13" x14ac:dyDescent="0.15">
      <c r="A498" s="4"/>
      <c r="B498" s="2"/>
      <c r="C498" s="2"/>
      <c r="D498" s="2"/>
      <c r="E498" s="3"/>
      <c r="F498" s="2"/>
      <c r="G498" s="2"/>
      <c r="H498" s="2"/>
      <c r="I498" s="2"/>
      <c r="J498" s="2"/>
    </row>
    <row r="499" spans="1:10" ht="13" x14ac:dyDescent="0.15">
      <c r="A499" s="4"/>
      <c r="B499" s="2"/>
      <c r="C499" s="2"/>
      <c r="D499" s="2"/>
      <c r="E499" s="3"/>
      <c r="F499" s="2"/>
      <c r="G499" s="2"/>
      <c r="H499" s="2"/>
      <c r="I499" s="2"/>
      <c r="J499" s="2"/>
    </row>
    <row r="500" spans="1:10" ht="13" x14ac:dyDescent="0.15">
      <c r="A500" s="4"/>
      <c r="B500" s="2"/>
      <c r="C500" s="2"/>
      <c r="D500" s="2"/>
      <c r="E500" s="3"/>
      <c r="F500" s="2"/>
      <c r="G500" s="2"/>
      <c r="H500" s="2"/>
      <c r="I500" s="2"/>
      <c r="J500" s="2"/>
    </row>
    <row r="501" spans="1:10" ht="13" x14ac:dyDescent="0.15">
      <c r="A501" s="4"/>
      <c r="B501" s="2"/>
      <c r="C501" s="2"/>
      <c r="D501" s="2"/>
      <c r="E501" s="3"/>
      <c r="F501" s="2"/>
      <c r="G501" s="2"/>
      <c r="H501" s="2"/>
      <c r="I501" s="2"/>
      <c r="J501" s="2"/>
    </row>
    <row r="502" spans="1:10" ht="13" x14ac:dyDescent="0.15">
      <c r="A502" s="4"/>
      <c r="B502" s="2"/>
      <c r="C502" s="2"/>
      <c r="D502" s="2"/>
      <c r="E502" s="3"/>
      <c r="F502" s="2"/>
      <c r="G502" s="2"/>
      <c r="H502" s="2"/>
      <c r="I502" s="2"/>
      <c r="J502" s="2"/>
    </row>
    <row r="503" spans="1:10" ht="13" x14ac:dyDescent="0.15">
      <c r="A503" s="4"/>
      <c r="B503" s="2"/>
      <c r="C503" s="2"/>
      <c r="D503" s="2"/>
      <c r="E503" s="3"/>
      <c r="F503" s="2"/>
      <c r="G503" s="2"/>
      <c r="H503" s="2"/>
      <c r="I503" s="2"/>
      <c r="J503" s="2"/>
    </row>
    <row r="504" spans="1:10" ht="13" x14ac:dyDescent="0.15">
      <c r="A504" s="4"/>
      <c r="B504" s="2"/>
      <c r="C504" s="2"/>
      <c r="D504" s="2"/>
      <c r="E504" s="3"/>
      <c r="F504" s="2"/>
      <c r="G504" s="2"/>
      <c r="H504" s="2"/>
      <c r="I504" s="2"/>
      <c r="J504" s="2"/>
    </row>
    <row r="505" spans="1:10" ht="13" x14ac:dyDescent="0.15">
      <c r="A505" s="4"/>
      <c r="B505" s="2"/>
      <c r="C505" s="2"/>
      <c r="D505" s="2"/>
      <c r="E505" s="3"/>
      <c r="F505" s="2"/>
      <c r="G505" s="2"/>
      <c r="H505" s="2"/>
      <c r="I505" s="2"/>
      <c r="J505" s="2"/>
    </row>
    <row r="506" spans="1:10" ht="13" x14ac:dyDescent="0.15">
      <c r="A506" s="4"/>
      <c r="B506" s="2"/>
      <c r="C506" s="2"/>
      <c r="D506" s="2"/>
      <c r="E506" s="3"/>
      <c r="F506" s="2"/>
      <c r="G506" s="2"/>
      <c r="H506" s="2"/>
      <c r="I506" s="2"/>
      <c r="J506" s="2"/>
    </row>
    <row r="507" spans="1:10" ht="13" x14ac:dyDescent="0.15">
      <c r="A507" s="4"/>
      <c r="B507" s="2"/>
      <c r="C507" s="2"/>
      <c r="D507" s="2"/>
      <c r="E507" s="3"/>
      <c r="F507" s="2"/>
      <c r="G507" s="2"/>
      <c r="H507" s="2"/>
      <c r="I507" s="2"/>
      <c r="J507" s="2"/>
    </row>
    <row r="508" spans="1:10" ht="13" x14ac:dyDescent="0.15">
      <c r="A508" s="4"/>
      <c r="B508" s="2"/>
      <c r="C508" s="2"/>
      <c r="D508" s="2"/>
      <c r="E508" s="3"/>
      <c r="F508" s="2"/>
      <c r="G508" s="2"/>
      <c r="H508" s="2"/>
      <c r="I508" s="2"/>
      <c r="J508" s="2"/>
    </row>
    <row r="509" spans="1:10" ht="13" x14ac:dyDescent="0.15">
      <c r="A509" s="4"/>
      <c r="B509" s="2"/>
      <c r="C509" s="2"/>
      <c r="D509" s="2"/>
      <c r="E509" s="3"/>
      <c r="F509" s="2"/>
      <c r="G509" s="2"/>
      <c r="H509" s="2"/>
      <c r="I509" s="2"/>
      <c r="J509" s="2"/>
    </row>
    <row r="510" spans="1:10" ht="13" x14ac:dyDescent="0.15">
      <c r="A510" s="4"/>
      <c r="B510" s="2"/>
      <c r="C510" s="2"/>
      <c r="D510" s="2"/>
      <c r="E510" s="3"/>
      <c r="F510" s="2"/>
      <c r="G510" s="2"/>
      <c r="H510" s="2"/>
      <c r="I510" s="2"/>
      <c r="J510" s="2"/>
    </row>
    <row r="511" spans="1:10" ht="13" x14ac:dyDescent="0.15">
      <c r="A511" s="4"/>
      <c r="B511" s="2"/>
      <c r="C511" s="2"/>
      <c r="D511" s="2"/>
      <c r="E511" s="3"/>
      <c r="F511" s="2"/>
      <c r="G511" s="2"/>
      <c r="H511" s="2"/>
      <c r="I511" s="2"/>
      <c r="J511" s="2"/>
    </row>
    <row r="512" spans="1:10" ht="13" x14ac:dyDescent="0.15">
      <c r="A512" s="4"/>
      <c r="B512" s="2"/>
      <c r="C512" s="2"/>
      <c r="D512" s="2"/>
      <c r="E512" s="3"/>
      <c r="F512" s="2"/>
      <c r="G512" s="2"/>
      <c r="H512" s="2"/>
      <c r="I512" s="2"/>
      <c r="J512" s="2"/>
    </row>
    <row r="513" spans="1:10" ht="13" x14ac:dyDescent="0.15">
      <c r="A513" s="4"/>
      <c r="B513" s="2"/>
      <c r="C513" s="2"/>
      <c r="D513" s="2"/>
      <c r="E513" s="3"/>
      <c r="F513" s="2"/>
      <c r="G513" s="2"/>
      <c r="H513" s="2"/>
      <c r="I513" s="2"/>
      <c r="J513" s="2"/>
    </row>
    <row r="514" spans="1:10" ht="13" x14ac:dyDescent="0.15">
      <c r="A514" s="4"/>
      <c r="B514" s="2"/>
      <c r="C514" s="2"/>
      <c r="D514" s="2"/>
      <c r="E514" s="3"/>
      <c r="F514" s="2"/>
      <c r="G514" s="2"/>
      <c r="H514" s="2"/>
      <c r="I514" s="2"/>
      <c r="J514" s="2"/>
    </row>
    <row r="515" spans="1:10" ht="13" x14ac:dyDescent="0.15">
      <c r="A515" s="4"/>
      <c r="B515" s="2"/>
      <c r="C515" s="2"/>
      <c r="D515" s="2"/>
      <c r="E515" s="3"/>
      <c r="F515" s="2"/>
      <c r="G515" s="2"/>
      <c r="H515" s="2"/>
      <c r="I515" s="2"/>
      <c r="J515" s="2"/>
    </row>
    <row r="516" spans="1:10" ht="13" x14ac:dyDescent="0.15">
      <c r="A516" s="4"/>
      <c r="B516" s="2"/>
      <c r="C516" s="2"/>
      <c r="D516" s="2"/>
      <c r="E516" s="3"/>
      <c r="F516" s="2"/>
      <c r="G516" s="2"/>
      <c r="H516" s="2"/>
      <c r="I516" s="2"/>
      <c r="J516" s="2"/>
    </row>
    <row r="517" spans="1:10" ht="13" x14ac:dyDescent="0.15">
      <c r="A517" s="4"/>
      <c r="B517" s="2"/>
      <c r="C517" s="2"/>
      <c r="D517" s="2"/>
      <c r="E517" s="3"/>
      <c r="F517" s="2"/>
      <c r="G517" s="2"/>
      <c r="H517" s="2"/>
      <c r="I517" s="2"/>
      <c r="J517" s="2"/>
    </row>
    <row r="518" spans="1:10" ht="13" x14ac:dyDescent="0.15">
      <c r="A518" s="4"/>
      <c r="B518" s="2"/>
      <c r="C518" s="2"/>
      <c r="D518" s="2"/>
      <c r="E518" s="3"/>
      <c r="F518" s="2"/>
      <c r="G518" s="2"/>
      <c r="H518" s="2"/>
      <c r="I518" s="2"/>
      <c r="J518" s="2"/>
    </row>
    <row r="519" spans="1:10" ht="13" x14ac:dyDescent="0.15">
      <c r="A519" s="4"/>
      <c r="B519" s="2"/>
      <c r="C519" s="2"/>
      <c r="D519" s="2"/>
      <c r="E519" s="3"/>
      <c r="F519" s="2"/>
      <c r="G519" s="2"/>
      <c r="H519" s="2"/>
      <c r="I519" s="2"/>
      <c r="J519" s="2"/>
    </row>
    <row r="520" spans="1:10" ht="13" x14ac:dyDescent="0.15">
      <c r="A520" s="4"/>
      <c r="B520" s="2"/>
      <c r="C520" s="2"/>
      <c r="D520" s="2"/>
      <c r="E520" s="3"/>
      <c r="F520" s="2"/>
      <c r="G520" s="2"/>
      <c r="H520" s="2"/>
      <c r="I520" s="2"/>
      <c r="J520" s="2"/>
    </row>
    <row r="521" spans="1:10" ht="13" x14ac:dyDescent="0.15">
      <c r="A521" s="4"/>
      <c r="B521" s="2"/>
      <c r="C521" s="2"/>
      <c r="D521" s="2"/>
      <c r="E521" s="3"/>
      <c r="F521" s="2"/>
      <c r="G521" s="2"/>
      <c r="H521" s="2"/>
      <c r="I521" s="2"/>
      <c r="J521" s="2"/>
    </row>
    <row r="522" spans="1:10" ht="13" x14ac:dyDescent="0.15">
      <c r="A522" s="4"/>
      <c r="B522" s="2"/>
      <c r="C522" s="2"/>
      <c r="D522" s="2"/>
      <c r="E522" s="3"/>
      <c r="F522" s="2"/>
      <c r="G522" s="2"/>
      <c r="H522" s="2"/>
      <c r="I522" s="2"/>
      <c r="J522" s="2"/>
    </row>
    <row r="523" spans="1:10" ht="13" x14ac:dyDescent="0.15">
      <c r="A523" s="4"/>
      <c r="B523" s="2"/>
      <c r="C523" s="2"/>
      <c r="D523" s="2"/>
      <c r="E523" s="3"/>
      <c r="F523" s="2"/>
      <c r="G523" s="2"/>
      <c r="H523" s="2"/>
      <c r="I523" s="2"/>
      <c r="J523" s="2"/>
    </row>
    <row r="524" spans="1:10" ht="13" x14ac:dyDescent="0.15">
      <c r="A524" s="4"/>
      <c r="B524" s="2"/>
      <c r="C524" s="2"/>
      <c r="D524" s="2"/>
      <c r="E524" s="3"/>
      <c r="F524" s="2"/>
      <c r="G524" s="2"/>
      <c r="H524" s="2"/>
      <c r="I524" s="2"/>
      <c r="J524" s="2"/>
    </row>
    <row r="525" spans="1:10" ht="13" x14ac:dyDescent="0.15">
      <c r="A525" s="4"/>
      <c r="B525" s="2"/>
      <c r="C525" s="2"/>
      <c r="D525" s="2"/>
      <c r="E525" s="3"/>
      <c r="F525" s="2"/>
      <c r="G525" s="2"/>
      <c r="H525" s="2"/>
      <c r="I525" s="2"/>
      <c r="J525" s="2"/>
    </row>
    <row r="526" spans="1:10" ht="13" x14ac:dyDescent="0.15">
      <c r="A526" s="4"/>
      <c r="B526" s="2"/>
      <c r="C526" s="2"/>
      <c r="D526" s="2"/>
      <c r="E526" s="3"/>
      <c r="F526" s="2"/>
      <c r="G526" s="2"/>
      <c r="H526" s="2"/>
      <c r="I526" s="2"/>
      <c r="J526" s="2"/>
    </row>
    <row r="527" spans="1:10" ht="13" x14ac:dyDescent="0.15">
      <c r="A527" s="4"/>
      <c r="B527" s="2"/>
      <c r="C527" s="2"/>
      <c r="D527" s="2"/>
      <c r="E527" s="3"/>
      <c r="F527" s="2"/>
      <c r="G527" s="2"/>
      <c r="H527" s="2"/>
      <c r="I527" s="2"/>
      <c r="J527" s="2"/>
    </row>
    <row r="528" spans="1:10" ht="13" x14ac:dyDescent="0.15">
      <c r="A528" s="4"/>
      <c r="B528" s="2"/>
      <c r="C528" s="2"/>
      <c r="D528" s="2"/>
      <c r="E528" s="3"/>
      <c r="F528" s="2"/>
      <c r="G528" s="2"/>
      <c r="H528" s="2"/>
      <c r="I528" s="2"/>
      <c r="J528" s="2"/>
    </row>
    <row r="529" spans="1:10" ht="13" x14ac:dyDescent="0.15">
      <c r="A529" s="4"/>
      <c r="B529" s="2"/>
      <c r="C529" s="2"/>
      <c r="D529" s="2"/>
      <c r="E529" s="3"/>
      <c r="F529" s="2"/>
      <c r="G529" s="2"/>
      <c r="H529" s="2"/>
      <c r="I529" s="2"/>
      <c r="J529" s="2"/>
    </row>
    <row r="530" spans="1:10" ht="13" x14ac:dyDescent="0.15">
      <c r="A530" s="4"/>
      <c r="B530" s="2"/>
      <c r="C530" s="2"/>
      <c r="D530" s="2"/>
      <c r="E530" s="3"/>
      <c r="F530" s="2"/>
      <c r="G530" s="2"/>
      <c r="H530" s="2"/>
      <c r="I530" s="2"/>
      <c r="J530" s="2"/>
    </row>
    <row r="531" spans="1:10" ht="13" x14ac:dyDescent="0.15">
      <c r="A531" s="4"/>
      <c r="B531" s="2"/>
      <c r="C531" s="2"/>
      <c r="D531" s="2"/>
      <c r="E531" s="3"/>
      <c r="F531" s="2"/>
      <c r="G531" s="2"/>
      <c r="H531" s="2"/>
      <c r="I531" s="2"/>
      <c r="J531" s="2"/>
    </row>
    <row r="532" spans="1:10" ht="13" x14ac:dyDescent="0.15">
      <c r="A532" s="4"/>
      <c r="B532" s="2"/>
      <c r="C532" s="2"/>
      <c r="D532" s="2"/>
      <c r="E532" s="3"/>
      <c r="F532" s="2"/>
      <c r="G532" s="2"/>
      <c r="H532" s="2"/>
      <c r="I532" s="2"/>
      <c r="J532" s="2"/>
    </row>
    <row r="533" spans="1:10" ht="13" x14ac:dyDescent="0.15">
      <c r="A533" s="4"/>
      <c r="B533" s="2"/>
      <c r="C533" s="2"/>
      <c r="D533" s="2"/>
      <c r="E533" s="3"/>
      <c r="F533" s="2"/>
      <c r="G533" s="2"/>
      <c r="H533" s="2"/>
      <c r="I533" s="2"/>
      <c r="J533" s="2"/>
    </row>
    <row r="534" spans="1:10" ht="13" x14ac:dyDescent="0.15">
      <c r="A534" s="4"/>
      <c r="B534" s="2"/>
      <c r="C534" s="2"/>
      <c r="D534" s="2"/>
      <c r="E534" s="3"/>
      <c r="F534" s="2"/>
      <c r="G534" s="2"/>
      <c r="H534" s="2"/>
      <c r="I534" s="2"/>
      <c r="J534" s="2"/>
    </row>
    <row r="535" spans="1:10" ht="13" x14ac:dyDescent="0.15">
      <c r="A535" s="4"/>
      <c r="B535" s="2"/>
      <c r="C535" s="2"/>
      <c r="D535" s="2"/>
      <c r="E535" s="3"/>
      <c r="F535" s="2"/>
      <c r="G535" s="2"/>
      <c r="H535" s="2"/>
      <c r="I535" s="2"/>
      <c r="J535" s="2"/>
    </row>
    <row r="536" spans="1:10" ht="13" x14ac:dyDescent="0.15">
      <c r="A536" s="4"/>
      <c r="B536" s="2"/>
      <c r="C536" s="2"/>
      <c r="D536" s="2"/>
      <c r="E536" s="3"/>
      <c r="F536" s="2"/>
      <c r="G536" s="2"/>
      <c r="H536" s="2"/>
      <c r="I536" s="2"/>
      <c r="J536" s="2"/>
    </row>
    <row r="537" spans="1:10" ht="13" x14ac:dyDescent="0.15">
      <c r="A537" s="4"/>
      <c r="B537" s="2"/>
      <c r="C537" s="2"/>
      <c r="D537" s="2"/>
      <c r="E537" s="3"/>
      <c r="F537" s="2"/>
      <c r="G537" s="2"/>
      <c r="H537" s="2"/>
      <c r="I537" s="2"/>
      <c r="J537" s="2"/>
    </row>
    <row r="538" spans="1:10" ht="13" x14ac:dyDescent="0.15">
      <c r="A538" s="4"/>
      <c r="B538" s="2"/>
      <c r="C538" s="2"/>
      <c r="D538" s="2"/>
      <c r="E538" s="3"/>
      <c r="F538" s="2"/>
      <c r="G538" s="2"/>
      <c r="H538" s="2"/>
      <c r="I538" s="2"/>
      <c r="J538" s="2"/>
    </row>
    <row r="539" spans="1:10" ht="13" x14ac:dyDescent="0.15">
      <c r="A539" s="4"/>
      <c r="B539" s="2"/>
      <c r="C539" s="2"/>
      <c r="D539" s="2"/>
      <c r="E539" s="3"/>
      <c r="F539" s="2"/>
      <c r="G539" s="2"/>
      <c r="H539" s="2"/>
      <c r="I539" s="2"/>
      <c r="J539" s="2"/>
    </row>
    <row r="540" spans="1:10" ht="13" x14ac:dyDescent="0.15">
      <c r="A540" s="4"/>
      <c r="B540" s="2"/>
      <c r="C540" s="2"/>
      <c r="D540" s="2"/>
      <c r="E540" s="3"/>
      <c r="F540" s="2"/>
      <c r="G540" s="2"/>
      <c r="H540" s="2"/>
      <c r="I540" s="2"/>
      <c r="J540" s="2"/>
    </row>
    <row r="541" spans="1:10" ht="13" x14ac:dyDescent="0.15">
      <c r="A541" s="4"/>
      <c r="B541" s="2"/>
      <c r="C541" s="2"/>
      <c r="D541" s="2"/>
      <c r="E541" s="3"/>
      <c r="F541" s="2"/>
      <c r="G541" s="2"/>
      <c r="H541" s="2"/>
      <c r="I541" s="2"/>
      <c r="J541" s="2"/>
    </row>
    <row r="542" spans="1:10" ht="13" x14ac:dyDescent="0.15">
      <c r="A542" s="4"/>
      <c r="B542" s="2"/>
      <c r="C542" s="2"/>
      <c r="D542" s="2"/>
      <c r="E542" s="3"/>
      <c r="F542" s="2"/>
      <c r="G542" s="2"/>
      <c r="H542" s="2"/>
      <c r="I542" s="2"/>
      <c r="J542" s="2"/>
    </row>
    <row r="543" spans="1:10" ht="13" x14ac:dyDescent="0.15">
      <c r="A543" s="4"/>
      <c r="B543" s="2"/>
      <c r="C543" s="2"/>
      <c r="D543" s="2"/>
      <c r="E543" s="3"/>
      <c r="F543" s="2"/>
      <c r="G543" s="2"/>
      <c r="H543" s="2"/>
      <c r="I543" s="2"/>
      <c r="J543" s="2"/>
    </row>
    <row r="544" spans="1:10" ht="13" x14ac:dyDescent="0.15">
      <c r="A544" s="4"/>
      <c r="B544" s="2"/>
      <c r="C544" s="2"/>
      <c r="D544" s="2"/>
      <c r="E544" s="3"/>
      <c r="F544" s="2"/>
      <c r="G544" s="2"/>
      <c r="H544" s="2"/>
      <c r="I544" s="2"/>
      <c r="J544" s="2"/>
    </row>
    <row r="545" spans="1:10" ht="13" x14ac:dyDescent="0.15">
      <c r="A545" s="4"/>
      <c r="B545" s="2"/>
      <c r="C545" s="2"/>
      <c r="D545" s="2"/>
      <c r="E545" s="3"/>
      <c r="F545" s="2"/>
      <c r="G545" s="2"/>
      <c r="H545" s="2"/>
      <c r="I545" s="2"/>
      <c r="J545" s="2"/>
    </row>
    <row r="546" spans="1:10" ht="13" x14ac:dyDescent="0.15">
      <c r="A546" s="4"/>
      <c r="B546" s="2"/>
      <c r="C546" s="2"/>
      <c r="D546" s="2"/>
      <c r="E546" s="3"/>
      <c r="F546" s="2"/>
      <c r="G546" s="2"/>
      <c r="H546" s="2"/>
      <c r="I546" s="2"/>
      <c r="J546" s="2"/>
    </row>
    <row r="547" spans="1:10" ht="13" x14ac:dyDescent="0.15">
      <c r="A547" s="4"/>
      <c r="B547" s="2"/>
      <c r="C547" s="2"/>
      <c r="D547" s="2"/>
      <c r="E547" s="3"/>
      <c r="F547" s="2"/>
      <c r="G547" s="2"/>
      <c r="H547" s="2"/>
      <c r="I547" s="2"/>
      <c r="J547" s="2"/>
    </row>
    <row r="548" spans="1:10" ht="13" x14ac:dyDescent="0.15">
      <c r="A548" s="4"/>
      <c r="B548" s="2"/>
      <c r="C548" s="2"/>
      <c r="D548" s="2"/>
      <c r="E548" s="3"/>
      <c r="F548" s="2"/>
      <c r="G548" s="2"/>
      <c r="H548" s="2"/>
      <c r="I548" s="2"/>
      <c r="J548" s="2"/>
    </row>
    <row r="549" spans="1:10" ht="13" x14ac:dyDescent="0.15">
      <c r="A549" s="4"/>
      <c r="B549" s="2"/>
      <c r="C549" s="2"/>
      <c r="D549" s="2"/>
      <c r="E549" s="3"/>
      <c r="F549" s="2"/>
      <c r="G549" s="2"/>
      <c r="H549" s="2"/>
      <c r="I549" s="2"/>
      <c r="J549" s="2"/>
    </row>
    <row r="550" spans="1:10" ht="13" x14ac:dyDescent="0.15">
      <c r="A550" s="4"/>
      <c r="B550" s="2"/>
      <c r="C550" s="2"/>
      <c r="D550" s="2"/>
      <c r="E550" s="3"/>
      <c r="F550" s="2"/>
      <c r="G550" s="2"/>
      <c r="H550" s="2"/>
      <c r="I550" s="2"/>
      <c r="J550" s="2"/>
    </row>
    <row r="551" spans="1:10" ht="13" x14ac:dyDescent="0.15">
      <c r="A551" s="4"/>
      <c r="B551" s="2"/>
      <c r="C551" s="2"/>
      <c r="D551" s="2"/>
      <c r="E551" s="3"/>
      <c r="F551" s="2"/>
      <c r="G551" s="2"/>
      <c r="H551" s="2"/>
      <c r="I551" s="2"/>
      <c r="J551" s="2"/>
    </row>
    <row r="552" spans="1:10" ht="13" x14ac:dyDescent="0.15">
      <c r="A552" s="4"/>
      <c r="B552" s="2"/>
      <c r="C552" s="2"/>
      <c r="D552" s="2"/>
      <c r="E552" s="3"/>
      <c r="F552" s="2"/>
      <c r="G552" s="2"/>
      <c r="H552" s="2"/>
      <c r="I552" s="2"/>
      <c r="J552" s="2"/>
    </row>
    <row r="553" spans="1:10" ht="13" x14ac:dyDescent="0.15">
      <c r="A553" s="4"/>
      <c r="B553" s="2"/>
      <c r="C553" s="2"/>
      <c r="D553" s="2"/>
      <c r="E553" s="3"/>
      <c r="F553" s="2"/>
      <c r="G553" s="2"/>
      <c r="H553" s="2"/>
      <c r="I553" s="2"/>
      <c r="J553" s="2"/>
    </row>
    <row r="554" spans="1:10" ht="13" x14ac:dyDescent="0.15">
      <c r="A554" s="4"/>
      <c r="B554" s="2"/>
      <c r="C554" s="2"/>
      <c r="D554" s="2"/>
      <c r="E554" s="3"/>
      <c r="F554" s="2"/>
      <c r="G554" s="2"/>
      <c r="H554" s="2"/>
      <c r="I554" s="2"/>
      <c r="J554" s="2"/>
    </row>
    <row r="555" spans="1:10" ht="13" x14ac:dyDescent="0.15">
      <c r="A555" s="4"/>
      <c r="B555" s="2"/>
      <c r="C555" s="2"/>
      <c r="D555" s="2"/>
      <c r="E555" s="3"/>
      <c r="F555" s="2"/>
      <c r="G555" s="2"/>
      <c r="H555" s="2"/>
      <c r="I555" s="2"/>
      <c r="J555" s="2"/>
    </row>
    <row r="556" spans="1:10" ht="13" x14ac:dyDescent="0.15">
      <c r="A556" s="4"/>
      <c r="B556" s="2"/>
      <c r="C556" s="2"/>
      <c r="D556" s="2"/>
      <c r="E556" s="3"/>
      <c r="F556" s="2"/>
      <c r="G556" s="2"/>
      <c r="H556" s="2"/>
      <c r="I556" s="2"/>
      <c r="J556" s="2"/>
    </row>
    <row r="557" spans="1:10" ht="13" x14ac:dyDescent="0.15">
      <c r="A557" s="4"/>
      <c r="B557" s="2"/>
      <c r="C557" s="2"/>
      <c r="D557" s="2"/>
      <c r="E557" s="3"/>
      <c r="F557" s="2"/>
      <c r="G557" s="2"/>
      <c r="H557" s="2"/>
      <c r="I557" s="2"/>
      <c r="J557" s="2"/>
    </row>
    <row r="558" spans="1:10" ht="13" x14ac:dyDescent="0.15">
      <c r="A558" s="4"/>
      <c r="B558" s="2"/>
      <c r="C558" s="2"/>
      <c r="D558" s="2"/>
      <c r="E558" s="3"/>
      <c r="F558" s="2"/>
      <c r="G558" s="2"/>
      <c r="H558" s="2"/>
      <c r="I558" s="2"/>
      <c r="J558" s="2"/>
    </row>
    <row r="559" spans="1:10" ht="13" x14ac:dyDescent="0.15">
      <c r="A559" s="4"/>
      <c r="B559" s="2"/>
      <c r="C559" s="2"/>
      <c r="D559" s="2"/>
      <c r="E559" s="3"/>
      <c r="F559" s="2"/>
      <c r="G559" s="2"/>
      <c r="H559" s="2"/>
      <c r="I559" s="2"/>
      <c r="J559" s="2"/>
    </row>
    <row r="560" spans="1:10" ht="13" x14ac:dyDescent="0.15">
      <c r="A560" s="4"/>
      <c r="B560" s="2"/>
      <c r="C560" s="2"/>
      <c r="D560" s="2"/>
      <c r="E560" s="3"/>
      <c r="F560" s="2"/>
      <c r="G560" s="2"/>
      <c r="H560" s="2"/>
      <c r="I560" s="2"/>
      <c r="J560" s="2"/>
    </row>
    <row r="561" spans="1:10" ht="13" x14ac:dyDescent="0.15">
      <c r="A561" s="4"/>
      <c r="B561" s="2"/>
      <c r="C561" s="2"/>
      <c r="D561" s="2"/>
      <c r="E561" s="3"/>
      <c r="F561" s="2"/>
      <c r="G561" s="2"/>
      <c r="H561" s="2"/>
      <c r="I561" s="2"/>
      <c r="J561" s="2"/>
    </row>
    <row r="562" spans="1:10" ht="13" x14ac:dyDescent="0.15">
      <c r="A562" s="4"/>
      <c r="B562" s="2"/>
      <c r="C562" s="2"/>
      <c r="D562" s="2"/>
      <c r="E562" s="3"/>
      <c r="F562" s="2"/>
      <c r="G562" s="2"/>
      <c r="H562" s="2"/>
      <c r="I562" s="2"/>
      <c r="J562" s="2"/>
    </row>
    <row r="563" spans="1:10" ht="13" x14ac:dyDescent="0.15">
      <c r="A563" s="4"/>
      <c r="B563" s="2"/>
      <c r="C563" s="2"/>
      <c r="D563" s="2"/>
      <c r="E563" s="3"/>
      <c r="F563" s="2"/>
      <c r="G563" s="2"/>
      <c r="H563" s="2"/>
      <c r="I563" s="2"/>
      <c r="J563" s="2"/>
    </row>
    <row r="564" spans="1:10" ht="13" x14ac:dyDescent="0.15">
      <c r="A564" s="4"/>
      <c r="B564" s="2"/>
      <c r="C564" s="2"/>
      <c r="D564" s="2"/>
      <c r="E564" s="3"/>
      <c r="F564" s="2"/>
      <c r="G564" s="2"/>
      <c r="H564" s="2"/>
      <c r="I564" s="2"/>
      <c r="J564" s="2"/>
    </row>
    <row r="565" spans="1:10" ht="13" x14ac:dyDescent="0.15">
      <c r="A565" s="4"/>
      <c r="B565" s="2"/>
      <c r="C565" s="2"/>
      <c r="D565" s="2"/>
      <c r="E565" s="3"/>
      <c r="F565" s="2"/>
      <c r="G565" s="2"/>
      <c r="H565" s="2"/>
      <c r="I565" s="2"/>
      <c r="J565" s="2"/>
    </row>
    <row r="566" spans="1:10" ht="13" x14ac:dyDescent="0.15">
      <c r="A566" s="4"/>
      <c r="B566" s="2"/>
      <c r="C566" s="2"/>
      <c r="D566" s="2"/>
      <c r="E566" s="3"/>
      <c r="F566" s="2"/>
      <c r="G566" s="2"/>
      <c r="H566" s="2"/>
      <c r="I566" s="2"/>
      <c r="J566" s="2"/>
    </row>
    <row r="567" spans="1:10" ht="13" x14ac:dyDescent="0.15">
      <c r="A567" s="4"/>
      <c r="B567" s="2"/>
      <c r="C567" s="2"/>
      <c r="D567" s="2"/>
      <c r="E567" s="3"/>
      <c r="F567" s="2"/>
      <c r="G567" s="2"/>
      <c r="H567" s="2"/>
      <c r="I567" s="2"/>
      <c r="J567" s="2"/>
    </row>
    <row r="568" spans="1:10" ht="13" x14ac:dyDescent="0.15">
      <c r="A568" s="4"/>
      <c r="B568" s="2"/>
      <c r="C568" s="2"/>
      <c r="D568" s="2"/>
      <c r="E568" s="3"/>
      <c r="F568" s="2"/>
      <c r="G568" s="2"/>
      <c r="H568" s="2"/>
      <c r="I568" s="2"/>
      <c r="J568" s="2"/>
    </row>
    <row r="569" spans="1:10" ht="13" x14ac:dyDescent="0.15">
      <c r="A569" s="4"/>
      <c r="B569" s="2"/>
      <c r="C569" s="2"/>
      <c r="D569" s="2"/>
      <c r="E569" s="3"/>
      <c r="F569" s="2"/>
      <c r="G569" s="2"/>
      <c r="H569" s="2"/>
      <c r="I569" s="2"/>
      <c r="J569" s="2"/>
    </row>
    <row r="570" spans="1:10" ht="13" x14ac:dyDescent="0.15">
      <c r="A570" s="4"/>
      <c r="B570" s="2"/>
      <c r="C570" s="2"/>
      <c r="D570" s="2"/>
      <c r="E570" s="3"/>
      <c r="F570" s="2"/>
      <c r="G570" s="2"/>
      <c r="H570" s="2"/>
      <c r="I570" s="2"/>
      <c r="J570" s="2"/>
    </row>
    <row r="571" spans="1:10" ht="13" x14ac:dyDescent="0.15">
      <c r="A571" s="4"/>
      <c r="B571" s="2"/>
      <c r="C571" s="2"/>
      <c r="D571" s="2"/>
      <c r="E571" s="3"/>
      <c r="F571" s="2"/>
      <c r="G571" s="2"/>
      <c r="H571" s="2"/>
      <c r="I571" s="2"/>
      <c r="J571" s="2"/>
    </row>
    <row r="572" spans="1:10" ht="13" x14ac:dyDescent="0.15">
      <c r="A572" s="4"/>
      <c r="B572" s="2"/>
      <c r="C572" s="2"/>
      <c r="D572" s="2"/>
      <c r="E572" s="3"/>
      <c r="F572" s="2"/>
      <c r="G572" s="2"/>
      <c r="H572" s="2"/>
      <c r="I572" s="2"/>
      <c r="J572" s="2"/>
    </row>
    <row r="573" spans="1:10" ht="13" x14ac:dyDescent="0.15">
      <c r="A573" s="4"/>
      <c r="B573" s="2"/>
      <c r="C573" s="2"/>
      <c r="D573" s="2"/>
      <c r="E573" s="3"/>
      <c r="F573" s="2"/>
      <c r="G573" s="2"/>
      <c r="H573" s="2"/>
      <c r="I573" s="2"/>
      <c r="J573" s="2"/>
    </row>
    <row r="574" spans="1:10" ht="13" x14ac:dyDescent="0.15">
      <c r="A574" s="4"/>
      <c r="B574" s="2"/>
      <c r="C574" s="2"/>
      <c r="D574" s="2"/>
      <c r="E574" s="3"/>
      <c r="F574" s="2"/>
      <c r="G574" s="2"/>
      <c r="H574" s="2"/>
      <c r="I574" s="2"/>
      <c r="J574" s="2"/>
    </row>
    <row r="575" spans="1:10" ht="13" x14ac:dyDescent="0.15">
      <c r="A575" s="4"/>
      <c r="B575" s="2"/>
      <c r="C575" s="2"/>
      <c r="D575" s="2"/>
      <c r="E575" s="3"/>
      <c r="F575" s="2"/>
      <c r="G575" s="2"/>
      <c r="H575" s="2"/>
      <c r="I575" s="2"/>
      <c r="J575" s="2"/>
    </row>
    <row r="576" spans="1:10" ht="13" x14ac:dyDescent="0.15">
      <c r="A576" s="4"/>
      <c r="B576" s="2"/>
      <c r="C576" s="2"/>
      <c r="D576" s="2"/>
      <c r="E576" s="3"/>
      <c r="F576" s="2"/>
      <c r="G576" s="2"/>
      <c r="H576" s="2"/>
      <c r="I576" s="2"/>
      <c r="J576" s="2"/>
    </row>
    <row r="577" spans="1:10" ht="13" x14ac:dyDescent="0.15">
      <c r="A577" s="4"/>
      <c r="B577" s="2"/>
      <c r="C577" s="2"/>
      <c r="D577" s="2"/>
      <c r="E577" s="3"/>
      <c r="F577" s="2"/>
      <c r="G577" s="2"/>
      <c r="H577" s="2"/>
      <c r="I577" s="2"/>
      <c r="J577" s="2"/>
    </row>
    <row r="578" spans="1:10" ht="13" x14ac:dyDescent="0.15">
      <c r="A578" s="4"/>
      <c r="B578" s="2"/>
      <c r="C578" s="2"/>
      <c r="D578" s="2"/>
      <c r="E578" s="3"/>
      <c r="F578" s="2"/>
      <c r="G578" s="2"/>
      <c r="H578" s="2"/>
      <c r="I578" s="2"/>
      <c r="J578" s="2"/>
    </row>
    <row r="579" spans="1:10" ht="13" x14ac:dyDescent="0.15">
      <c r="A579" s="4"/>
      <c r="B579" s="2"/>
      <c r="C579" s="2"/>
      <c r="D579" s="2"/>
      <c r="E579" s="3"/>
      <c r="F579" s="2"/>
      <c r="G579" s="2"/>
      <c r="H579" s="2"/>
      <c r="I579" s="2"/>
      <c r="J579" s="2"/>
    </row>
    <row r="580" spans="1:10" ht="13" x14ac:dyDescent="0.15">
      <c r="A580" s="4"/>
      <c r="B580" s="2"/>
      <c r="C580" s="2"/>
      <c r="D580" s="2"/>
      <c r="E580" s="3"/>
      <c r="F580" s="2"/>
      <c r="G580" s="2"/>
      <c r="H580" s="2"/>
      <c r="I580" s="2"/>
      <c r="J580" s="2"/>
    </row>
    <row r="581" spans="1:10" ht="13" x14ac:dyDescent="0.15">
      <c r="A581" s="4"/>
      <c r="B581" s="2"/>
      <c r="C581" s="2"/>
      <c r="D581" s="2"/>
      <c r="E581" s="3"/>
      <c r="F581" s="2"/>
      <c r="G581" s="2"/>
      <c r="H581" s="2"/>
      <c r="I581" s="2"/>
      <c r="J581" s="2"/>
    </row>
    <row r="582" spans="1:10" ht="13" x14ac:dyDescent="0.15">
      <c r="A582" s="4"/>
      <c r="B582" s="2"/>
      <c r="C582" s="2"/>
      <c r="D582" s="2"/>
      <c r="E582" s="3"/>
      <c r="F582" s="2"/>
      <c r="G582" s="2"/>
      <c r="H582" s="2"/>
      <c r="I582" s="2"/>
      <c r="J582" s="2"/>
    </row>
    <row r="583" spans="1:10" ht="13" x14ac:dyDescent="0.15">
      <c r="A583" s="4"/>
      <c r="B583" s="2"/>
      <c r="C583" s="2"/>
      <c r="D583" s="2"/>
      <c r="E583" s="3"/>
      <c r="F583" s="2"/>
      <c r="G583" s="2"/>
      <c r="H583" s="2"/>
      <c r="I583" s="2"/>
      <c r="J583" s="2"/>
    </row>
    <row r="584" spans="1:10" ht="13" x14ac:dyDescent="0.15">
      <c r="A584" s="4"/>
      <c r="B584" s="2"/>
      <c r="C584" s="2"/>
      <c r="D584" s="2"/>
      <c r="E584" s="3"/>
      <c r="F584" s="2"/>
      <c r="G584" s="2"/>
      <c r="H584" s="2"/>
      <c r="I584" s="2"/>
      <c r="J584" s="2"/>
    </row>
    <row r="585" spans="1:10" ht="13" x14ac:dyDescent="0.15">
      <c r="A585" s="4"/>
      <c r="B585" s="2"/>
      <c r="C585" s="2"/>
      <c r="D585" s="2"/>
      <c r="E585" s="3"/>
      <c r="F585" s="2"/>
      <c r="G585" s="2"/>
      <c r="H585" s="2"/>
      <c r="I585" s="2"/>
      <c r="J585" s="2"/>
    </row>
    <row r="586" spans="1:10" ht="13" x14ac:dyDescent="0.15">
      <c r="A586" s="4"/>
      <c r="B586" s="2"/>
      <c r="C586" s="2"/>
      <c r="D586" s="2"/>
      <c r="E586" s="3"/>
      <c r="F586" s="2"/>
      <c r="G586" s="2"/>
      <c r="H586" s="2"/>
      <c r="I586" s="2"/>
      <c r="J586" s="2"/>
    </row>
    <row r="587" spans="1:10" ht="13" x14ac:dyDescent="0.15">
      <c r="A587" s="4"/>
      <c r="B587" s="2"/>
      <c r="C587" s="2"/>
      <c r="D587" s="2"/>
      <c r="E587" s="3"/>
      <c r="F587" s="2"/>
      <c r="G587" s="2"/>
      <c r="H587" s="2"/>
      <c r="I587" s="2"/>
      <c r="J587" s="2"/>
    </row>
    <row r="588" spans="1:10" ht="13" x14ac:dyDescent="0.15">
      <c r="A588" s="4"/>
      <c r="B588" s="2"/>
      <c r="C588" s="2"/>
      <c r="D588" s="2"/>
      <c r="E588" s="3"/>
      <c r="F588" s="2"/>
      <c r="G588" s="2"/>
      <c r="H588" s="2"/>
      <c r="I588" s="2"/>
      <c r="J588" s="2"/>
    </row>
    <row r="589" spans="1:10" ht="13" x14ac:dyDescent="0.15">
      <c r="A589" s="4"/>
      <c r="B589" s="2"/>
      <c r="C589" s="2"/>
      <c r="D589" s="2"/>
      <c r="E589" s="3"/>
      <c r="F589" s="2"/>
      <c r="G589" s="2"/>
      <c r="H589" s="2"/>
      <c r="I589" s="2"/>
      <c r="J589" s="2"/>
    </row>
    <row r="590" spans="1:10" ht="13" x14ac:dyDescent="0.15">
      <c r="A590" s="4"/>
      <c r="B590" s="2"/>
      <c r="C590" s="2"/>
      <c r="D590" s="2"/>
      <c r="E590" s="3"/>
      <c r="F590" s="2"/>
      <c r="G590" s="2"/>
      <c r="H590" s="2"/>
      <c r="I590" s="2"/>
      <c r="J590" s="2"/>
    </row>
    <row r="591" spans="1:10" ht="13" x14ac:dyDescent="0.15">
      <c r="A591" s="4"/>
      <c r="B591" s="2"/>
      <c r="C591" s="2"/>
      <c r="D591" s="2"/>
      <c r="E591" s="3"/>
      <c r="F591" s="2"/>
      <c r="G591" s="2"/>
      <c r="H591" s="2"/>
      <c r="I591" s="2"/>
      <c r="J591" s="2"/>
    </row>
    <row r="592" spans="1:10" ht="13" x14ac:dyDescent="0.15">
      <c r="A592" s="4"/>
      <c r="B592" s="2"/>
      <c r="C592" s="2"/>
      <c r="D592" s="2"/>
      <c r="E592" s="3"/>
      <c r="F592" s="2"/>
      <c r="G592" s="2"/>
      <c r="H592" s="2"/>
      <c r="I592" s="2"/>
      <c r="J592" s="2"/>
    </row>
    <row r="593" spans="1:10" ht="13" x14ac:dyDescent="0.15">
      <c r="A593" s="4"/>
      <c r="B593" s="2"/>
      <c r="C593" s="2"/>
      <c r="D593" s="2"/>
      <c r="E593" s="3"/>
      <c r="F593" s="2"/>
      <c r="G593" s="2"/>
      <c r="H593" s="2"/>
      <c r="I593" s="2"/>
      <c r="J593" s="2"/>
    </row>
    <row r="594" spans="1:10" ht="13" x14ac:dyDescent="0.15">
      <c r="A594" s="4"/>
      <c r="B594" s="2"/>
      <c r="C594" s="2"/>
      <c r="D594" s="2"/>
      <c r="E594" s="3"/>
      <c r="F594" s="2"/>
      <c r="G594" s="2"/>
      <c r="H594" s="2"/>
      <c r="I594" s="2"/>
      <c r="J594" s="2"/>
    </row>
    <row r="595" spans="1:10" ht="13" x14ac:dyDescent="0.15">
      <c r="A595" s="4"/>
      <c r="B595" s="2"/>
      <c r="C595" s="2"/>
      <c r="D595" s="2"/>
      <c r="E595" s="3"/>
      <c r="F595" s="2"/>
      <c r="G595" s="2"/>
      <c r="H595" s="2"/>
      <c r="I595" s="2"/>
      <c r="J595" s="2"/>
    </row>
    <row r="596" spans="1:10" ht="13" x14ac:dyDescent="0.15">
      <c r="A596" s="4"/>
      <c r="B596" s="2"/>
      <c r="C596" s="2"/>
      <c r="D596" s="2"/>
      <c r="E596" s="3"/>
      <c r="F596" s="2"/>
      <c r="G596" s="2"/>
      <c r="H596" s="2"/>
      <c r="I596" s="2"/>
      <c r="J596" s="2"/>
    </row>
    <row r="597" spans="1:10" ht="13" x14ac:dyDescent="0.15">
      <c r="A597" s="4"/>
      <c r="B597" s="2"/>
      <c r="C597" s="2"/>
      <c r="D597" s="2"/>
      <c r="E597" s="3"/>
      <c r="F597" s="2"/>
      <c r="G597" s="2"/>
      <c r="H597" s="2"/>
      <c r="I597" s="2"/>
      <c r="J597" s="2"/>
    </row>
    <row r="598" spans="1:10" ht="13" x14ac:dyDescent="0.15">
      <c r="A598" s="4"/>
      <c r="B598" s="2"/>
      <c r="C598" s="2"/>
      <c r="D598" s="2"/>
      <c r="E598" s="3"/>
      <c r="F598" s="2"/>
      <c r="G598" s="2"/>
      <c r="H598" s="2"/>
      <c r="I598" s="2"/>
      <c r="J598" s="2"/>
    </row>
    <row r="599" spans="1:10" ht="13" x14ac:dyDescent="0.15">
      <c r="A599" s="4"/>
      <c r="B599" s="2"/>
      <c r="C599" s="2"/>
      <c r="D599" s="2"/>
      <c r="E599" s="3"/>
      <c r="F599" s="2"/>
      <c r="G599" s="2"/>
      <c r="H599" s="2"/>
      <c r="I599" s="2"/>
      <c r="J599" s="2"/>
    </row>
    <row r="600" spans="1:10" ht="13" x14ac:dyDescent="0.15">
      <c r="A600" s="4"/>
      <c r="B600" s="2"/>
      <c r="C600" s="2"/>
      <c r="D600" s="2"/>
      <c r="E600" s="3"/>
      <c r="F600" s="2"/>
      <c r="G600" s="2"/>
      <c r="H600" s="2"/>
      <c r="I600" s="2"/>
      <c r="J600" s="2"/>
    </row>
    <row r="601" spans="1:10" ht="13" x14ac:dyDescent="0.15">
      <c r="A601" s="4"/>
      <c r="B601" s="2"/>
      <c r="C601" s="2"/>
      <c r="D601" s="2"/>
      <c r="E601" s="3"/>
      <c r="F601" s="2"/>
      <c r="G601" s="2"/>
      <c r="H601" s="2"/>
      <c r="I601" s="2"/>
      <c r="J601" s="2"/>
    </row>
    <row r="602" spans="1:10" ht="13" x14ac:dyDescent="0.15">
      <c r="A602" s="4"/>
      <c r="B602" s="2"/>
      <c r="C602" s="2"/>
      <c r="D602" s="2"/>
      <c r="E602" s="3"/>
      <c r="F602" s="2"/>
      <c r="G602" s="2"/>
      <c r="H602" s="2"/>
      <c r="I602" s="2"/>
      <c r="J602" s="2"/>
    </row>
    <row r="603" spans="1:10" ht="13" x14ac:dyDescent="0.15">
      <c r="A603" s="4"/>
      <c r="B603" s="2"/>
      <c r="C603" s="2"/>
      <c r="D603" s="2"/>
      <c r="E603" s="3"/>
      <c r="F603" s="2"/>
      <c r="G603" s="2"/>
      <c r="H603" s="2"/>
      <c r="I603" s="2"/>
      <c r="J603" s="2"/>
    </row>
    <row r="604" spans="1:10" ht="13" x14ac:dyDescent="0.15">
      <c r="A604" s="4"/>
      <c r="B604" s="2"/>
      <c r="C604" s="2"/>
      <c r="D604" s="2"/>
      <c r="E604" s="3"/>
      <c r="F604" s="2"/>
      <c r="G604" s="2"/>
      <c r="H604" s="2"/>
      <c r="I604" s="2"/>
      <c r="J604" s="2"/>
    </row>
    <row r="605" spans="1:10" ht="13" x14ac:dyDescent="0.15">
      <c r="A605" s="4"/>
      <c r="B605" s="2"/>
      <c r="C605" s="2"/>
      <c r="D605" s="2"/>
      <c r="E605" s="3"/>
      <c r="F605" s="2"/>
      <c r="G605" s="2"/>
      <c r="H605" s="2"/>
      <c r="I605" s="2"/>
      <c r="J605" s="2"/>
    </row>
    <row r="606" spans="1:10" ht="13" x14ac:dyDescent="0.15">
      <c r="A606" s="4"/>
      <c r="B606" s="2"/>
      <c r="C606" s="2"/>
      <c r="D606" s="2"/>
      <c r="E606" s="3"/>
      <c r="F606" s="2"/>
      <c r="G606" s="2"/>
      <c r="H606" s="2"/>
      <c r="I606" s="2"/>
      <c r="J606" s="2"/>
    </row>
    <row r="607" spans="1:10" ht="13" x14ac:dyDescent="0.15">
      <c r="A607" s="4"/>
      <c r="B607" s="2"/>
      <c r="C607" s="2"/>
      <c r="D607" s="2"/>
      <c r="E607" s="3"/>
      <c r="F607" s="2"/>
      <c r="G607" s="2"/>
      <c r="H607" s="2"/>
      <c r="I607" s="2"/>
      <c r="J607" s="2"/>
    </row>
    <row r="608" spans="1:10" ht="13" x14ac:dyDescent="0.15">
      <c r="A608" s="4"/>
      <c r="B608" s="2"/>
      <c r="C608" s="2"/>
      <c r="D608" s="2"/>
      <c r="E608" s="3"/>
      <c r="F608" s="2"/>
      <c r="G608" s="2"/>
      <c r="H608" s="2"/>
      <c r="I608" s="2"/>
      <c r="J608" s="2"/>
    </row>
    <row r="609" spans="1:10" ht="13" x14ac:dyDescent="0.15">
      <c r="A609" s="4"/>
      <c r="B609" s="2"/>
      <c r="C609" s="2"/>
      <c r="D609" s="2"/>
      <c r="E609" s="3"/>
      <c r="F609" s="2"/>
      <c r="G609" s="2"/>
      <c r="H609" s="2"/>
      <c r="I609" s="2"/>
      <c r="J609" s="2"/>
    </row>
    <row r="610" spans="1:10" ht="13" x14ac:dyDescent="0.15">
      <c r="A610" s="4"/>
      <c r="B610" s="2"/>
      <c r="C610" s="2"/>
      <c r="D610" s="2"/>
      <c r="E610" s="3"/>
      <c r="F610" s="2"/>
      <c r="G610" s="2"/>
      <c r="H610" s="2"/>
      <c r="I610" s="2"/>
      <c r="J610" s="2"/>
    </row>
    <row r="611" spans="1:10" ht="13" x14ac:dyDescent="0.15">
      <c r="A611" s="4"/>
      <c r="B611" s="2"/>
      <c r="C611" s="2"/>
      <c r="D611" s="2"/>
      <c r="E611" s="3"/>
      <c r="F611" s="2"/>
      <c r="G611" s="2"/>
      <c r="H611" s="2"/>
      <c r="I611" s="2"/>
      <c r="J611" s="2"/>
    </row>
    <row r="612" spans="1:10" ht="13" x14ac:dyDescent="0.15">
      <c r="A612" s="4"/>
      <c r="B612" s="2"/>
      <c r="C612" s="2"/>
      <c r="D612" s="2"/>
      <c r="E612" s="3"/>
      <c r="F612" s="2"/>
      <c r="G612" s="2"/>
      <c r="H612" s="2"/>
      <c r="I612" s="2"/>
      <c r="J612" s="2"/>
    </row>
    <row r="613" spans="1:10" ht="13" x14ac:dyDescent="0.15">
      <c r="A613" s="4"/>
      <c r="B613" s="2"/>
      <c r="C613" s="2"/>
      <c r="D613" s="2"/>
      <c r="E613" s="3"/>
      <c r="F613" s="2"/>
      <c r="G613" s="2"/>
      <c r="H613" s="2"/>
      <c r="I613" s="2"/>
      <c r="J613" s="2"/>
    </row>
    <row r="614" spans="1:10" ht="13" x14ac:dyDescent="0.15">
      <c r="A614" s="4"/>
      <c r="B614" s="2"/>
      <c r="C614" s="2"/>
      <c r="D614" s="2"/>
      <c r="E614" s="3"/>
      <c r="F614" s="2"/>
      <c r="G614" s="2"/>
      <c r="H614" s="2"/>
      <c r="I614" s="2"/>
      <c r="J614" s="2"/>
    </row>
    <row r="615" spans="1:10" ht="13" x14ac:dyDescent="0.15">
      <c r="A615" s="4"/>
      <c r="B615" s="2"/>
      <c r="C615" s="2"/>
      <c r="D615" s="2"/>
      <c r="E615" s="3"/>
      <c r="F615" s="2"/>
      <c r="G615" s="2"/>
      <c r="H615" s="2"/>
      <c r="I615" s="2"/>
      <c r="J615" s="2"/>
    </row>
    <row r="616" spans="1:10" ht="13" x14ac:dyDescent="0.15">
      <c r="A616" s="4"/>
      <c r="B616" s="2"/>
      <c r="C616" s="2"/>
      <c r="D616" s="2"/>
      <c r="E616" s="3"/>
      <c r="F616" s="2"/>
      <c r="G616" s="2"/>
      <c r="H616" s="2"/>
      <c r="I616" s="2"/>
      <c r="J616" s="2"/>
    </row>
    <row r="617" spans="1:10" ht="13" x14ac:dyDescent="0.15">
      <c r="A617" s="4"/>
      <c r="B617" s="2"/>
      <c r="C617" s="2"/>
      <c r="D617" s="2"/>
      <c r="E617" s="3"/>
      <c r="F617" s="2"/>
      <c r="G617" s="2"/>
      <c r="H617" s="2"/>
      <c r="I617" s="2"/>
      <c r="J617" s="2"/>
    </row>
    <row r="618" spans="1:10" ht="13" x14ac:dyDescent="0.15">
      <c r="A618" s="4"/>
      <c r="B618" s="2"/>
      <c r="C618" s="2"/>
      <c r="D618" s="2"/>
      <c r="E618" s="3"/>
      <c r="F618" s="2"/>
      <c r="G618" s="2"/>
      <c r="H618" s="2"/>
      <c r="I618" s="2"/>
      <c r="J618" s="2"/>
    </row>
    <row r="619" spans="1:10" ht="13" x14ac:dyDescent="0.15">
      <c r="A619" s="4"/>
      <c r="B619" s="2"/>
      <c r="C619" s="2"/>
      <c r="D619" s="2"/>
      <c r="E619" s="3"/>
      <c r="F619" s="2"/>
      <c r="G619" s="2"/>
      <c r="H619" s="2"/>
      <c r="I619" s="2"/>
      <c r="J619" s="2"/>
    </row>
    <row r="620" spans="1:10" ht="13" x14ac:dyDescent="0.15">
      <c r="A620" s="4"/>
      <c r="B620" s="2"/>
      <c r="C620" s="2"/>
      <c r="D620" s="2"/>
      <c r="E620" s="3"/>
      <c r="F620" s="2"/>
      <c r="G620" s="2"/>
      <c r="H620" s="2"/>
      <c r="I620" s="2"/>
      <c r="J620" s="2"/>
    </row>
    <row r="621" spans="1:10" ht="13" x14ac:dyDescent="0.15">
      <c r="A621" s="4"/>
      <c r="B621" s="2"/>
      <c r="C621" s="2"/>
      <c r="D621" s="2"/>
      <c r="E621" s="3"/>
      <c r="F621" s="2"/>
      <c r="G621" s="2"/>
      <c r="H621" s="2"/>
      <c r="I621" s="2"/>
      <c r="J621" s="2"/>
    </row>
    <row r="622" spans="1:10" ht="13" x14ac:dyDescent="0.15">
      <c r="A622" s="4"/>
      <c r="B622" s="2"/>
      <c r="C622" s="2"/>
      <c r="D622" s="2"/>
      <c r="E622" s="3"/>
      <c r="F622" s="2"/>
      <c r="G622" s="2"/>
      <c r="H622" s="2"/>
      <c r="I622" s="2"/>
      <c r="J622" s="2"/>
    </row>
    <row r="623" spans="1:10" ht="13" x14ac:dyDescent="0.15">
      <c r="A623" s="4"/>
      <c r="B623" s="2"/>
      <c r="C623" s="2"/>
      <c r="D623" s="2"/>
      <c r="E623" s="3"/>
      <c r="F623" s="2"/>
      <c r="G623" s="2"/>
      <c r="H623" s="2"/>
      <c r="I623" s="2"/>
      <c r="J623" s="2"/>
    </row>
    <row r="624" spans="1:10" ht="13" x14ac:dyDescent="0.15">
      <c r="A624" s="4"/>
      <c r="B624" s="2"/>
      <c r="C624" s="2"/>
      <c r="D624" s="2"/>
      <c r="E624" s="3"/>
      <c r="F624" s="2"/>
      <c r="G624" s="2"/>
      <c r="H624" s="2"/>
      <c r="I624" s="2"/>
      <c r="J624" s="2"/>
    </row>
    <row r="625" spans="1:10" ht="13" x14ac:dyDescent="0.15">
      <c r="A625" s="4"/>
      <c r="B625" s="2"/>
      <c r="C625" s="2"/>
      <c r="D625" s="2"/>
      <c r="E625" s="3"/>
      <c r="F625" s="2"/>
      <c r="G625" s="2"/>
      <c r="H625" s="2"/>
      <c r="I625" s="2"/>
      <c r="J625" s="2"/>
    </row>
    <row r="626" spans="1:10" ht="13" x14ac:dyDescent="0.15">
      <c r="A626" s="4"/>
      <c r="B626" s="2"/>
      <c r="C626" s="2"/>
      <c r="D626" s="2"/>
      <c r="E626" s="3"/>
      <c r="F626" s="2"/>
      <c r="G626" s="2"/>
      <c r="H626" s="2"/>
      <c r="I626" s="2"/>
      <c r="J626" s="2"/>
    </row>
    <row r="627" spans="1:10" ht="13" x14ac:dyDescent="0.15">
      <c r="A627" s="4"/>
      <c r="B627" s="2"/>
      <c r="C627" s="2"/>
      <c r="D627" s="2"/>
      <c r="E627" s="3"/>
      <c r="F627" s="2"/>
      <c r="G627" s="2"/>
      <c r="H627" s="2"/>
      <c r="I627" s="2"/>
      <c r="J627" s="2"/>
    </row>
    <row r="628" spans="1:10" ht="13" x14ac:dyDescent="0.15">
      <c r="A628" s="4"/>
      <c r="B628" s="2"/>
      <c r="C628" s="2"/>
      <c r="D628" s="2"/>
      <c r="E628" s="3"/>
      <c r="F628" s="2"/>
      <c r="G628" s="2"/>
      <c r="H628" s="2"/>
      <c r="I628" s="2"/>
      <c r="J628" s="2"/>
    </row>
    <row r="629" spans="1:10" ht="13" x14ac:dyDescent="0.15">
      <c r="A629" s="4"/>
      <c r="B629" s="2"/>
      <c r="C629" s="2"/>
      <c r="D629" s="2"/>
      <c r="E629" s="3"/>
      <c r="F629" s="2"/>
      <c r="G629" s="2"/>
      <c r="H629" s="2"/>
      <c r="I629" s="2"/>
      <c r="J629" s="2"/>
    </row>
    <row r="630" spans="1:10" ht="13" x14ac:dyDescent="0.15">
      <c r="A630" s="4"/>
      <c r="B630" s="2"/>
      <c r="C630" s="2"/>
      <c r="D630" s="2"/>
      <c r="E630" s="3"/>
      <c r="F630" s="2"/>
      <c r="G630" s="2"/>
      <c r="H630" s="2"/>
      <c r="I630" s="2"/>
      <c r="J630" s="2"/>
    </row>
    <row r="631" spans="1:10" ht="13" x14ac:dyDescent="0.15">
      <c r="A631" s="4"/>
      <c r="B631" s="2"/>
      <c r="C631" s="2"/>
      <c r="D631" s="2"/>
      <c r="E631" s="3"/>
      <c r="F631" s="2"/>
      <c r="G631" s="2"/>
      <c r="H631" s="2"/>
      <c r="I631" s="2"/>
      <c r="J631" s="2"/>
    </row>
    <row r="632" spans="1:10" ht="13" x14ac:dyDescent="0.15">
      <c r="A632" s="4"/>
      <c r="B632" s="2"/>
      <c r="C632" s="2"/>
      <c r="D632" s="2"/>
      <c r="E632" s="3"/>
      <c r="F632" s="2"/>
      <c r="G632" s="2"/>
      <c r="H632" s="2"/>
      <c r="I632" s="2"/>
      <c r="J632" s="2"/>
    </row>
    <row r="633" spans="1:10" ht="13" x14ac:dyDescent="0.15">
      <c r="A633" s="4"/>
      <c r="B633" s="2"/>
      <c r="C633" s="2"/>
      <c r="D633" s="2"/>
      <c r="E633" s="3"/>
      <c r="F633" s="2"/>
      <c r="G633" s="2"/>
      <c r="H633" s="2"/>
      <c r="I633" s="2"/>
      <c r="J633" s="2"/>
    </row>
    <row r="634" spans="1:10" ht="13" x14ac:dyDescent="0.15">
      <c r="A634" s="4"/>
      <c r="B634" s="2"/>
      <c r="C634" s="2"/>
      <c r="D634" s="2"/>
      <c r="E634" s="3"/>
      <c r="F634" s="2"/>
      <c r="G634" s="2"/>
      <c r="H634" s="2"/>
      <c r="I634" s="2"/>
      <c r="J634" s="2"/>
    </row>
    <row r="635" spans="1:10" ht="13" x14ac:dyDescent="0.15">
      <c r="A635" s="4"/>
      <c r="B635" s="2"/>
      <c r="C635" s="2"/>
      <c r="D635" s="2"/>
      <c r="E635" s="3"/>
      <c r="F635" s="2"/>
      <c r="G635" s="2"/>
      <c r="H635" s="2"/>
      <c r="I635" s="2"/>
      <c r="J635" s="2"/>
    </row>
    <row r="636" spans="1:10" ht="13" x14ac:dyDescent="0.15">
      <c r="A636" s="4"/>
      <c r="B636" s="2"/>
      <c r="C636" s="2"/>
      <c r="D636" s="2"/>
      <c r="E636" s="3"/>
      <c r="F636" s="2"/>
      <c r="G636" s="2"/>
      <c r="H636" s="2"/>
      <c r="I636" s="2"/>
      <c r="J636" s="2"/>
    </row>
    <row r="637" spans="1:10" ht="13" x14ac:dyDescent="0.15">
      <c r="A637" s="4"/>
      <c r="B637" s="2"/>
      <c r="C637" s="2"/>
      <c r="D637" s="2"/>
      <c r="E637" s="3"/>
      <c r="F637" s="2"/>
      <c r="G637" s="2"/>
      <c r="H637" s="2"/>
      <c r="I637" s="2"/>
      <c r="J637" s="2"/>
    </row>
    <row r="638" spans="1:10" ht="13" x14ac:dyDescent="0.15">
      <c r="A638" s="4"/>
      <c r="B638" s="2"/>
      <c r="C638" s="2"/>
      <c r="D638" s="2"/>
      <c r="E638" s="3"/>
      <c r="F638" s="2"/>
      <c r="G638" s="2"/>
      <c r="H638" s="2"/>
      <c r="I638" s="2"/>
      <c r="J638" s="2"/>
    </row>
    <row r="639" spans="1:10" ht="13" x14ac:dyDescent="0.15">
      <c r="A639" s="4"/>
      <c r="B639" s="2"/>
      <c r="C639" s="2"/>
      <c r="D639" s="2"/>
      <c r="E639" s="3"/>
      <c r="F639" s="2"/>
      <c r="G639" s="2"/>
      <c r="H639" s="2"/>
      <c r="I639" s="2"/>
      <c r="J639" s="2"/>
    </row>
    <row r="640" spans="1:10" ht="13" x14ac:dyDescent="0.15">
      <c r="A640" s="4"/>
      <c r="B640" s="2"/>
      <c r="C640" s="2"/>
      <c r="D640" s="2"/>
      <c r="E640" s="3"/>
      <c r="F640" s="2"/>
      <c r="G640" s="2"/>
      <c r="H640" s="2"/>
      <c r="I640" s="2"/>
      <c r="J640" s="2"/>
    </row>
    <row r="641" spans="1:10" ht="13" x14ac:dyDescent="0.15">
      <c r="A641" s="4"/>
      <c r="B641" s="2"/>
      <c r="C641" s="2"/>
      <c r="D641" s="2"/>
      <c r="E641" s="3"/>
      <c r="F641" s="2"/>
      <c r="G641" s="2"/>
      <c r="H641" s="2"/>
      <c r="I641" s="2"/>
      <c r="J641" s="2"/>
    </row>
    <row r="642" spans="1:10" ht="13" x14ac:dyDescent="0.15">
      <c r="A642" s="4"/>
      <c r="B642" s="2"/>
      <c r="C642" s="2"/>
      <c r="D642" s="2"/>
      <c r="E642" s="3"/>
      <c r="F642" s="2"/>
      <c r="G642" s="2"/>
      <c r="H642" s="2"/>
      <c r="I642" s="2"/>
      <c r="J642" s="2"/>
    </row>
    <row r="643" spans="1:10" ht="13" x14ac:dyDescent="0.15">
      <c r="A643" s="4"/>
      <c r="B643" s="2"/>
      <c r="C643" s="2"/>
      <c r="D643" s="2"/>
      <c r="E643" s="3"/>
      <c r="F643" s="2"/>
      <c r="G643" s="2"/>
      <c r="H643" s="2"/>
      <c r="I643" s="2"/>
      <c r="J643" s="2"/>
    </row>
    <row r="644" spans="1:10" ht="13" x14ac:dyDescent="0.15">
      <c r="A644" s="4"/>
      <c r="B644" s="2"/>
      <c r="C644" s="2"/>
      <c r="D644" s="2"/>
      <c r="E644" s="3"/>
      <c r="F644" s="2"/>
      <c r="G644" s="2"/>
      <c r="H644" s="2"/>
      <c r="I644" s="2"/>
      <c r="J644" s="2"/>
    </row>
    <row r="645" spans="1:10" ht="13" x14ac:dyDescent="0.15">
      <c r="A645" s="4"/>
      <c r="B645" s="2"/>
      <c r="C645" s="2"/>
      <c r="D645" s="2"/>
      <c r="E645" s="3"/>
      <c r="F645" s="2"/>
      <c r="G645" s="2"/>
      <c r="H645" s="2"/>
      <c r="I645" s="2"/>
      <c r="J645" s="2"/>
    </row>
    <row r="646" spans="1:10" ht="13" x14ac:dyDescent="0.15">
      <c r="A646" s="4"/>
      <c r="B646" s="2"/>
      <c r="C646" s="2"/>
      <c r="D646" s="2"/>
      <c r="E646" s="3"/>
      <c r="F646" s="2"/>
      <c r="G646" s="2"/>
      <c r="H646" s="2"/>
      <c r="I646" s="2"/>
      <c r="J646" s="2"/>
    </row>
    <row r="647" spans="1:10" ht="13" x14ac:dyDescent="0.15">
      <c r="A647" s="4"/>
      <c r="B647" s="2"/>
      <c r="C647" s="2"/>
      <c r="D647" s="2"/>
      <c r="E647" s="3"/>
      <c r="F647" s="2"/>
      <c r="G647" s="2"/>
      <c r="H647" s="2"/>
      <c r="I647" s="2"/>
      <c r="J647" s="2"/>
    </row>
    <row r="648" spans="1:10" ht="13" x14ac:dyDescent="0.15">
      <c r="A648" s="4"/>
      <c r="B648" s="2"/>
      <c r="C648" s="2"/>
      <c r="D648" s="2"/>
      <c r="E648" s="3"/>
      <c r="F648" s="2"/>
      <c r="G648" s="2"/>
      <c r="H648" s="2"/>
      <c r="I648" s="2"/>
      <c r="J648" s="2"/>
    </row>
    <row r="649" spans="1:10" ht="13" x14ac:dyDescent="0.15">
      <c r="A649" s="4"/>
      <c r="B649" s="2"/>
      <c r="C649" s="2"/>
      <c r="D649" s="2"/>
      <c r="E649" s="3"/>
      <c r="F649" s="2"/>
      <c r="G649" s="2"/>
      <c r="H649" s="2"/>
      <c r="I649" s="2"/>
      <c r="J649" s="2"/>
    </row>
    <row r="650" spans="1:10" ht="13" x14ac:dyDescent="0.15">
      <c r="A650" s="4"/>
      <c r="B650" s="2"/>
      <c r="C650" s="2"/>
      <c r="D650" s="2"/>
      <c r="E650" s="3"/>
      <c r="F650" s="2"/>
      <c r="G650" s="2"/>
      <c r="H650" s="2"/>
      <c r="I650" s="2"/>
      <c r="J650" s="2"/>
    </row>
    <row r="651" spans="1:10" ht="13" x14ac:dyDescent="0.15">
      <c r="A651" s="4"/>
      <c r="B651" s="2"/>
      <c r="C651" s="2"/>
      <c r="D651" s="2"/>
      <c r="E651" s="3"/>
      <c r="F651" s="2"/>
      <c r="G651" s="2"/>
      <c r="H651" s="2"/>
      <c r="I651" s="2"/>
      <c r="J651" s="2"/>
    </row>
    <row r="652" spans="1:10" ht="13" x14ac:dyDescent="0.15">
      <c r="A652" s="4"/>
      <c r="B652" s="2"/>
      <c r="C652" s="2"/>
      <c r="D652" s="2"/>
      <c r="E652" s="3"/>
      <c r="F652" s="2"/>
      <c r="G652" s="2"/>
      <c r="H652" s="2"/>
      <c r="I652" s="2"/>
      <c r="J652" s="2"/>
    </row>
    <row r="653" spans="1:10" ht="13" x14ac:dyDescent="0.15">
      <c r="A653" s="4"/>
      <c r="B653" s="2"/>
      <c r="C653" s="2"/>
      <c r="D653" s="2"/>
      <c r="E653" s="3"/>
      <c r="F653" s="2"/>
      <c r="G653" s="2"/>
      <c r="H653" s="2"/>
      <c r="I653" s="2"/>
      <c r="J653" s="2"/>
    </row>
    <row r="654" spans="1:10" ht="13" x14ac:dyDescent="0.15">
      <c r="A654" s="4"/>
      <c r="B654" s="2"/>
      <c r="C654" s="2"/>
      <c r="D654" s="2"/>
      <c r="E654" s="3"/>
      <c r="F654" s="2"/>
      <c r="G654" s="2"/>
      <c r="H654" s="2"/>
      <c r="I654" s="2"/>
      <c r="J654" s="2"/>
    </row>
    <row r="655" spans="1:10" ht="13" x14ac:dyDescent="0.15">
      <c r="A655" s="4"/>
      <c r="B655" s="2"/>
      <c r="C655" s="2"/>
      <c r="D655" s="2"/>
      <c r="E655" s="3"/>
      <c r="F655" s="2"/>
      <c r="G655" s="2"/>
      <c r="H655" s="2"/>
      <c r="I655" s="2"/>
      <c r="J655" s="2"/>
    </row>
    <row r="656" spans="1:10" ht="13" x14ac:dyDescent="0.15">
      <c r="A656" s="4"/>
      <c r="B656" s="2"/>
      <c r="C656" s="2"/>
      <c r="D656" s="2"/>
      <c r="E656" s="3"/>
      <c r="F656" s="2"/>
      <c r="G656" s="2"/>
      <c r="H656" s="2"/>
      <c r="I656" s="2"/>
      <c r="J656" s="2"/>
    </row>
    <row r="657" spans="1:10" ht="13" x14ac:dyDescent="0.15">
      <c r="A657" s="4"/>
      <c r="B657" s="2"/>
      <c r="C657" s="2"/>
      <c r="D657" s="2"/>
      <c r="E657" s="3"/>
      <c r="F657" s="2"/>
      <c r="G657" s="2"/>
      <c r="H657" s="2"/>
      <c r="I657" s="2"/>
      <c r="J657" s="2"/>
    </row>
    <row r="658" spans="1:10" ht="13" x14ac:dyDescent="0.15">
      <c r="A658" s="4"/>
      <c r="B658" s="2"/>
      <c r="C658" s="2"/>
      <c r="D658" s="2"/>
      <c r="E658" s="3"/>
      <c r="F658" s="2"/>
      <c r="G658" s="2"/>
      <c r="H658" s="2"/>
      <c r="I658" s="2"/>
      <c r="J658" s="2"/>
    </row>
    <row r="659" spans="1:10" ht="13" x14ac:dyDescent="0.15">
      <c r="A659" s="4"/>
      <c r="B659" s="2"/>
      <c r="C659" s="2"/>
      <c r="D659" s="2"/>
      <c r="E659" s="3"/>
      <c r="F659" s="2"/>
      <c r="G659" s="2"/>
      <c r="H659" s="2"/>
      <c r="I659" s="2"/>
      <c r="J659" s="2"/>
    </row>
    <row r="660" spans="1:10" ht="13" x14ac:dyDescent="0.15">
      <c r="A660" s="4"/>
      <c r="B660" s="2"/>
      <c r="C660" s="2"/>
      <c r="D660" s="2"/>
      <c r="E660" s="3"/>
      <c r="F660" s="2"/>
      <c r="G660" s="2"/>
      <c r="H660" s="2"/>
      <c r="I660" s="2"/>
      <c r="J660" s="2"/>
    </row>
    <row r="661" spans="1:10" ht="13" x14ac:dyDescent="0.15">
      <c r="A661" s="4"/>
      <c r="B661" s="2"/>
      <c r="C661" s="2"/>
      <c r="D661" s="2"/>
      <c r="E661" s="3"/>
      <c r="F661" s="2"/>
      <c r="G661" s="2"/>
      <c r="H661" s="2"/>
      <c r="I661" s="2"/>
      <c r="J661" s="2"/>
    </row>
    <row r="662" spans="1:10" ht="13" x14ac:dyDescent="0.15">
      <c r="A662" s="4"/>
      <c r="B662" s="2"/>
      <c r="C662" s="2"/>
      <c r="D662" s="2"/>
      <c r="E662" s="3"/>
      <c r="F662" s="2"/>
      <c r="G662" s="2"/>
      <c r="H662" s="2"/>
      <c r="I662" s="2"/>
      <c r="J662" s="2"/>
    </row>
    <row r="663" spans="1:10" ht="13" x14ac:dyDescent="0.15">
      <c r="A663" s="4"/>
      <c r="B663" s="2"/>
      <c r="C663" s="2"/>
      <c r="D663" s="2"/>
      <c r="E663" s="3"/>
      <c r="F663" s="2"/>
      <c r="G663" s="2"/>
      <c r="H663" s="2"/>
      <c r="I663" s="2"/>
      <c r="J663" s="2"/>
    </row>
    <row r="664" spans="1:10" ht="13" x14ac:dyDescent="0.15">
      <c r="A664" s="4"/>
      <c r="B664" s="2"/>
      <c r="C664" s="2"/>
      <c r="D664" s="2"/>
      <c r="E664" s="3"/>
      <c r="F664" s="2"/>
      <c r="G664" s="2"/>
      <c r="H664" s="2"/>
      <c r="I664" s="2"/>
      <c r="J664" s="2"/>
    </row>
    <row r="665" spans="1:10" ht="13" x14ac:dyDescent="0.15">
      <c r="A665" s="4"/>
      <c r="B665" s="2"/>
      <c r="C665" s="2"/>
      <c r="D665" s="2"/>
      <c r="E665" s="3"/>
      <c r="F665" s="2"/>
      <c r="G665" s="2"/>
      <c r="H665" s="2"/>
      <c r="I665" s="2"/>
      <c r="J665" s="2"/>
    </row>
    <row r="666" spans="1:10" ht="13" x14ac:dyDescent="0.15">
      <c r="A666" s="4"/>
      <c r="B666" s="2"/>
      <c r="C666" s="2"/>
      <c r="D666" s="2"/>
      <c r="E666" s="3"/>
      <c r="F666" s="2"/>
      <c r="G666" s="2"/>
      <c r="H666" s="2"/>
      <c r="I666" s="2"/>
      <c r="J666" s="2"/>
    </row>
    <row r="667" spans="1:10" ht="13" x14ac:dyDescent="0.15">
      <c r="A667" s="4"/>
      <c r="B667" s="2"/>
      <c r="C667" s="2"/>
      <c r="D667" s="2"/>
      <c r="E667" s="3"/>
      <c r="F667" s="2"/>
      <c r="G667" s="2"/>
      <c r="H667" s="2"/>
      <c r="I667" s="2"/>
      <c r="J667" s="2"/>
    </row>
    <row r="668" spans="1:10" ht="13" x14ac:dyDescent="0.15">
      <c r="A668" s="4"/>
      <c r="B668" s="2"/>
      <c r="C668" s="2"/>
      <c r="D668" s="2"/>
      <c r="E668" s="3"/>
      <c r="F668" s="2"/>
      <c r="G668" s="2"/>
      <c r="H668" s="2"/>
      <c r="I668" s="2"/>
      <c r="J668" s="2"/>
    </row>
    <row r="669" spans="1:10" ht="13" x14ac:dyDescent="0.15">
      <c r="A669" s="4"/>
      <c r="B669" s="2"/>
      <c r="C669" s="2"/>
      <c r="D669" s="2"/>
      <c r="E669" s="3"/>
      <c r="F669" s="2"/>
      <c r="G669" s="2"/>
      <c r="H669" s="2"/>
      <c r="I669" s="2"/>
      <c r="J669" s="2"/>
    </row>
    <row r="670" spans="1:10" ht="13" x14ac:dyDescent="0.15">
      <c r="A670" s="4"/>
      <c r="B670" s="2"/>
      <c r="C670" s="2"/>
      <c r="D670" s="2"/>
      <c r="E670" s="3"/>
      <c r="F670" s="2"/>
      <c r="G670" s="2"/>
      <c r="H670" s="2"/>
      <c r="I670" s="2"/>
      <c r="J670" s="2"/>
    </row>
    <row r="671" spans="1:10" ht="13" x14ac:dyDescent="0.15">
      <c r="A671" s="4"/>
      <c r="B671" s="2"/>
      <c r="C671" s="2"/>
      <c r="D671" s="2"/>
      <c r="E671" s="3"/>
      <c r="F671" s="2"/>
      <c r="G671" s="2"/>
      <c r="H671" s="2"/>
      <c r="I671" s="2"/>
      <c r="J671" s="2"/>
    </row>
    <row r="672" spans="1:10" ht="13" x14ac:dyDescent="0.15">
      <c r="A672" s="4"/>
      <c r="B672" s="2"/>
      <c r="C672" s="2"/>
      <c r="D672" s="2"/>
      <c r="E672" s="3"/>
      <c r="F672" s="2"/>
      <c r="G672" s="2"/>
      <c r="H672" s="2"/>
      <c r="I672" s="2"/>
      <c r="J672" s="2"/>
    </row>
    <row r="673" spans="1:10" ht="13" x14ac:dyDescent="0.15">
      <c r="A673" s="4"/>
      <c r="B673" s="2"/>
      <c r="C673" s="2"/>
      <c r="D673" s="2"/>
      <c r="E673" s="3"/>
      <c r="F673" s="2"/>
      <c r="G673" s="2"/>
      <c r="H673" s="2"/>
      <c r="I673" s="2"/>
      <c r="J673" s="2"/>
    </row>
    <row r="674" spans="1:10" ht="13" x14ac:dyDescent="0.15">
      <c r="A674" s="4"/>
      <c r="B674" s="2"/>
      <c r="C674" s="2"/>
      <c r="D674" s="2"/>
      <c r="E674" s="3"/>
      <c r="F674" s="2"/>
      <c r="G674" s="2"/>
      <c r="H674" s="2"/>
      <c r="I674" s="2"/>
      <c r="J674" s="2"/>
    </row>
    <row r="675" spans="1:10" ht="13" x14ac:dyDescent="0.15">
      <c r="A675" s="4"/>
      <c r="B675" s="2"/>
      <c r="C675" s="2"/>
      <c r="D675" s="2"/>
      <c r="E675" s="3"/>
      <c r="F675" s="2"/>
      <c r="G675" s="2"/>
      <c r="H675" s="2"/>
      <c r="I675" s="2"/>
      <c r="J675" s="2"/>
    </row>
    <row r="676" spans="1:10" ht="13" x14ac:dyDescent="0.15">
      <c r="A676" s="4"/>
      <c r="B676" s="2"/>
      <c r="C676" s="2"/>
      <c r="D676" s="2"/>
      <c r="E676" s="3"/>
      <c r="F676" s="2"/>
      <c r="G676" s="2"/>
      <c r="H676" s="2"/>
      <c r="I676" s="2"/>
      <c r="J676" s="2"/>
    </row>
    <row r="677" spans="1:10" ht="13" x14ac:dyDescent="0.15">
      <c r="A677" s="4"/>
      <c r="B677" s="2"/>
      <c r="C677" s="2"/>
      <c r="D677" s="2"/>
      <c r="E677" s="3"/>
      <c r="F677" s="2"/>
      <c r="G677" s="2"/>
      <c r="H677" s="2"/>
      <c r="I677" s="2"/>
      <c r="J677" s="2"/>
    </row>
    <row r="678" spans="1:10" ht="13" x14ac:dyDescent="0.15">
      <c r="A678" s="4"/>
      <c r="B678" s="2"/>
      <c r="C678" s="2"/>
      <c r="D678" s="2"/>
      <c r="E678" s="3"/>
      <c r="F678" s="2"/>
      <c r="G678" s="2"/>
      <c r="H678" s="2"/>
      <c r="I678" s="2"/>
      <c r="J678" s="2"/>
    </row>
    <row r="679" spans="1:10" ht="13" x14ac:dyDescent="0.15">
      <c r="A679" s="4"/>
      <c r="B679" s="2"/>
      <c r="C679" s="2"/>
      <c r="D679" s="2"/>
      <c r="E679" s="3"/>
      <c r="F679" s="2"/>
      <c r="G679" s="2"/>
      <c r="H679" s="2"/>
      <c r="I679" s="2"/>
      <c r="J679" s="2"/>
    </row>
    <row r="680" spans="1:10" ht="13" x14ac:dyDescent="0.15">
      <c r="A680" s="4"/>
      <c r="B680" s="2"/>
      <c r="C680" s="2"/>
      <c r="D680" s="2"/>
      <c r="E680" s="3"/>
      <c r="F680" s="2"/>
      <c r="G680" s="2"/>
      <c r="H680" s="2"/>
      <c r="I680" s="2"/>
      <c r="J680" s="2"/>
    </row>
    <row r="681" spans="1:10" ht="13" x14ac:dyDescent="0.15">
      <c r="A681" s="4"/>
      <c r="B681" s="2"/>
      <c r="C681" s="2"/>
      <c r="D681" s="2"/>
      <c r="E681" s="3"/>
      <c r="F681" s="2"/>
      <c r="G681" s="2"/>
      <c r="H681" s="2"/>
      <c r="I681" s="2"/>
      <c r="J681" s="2"/>
    </row>
    <row r="682" spans="1:10" ht="13" x14ac:dyDescent="0.15">
      <c r="A682" s="4"/>
      <c r="B682" s="2"/>
      <c r="C682" s="2"/>
      <c r="D682" s="2"/>
      <c r="E682" s="3"/>
      <c r="F682" s="2"/>
      <c r="G682" s="2"/>
      <c r="H682" s="2"/>
      <c r="I682" s="2"/>
      <c r="J682" s="2"/>
    </row>
    <row r="683" spans="1:10" ht="13" x14ac:dyDescent="0.15">
      <c r="A683" s="4"/>
      <c r="B683" s="2"/>
      <c r="C683" s="2"/>
      <c r="D683" s="2"/>
      <c r="E683" s="3"/>
      <c r="F683" s="2"/>
      <c r="G683" s="2"/>
      <c r="H683" s="2"/>
      <c r="I683" s="2"/>
      <c r="J683" s="2"/>
    </row>
    <row r="684" spans="1:10" ht="13" x14ac:dyDescent="0.15">
      <c r="A684" s="4"/>
      <c r="B684" s="2"/>
      <c r="C684" s="2"/>
      <c r="D684" s="2"/>
      <c r="E684" s="3"/>
      <c r="F684" s="2"/>
      <c r="G684" s="2"/>
      <c r="H684" s="2"/>
      <c r="I684" s="2"/>
      <c r="J684" s="2"/>
    </row>
    <row r="685" spans="1:10" ht="13" x14ac:dyDescent="0.15">
      <c r="A685" s="4"/>
      <c r="B685" s="2"/>
      <c r="C685" s="2"/>
      <c r="D685" s="2"/>
      <c r="E685" s="3"/>
      <c r="F685" s="2"/>
      <c r="G685" s="2"/>
      <c r="H685" s="2"/>
      <c r="I685" s="2"/>
      <c r="J685" s="2"/>
    </row>
    <row r="686" spans="1:10" ht="13" x14ac:dyDescent="0.15">
      <c r="A686" s="4"/>
      <c r="B686" s="2"/>
      <c r="C686" s="2"/>
      <c r="D686" s="2"/>
      <c r="E686" s="3"/>
      <c r="F686" s="2"/>
      <c r="G686" s="2"/>
      <c r="H686" s="2"/>
      <c r="I686" s="2"/>
      <c r="J686" s="2"/>
    </row>
    <row r="687" spans="1:10" ht="13" x14ac:dyDescent="0.15">
      <c r="A687" s="4"/>
      <c r="B687" s="2"/>
      <c r="C687" s="2"/>
      <c r="D687" s="2"/>
      <c r="E687" s="3"/>
      <c r="F687" s="2"/>
      <c r="G687" s="2"/>
      <c r="H687" s="2"/>
      <c r="I687" s="2"/>
      <c r="J687" s="2"/>
    </row>
    <row r="688" spans="1:10" ht="13" x14ac:dyDescent="0.15">
      <c r="A688" s="4"/>
      <c r="B688" s="2"/>
      <c r="C688" s="2"/>
      <c r="D688" s="2"/>
      <c r="E688" s="3"/>
      <c r="F688" s="2"/>
      <c r="G688" s="2"/>
      <c r="H688" s="2"/>
      <c r="I688" s="2"/>
      <c r="J688" s="2"/>
    </row>
    <row r="689" spans="1:10" ht="13" x14ac:dyDescent="0.15">
      <c r="A689" s="4"/>
      <c r="B689" s="2"/>
      <c r="C689" s="2"/>
      <c r="D689" s="2"/>
      <c r="E689" s="3"/>
      <c r="F689" s="2"/>
      <c r="G689" s="2"/>
      <c r="H689" s="2"/>
      <c r="I689" s="2"/>
      <c r="J689" s="2"/>
    </row>
    <row r="690" spans="1:10" ht="13" x14ac:dyDescent="0.15">
      <c r="A690" s="4"/>
      <c r="B690" s="2"/>
      <c r="C690" s="2"/>
      <c r="D690" s="2"/>
      <c r="E690" s="3"/>
      <c r="F690" s="2"/>
      <c r="G690" s="2"/>
      <c r="H690" s="2"/>
      <c r="I690" s="2"/>
      <c r="J690" s="2"/>
    </row>
    <row r="691" spans="1:10" ht="13" x14ac:dyDescent="0.15">
      <c r="A691" s="4"/>
      <c r="B691" s="2"/>
      <c r="C691" s="2"/>
      <c r="D691" s="2"/>
      <c r="E691" s="3"/>
      <c r="F691" s="2"/>
      <c r="G691" s="2"/>
      <c r="H691" s="2"/>
      <c r="I691" s="2"/>
      <c r="J691" s="2"/>
    </row>
    <row r="692" spans="1:10" ht="13" x14ac:dyDescent="0.15">
      <c r="A692" s="4"/>
      <c r="B692" s="2"/>
      <c r="C692" s="2"/>
      <c r="D692" s="2"/>
      <c r="E692" s="3"/>
      <c r="F692" s="2"/>
      <c r="G692" s="2"/>
      <c r="H692" s="2"/>
      <c r="I692" s="2"/>
      <c r="J692" s="2"/>
    </row>
    <row r="693" spans="1:10" ht="13" x14ac:dyDescent="0.15">
      <c r="A693" s="4"/>
      <c r="B693" s="2"/>
      <c r="C693" s="2"/>
      <c r="D693" s="2"/>
      <c r="E693" s="3"/>
      <c r="F693" s="2"/>
      <c r="G693" s="2"/>
      <c r="H693" s="2"/>
      <c r="I693" s="2"/>
      <c r="J693" s="2"/>
    </row>
    <row r="694" spans="1:10" ht="13" x14ac:dyDescent="0.15">
      <c r="A694" s="4"/>
      <c r="B694" s="2"/>
      <c r="C694" s="2"/>
      <c r="D694" s="2"/>
      <c r="E694" s="3"/>
      <c r="F694" s="2"/>
      <c r="G694" s="2"/>
      <c r="H694" s="2"/>
      <c r="I694" s="2"/>
      <c r="J694" s="2"/>
    </row>
    <row r="695" spans="1:10" ht="13" x14ac:dyDescent="0.15">
      <c r="A695" s="4"/>
      <c r="B695" s="2"/>
      <c r="C695" s="2"/>
      <c r="D695" s="2"/>
      <c r="E695" s="3"/>
      <c r="F695" s="2"/>
      <c r="G695" s="2"/>
      <c r="H695" s="2"/>
      <c r="I695" s="2"/>
      <c r="J695" s="2"/>
    </row>
    <row r="696" spans="1:10" ht="13" x14ac:dyDescent="0.15">
      <c r="A696" s="4"/>
      <c r="B696" s="2"/>
      <c r="C696" s="2"/>
      <c r="D696" s="2"/>
      <c r="E696" s="3"/>
      <c r="F696" s="2"/>
      <c r="G696" s="2"/>
      <c r="H696" s="2"/>
      <c r="I696" s="2"/>
      <c r="J696" s="2"/>
    </row>
    <row r="697" spans="1:10" ht="13" x14ac:dyDescent="0.15">
      <c r="A697" s="4"/>
      <c r="B697" s="2"/>
      <c r="C697" s="2"/>
      <c r="D697" s="2"/>
      <c r="E697" s="3"/>
      <c r="F697" s="2"/>
      <c r="G697" s="2"/>
      <c r="H697" s="2"/>
      <c r="I697" s="2"/>
      <c r="J697" s="2"/>
    </row>
    <row r="698" spans="1:10" ht="13" x14ac:dyDescent="0.15">
      <c r="A698" s="4"/>
      <c r="B698" s="2"/>
      <c r="C698" s="2"/>
      <c r="D698" s="2"/>
      <c r="E698" s="3"/>
      <c r="F698" s="2"/>
      <c r="G698" s="2"/>
      <c r="H698" s="2"/>
      <c r="I698" s="2"/>
      <c r="J698" s="2"/>
    </row>
    <row r="699" spans="1:10" ht="13" x14ac:dyDescent="0.15">
      <c r="A699" s="4"/>
      <c r="B699" s="2"/>
      <c r="C699" s="2"/>
      <c r="D699" s="2"/>
      <c r="E699" s="3"/>
      <c r="F699" s="2"/>
      <c r="G699" s="2"/>
      <c r="H699" s="2"/>
      <c r="I699" s="2"/>
      <c r="J699" s="2"/>
    </row>
    <row r="700" spans="1:10" ht="13" x14ac:dyDescent="0.15">
      <c r="A700" s="4"/>
      <c r="B700" s="2"/>
      <c r="C700" s="2"/>
      <c r="D700" s="2"/>
      <c r="E700" s="3"/>
      <c r="F700" s="2"/>
      <c r="G700" s="2"/>
      <c r="H700" s="2"/>
      <c r="I700" s="2"/>
      <c r="J700" s="2"/>
    </row>
    <row r="701" spans="1:10" ht="13" x14ac:dyDescent="0.15">
      <c r="A701" s="4"/>
      <c r="B701" s="2"/>
      <c r="C701" s="2"/>
      <c r="D701" s="2"/>
      <c r="E701" s="3"/>
      <c r="F701" s="2"/>
      <c r="G701" s="2"/>
      <c r="H701" s="2"/>
      <c r="I701" s="2"/>
      <c r="J701" s="2"/>
    </row>
    <row r="702" spans="1:10" ht="13" x14ac:dyDescent="0.15">
      <c r="A702" s="4"/>
      <c r="B702" s="2"/>
      <c r="C702" s="2"/>
      <c r="D702" s="2"/>
      <c r="E702" s="3"/>
      <c r="F702" s="2"/>
      <c r="G702" s="2"/>
      <c r="H702" s="2"/>
      <c r="I702" s="2"/>
      <c r="J702" s="2"/>
    </row>
    <row r="703" spans="1:10" ht="13" x14ac:dyDescent="0.15">
      <c r="A703" s="4"/>
      <c r="B703" s="2"/>
      <c r="C703" s="2"/>
      <c r="D703" s="2"/>
      <c r="E703" s="3"/>
      <c r="F703" s="2"/>
      <c r="G703" s="2"/>
      <c r="H703" s="2"/>
      <c r="I703" s="2"/>
      <c r="J703" s="2"/>
    </row>
    <row r="704" spans="1:10" ht="13" x14ac:dyDescent="0.15">
      <c r="A704" s="4"/>
      <c r="B704" s="2"/>
      <c r="C704" s="2"/>
      <c r="D704" s="2"/>
      <c r="E704" s="3"/>
      <c r="F704" s="2"/>
      <c r="G704" s="2"/>
      <c r="H704" s="2"/>
      <c r="I704" s="2"/>
      <c r="J704" s="2"/>
    </row>
    <row r="705" spans="1:10" ht="13" x14ac:dyDescent="0.15">
      <c r="A705" s="4"/>
      <c r="B705" s="2"/>
      <c r="C705" s="2"/>
      <c r="D705" s="2"/>
      <c r="E705" s="3"/>
      <c r="F705" s="2"/>
      <c r="G705" s="2"/>
      <c r="H705" s="2"/>
      <c r="I705" s="2"/>
      <c r="J705" s="2"/>
    </row>
    <row r="706" spans="1:10" ht="13" x14ac:dyDescent="0.15">
      <c r="A706" s="4"/>
      <c r="B706" s="2"/>
      <c r="C706" s="2"/>
      <c r="D706" s="2"/>
      <c r="E706" s="3"/>
      <c r="F706" s="2"/>
      <c r="G706" s="2"/>
      <c r="H706" s="2"/>
      <c r="I706" s="2"/>
      <c r="J706" s="2"/>
    </row>
    <row r="707" spans="1:10" ht="13" x14ac:dyDescent="0.15">
      <c r="A707" s="4"/>
      <c r="B707" s="2"/>
      <c r="C707" s="2"/>
      <c r="D707" s="2"/>
      <c r="E707" s="3"/>
      <c r="F707" s="2"/>
      <c r="G707" s="2"/>
      <c r="H707" s="2"/>
      <c r="I707" s="2"/>
      <c r="J707" s="2"/>
    </row>
    <row r="708" spans="1:10" ht="13" x14ac:dyDescent="0.15">
      <c r="A708" s="4"/>
      <c r="B708" s="2"/>
      <c r="C708" s="2"/>
      <c r="D708" s="2"/>
      <c r="E708" s="3"/>
      <c r="F708" s="2"/>
      <c r="G708" s="2"/>
      <c r="H708" s="2"/>
      <c r="I708" s="2"/>
      <c r="J708" s="2"/>
    </row>
    <row r="709" spans="1:10" ht="13" x14ac:dyDescent="0.15">
      <c r="A709" s="4"/>
      <c r="B709" s="2"/>
      <c r="C709" s="2"/>
      <c r="D709" s="2"/>
      <c r="E709" s="3"/>
      <c r="F709" s="2"/>
      <c r="G709" s="2"/>
      <c r="H709" s="2"/>
      <c r="I709" s="2"/>
      <c r="J709" s="2"/>
    </row>
    <row r="710" spans="1:10" ht="13" x14ac:dyDescent="0.15">
      <c r="A710" s="4"/>
      <c r="B710" s="2"/>
      <c r="C710" s="2"/>
      <c r="D710" s="2"/>
      <c r="E710" s="3"/>
      <c r="F710" s="2"/>
      <c r="G710" s="2"/>
      <c r="H710" s="2"/>
      <c r="I710" s="2"/>
      <c r="J710" s="2"/>
    </row>
    <row r="711" spans="1:10" ht="13" x14ac:dyDescent="0.15">
      <c r="A711" s="4"/>
      <c r="B711" s="2"/>
      <c r="C711" s="2"/>
      <c r="D711" s="2"/>
      <c r="E711" s="3"/>
      <c r="F711" s="2"/>
      <c r="G711" s="2"/>
      <c r="H711" s="2"/>
      <c r="I711" s="2"/>
      <c r="J711" s="2"/>
    </row>
    <row r="712" spans="1:10" ht="13" x14ac:dyDescent="0.15">
      <c r="A712" s="4"/>
      <c r="B712" s="2"/>
      <c r="C712" s="2"/>
      <c r="D712" s="2"/>
      <c r="E712" s="3"/>
      <c r="F712" s="2"/>
      <c r="G712" s="2"/>
      <c r="H712" s="2"/>
      <c r="I712" s="2"/>
      <c r="J712" s="2"/>
    </row>
    <row r="713" spans="1:10" ht="13" x14ac:dyDescent="0.15">
      <c r="A713" s="4"/>
      <c r="B713" s="2"/>
      <c r="C713" s="2"/>
      <c r="D713" s="2"/>
      <c r="E713" s="3"/>
      <c r="F713" s="2"/>
      <c r="G713" s="2"/>
      <c r="H713" s="2"/>
      <c r="I713" s="2"/>
      <c r="J713" s="2"/>
    </row>
    <row r="714" spans="1:10" ht="13" x14ac:dyDescent="0.15">
      <c r="A714" s="4"/>
      <c r="B714" s="2"/>
      <c r="C714" s="2"/>
      <c r="D714" s="2"/>
      <c r="E714" s="3"/>
      <c r="F714" s="2"/>
      <c r="G714" s="2"/>
      <c r="H714" s="2"/>
      <c r="I714" s="2"/>
      <c r="J714" s="2"/>
    </row>
    <row r="715" spans="1:10" ht="13" x14ac:dyDescent="0.15">
      <c r="A715" s="4"/>
      <c r="B715" s="2"/>
      <c r="C715" s="2"/>
      <c r="D715" s="2"/>
      <c r="E715" s="3"/>
      <c r="F715" s="2"/>
      <c r="G715" s="2"/>
      <c r="H715" s="2"/>
      <c r="I715" s="2"/>
      <c r="J715" s="2"/>
    </row>
    <row r="716" spans="1:10" ht="13" x14ac:dyDescent="0.15">
      <c r="A716" s="4"/>
      <c r="B716" s="2"/>
      <c r="C716" s="2"/>
      <c r="D716" s="2"/>
      <c r="E716" s="3"/>
      <c r="F716" s="2"/>
      <c r="G716" s="2"/>
      <c r="H716" s="2"/>
      <c r="I716" s="2"/>
      <c r="J716" s="2"/>
    </row>
    <row r="717" spans="1:10" ht="13" x14ac:dyDescent="0.15">
      <c r="A717" s="4"/>
      <c r="B717" s="2"/>
      <c r="C717" s="2"/>
      <c r="D717" s="2"/>
      <c r="E717" s="3"/>
      <c r="F717" s="2"/>
      <c r="G717" s="2"/>
      <c r="H717" s="2"/>
      <c r="I717" s="2"/>
      <c r="J717" s="2"/>
    </row>
    <row r="718" spans="1:10" ht="13" x14ac:dyDescent="0.15">
      <c r="A718" s="4"/>
      <c r="B718" s="2"/>
      <c r="C718" s="2"/>
      <c r="D718" s="2"/>
      <c r="E718" s="3"/>
      <c r="F718" s="2"/>
      <c r="G718" s="2"/>
      <c r="H718" s="2"/>
      <c r="I718" s="2"/>
      <c r="J718" s="2"/>
    </row>
    <row r="719" spans="1:10" ht="13" x14ac:dyDescent="0.15">
      <c r="A719" s="4"/>
      <c r="B719" s="2"/>
      <c r="C719" s="2"/>
      <c r="D719" s="2"/>
      <c r="E719" s="3"/>
      <c r="F719" s="2"/>
      <c r="G719" s="2"/>
      <c r="H719" s="2"/>
      <c r="I719" s="2"/>
      <c r="J719" s="2"/>
    </row>
    <row r="720" spans="1:10" ht="13" x14ac:dyDescent="0.15">
      <c r="A720" s="4"/>
      <c r="B720" s="2"/>
      <c r="C720" s="2"/>
      <c r="D720" s="2"/>
      <c r="E720" s="3"/>
      <c r="F720" s="2"/>
      <c r="G720" s="2"/>
      <c r="H720" s="2"/>
      <c r="I720" s="2"/>
      <c r="J720" s="2"/>
    </row>
    <row r="721" spans="1:10" ht="13" x14ac:dyDescent="0.15">
      <c r="A721" s="4"/>
      <c r="B721" s="2"/>
      <c r="C721" s="2"/>
      <c r="D721" s="2"/>
      <c r="E721" s="3"/>
      <c r="F721" s="2"/>
      <c r="G721" s="2"/>
      <c r="H721" s="2"/>
      <c r="I721" s="2"/>
      <c r="J721" s="2"/>
    </row>
    <row r="722" spans="1:10" ht="13" x14ac:dyDescent="0.15">
      <c r="A722" s="4"/>
      <c r="B722" s="2"/>
      <c r="C722" s="2"/>
      <c r="D722" s="2"/>
      <c r="E722" s="3"/>
      <c r="F722" s="2"/>
      <c r="G722" s="2"/>
      <c r="H722" s="2"/>
      <c r="I722" s="2"/>
      <c r="J722" s="2"/>
    </row>
    <row r="723" spans="1:10" ht="13" x14ac:dyDescent="0.15">
      <c r="A723" s="4"/>
      <c r="B723" s="2"/>
      <c r="C723" s="2"/>
      <c r="D723" s="2"/>
      <c r="E723" s="3"/>
      <c r="F723" s="2"/>
      <c r="G723" s="2"/>
      <c r="H723" s="2"/>
      <c r="I723" s="2"/>
      <c r="J723" s="2"/>
    </row>
    <row r="724" spans="1:10" ht="13" x14ac:dyDescent="0.15">
      <c r="A724" s="4"/>
      <c r="B724" s="2"/>
      <c r="C724" s="2"/>
      <c r="D724" s="2"/>
      <c r="E724" s="3"/>
      <c r="F724" s="2"/>
      <c r="G724" s="2"/>
      <c r="H724" s="2"/>
      <c r="I724" s="2"/>
      <c r="J724" s="2"/>
    </row>
    <row r="725" spans="1:10" ht="13" x14ac:dyDescent="0.15">
      <c r="A725" s="4"/>
      <c r="B725" s="2"/>
      <c r="C725" s="2"/>
      <c r="D725" s="2"/>
      <c r="E725" s="3"/>
      <c r="F725" s="2"/>
      <c r="G725" s="2"/>
      <c r="H725" s="2"/>
      <c r="I725" s="2"/>
      <c r="J725" s="2"/>
    </row>
    <row r="726" spans="1:10" ht="13" x14ac:dyDescent="0.15">
      <c r="A726" s="4"/>
      <c r="B726" s="2"/>
      <c r="C726" s="2"/>
      <c r="D726" s="2"/>
      <c r="E726" s="3"/>
      <c r="F726" s="2"/>
      <c r="G726" s="2"/>
      <c r="H726" s="2"/>
      <c r="I726" s="2"/>
      <c r="J726" s="2"/>
    </row>
    <row r="727" spans="1:10" ht="13" x14ac:dyDescent="0.15">
      <c r="A727" s="4"/>
      <c r="B727" s="2"/>
      <c r="C727" s="2"/>
      <c r="D727" s="2"/>
      <c r="E727" s="3"/>
      <c r="F727" s="2"/>
      <c r="G727" s="2"/>
      <c r="H727" s="2"/>
      <c r="I727" s="2"/>
      <c r="J727" s="2"/>
    </row>
    <row r="728" spans="1:10" ht="13" x14ac:dyDescent="0.15">
      <c r="A728" s="4"/>
      <c r="B728" s="2"/>
      <c r="C728" s="2"/>
      <c r="D728" s="2"/>
      <c r="E728" s="3"/>
      <c r="F728" s="2"/>
      <c r="G728" s="2"/>
      <c r="H728" s="2"/>
      <c r="I728" s="2"/>
      <c r="J728" s="2"/>
    </row>
    <row r="729" spans="1:10" ht="13" x14ac:dyDescent="0.15">
      <c r="A729" s="4"/>
      <c r="B729" s="2"/>
      <c r="C729" s="2"/>
      <c r="D729" s="2"/>
      <c r="E729" s="3"/>
      <c r="F729" s="2"/>
      <c r="G729" s="2"/>
      <c r="H729" s="2"/>
      <c r="I729" s="2"/>
      <c r="J729" s="2"/>
    </row>
    <row r="730" spans="1:10" ht="13" x14ac:dyDescent="0.15">
      <c r="A730" s="4"/>
      <c r="B730" s="2"/>
      <c r="C730" s="2"/>
      <c r="D730" s="2"/>
      <c r="E730" s="3"/>
      <c r="F730" s="2"/>
      <c r="G730" s="2"/>
      <c r="H730" s="2"/>
      <c r="I730" s="2"/>
      <c r="J730" s="2"/>
    </row>
    <row r="731" spans="1:10" ht="13" x14ac:dyDescent="0.15">
      <c r="A731" s="4"/>
      <c r="B731" s="2"/>
      <c r="C731" s="2"/>
      <c r="D731" s="2"/>
      <c r="E731" s="3"/>
      <c r="F731" s="2"/>
      <c r="G731" s="2"/>
      <c r="H731" s="2"/>
      <c r="I731" s="2"/>
      <c r="J731" s="2"/>
    </row>
    <row r="732" spans="1:10" ht="13" x14ac:dyDescent="0.15">
      <c r="A732" s="4"/>
      <c r="B732" s="2"/>
      <c r="C732" s="2"/>
      <c r="D732" s="2"/>
      <c r="E732" s="3"/>
      <c r="F732" s="2"/>
      <c r="G732" s="2"/>
      <c r="H732" s="2"/>
      <c r="I732" s="2"/>
      <c r="J732" s="2"/>
    </row>
    <row r="733" spans="1:10" ht="13" x14ac:dyDescent="0.15">
      <c r="A733" s="4"/>
      <c r="B733" s="2"/>
      <c r="C733" s="2"/>
      <c r="D733" s="2"/>
      <c r="E733" s="3"/>
      <c r="F733" s="2"/>
      <c r="G733" s="2"/>
      <c r="H733" s="2"/>
      <c r="I733" s="2"/>
      <c r="J733" s="2"/>
    </row>
    <row r="734" spans="1:10" ht="13" x14ac:dyDescent="0.15">
      <c r="A734" s="4"/>
      <c r="B734" s="2"/>
      <c r="C734" s="2"/>
      <c r="D734" s="2"/>
      <c r="E734" s="3"/>
      <c r="F734" s="2"/>
      <c r="G734" s="2"/>
      <c r="H734" s="2"/>
      <c r="I734" s="2"/>
      <c r="J734" s="2"/>
    </row>
    <row r="735" spans="1:10" ht="13" x14ac:dyDescent="0.15">
      <c r="A735" s="4"/>
      <c r="B735" s="2"/>
      <c r="C735" s="2"/>
      <c r="D735" s="2"/>
      <c r="E735" s="3"/>
      <c r="F735" s="2"/>
      <c r="G735" s="2"/>
      <c r="H735" s="2"/>
      <c r="I735" s="2"/>
      <c r="J735" s="2"/>
    </row>
    <row r="736" spans="1:10" ht="13" x14ac:dyDescent="0.15">
      <c r="A736" s="4"/>
      <c r="B736" s="2"/>
      <c r="C736" s="2"/>
      <c r="D736" s="2"/>
      <c r="E736" s="3"/>
      <c r="F736" s="2"/>
      <c r="G736" s="2"/>
      <c r="H736" s="2"/>
      <c r="I736" s="2"/>
      <c r="J736" s="2"/>
    </row>
    <row r="737" spans="1:10" ht="13" x14ac:dyDescent="0.15">
      <c r="A737" s="4"/>
      <c r="B737" s="2"/>
      <c r="C737" s="2"/>
      <c r="D737" s="2"/>
      <c r="E737" s="3"/>
      <c r="F737" s="2"/>
      <c r="G737" s="2"/>
      <c r="H737" s="2"/>
      <c r="I737" s="2"/>
      <c r="J737" s="2"/>
    </row>
    <row r="738" spans="1:10" ht="13" x14ac:dyDescent="0.15">
      <c r="A738" s="4"/>
      <c r="B738" s="2"/>
      <c r="C738" s="2"/>
      <c r="D738" s="2"/>
      <c r="E738" s="3"/>
      <c r="F738" s="2"/>
      <c r="G738" s="2"/>
      <c r="H738" s="2"/>
      <c r="I738" s="2"/>
      <c r="J738" s="2"/>
    </row>
    <row r="739" spans="1:10" ht="13" x14ac:dyDescent="0.15">
      <c r="A739" s="4"/>
      <c r="B739" s="2"/>
      <c r="C739" s="2"/>
      <c r="D739" s="2"/>
      <c r="E739" s="3"/>
      <c r="F739" s="2"/>
      <c r="G739" s="2"/>
      <c r="H739" s="2"/>
      <c r="I739" s="2"/>
      <c r="J739" s="2"/>
    </row>
    <row r="740" spans="1:10" ht="13" x14ac:dyDescent="0.15">
      <c r="A740" s="4"/>
      <c r="B740" s="2"/>
      <c r="C740" s="2"/>
      <c r="D740" s="2"/>
      <c r="E740" s="3"/>
      <c r="F740" s="2"/>
      <c r="G740" s="2"/>
      <c r="H740" s="2"/>
      <c r="I740" s="2"/>
      <c r="J740" s="2"/>
    </row>
    <row r="741" spans="1:10" ht="13" x14ac:dyDescent="0.15">
      <c r="A741" s="4"/>
      <c r="B741" s="2"/>
      <c r="C741" s="2"/>
      <c r="D741" s="2"/>
      <c r="E741" s="3"/>
      <c r="F741" s="2"/>
      <c r="G741" s="2"/>
      <c r="H741" s="2"/>
      <c r="I741" s="2"/>
      <c r="J741" s="2"/>
    </row>
    <row r="742" spans="1:10" ht="13" x14ac:dyDescent="0.15">
      <c r="A742" s="4"/>
      <c r="B742" s="2"/>
      <c r="C742" s="2"/>
      <c r="D742" s="2"/>
      <c r="E742" s="3"/>
      <c r="F742" s="2"/>
      <c r="G742" s="2"/>
      <c r="H742" s="2"/>
      <c r="I742" s="2"/>
      <c r="J742" s="2"/>
    </row>
    <row r="743" spans="1:10" ht="13" x14ac:dyDescent="0.15">
      <c r="A743" s="4"/>
      <c r="B743" s="2"/>
      <c r="C743" s="2"/>
      <c r="D743" s="2"/>
      <c r="E743" s="3"/>
      <c r="F743" s="2"/>
      <c r="G743" s="2"/>
      <c r="H743" s="2"/>
      <c r="I743" s="2"/>
      <c r="J743" s="2"/>
    </row>
    <row r="744" spans="1:10" ht="13" x14ac:dyDescent="0.15">
      <c r="A744" s="4"/>
      <c r="B744" s="2"/>
      <c r="C744" s="2"/>
      <c r="D744" s="2"/>
      <c r="E744" s="3"/>
      <c r="F744" s="2"/>
      <c r="G744" s="2"/>
      <c r="H744" s="2"/>
      <c r="I744" s="2"/>
      <c r="J744" s="2"/>
    </row>
    <row r="745" spans="1:10" ht="13" x14ac:dyDescent="0.15">
      <c r="A745" s="4"/>
      <c r="B745" s="2"/>
      <c r="C745" s="2"/>
      <c r="D745" s="2"/>
      <c r="E745" s="3"/>
      <c r="F745" s="2"/>
      <c r="G745" s="2"/>
      <c r="H745" s="2"/>
      <c r="I745" s="2"/>
      <c r="J745" s="2"/>
    </row>
    <row r="746" spans="1:10" ht="13" x14ac:dyDescent="0.15">
      <c r="A746" s="4"/>
      <c r="B746" s="2"/>
      <c r="C746" s="2"/>
      <c r="D746" s="2"/>
      <c r="E746" s="3"/>
      <c r="F746" s="2"/>
      <c r="G746" s="2"/>
      <c r="H746" s="2"/>
      <c r="I746" s="2"/>
      <c r="J746" s="2"/>
    </row>
    <row r="747" spans="1:10" ht="13" x14ac:dyDescent="0.15">
      <c r="A747" s="4"/>
      <c r="B747" s="2"/>
      <c r="C747" s="2"/>
      <c r="D747" s="2"/>
      <c r="E747" s="3"/>
      <c r="F747" s="2"/>
      <c r="G747" s="2"/>
      <c r="H747" s="2"/>
      <c r="I747" s="2"/>
      <c r="J747" s="2"/>
    </row>
    <row r="748" spans="1:10" ht="13" x14ac:dyDescent="0.15">
      <c r="A748" s="4"/>
      <c r="B748" s="2"/>
      <c r="C748" s="2"/>
      <c r="D748" s="2"/>
      <c r="E748" s="3"/>
      <c r="F748" s="2"/>
      <c r="G748" s="2"/>
      <c r="H748" s="2"/>
      <c r="I748" s="2"/>
      <c r="J748" s="2"/>
    </row>
    <row r="749" spans="1:10" ht="13" x14ac:dyDescent="0.15">
      <c r="A749" s="4"/>
      <c r="B749" s="2"/>
      <c r="C749" s="2"/>
      <c r="D749" s="2"/>
      <c r="E749" s="3"/>
      <c r="F749" s="2"/>
      <c r="G749" s="2"/>
      <c r="H749" s="2"/>
      <c r="I749" s="2"/>
      <c r="J749" s="2"/>
    </row>
    <row r="750" spans="1:10" ht="13" x14ac:dyDescent="0.15">
      <c r="A750" s="4"/>
      <c r="B750" s="2"/>
      <c r="C750" s="2"/>
      <c r="D750" s="2"/>
      <c r="E750" s="3"/>
      <c r="F750" s="2"/>
      <c r="G750" s="2"/>
      <c r="H750" s="2"/>
      <c r="I750" s="2"/>
      <c r="J750" s="2"/>
    </row>
    <row r="751" spans="1:10" ht="13" x14ac:dyDescent="0.15">
      <c r="A751" s="4"/>
      <c r="B751" s="2"/>
      <c r="C751" s="2"/>
      <c r="D751" s="2"/>
      <c r="E751" s="3"/>
      <c r="F751" s="2"/>
      <c r="G751" s="2"/>
      <c r="H751" s="2"/>
      <c r="I751" s="2"/>
      <c r="J751" s="2"/>
    </row>
    <row r="752" spans="1:10" ht="13" x14ac:dyDescent="0.15">
      <c r="A752" s="4"/>
      <c r="B752" s="2"/>
      <c r="C752" s="2"/>
      <c r="D752" s="2"/>
      <c r="E752" s="3"/>
      <c r="F752" s="2"/>
      <c r="G752" s="2"/>
      <c r="H752" s="2"/>
      <c r="I752" s="2"/>
      <c r="J752" s="2"/>
    </row>
    <row r="753" spans="1:10" ht="13" x14ac:dyDescent="0.15">
      <c r="A753" s="4"/>
      <c r="B753" s="2"/>
      <c r="C753" s="2"/>
      <c r="D753" s="2"/>
      <c r="E753" s="3"/>
      <c r="F753" s="2"/>
      <c r="G753" s="2"/>
      <c r="H753" s="2"/>
      <c r="I753" s="2"/>
      <c r="J753" s="2"/>
    </row>
    <row r="754" spans="1:10" ht="13" x14ac:dyDescent="0.15">
      <c r="A754" s="4"/>
      <c r="B754" s="2"/>
      <c r="C754" s="2"/>
      <c r="D754" s="2"/>
      <c r="E754" s="3"/>
      <c r="F754" s="2"/>
      <c r="G754" s="2"/>
      <c r="H754" s="2"/>
      <c r="I754" s="2"/>
      <c r="J754" s="2"/>
    </row>
    <row r="755" spans="1:10" ht="13" x14ac:dyDescent="0.15">
      <c r="A755" s="4"/>
      <c r="B755" s="2"/>
      <c r="C755" s="2"/>
      <c r="D755" s="2"/>
      <c r="E755" s="3"/>
      <c r="F755" s="2"/>
      <c r="G755" s="2"/>
      <c r="H755" s="2"/>
      <c r="I755" s="2"/>
      <c r="J755" s="2"/>
    </row>
    <row r="756" spans="1:10" ht="13" x14ac:dyDescent="0.15">
      <c r="A756" s="4"/>
      <c r="B756" s="2"/>
      <c r="C756" s="2"/>
      <c r="D756" s="2"/>
      <c r="E756" s="3"/>
      <c r="F756" s="2"/>
      <c r="G756" s="2"/>
      <c r="H756" s="2"/>
      <c r="I756" s="2"/>
      <c r="J756" s="2"/>
    </row>
    <row r="757" spans="1:10" ht="13" x14ac:dyDescent="0.15">
      <c r="A757" s="4"/>
      <c r="B757" s="2"/>
      <c r="C757" s="2"/>
      <c r="D757" s="2"/>
      <c r="E757" s="3"/>
      <c r="F757" s="2"/>
      <c r="G757" s="2"/>
      <c r="H757" s="2"/>
      <c r="I757" s="2"/>
      <c r="J757" s="2"/>
    </row>
    <row r="758" spans="1:10" ht="13" x14ac:dyDescent="0.15">
      <c r="A758" s="4"/>
      <c r="B758" s="2"/>
      <c r="C758" s="2"/>
      <c r="D758" s="2"/>
      <c r="E758" s="3"/>
      <c r="F758" s="2"/>
      <c r="G758" s="2"/>
      <c r="H758" s="2"/>
      <c r="I758" s="2"/>
      <c r="J758" s="2"/>
    </row>
    <row r="759" spans="1:10" ht="13" x14ac:dyDescent="0.15">
      <c r="A759" s="4"/>
      <c r="B759" s="2"/>
      <c r="C759" s="2"/>
      <c r="D759" s="2"/>
      <c r="E759" s="3"/>
      <c r="F759" s="2"/>
      <c r="G759" s="2"/>
      <c r="H759" s="2"/>
      <c r="I759" s="2"/>
      <c r="J759" s="2"/>
    </row>
    <row r="760" spans="1:10" ht="13" x14ac:dyDescent="0.15">
      <c r="A760" s="4"/>
      <c r="B760" s="2"/>
      <c r="C760" s="2"/>
      <c r="D760" s="2"/>
      <c r="E760" s="3"/>
      <c r="F760" s="2"/>
      <c r="G760" s="2"/>
      <c r="H760" s="2"/>
      <c r="I760" s="2"/>
      <c r="J760" s="2"/>
    </row>
    <row r="761" spans="1:10" ht="13" x14ac:dyDescent="0.15">
      <c r="A761" s="4"/>
      <c r="B761" s="2"/>
      <c r="C761" s="2"/>
      <c r="D761" s="2"/>
      <c r="E761" s="3"/>
      <c r="F761" s="2"/>
      <c r="G761" s="2"/>
      <c r="H761" s="2"/>
      <c r="I761" s="2"/>
      <c r="J761" s="2"/>
    </row>
    <row r="762" spans="1:10" ht="13" x14ac:dyDescent="0.15">
      <c r="A762" s="4"/>
      <c r="B762" s="2"/>
      <c r="C762" s="2"/>
      <c r="D762" s="2"/>
      <c r="E762" s="3"/>
      <c r="F762" s="2"/>
      <c r="G762" s="2"/>
      <c r="H762" s="2"/>
      <c r="I762" s="2"/>
      <c r="J762" s="2"/>
    </row>
    <row r="763" spans="1:10" ht="13" x14ac:dyDescent="0.15">
      <c r="A763" s="4"/>
      <c r="B763" s="2"/>
      <c r="C763" s="2"/>
      <c r="D763" s="2"/>
      <c r="E763" s="3"/>
      <c r="F763" s="2"/>
      <c r="G763" s="2"/>
      <c r="H763" s="2"/>
      <c r="I763" s="2"/>
      <c r="J763" s="2"/>
    </row>
    <row r="764" spans="1:10" ht="13" x14ac:dyDescent="0.15">
      <c r="A764" s="4"/>
      <c r="B764" s="2"/>
      <c r="C764" s="2"/>
      <c r="D764" s="2"/>
      <c r="E764" s="3"/>
      <c r="F764" s="2"/>
      <c r="G764" s="2"/>
      <c r="H764" s="2"/>
      <c r="I764" s="2"/>
      <c r="J764" s="2"/>
    </row>
    <row r="765" spans="1:10" ht="13" x14ac:dyDescent="0.15">
      <c r="A765" s="4"/>
      <c r="B765" s="2"/>
      <c r="C765" s="2"/>
      <c r="D765" s="2"/>
      <c r="E765" s="3"/>
      <c r="F765" s="2"/>
      <c r="G765" s="2"/>
      <c r="H765" s="2"/>
      <c r="I765" s="2"/>
      <c r="J765" s="2"/>
    </row>
    <row r="766" spans="1:10" ht="13" x14ac:dyDescent="0.15">
      <c r="A766" s="4"/>
      <c r="B766" s="2"/>
      <c r="C766" s="2"/>
      <c r="D766" s="2"/>
      <c r="E766" s="3"/>
      <c r="F766" s="2"/>
      <c r="G766" s="2"/>
      <c r="H766" s="2"/>
      <c r="I766" s="2"/>
      <c r="J766" s="2"/>
    </row>
    <row r="767" spans="1:10" ht="13" x14ac:dyDescent="0.15">
      <c r="A767" s="4"/>
      <c r="B767" s="2"/>
      <c r="C767" s="2"/>
      <c r="D767" s="2"/>
      <c r="E767" s="3"/>
      <c r="F767" s="2"/>
      <c r="G767" s="2"/>
      <c r="H767" s="2"/>
      <c r="I767" s="2"/>
      <c r="J767" s="2"/>
    </row>
    <row r="768" spans="1:10" ht="13" x14ac:dyDescent="0.15">
      <c r="A768" s="4"/>
      <c r="B768" s="2"/>
      <c r="C768" s="2"/>
      <c r="D768" s="2"/>
      <c r="E768" s="3"/>
      <c r="F768" s="2"/>
      <c r="G768" s="2"/>
      <c r="H768" s="2"/>
      <c r="I768" s="2"/>
      <c r="J768" s="2"/>
    </row>
    <row r="769" spans="1:10" ht="13" x14ac:dyDescent="0.15">
      <c r="A769" s="4"/>
      <c r="B769" s="2"/>
      <c r="C769" s="2"/>
      <c r="D769" s="2"/>
      <c r="E769" s="3"/>
      <c r="F769" s="2"/>
      <c r="G769" s="2"/>
      <c r="H769" s="2"/>
      <c r="I769" s="2"/>
      <c r="J769" s="2"/>
    </row>
    <row r="770" spans="1:10" ht="13" x14ac:dyDescent="0.15">
      <c r="A770" s="4"/>
      <c r="B770" s="2"/>
      <c r="C770" s="2"/>
      <c r="D770" s="2"/>
      <c r="E770" s="3"/>
      <c r="F770" s="2"/>
      <c r="G770" s="2"/>
      <c r="H770" s="2"/>
      <c r="I770" s="2"/>
      <c r="J770" s="2"/>
    </row>
    <row r="771" spans="1:10" ht="13" x14ac:dyDescent="0.15">
      <c r="A771" s="4"/>
      <c r="B771" s="2"/>
      <c r="C771" s="2"/>
      <c r="D771" s="2"/>
      <c r="E771" s="3"/>
      <c r="F771" s="2"/>
      <c r="G771" s="2"/>
      <c r="H771" s="2"/>
      <c r="I771" s="2"/>
      <c r="J771" s="2"/>
    </row>
    <row r="772" spans="1:10" ht="13" x14ac:dyDescent="0.15">
      <c r="A772" s="4"/>
      <c r="B772" s="2"/>
      <c r="C772" s="2"/>
      <c r="D772" s="2"/>
      <c r="E772" s="3"/>
      <c r="F772" s="2"/>
      <c r="G772" s="2"/>
      <c r="H772" s="2"/>
      <c r="I772" s="2"/>
      <c r="J772" s="2"/>
    </row>
    <row r="773" spans="1:10" ht="13" x14ac:dyDescent="0.15">
      <c r="A773" s="4"/>
      <c r="B773" s="2"/>
      <c r="C773" s="2"/>
      <c r="D773" s="2"/>
      <c r="E773" s="3"/>
      <c r="F773" s="2"/>
      <c r="G773" s="2"/>
      <c r="H773" s="2"/>
      <c r="I773" s="2"/>
      <c r="J773" s="2"/>
    </row>
    <row r="774" spans="1:10" ht="13" x14ac:dyDescent="0.15">
      <c r="A774" s="4"/>
      <c r="B774" s="2"/>
      <c r="C774" s="2"/>
      <c r="D774" s="2"/>
      <c r="E774" s="3"/>
      <c r="F774" s="2"/>
      <c r="G774" s="2"/>
      <c r="H774" s="2"/>
      <c r="I774" s="2"/>
      <c r="J774" s="2"/>
    </row>
    <row r="775" spans="1:10" ht="13" x14ac:dyDescent="0.15">
      <c r="A775" s="4"/>
      <c r="B775" s="2"/>
      <c r="C775" s="2"/>
      <c r="D775" s="2"/>
      <c r="E775" s="3"/>
      <c r="F775" s="2"/>
      <c r="G775" s="2"/>
      <c r="H775" s="2"/>
      <c r="I775" s="2"/>
      <c r="J775" s="2"/>
    </row>
    <row r="776" spans="1:10" ht="13" x14ac:dyDescent="0.15">
      <c r="A776" s="4"/>
      <c r="B776" s="2"/>
      <c r="C776" s="2"/>
      <c r="D776" s="2"/>
      <c r="E776" s="3"/>
      <c r="F776" s="2"/>
      <c r="G776" s="2"/>
      <c r="H776" s="2"/>
      <c r="I776" s="2"/>
      <c r="J776" s="2"/>
    </row>
    <row r="777" spans="1:10" ht="13" x14ac:dyDescent="0.15">
      <c r="A777" s="4"/>
      <c r="B777" s="2"/>
      <c r="C777" s="2"/>
      <c r="D777" s="2"/>
      <c r="E777" s="3"/>
      <c r="F777" s="2"/>
      <c r="G777" s="2"/>
      <c r="H777" s="2"/>
      <c r="I777" s="2"/>
      <c r="J777" s="2"/>
    </row>
    <row r="778" spans="1:10" ht="13" x14ac:dyDescent="0.15">
      <c r="A778" s="4"/>
      <c r="B778" s="2"/>
      <c r="C778" s="2"/>
      <c r="D778" s="2"/>
      <c r="E778" s="3"/>
      <c r="F778" s="2"/>
      <c r="G778" s="2"/>
      <c r="H778" s="2"/>
      <c r="I778" s="2"/>
      <c r="J778" s="2"/>
    </row>
    <row r="779" spans="1:10" ht="13" x14ac:dyDescent="0.15">
      <c r="A779" s="4"/>
      <c r="B779" s="2"/>
      <c r="C779" s="2"/>
      <c r="D779" s="2"/>
      <c r="E779" s="3"/>
      <c r="F779" s="2"/>
      <c r="G779" s="2"/>
      <c r="H779" s="2"/>
      <c r="I779" s="2"/>
      <c r="J779" s="2"/>
    </row>
    <row r="780" spans="1:10" ht="13" x14ac:dyDescent="0.15">
      <c r="A780" s="4"/>
      <c r="B780" s="2"/>
      <c r="C780" s="2"/>
      <c r="D780" s="2"/>
      <c r="E780" s="3"/>
      <c r="F780" s="2"/>
      <c r="G780" s="2"/>
      <c r="H780" s="2"/>
      <c r="I780" s="2"/>
      <c r="J780" s="2"/>
    </row>
    <row r="781" spans="1:10" ht="13" x14ac:dyDescent="0.15">
      <c r="A781" s="4"/>
      <c r="B781" s="2"/>
      <c r="C781" s="2"/>
      <c r="D781" s="2"/>
      <c r="E781" s="3"/>
      <c r="F781" s="2"/>
      <c r="G781" s="2"/>
      <c r="H781" s="2"/>
      <c r="I781" s="2"/>
      <c r="J781" s="2"/>
    </row>
    <row r="782" spans="1:10" ht="13" x14ac:dyDescent="0.15">
      <c r="A782" s="4"/>
      <c r="B782" s="2"/>
      <c r="C782" s="2"/>
      <c r="D782" s="2"/>
      <c r="E782" s="3"/>
      <c r="F782" s="2"/>
      <c r="G782" s="2"/>
      <c r="H782" s="2"/>
      <c r="I782" s="2"/>
      <c r="J782" s="2"/>
    </row>
    <row r="783" spans="1:10" ht="13" x14ac:dyDescent="0.15">
      <c r="A783" s="4"/>
      <c r="B783" s="2"/>
      <c r="C783" s="2"/>
      <c r="D783" s="2"/>
      <c r="E783" s="3"/>
      <c r="F783" s="2"/>
      <c r="G783" s="2"/>
      <c r="H783" s="2"/>
      <c r="I783" s="2"/>
      <c r="J783" s="2"/>
    </row>
    <row r="784" spans="1:10" ht="13" x14ac:dyDescent="0.15">
      <c r="A784" s="4"/>
      <c r="B784" s="2"/>
      <c r="C784" s="2"/>
      <c r="D784" s="2"/>
      <c r="E784" s="3"/>
      <c r="F784" s="2"/>
      <c r="G784" s="2"/>
      <c r="H784" s="2"/>
      <c r="I784" s="2"/>
      <c r="J784" s="2"/>
    </row>
    <row r="785" spans="1:10" ht="13" x14ac:dyDescent="0.15">
      <c r="A785" s="4"/>
      <c r="B785" s="2"/>
      <c r="C785" s="2"/>
      <c r="D785" s="2"/>
      <c r="E785" s="3"/>
      <c r="F785" s="2"/>
      <c r="G785" s="2"/>
      <c r="H785" s="2"/>
      <c r="I785" s="2"/>
      <c r="J785" s="2"/>
    </row>
    <row r="786" spans="1:10" ht="13" x14ac:dyDescent="0.15">
      <c r="A786" s="4"/>
      <c r="B786" s="2"/>
      <c r="C786" s="2"/>
      <c r="D786" s="2"/>
      <c r="E786" s="3"/>
      <c r="F786" s="2"/>
      <c r="G786" s="2"/>
      <c r="H786" s="2"/>
      <c r="I786" s="2"/>
      <c r="J786" s="2"/>
    </row>
    <row r="787" spans="1:10" ht="13" x14ac:dyDescent="0.15">
      <c r="A787" s="4"/>
      <c r="B787" s="2"/>
      <c r="C787" s="2"/>
      <c r="D787" s="2"/>
      <c r="E787" s="3"/>
      <c r="F787" s="2"/>
      <c r="G787" s="2"/>
      <c r="H787" s="2"/>
      <c r="I787" s="2"/>
      <c r="J787" s="2"/>
    </row>
    <row r="788" spans="1:10" ht="13" x14ac:dyDescent="0.15">
      <c r="A788" s="4"/>
      <c r="B788" s="2"/>
      <c r="C788" s="2"/>
      <c r="D788" s="2"/>
      <c r="E788" s="3"/>
      <c r="F788" s="2"/>
      <c r="G788" s="2"/>
      <c r="H788" s="2"/>
      <c r="I788" s="2"/>
      <c r="J788" s="2"/>
    </row>
    <row r="789" spans="1:10" ht="13" x14ac:dyDescent="0.15">
      <c r="A789" s="4"/>
      <c r="B789" s="2"/>
      <c r="C789" s="2"/>
      <c r="D789" s="2"/>
      <c r="E789" s="3"/>
      <c r="F789" s="2"/>
      <c r="G789" s="2"/>
      <c r="H789" s="2"/>
      <c r="I789" s="2"/>
      <c r="J789" s="2"/>
    </row>
    <row r="790" spans="1:10" ht="13" x14ac:dyDescent="0.15">
      <c r="A790" s="4"/>
      <c r="B790" s="2"/>
      <c r="C790" s="2"/>
      <c r="D790" s="2"/>
      <c r="E790" s="3"/>
      <c r="F790" s="2"/>
      <c r="G790" s="2"/>
      <c r="H790" s="2"/>
      <c r="I790" s="2"/>
      <c r="J790" s="2"/>
    </row>
    <row r="791" spans="1:10" ht="13" x14ac:dyDescent="0.15">
      <c r="A791" s="4"/>
      <c r="B791" s="2"/>
      <c r="C791" s="2"/>
      <c r="D791" s="2"/>
      <c r="E791" s="3"/>
      <c r="F791" s="2"/>
      <c r="G791" s="2"/>
      <c r="H791" s="2"/>
      <c r="I791" s="2"/>
      <c r="J791" s="2"/>
    </row>
    <row r="792" spans="1:10" ht="13" x14ac:dyDescent="0.15">
      <c r="A792" s="4"/>
      <c r="B792" s="2"/>
      <c r="C792" s="2"/>
      <c r="D792" s="2"/>
      <c r="E792" s="3"/>
      <c r="F792" s="2"/>
      <c r="G792" s="2"/>
      <c r="H792" s="2"/>
      <c r="I792" s="2"/>
      <c r="J792" s="2"/>
    </row>
    <row r="793" spans="1:10" ht="13" x14ac:dyDescent="0.15">
      <c r="A793" s="4"/>
      <c r="B793" s="2"/>
      <c r="C793" s="2"/>
      <c r="D793" s="2"/>
      <c r="E793" s="3"/>
      <c r="F793" s="2"/>
      <c r="G793" s="2"/>
      <c r="H793" s="2"/>
      <c r="I793" s="2"/>
      <c r="J793" s="2"/>
    </row>
    <row r="794" spans="1:10" ht="13" x14ac:dyDescent="0.15">
      <c r="A794" s="4"/>
      <c r="B794" s="2"/>
      <c r="C794" s="2"/>
      <c r="D794" s="2"/>
      <c r="E794" s="3"/>
      <c r="F794" s="2"/>
      <c r="G794" s="2"/>
      <c r="H794" s="2"/>
      <c r="I794" s="2"/>
      <c r="J794" s="2"/>
    </row>
    <row r="795" spans="1:10" ht="13" x14ac:dyDescent="0.15">
      <c r="A795" s="4"/>
      <c r="B795" s="2"/>
      <c r="C795" s="2"/>
      <c r="D795" s="2"/>
      <c r="E795" s="3"/>
      <c r="F795" s="2"/>
      <c r="G795" s="2"/>
      <c r="H795" s="2"/>
      <c r="I795" s="2"/>
      <c r="J795" s="2"/>
    </row>
    <row r="796" spans="1:10" ht="13" x14ac:dyDescent="0.15">
      <c r="A796" s="4"/>
      <c r="B796" s="2"/>
      <c r="C796" s="2"/>
      <c r="D796" s="2"/>
      <c r="E796" s="3"/>
      <c r="F796" s="2"/>
      <c r="G796" s="2"/>
      <c r="H796" s="2"/>
      <c r="I796" s="2"/>
      <c r="J796" s="2"/>
    </row>
    <row r="797" spans="1:10" ht="13" x14ac:dyDescent="0.15">
      <c r="A797" s="4"/>
      <c r="B797" s="2"/>
      <c r="C797" s="2"/>
      <c r="D797" s="2"/>
      <c r="E797" s="3"/>
      <c r="F797" s="2"/>
      <c r="G797" s="2"/>
      <c r="H797" s="2"/>
      <c r="I797" s="2"/>
      <c r="J797" s="2"/>
    </row>
    <row r="798" spans="1:10" ht="13" x14ac:dyDescent="0.15">
      <c r="A798" s="4"/>
      <c r="B798" s="2"/>
      <c r="C798" s="2"/>
      <c r="D798" s="2"/>
      <c r="E798" s="3"/>
      <c r="F798" s="2"/>
      <c r="G798" s="2"/>
      <c r="H798" s="2"/>
      <c r="I798" s="2"/>
      <c r="J798" s="2"/>
    </row>
    <row r="799" spans="1:10" ht="13" x14ac:dyDescent="0.15">
      <c r="A799" s="4"/>
      <c r="B799" s="2"/>
      <c r="C799" s="2"/>
      <c r="D799" s="2"/>
      <c r="E799" s="3"/>
      <c r="F799" s="2"/>
      <c r="G799" s="2"/>
      <c r="H799" s="2"/>
      <c r="I799" s="2"/>
      <c r="J799" s="2"/>
    </row>
    <row r="800" spans="1:10" ht="13" x14ac:dyDescent="0.15">
      <c r="A800" s="4"/>
      <c r="B800" s="2"/>
      <c r="C800" s="2"/>
      <c r="D800" s="2"/>
      <c r="E800" s="3"/>
      <c r="F800" s="2"/>
      <c r="G800" s="2"/>
      <c r="H800" s="2"/>
      <c r="I800" s="2"/>
      <c r="J800" s="2"/>
    </row>
    <row r="801" spans="1:10" ht="13" x14ac:dyDescent="0.15">
      <c r="A801" s="4"/>
      <c r="B801" s="2"/>
      <c r="C801" s="2"/>
      <c r="D801" s="2"/>
      <c r="E801" s="3"/>
      <c r="F801" s="2"/>
      <c r="G801" s="2"/>
      <c r="H801" s="2"/>
      <c r="I801" s="2"/>
      <c r="J801" s="2"/>
    </row>
    <row r="802" spans="1:10" ht="13" x14ac:dyDescent="0.15">
      <c r="A802" s="4"/>
      <c r="B802" s="2"/>
      <c r="C802" s="2"/>
      <c r="D802" s="2"/>
      <c r="E802" s="3"/>
      <c r="F802" s="2"/>
      <c r="G802" s="2"/>
      <c r="H802" s="2"/>
      <c r="I802" s="2"/>
      <c r="J802" s="2"/>
    </row>
    <row r="803" spans="1:10" ht="13" x14ac:dyDescent="0.15">
      <c r="A803" s="4"/>
      <c r="B803" s="2"/>
      <c r="C803" s="2"/>
      <c r="D803" s="2"/>
      <c r="E803" s="3"/>
      <c r="F803" s="2"/>
      <c r="G803" s="2"/>
      <c r="H803" s="2"/>
      <c r="I803" s="2"/>
      <c r="J803" s="2"/>
    </row>
    <row r="804" spans="1:10" ht="13" x14ac:dyDescent="0.15">
      <c r="A804" s="4"/>
      <c r="B804" s="2"/>
      <c r="C804" s="2"/>
      <c r="D804" s="2"/>
      <c r="E804" s="3"/>
      <c r="F804" s="2"/>
      <c r="G804" s="2"/>
      <c r="H804" s="2"/>
      <c r="I804" s="2"/>
      <c r="J804" s="2"/>
    </row>
    <row r="805" spans="1:10" ht="13" x14ac:dyDescent="0.15">
      <c r="A805" s="4"/>
      <c r="B805" s="2"/>
      <c r="C805" s="2"/>
      <c r="D805" s="2"/>
      <c r="E805" s="3"/>
      <c r="F805" s="2"/>
      <c r="G805" s="2"/>
      <c r="H805" s="2"/>
      <c r="I805" s="2"/>
      <c r="J805" s="2"/>
    </row>
    <row r="806" spans="1:10" ht="13" x14ac:dyDescent="0.15">
      <c r="A806" s="4"/>
      <c r="B806" s="2"/>
      <c r="C806" s="2"/>
      <c r="D806" s="2"/>
      <c r="E806" s="3"/>
      <c r="F806" s="2"/>
      <c r="G806" s="2"/>
      <c r="H806" s="2"/>
      <c r="I806" s="2"/>
      <c r="J806" s="2"/>
    </row>
    <row r="807" spans="1:10" ht="13" x14ac:dyDescent="0.15">
      <c r="A807" s="4"/>
      <c r="B807" s="2"/>
      <c r="C807" s="2"/>
      <c r="D807" s="2"/>
      <c r="E807" s="3"/>
      <c r="F807" s="2"/>
      <c r="G807" s="2"/>
      <c r="H807" s="2"/>
      <c r="I807" s="2"/>
      <c r="J807" s="2"/>
    </row>
    <row r="808" spans="1:10" ht="13" x14ac:dyDescent="0.15">
      <c r="A808" s="4"/>
      <c r="B808" s="2"/>
      <c r="C808" s="2"/>
      <c r="D808" s="2"/>
      <c r="E808" s="3"/>
      <c r="F808" s="2"/>
      <c r="G808" s="2"/>
      <c r="H808" s="2"/>
      <c r="I808" s="2"/>
      <c r="J808" s="2"/>
    </row>
    <row r="809" spans="1:10" ht="13" x14ac:dyDescent="0.15">
      <c r="A809" s="4"/>
      <c r="B809" s="2"/>
      <c r="C809" s="2"/>
      <c r="D809" s="2"/>
      <c r="E809" s="3"/>
      <c r="F809" s="2"/>
      <c r="G809" s="2"/>
      <c r="H809" s="2"/>
      <c r="I809" s="2"/>
      <c r="J809" s="2"/>
    </row>
    <row r="810" spans="1:10" ht="13" x14ac:dyDescent="0.15">
      <c r="A810" s="4"/>
      <c r="B810" s="2"/>
      <c r="C810" s="2"/>
      <c r="D810" s="2"/>
      <c r="E810" s="3"/>
      <c r="F810" s="2"/>
      <c r="G810" s="2"/>
      <c r="H810" s="2"/>
      <c r="I810" s="2"/>
      <c r="J810" s="2"/>
    </row>
    <row r="811" spans="1:10" ht="13" x14ac:dyDescent="0.15">
      <c r="A811" s="4"/>
      <c r="B811" s="2"/>
      <c r="C811" s="2"/>
      <c r="D811" s="2"/>
      <c r="E811" s="3"/>
      <c r="F811" s="2"/>
      <c r="G811" s="2"/>
      <c r="H811" s="2"/>
      <c r="I811" s="2"/>
      <c r="J811" s="2"/>
    </row>
    <row r="812" spans="1:10" ht="13" x14ac:dyDescent="0.15">
      <c r="A812" s="4"/>
      <c r="B812" s="2"/>
      <c r="C812" s="2"/>
      <c r="D812" s="2"/>
      <c r="E812" s="3"/>
      <c r="F812" s="2"/>
      <c r="G812" s="2"/>
      <c r="H812" s="2"/>
      <c r="I812" s="2"/>
      <c r="J812" s="2"/>
    </row>
    <row r="813" spans="1:10" ht="13" x14ac:dyDescent="0.15">
      <c r="A813" s="4"/>
      <c r="B813" s="2"/>
      <c r="C813" s="2"/>
      <c r="D813" s="2"/>
      <c r="E813" s="3"/>
      <c r="F813" s="2"/>
      <c r="G813" s="2"/>
      <c r="H813" s="2"/>
      <c r="I813" s="2"/>
      <c r="J813" s="2"/>
    </row>
    <row r="814" spans="1:10" ht="13" x14ac:dyDescent="0.15">
      <c r="A814" s="4"/>
      <c r="B814" s="2"/>
      <c r="C814" s="2"/>
      <c r="D814" s="2"/>
      <c r="E814" s="3"/>
      <c r="F814" s="2"/>
      <c r="G814" s="2"/>
      <c r="H814" s="2"/>
      <c r="I814" s="2"/>
      <c r="J814" s="2"/>
    </row>
    <row r="815" spans="1:10" ht="13" x14ac:dyDescent="0.15">
      <c r="A815" s="4"/>
      <c r="B815" s="2"/>
      <c r="C815" s="2"/>
      <c r="D815" s="2"/>
      <c r="E815" s="3"/>
      <c r="F815" s="2"/>
      <c r="G815" s="2"/>
      <c r="H815" s="2"/>
      <c r="I815" s="2"/>
      <c r="J815" s="2"/>
    </row>
    <row r="816" spans="1:10" ht="13" x14ac:dyDescent="0.15">
      <c r="A816" s="4"/>
      <c r="B816" s="2"/>
      <c r="C816" s="2"/>
      <c r="D816" s="2"/>
      <c r="E816" s="3"/>
      <c r="F816" s="2"/>
      <c r="G816" s="2"/>
      <c r="H816" s="2"/>
      <c r="I816" s="2"/>
      <c r="J816" s="2"/>
    </row>
    <row r="817" spans="1:10" ht="13" x14ac:dyDescent="0.15">
      <c r="A817" s="4"/>
      <c r="B817" s="2"/>
      <c r="C817" s="2"/>
      <c r="D817" s="2"/>
      <c r="E817" s="3"/>
      <c r="F817" s="2"/>
      <c r="G817" s="2"/>
      <c r="H817" s="2"/>
      <c r="I817" s="2"/>
      <c r="J817" s="2"/>
    </row>
    <row r="818" spans="1:10" ht="13" x14ac:dyDescent="0.15">
      <c r="A818" s="4"/>
      <c r="B818" s="2"/>
      <c r="C818" s="2"/>
      <c r="D818" s="2"/>
      <c r="E818" s="3"/>
      <c r="F818" s="2"/>
      <c r="G818" s="2"/>
      <c r="H818" s="2"/>
      <c r="I818" s="2"/>
      <c r="J818" s="2"/>
    </row>
    <row r="819" spans="1:10" ht="13" x14ac:dyDescent="0.15">
      <c r="A819" s="4"/>
      <c r="B819" s="2"/>
      <c r="C819" s="2"/>
      <c r="D819" s="2"/>
      <c r="E819" s="3"/>
      <c r="F819" s="2"/>
      <c r="G819" s="2"/>
      <c r="H819" s="2"/>
      <c r="I819" s="2"/>
      <c r="J819" s="2"/>
    </row>
    <row r="820" spans="1:10" ht="13" x14ac:dyDescent="0.15">
      <c r="A820" s="4"/>
      <c r="B820" s="2"/>
      <c r="C820" s="2"/>
      <c r="D820" s="2"/>
      <c r="E820" s="3"/>
      <c r="F820" s="2"/>
      <c r="G820" s="2"/>
      <c r="H820" s="2"/>
      <c r="I820" s="2"/>
      <c r="J820" s="2"/>
    </row>
    <row r="821" spans="1:10" ht="13" x14ac:dyDescent="0.15">
      <c r="A821" s="4"/>
      <c r="B821" s="2"/>
      <c r="C821" s="2"/>
      <c r="D821" s="2"/>
      <c r="E821" s="3"/>
      <c r="F821" s="2"/>
      <c r="G821" s="2"/>
      <c r="H821" s="2"/>
      <c r="I821" s="2"/>
      <c r="J821" s="2"/>
    </row>
    <row r="822" spans="1:10" ht="13" x14ac:dyDescent="0.15">
      <c r="A822" s="4"/>
      <c r="B822" s="2"/>
      <c r="C822" s="2"/>
      <c r="D822" s="2"/>
      <c r="E822" s="3"/>
      <c r="F822" s="2"/>
      <c r="G822" s="2"/>
      <c r="H822" s="2"/>
      <c r="I822" s="2"/>
      <c r="J822" s="2"/>
    </row>
    <row r="823" spans="1:10" ht="13" x14ac:dyDescent="0.15">
      <c r="A823" s="4"/>
      <c r="B823" s="2"/>
      <c r="C823" s="2"/>
      <c r="D823" s="2"/>
      <c r="E823" s="3"/>
      <c r="F823" s="2"/>
      <c r="G823" s="2"/>
      <c r="H823" s="2"/>
      <c r="I823" s="2"/>
      <c r="J823" s="2"/>
    </row>
    <row r="824" spans="1:10" ht="13" x14ac:dyDescent="0.15">
      <c r="A824" s="4"/>
      <c r="B824" s="2"/>
      <c r="C824" s="2"/>
      <c r="D824" s="2"/>
      <c r="E824" s="3"/>
      <c r="F824" s="2"/>
      <c r="G824" s="2"/>
      <c r="H824" s="2"/>
      <c r="I824" s="2"/>
      <c r="J824" s="2"/>
    </row>
    <row r="825" spans="1:10" ht="13" x14ac:dyDescent="0.15">
      <c r="A825" s="4"/>
      <c r="B825" s="2"/>
      <c r="C825" s="2"/>
      <c r="D825" s="2"/>
      <c r="E825" s="3"/>
      <c r="F825" s="2"/>
      <c r="G825" s="2"/>
      <c r="H825" s="2"/>
      <c r="I825" s="2"/>
      <c r="J825" s="2"/>
    </row>
    <row r="826" spans="1:10" ht="13" x14ac:dyDescent="0.15">
      <c r="A826" s="4"/>
      <c r="B826" s="2"/>
      <c r="C826" s="2"/>
      <c r="D826" s="2"/>
      <c r="E826" s="3"/>
      <c r="F826" s="2"/>
      <c r="G826" s="2"/>
      <c r="H826" s="2"/>
      <c r="I826" s="2"/>
      <c r="J826" s="2"/>
    </row>
    <row r="827" spans="1:10" ht="13" x14ac:dyDescent="0.15">
      <c r="A827" s="4"/>
      <c r="B827" s="2"/>
      <c r="C827" s="2"/>
      <c r="D827" s="2"/>
      <c r="E827" s="3"/>
      <c r="F827" s="2"/>
      <c r="G827" s="2"/>
      <c r="H827" s="2"/>
      <c r="I827" s="2"/>
      <c r="J827" s="2"/>
    </row>
    <row r="828" spans="1:10" ht="13" x14ac:dyDescent="0.15">
      <c r="A828" s="4"/>
      <c r="B828" s="2"/>
      <c r="C828" s="2"/>
      <c r="D828" s="2"/>
      <c r="E828" s="3"/>
      <c r="F828" s="2"/>
      <c r="G828" s="2"/>
      <c r="H828" s="2"/>
      <c r="I828" s="2"/>
      <c r="J828" s="2"/>
    </row>
    <row r="829" spans="1:10" ht="13" x14ac:dyDescent="0.15">
      <c r="A829" s="4"/>
      <c r="B829" s="2"/>
      <c r="C829" s="2"/>
      <c r="D829" s="2"/>
      <c r="E829" s="3"/>
      <c r="F829" s="2"/>
      <c r="G829" s="2"/>
      <c r="H829" s="2"/>
      <c r="I829" s="2"/>
      <c r="J829" s="2"/>
    </row>
    <row r="830" spans="1:10" ht="13" x14ac:dyDescent="0.15">
      <c r="A830" s="4"/>
      <c r="B830" s="2"/>
      <c r="C830" s="2"/>
      <c r="D830" s="2"/>
      <c r="E830" s="3"/>
      <c r="F830" s="2"/>
      <c r="G830" s="2"/>
      <c r="H830" s="2"/>
      <c r="I830" s="2"/>
      <c r="J830" s="2"/>
    </row>
    <row r="831" spans="1:10" ht="13" x14ac:dyDescent="0.15">
      <c r="A831" s="4"/>
      <c r="B831" s="2"/>
      <c r="C831" s="2"/>
      <c r="D831" s="2"/>
      <c r="E831" s="3"/>
      <c r="F831" s="2"/>
      <c r="G831" s="2"/>
      <c r="H831" s="2"/>
      <c r="I831" s="2"/>
      <c r="J831" s="2"/>
    </row>
    <row r="832" spans="1:10" ht="13" x14ac:dyDescent="0.15">
      <c r="A832" s="4"/>
      <c r="B832" s="2"/>
      <c r="C832" s="2"/>
      <c r="D832" s="2"/>
      <c r="E832" s="3"/>
      <c r="F832" s="2"/>
      <c r="G832" s="2"/>
      <c r="H832" s="2"/>
      <c r="I832" s="2"/>
      <c r="J832" s="2"/>
    </row>
    <row r="833" spans="1:10" ht="13" x14ac:dyDescent="0.15">
      <c r="A833" s="4"/>
      <c r="B833" s="2"/>
      <c r="C833" s="2"/>
      <c r="D833" s="2"/>
      <c r="E833" s="3"/>
      <c r="F833" s="2"/>
      <c r="G833" s="2"/>
      <c r="H833" s="2"/>
      <c r="I833" s="2"/>
      <c r="J833" s="2"/>
    </row>
    <row r="834" spans="1:10" ht="13" x14ac:dyDescent="0.15">
      <c r="A834" s="4"/>
      <c r="B834" s="2"/>
      <c r="C834" s="2"/>
      <c r="D834" s="2"/>
      <c r="E834" s="3"/>
      <c r="F834" s="2"/>
      <c r="G834" s="2"/>
      <c r="H834" s="2"/>
      <c r="I834" s="2"/>
      <c r="J834" s="2"/>
    </row>
    <row r="835" spans="1:10" ht="13" x14ac:dyDescent="0.15">
      <c r="A835" s="4"/>
      <c r="B835" s="2"/>
      <c r="C835" s="2"/>
      <c r="D835" s="2"/>
      <c r="E835" s="3"/>
      <c r="F835" s="2"/>
      <c r="G835" s="2"/>
      <c r="H835" s="2"/>
      <c r="I835" s="2"/>
      <c r="J835" s="2"/>
    </row>
    <row r="836" spans="1:10" ht="13" x14ac:dyDescent="0.15">
      <c r="A836" s="4"/>
      <c r="B836" s="2"/>
      <c r="C836" s="2"/>
      <c r="D836" s="2"/>
      <c r="E836" s="3"/>
      <c r="F836" s="2"/>
      <c r="G836" s="2"/>
      <c r="H836" s="2"/>
      <c r="I836" s="2"/>
      <c r="J836" s="2"/>
    </row>
    <row r="837" spans="1:10" ht="13" x14ac:dyDescent="0.15">
      <c r="A837" s="4"/>
      <c r="B837" s="2"/>
      <c r="C837" s="2"/>
      <c r="D837" s="2"/>
      <c r="E837" s="3"/>
      <c r="F837" s="2"/>
      <c r="G837" s="2"/>
      <c r="H837" s="2"/>
      <c r="I837" s="2"/>
      <c r="J837" s="2"/>
    </row>
    <row r="838" spans="1:10" ht="13" x14ac:dyDescent="0.15">
      <c r="A838" s="4"/>
      <c r="B838" s="2"/>
      <c r="C838" s="2"/>
      <c r="D838" s="2"/>
      <c r="E838" s="3"/>
      <c r="F838" s="2"/>
      <c r="G838" s="2"/>
      <c r="H838" s="2"/>
      <c r="I838" s="2"/>
      <c r="J838" s="2"/>
    </row>
    <row r="839" spans="1:10" ht="13" x14ac:dyDescent="0.15">
      <c r="A839" s="4"/>
      <c r="B839" s="2"/>
      <c r="C839" s="2"/>
      <c r="D839" s="2"/>
      <c r="E839" s="3"/>
      <c r="F839" s="2"/>
      <c r="G839" s="2"/>
      <c r="H839" s="2"/>
      <c r="I839" s="2"/>
      <c r="J839" s="2"/>
    </row>
    <row r="840" spans="1:10" ht="13" x14ac:dyDescent="0.15">
      <c r="A840" s="4"/>
      <c r="B840" s="2"/>
      <c r="C840" s="2"/>
      <c r="D840" s="2"/>
      <c r="E840" s="3"/>
      <c r="F840" s="2"/>
      <c r="G840" s="2"/>
      <c r="H840" s="2"/>
      <c r="I840" s="2"/>
      <c r="J840" s="2"/>
    </row>
    <row r="841" spans="1:10" ht="13" x14ac:dyDescent="0.15">
      <c r="A841" s="4"/>
      <c r="B841" s="2"/>
      <c r="C841" s="2"/>
      <c r="D841" s="2"/>
      <c r="E841" s="3"/>
      <c r="F841" s="2"/>
      <c r="G841" s="2"/>
      <c r="H841" s="2"/>
      <c r="I841" s="2"/>
      <c r="J841" s="2"/>
    </row>
    <row r="842" spans="1:10" ht="13" x14ac:dyDescent="0.15">
      <c r="A842" s="4"/>
      <c r="B842" s="2"/>
      <c r="C842" s="2"/>
      <c r="D842" s="2"/>
      <c r="E842" s="3"/>
      <c r="F842" s="2"/>
      <c r="G842" s="2"/>
      <c r="H842" s="2"/>
      <c r="I842" s="2"/>
      <c r="J842" s="2"/>
    </row>
    <row r="843" spans="1:10" ht="13" x14ac:dyDescent="0.15">
      <c r="A843" s="4"/>
      <c r="B843" s="2"/>
      <c r="C843" s="2"/>
      <c r="D843" s="2"/>
      <c r="E843" s="3"/>
      <c r="F843" s="2"/>
      <c r="G843" s="2"/>
      <c r="H843" s="2"/>
      <c r="I843" s="2"/>
      <c r="J843" s="2"/>
    </row>
    <row r="844" spans="1:10" ht="13" x14ac:dyDescent="0.15">
      <c r="A844" s="4"/>
      <c r="B844" s="2"/>
      <c r="C844" s="2"/>
      <c r="D844" s="2"/>
      <c r="E844" s="3"/>
      <c r="F844" s="2"/>
      <c r="G844" s="2"/>
      <c r="H844" s="2"/>
      <c r="I844" s="2"/>
      <c r="J844" s="2"/>
    </row>
    <row r="845" spans="1:10" ht="13" x14ac:dyDescent="0.15">
      <c r="A845" s="4"/>
      <c r="B845" s="2"/>
      <c r="C845" s="2"/>
      <c r="D845" s="2"/>
      <c r="E845" s="3"/>
      <c r="F845" s="2"/>
      <c r="G845" s="2"/>
      <c r="H845" s="2"/>
      <c r="I845" s="2"/>
      <c r="J845" s="2"/>
    </row>
    <row r="846" spans="1:10" ht="13" x14ac:dyDescent="0.15">
      <c r="A846" s="4"/>
      <c r="B846" s="2"/>
      <c r="C846" s="2"/>
      <c r="D846" s="2"/>
      <c r="E846" s="3"/>
      <c r="F846" s="2"/>
      <c r="G846" s="2"/>
      <c r="H846" s="2"/>
      <c r="I846" s="2"/>
      <c r="J846" s="2"/>
    </row>
    <row r="847" spans="1:10" ht="13" x14ac:dyDescent="0.15">
      <c r="A847" s="4"/>
      <c r="B847" s="2"/>
      <c r="C847" s="2"/>
      <c r="D847" s="2"/>
      <c r="E847" s="3"/>
      <c r="F847" s="2"/>
      <c r="G847" s="2"/>
      <c r="H847" s="2"/>
      <c r="I847" s="2"/>
      <c r="J847" s="2"/>
    </row>
    <row r="848" spans="1:10" ht="13" x14ac:dyDescent="0.15">
      <c r="A848" s="4"/>
      <c r="B848" s="2"/>
      <c r="C848" s="2"/>
      <c r="D848" s="2"/>
      <c r="E848" s="3"/>
      <c r="F848" s="2"/>
      <c r="G848" s="2"/>
      <c r="H848" s="2"/>
      <c r="I848" s="2"/>
      <c r="J848" s="2"/>
    </row>
    <row r="849" spans="1:10" ht="13" x14ac:dyDescent="0.15">
      <c r="A849" s="4"/>
      <c r="B849" s="2"/>
      <c r="C849" s="2"/>
      <c r="D849" s="2"/>
      <c r="E849" s="3"/>
      <c r="F849" s="2"/>
      <c r="G849" s="2"/>
      <c r="H849" s="2"/>
      <c r="I849" s="2"/>
      <c r="J849" s="2"/>
    </row>
    <row r="850" spans="1:10" ht="13" x14ac:dyDescent="0.15">
      <c r="A850" s="4"/>
      <c r="B850" s="2"/>
      <c r="C850" s="2"/>
      <c r="D850" s="2"/>
      <c r="E850" s="3"/>
      <c r="F850" s="2"/>
      <c r="G850" s="2"/>
      <c r="H850" s="2"/>
      <c r="I850" s="2"/>
      <c r="J850" s="2"/>
    </row>
    <row r="851" spans="1:10" ht="13" x14ac:dyDescent="0.15">
      <c r="A851" s="4"/>
      <c r="B851" s="2"/>
      <c r="C851" s="2"/>
      <c r="D851" s="2"/>
      <c r="E851" s="3"/>
      <c r="F851" s="2"/>
      <c r="G851" s="2"/>
      <c r="H851" s="2"/>
      <c r="I851" s="2"/>
      <c r="J851" s="2"/>
    </row>
    <row r="852" spans="1:10" ht="13" x14ac:dyDescent="0.15">
      <c r="A852" s="4"/>
      <c r="B852" s="2"/>
      <c r="C852" s="2"/>
      <c r="D852" s="2"/>
      <c r="E852" s="3"/>
      <c r="F852" s="2"/>
      <c r="G852" s="2"/>
      <c r="H852" s="2"/>
      <c r="I852" s="2"/>
      <c r="J852" s="2"/>
    </row>
    <row r="853" spans="1:10" ht="13" x14ac:dyDescent="0.15">
      <c r="A853" s="4"/>
      <c r="B853" s="2"/>
      <c r="C853" s="2"/>
      <c r="D853" s="2"/>
      <c r="E853" s="3"/>
      <c r="F853" s="2"/>
      <c r="G853" s="2"/>
      <c r="H853" s="2"/>
      <c r="I853" s="2"/>
      <c r="J853" s="2"/>
    </row>
    <row r="854" spans="1:10" ht="13" x14ac:dyDescent="0.15">
      <c r="A854" s="4"/>
      <c r="B854" s="2"/>
      <c r="C854" s="2"/>
      <c r="D854" s="2"/>
      <c r="E854" s="3"/>
      <c r="F854" s="2"/>
      <c r="G854" s="2"/>
      <c r="H854" s="2"/>
      <c r="I854" s="2"/>
      <c r="J854" s="2"/>
    </row>
    <row r="855" spans="1:10" ht="13" x14ac:dyDescent="0.15">
      <c r="A855" s="4"/>
      <c r="B855" s="2"/>
      <c r="C855" s="2"/>
      <c r="D855" s="2"/>
      <c r="E855" s="3"/>
      <c r="F855" s="2"/>
      <c r="G855" s="2"/>
      <c r="H855" s="2"/>
      <c r="I855" s="2"/>
      <c r="J855" s="2"/>
    </row>
    <row r="856" spans="1:10" ht="13" x14ac:dyDescent="0.15">
      <c r="A856" s="4"/>
      <c r="B856" s="2"/>
      <c r="C856" s="2"/>
      <c r="D856" s="2"/>
      <c r="E856" s="3"/>
      <c r="F856" s="2"/>
      <c r="G856" s="2"/>
      <c r="H856" s="2"/>
      <c r="I856" s="2"/>
      <c r="J856" s="2"/>
    </row>
    <row r="857" spans="1:10" ht="13" x14ac:dyDescent="0.15">
      <c r="A857" s="4"/>
      <c r="B857" s="2"/>
      <c r="C857" s="2"/>
      <c r="D857" s="2"/>
      <c r="E857" s="3"/>
      <c r="F857" s="2"/>
      <c r="G857" s="2"/>
      <c r="H857" s="2"/>
      <c r="I857" s="2"/>
      <c r="J857" s="2"/>
    </row>
    <row r="858" spans="1:10" ht="13" x14ac:dyDescent="0.15">
      <c r="A858" s="4"/>
      <c r="B858" s="2"/>
      <c r="C858" s="2"/>
      <c r="D858" s="2"/>
      <c r="E858" s="3"/>
      <c r="F858" s="2"/>
      <c r="G858" s="2"/>
      <c r="H858" s="2"/>
      <c r="I858" s="2"/>
      <c r="J858" s="2"/>
    </row>
    <row r="859" spans="1:10" ht="13" x14ac:dyDescent="0.15">
      <c r="A859" s="4"/>
      <c r="B859" s="2"/>
      <c r="C859" s="2"/>
      <c r="D859" s="2"/>
      <c r="E859" s="3"/>
      <c r="F859" s="2"/>
      <c r="G859" s="2"/>
      <c r="H859" s="2"/>
      <c r="I859" s="2"/>
      <c r="J859" s="2"/>
    </row>
    <row r="860" spans="1:10" ht="13" x14ac:dyDescent="0.15">
      <c r="A860" s="4"/>
      <c r="B860" s="2"/>
      <c r="C860" s="2"/>
      <c r="D860" s="2"/>
      <c r="E860" s="3"/>
      <c r="F860" s="2"/>
      <c r="G860" s="2"/>
      <c r="H860" s="2"/>
      <c r="I860" s="2"/>
      <c r="J860" s="2"/>
    </row>
    <row r="861" spans="1:10" ht="13" x14ac:dyDescent="0.15">
      <c r="A861" s="4"/>
      <c r="B861" s="2"/>
      <c r="C861" s="2"/>
      <c r="D861" s="2"/>
      <c r="E861" s="3"/>
      <c r="F861" s="2"/>
      <c r="G861" s="2"/>
      <c r="H861" s="2"/>
      <c r="I861" s="2"/>
      <c r="J861" s="2"/>
    </row>
    <row r="862" spans="1:10" ht="13" x14ac:dyDescent="0.15">
      <c r="A862" s="4"/>
      <c r="B862" s="2"/>
      <c r="C862" s="2"/>
      <c r="D862" s="2"/>
      <c r="E862" s="3"/>
      <c r="F862" s="2"/>
      <c r="G862" s="2"/>
      <c r="H862" s="2"/>
      <c r="I862" s="2"/>
      <c r="J862" s="2"/>
    </row>
    <row r="863" spans="1:10" ht="13" x14ac:dyDescent="0.15">
      <c r="A863" s="4"/>
      <c r="B863" s="2"/>
      <c r="C863" s="2"/>
      <c r="D863" s="2"/>
      <c r="E863" s="3"/>
      <c r="F863" s="2"/>
      <c r="G863" s="2"/>
      <c r="H863" s="2"/>
      <c r="I863" s="2"/>
      <c r="J863" s="2"/>
    </row>
    <row r="864" spans="1:10" ht="13" x14ac:dyDescent="0.15">
      <c r="A864" s="4"/>
      <c r="B864" s="2"/>
      <c r="C864" s="2"/>
      <c r="D864" s="2"/>
      <c r="E864" s="3"/>
      <c r="F864" s="2"/>
      <c r="G864" s="2"/>
      <c r="H864" s="2"/>
      <c r="I864" s="2"/>
      <c r="J864" s="2"/>
    </row>
    <row r="865" spans="1:10" ht="13" x14ac:dyDescent="0.15">
      <c r="A865" s="4"/>
      <c r="B865" s="2"/>
      <c r="C865" s="2"/>
      <c r="D865" s="2"/>
      <c r="E865" s="3"/>
      <c r="F865" s="2"/>
      <c r="G865" s="2"/>
      <c r="H865" s="2"/>
      <c r="I865" s="2"/>
      <c r="J865" s="2"/>
    </row>
    <row r="866" spans="1:10" ht="13" x14ac:dyDescent="0.15">
      <c r="A866" s="4"/>
      <c r="B866" s="2"/>
      <c r="C866" s="2"/>
      <c r="D866" s="2"/>
      <c r="E866" s="3"/>
      <c r="F866" s="2"/>
      <c r="G866" s="2"/>
      <c r="H866" s="2"/>
      <c r="I866" s="2"/>
      <c r="J866" s="2"/>
    </row>
    <row r="867" spans="1:10" ht="13" x14ac:dyDescent="0.15">
      <c r="A867" s="4"/>
      <c r="B867" s="2"/>
      <c r="C867" s="2"/>
      <c r="D867" s="2"/>
      <c r="E867" s="3"/>
      <c r="F867" s="2"/>
      <c r="G867" s="2"/>
      <c r="H867" s="2"/>
      <c r="I867" s="2"/>
      <c r="J867" s="2"/>
    </row>
    <row r="868" spans="1:10" ht="13" x14ac:dyDescent="0.15">
      <c r="A868" s="4"/>
      <c r="B868" s="2"/>
      <c r="C868" s="2"/>
      <c r="D868" s="2"/>
      <c r="E868" s="3"/>
      <c r="F868" s="2"/>
      <c r="G868" s="2"/>
      <c r="H868" s="2"/>
      <c r="I868" s="2"/>
      <c r="J868" s="2"/>
    </row>
    <row r="869" spans="1:10" ht="13" x14ac:dyDescent="0.15">
      <c r="A869" s="4"/>
      <c r="B869" s="2"/>
      <c r="C869" s="2"/>
      <c r="D869" s="2"/>
      <c r="E869" s="3"/>
      <c r="F869" s="2"/>
      <c r="G869" s="2"/>
      <c r="H869" s="2"/>
      <c r="I869" s="2"/>
      <c r="J869" s="2"/>
    </row>
    <row r="870" spans="1:10" ht="13" x14ac:dyDescent="0.15">
      <c r="A870" s="4"/>
      <c r="B870" s="2"/>
      <c r="C870" s="2"/>
      <c r="D870" s="2"/>
      <c r="E870" s="3"/>
      <c r="F870" s="2"/>
      <c r="G870" s="2"/>
      <c r="H870" s="2"/>
      <c r="I870" s="2"/>
      <c r="J870" s="2"/>
    </row>
    <row r="871" spans="1:10" ht="13" x14ac:dyDescent="0.15">
      <c r="A871" s="4"/>
      <c r="B871" s="2"/>
      <c r="C871" s="2"/>
      <c r="D871" s="2"/>
      <c r="E871" s="3"/>
      <c r="F871" s="2"/>
      <c r="G871" s="2"/>
      <c r="H871" s="2"/>
      <c r="I871" s="2"/>
      <c r="J871" s="2"/>
    </row>
    <row r="872" spans="1:10" ht="13" x14ac:dyDescent="0.15">
      <c r="A872" s="4"/>
      <c r="B872" s="2"/>
      <c r="C872" s="2"/>
      <c r="D872" s="2"/>
      <c r="E872" s="3"/>
      <c r="F872" s="2"/>
      <c r="G872" s="2"/>
      <c r="H872" s="2"/>
      <c r="I872" s="2"/>
      <c r="J872" s="2"/>
    </row>
    <row r="873" spans="1:10" ht="13" x14ac:dyDescent="0.15">
      <c r="A873" s="4"/>
      <c r="B873" s="2"/>
      <c r="C873" s="2"/>
      <c r="D873" s="2"/>
      <c r="E873" s="3"/>
      <c r="F873" s="2"/>
      <c r="G873" s="2"/>
      <c r="H873" s="2"/>
      <c r="I873" s="2"/>
      <c r="J873" s="2"/>
    </row>
    <row r="874" spans="1:10" ht="13" x14ac:dyDescent="0.15">
      <c r="A874" s="4"/>
      <c r="B874" s="2"/>
      <c r="C874" s="2"/>
      <c r="D874" s="2"/>
      <c r="E874" s="3"/>
      <c r="F874" s="2"/>
      <c r="G874" s="2"/>
      <c r="H874" s="2"/>
      <c r="I874" s="2"/>
      <c r="J874" s="2"/>
    </row>
    <row r="875" spans="1:10" ht="13" x14ac:dyDescent="0.15">
      <c r="A875" s="4"/>
      <c r="B875" s="2"/>
      <c r="C875" s="2"/>
      <c r="D875" s="2"/>
      <c r="E875" s="3"/>
      <c r="F875" s="2"/>
      <c r="G875" s="2"/>
      <c r="H875" s="2"/>
      <c r="I875" s="2"/>
      <c r="J875" s="2"/>
    </row>
    <row r="876" spans="1:10" ht="13" x14ac:dyDescent="0.15">
      <c r="A876" s="4"/>
      <c r="B876" s="2"/>
      <c r="C876" s="2"/>
      <c r="D876" s="2"/>
      <c r="E876" s="3"/>
      <c r="F876" s="2"/>
      <c r="G876" s="2"/>
      <c r="H876" s="2"/>
      <c r="I876" s="2"/>
      <c r="J876" s="2"/>
    </row>
    <row r="877" spans="1:10" ht="13" x14ac:dyDescent="0.15">
      <c r="A877" s="4"/>
      <c r="B877" s="2"/>
      <c r="C877" s="2"/>
      <c r="D877" s="2"/>
      <c r="E877" s="3"/>
      <c r="F877" s="2"/>
      <c r="G877" s="2"/>
      <c r="H877" s="2"/>
      <c r="I877" s="2"/>
      <c r="J877" s="2"/>
    </row>
    <row r="878" spans="1:10" ht="13" x14ac:dyDescent="0.15">
      <c r="A878" s="4"/>
      <c r="B878" s="2"/>
      <c r="C878" s="2"/>
      <c r="D878" s="2"/>
      <c r="E878" s="3"/>
      <c r="F878" s="2"/>
      <c r="G878" s="2"/>
      <c r="H878" s="2"/>
      <c r="I878" s="2"/>
      <c r="J878" s="2"/>
    </row>
    <row r="879" spans="1:10" ht="13" x14ac:dyDescent="0.15">
      <c r="A879" s="4"/>
      <c r="B879" s="2"/>
      <c r="C879" s="2"/>
      <c r="D879" s="2"/>
      <c r="E879" s="3"/>
      <c r="F879" s="2"/>
      <c r="G879" s="2"/>
      <c r="H879" s="2"/>
      <c r="I879" s="2"/>
      <c r="J879" s="2"/>
    </row>
    <row r="880" spans="1:10" ht="13" x14ac:dyDescent="0.15">
      <c r="A880" s="4"/>
      <c r="B880" s="2"/>
      <c r="C880" s="2"/>
      <c r="D880" s="2"/>
      <c r="E880" s="3"/>
      <c r="F880" s="2"/>
      <c r="G880" s="2"/>
      <c r="H880" s="2"/>
      <c r="I880" s="2"/>
      <c r="J880" s="2"/>
    </row>
    <row r="881" spans="1:10" ht="13" x14ac:dyDescent="0.15">
      <c r="A881" s="4"/>
      <c r="B881" s="2"/>
      <c r="C881" s="2"/>
      <c r="D881" s="2"/>
      <c r="E881" s="3"/>
      <c r="F881" s="2"/>
      <c r="G881" s="2"/>
      <c r="H881" s="2"/>
      <c r="I881" s="2"/>
      <c r="J881" s="2"/>
    </row>
    <row r="882" spans="1:10" ht="13" x14ac:dyDescent="0.15">
      <c r="A882" s="4"/>
      <c r="B882" s="2"/>
      <c r="C882" s="2"/>
      <c r="D882" s="2"/>
      <c r="E882" s="3"/>
      <c r="F882" s="2"/>
      <c r="G882" s="2"/>
      <c r="H882" s="2"/>
      <c r="I882" s="2"/>
      <c r="J882" s="2"/>
    </row>
    <row r="883" spans="1:10" ht="13" x14ac:dyDescent="0.15">
      <c r="A883" s="4"/>
      <c r="B883" s="2"/>
      <c r="C883" s="2"/>
      <c r="D883" s="2"/>
      <c r="E883" s="3"/>
      <c r="F883" s="2"/>
      <c r="G883" s="2"/>
      <c r="H883" s="2"/>
      <c r="I883" s="2"/>
      <c r="J883" s="2"/>
    </row>
    <row r="884" spans="1:10" ht="13" x14ac:dyDescent="0.15">
      <c r="A884" s="4"/>
      <c r="B884" s="2"/>
      <c r="C884" s="2"/>
      <c r="D884" s="2"/>
      <c r="E884" s="3"/>
      <c r="F884" s="2"/>
      <c r="G884" s="2"/>
      <c r="H884" s="2"/>
      <c r="I884" s="2"/>
      <c r="J884" s="2"/>
    </row>
    <row r="885" spans="1:10" ht="13" x14ac:dyDescent="0.15">
      <c r="A885" s="4"/>
      <c r="B885" s="2"/>
      <c r="C885" s="2"/>
      <c r="D885" s="2"/>
      <c r="E885" s="3"/>
      <c r="F885" s="2"/>
      <c r="G885" s="2"/>
      <c r="H885" s="2"/>
      <c r="I885" s="2"/>
      <c r="J885" s="2"/>
    </row>
    <row r="886" spans="1:10" ht="13" x14ac:dyDescent="0.15">
      <c r="A886" s="4"/>
      <c r="B886" s="2"/>
      <c r="C886" s="2"/>
      <c r="D886" s="2"/>
      <c r="E886" s="3"/>
      <c r="F886" s="2"/>
      <c r="G886" s="2"/>
      <c r="H886" s="2"/>
      <c r="I886" s="2"/>
      <c r="J886" s="2"/>
    </row>
    <row r="887" spans="1:10" ht="13" x14ac:dyDescent="0.15">
      <c r="A887" s="4"/>
      <c r="B887" s="2"/>
      <c r="C887" s="2"/>
      <c r="D887" s="2"/>
      <c r="E887" s="3"/>
      <c r="F887" s="2"/>
      <c r="G887" s="2"/>
      <c r="H887" s="2"/>
      <c r="I887" s="2"/>
      <c r="J887" s="2"/>
    </row>
    <row r="888" spans="1:10" ht="13" x14ac:dyDescent="0.15">
      <c r="A888" s="4"/>
      <c r="B888" s="2"/>
      <c r="C888" s="2"/>
      <c r="D888" s="2"/>
      <c r="E888" s="3"/>
      <c r="F888" s="2"/>
      <c r="G888" s="2"/>
      <c r="H888" s="2"/>
      <c r="I888" s="2"/>
      <c r="J888" s="2"/>
    </row>
    <row r="889" spans="1:10" ht="13" x14ac:dyDescent="0.15">
      <c r="A889" s="4"/>
      <c r="B889" s="2"/>
      <c r="C889" s="2"/>
      <c r="D889" s="2"/>
      <c r="E889" s="3"/>
      <c r="F889" s="2"/>
      <c r="G889" s="2"/>
      <c r="H889" s="2"/>
      <c r="I889" s="2"/>
      <c r="J889" s="2"/>
    </row>
    <row r="890" spans="1:10" ht="13" x14ac:dyDescent="0.15">
      <c r="A890" s="4"/>
      <c r="B890" s="2"/>
      <c r="C890" s="2"/>
      <c r="D890" s="2"/>
      <c r="E890" s="3"/>
      <c r="F890" s="2"/>
      <c r="G890" s="2"/>
      <c r="H890" s="2"/>
      <c r="I890" s="2"/>
      <c r="J890" s="2"/>
    </row>
    <row r="891" spans="1:10" ht="13" x14ac:dyDescent="0.15">
      <c r="A891" s="4"/>
      <c r="B891" s="2"/>
      <c r="C891" s="2"/>
      <c r="D891" s="2"/>
      <c r="E891" s="3"/>
      <c r="F891" s="2"/>
      <c r="G891" s="2"/>
      <c r="H891" s="2"/>
      <c r="I891" s="2"/>
      <c r="J891" s="2"/>
    </row>
    <row r="892" spans="1:10" ht="13" x14ac:dyDescent="0.15">
      <c r="A892" s="4"/>
      <c r="B892" s="2"/>
      <c r="C892" s="2"/>
      <c r="D892" s="2"/>
      <c r="E892" s="3"/>
      <c r="F892" s="2"/>
      <c r="G892" s="2"/>
      <c r="H892" s="2"/>
      <c r="I892" s="2"/>
      <c r="J892" s="2"/>
    </row>
    <row r="893" spans="1:10" ht="13" x14ac:dyDescent="0.15">
      <c r="A893" s="4"/>
      <c r="B893" s="2"/>
      <c r="C893" s="2"/>
      <c r="D893" s="2"/>
      <c r="E893" s="3"/>
      <c r="F893" s="2"/>
      <c r="G893" s="2"/>
      <c r="H893" s="2"/>
      <c r="I893" s="2"/>
      <c r="J893" s="2"/>
    </row>
    <row r="894" spans="1:10" ht="13" x14ac:dyDescent="0.15">
      <c r="A894" s="4"/>
      <c r="B894" s="2"/>
      <c r="C894" s="2"/>
      <c r="D894" s="2"/>
      <c r="E894" s="3"/>
      <c r="F894" s="2"/>
      <c r="G894" s="2"/>
      <c r="H894" s="2"/>
      <c r="I894" s="2"/>
      <c r="J894" s="2"/>
    </row>
    <row r="895" spans="1:10" ht="13" x14ac:dyDescent="0.15">
      <c r="A895" s="4"/>
      <c r="B895" s="2"/>
      <c r="C895" s="2"/>
      <c r="D895" s="2"/>
      <c r="E895" s="3"/>
      <c r="F895" s="2"/>
      <c r="G895" s="2"/>
      <c r="H895" s="2"/>
      <c r="I895" s="2"/>
      <c r="J895" s="2"/>
    </row>
    <row r="896" spans="1:10" ht="13" x14ac:dyDescent="0.15">
      <c r="A896" s="4"/>
      <c r="B896" s="2"/>
      <c r="C896" s="2"/>
      <c r="D896" s="2"/>
      <c r="E896" s="3"/>
      <c r="F896" s="2"/>
      <c r="G896" s="2"/>
      <c r="H896" s="2"/>
      <c r="I896" s="2"/>
      <c r="J896" s="2"/>
    </row>
    <row r="897" spans="1:10" ht="13" x14ac:dyDescent="0.15">
      <c r="A897" s="4"/>
      <c r="B897" s="2"/>
      <c r="C897" s="2"/>
      <c r="D897" s="2"/>
      <c r="E897" s="3"/>
      <c r="F897" s="2"/>
      <c r="G897" s="2"/>
      <c r="H897" s="2"/>
      <c r="I897" s="2"/>
      <c r="J897" s="2"/>
    </row>
    <row r="898" spans="1:10" ht="13" x14ac:dyDescent="0.15">
      <c r="A898" s="4"/>
      <c r="B898" s="2"/>
      <c r="C898" s="2"/>
      <c r="D898" s="2"/>
      <c r="E898" s="3"/>
      <c r="F898" s="2"/>
      <c r="G898" s="2"/>
      <c r="H898" s="2"/>
      <c r="I898" s="2"/>
      <c r="J898" s="2"/>
    </row>
    <row r="899" spans="1:10" ht="13" x14ac:dyDescent="0.15">
      <c r="A899" s="4"/>
      <c r="B899" s="2"/>
      <c r="C899" s="2"/>
      <c r="D899" s="2"/>
      <c r="E899" s="3"/>
      <c r="F899" s="2"/>
      <c r="G899" s="2"/>
      <c r="H899" s="2"/>
      <c r="I899" s="2"/>
      <c r="J899" s="2"/>
    </row>
    <row r="900" spans="1:10" ht="13" x14ac:dyDescent="0.15">
      <c r="A900" s="4"/>
      <c r="B900" s="2"/>
      <c r="C900" s="2"/>
      <c r="D900" s="2"/>
      <c r="E900" s="3"/>
      <c r="F900" s="2"/>
      <c r="G900" s="2"/>
      <c r="H900" s="2"/>
      <c r="I900" s="2"/>
      <c r="J900" s="2"/>
    </row>
    <row r="901" spans="1:10" ht="13" x14ac:dyDescent="0.15">
      <c r="A901" s="4"/>
      <c r="B901" s="2"/>
      <c r="C901" s="2"/>
      <c r="D901" s="2"/>
      <c r="E901" s="3"/>
      <c r="F901" s="2"/>
      <c r="G901" s="2"/>
      <c r="H901" s="2"/>
      <c r="I901" s="2"/>
      <c r="J901" s="2"/>
    </row>
    <row r="902" spans="1:10" ht="13" x14ac:dyDescent="0.15">
      <c r="A902" s="4"/>
      <c r="B902" s="2"/>
      <c r="C902" s="2"/>
      <c r="D902" s="2"/>
      <c r="E902" s="3"/>
      <c r="F902" s="2"/>
      <c r="G902" s="2"/>
      <c r="H902" s="2"/>
      <c r="I902" s="2"/>
      <c r="J902" s="2"/>
    </row>
    <row r="903" spans="1:10" ht="13" x14ac:dyDescent="0.15">
      <c r="A903" s="4"/>
      <c r="B903" s="2"/>
      <c r="C903" s="2"/>
      <c r="D903" s="2"/>
      <c r="E903" s="3"/>
      <c r="F903" s="2"/>
      <c r="G903" s="2"/>
      <c r="H903" s="2"/>
      <c r="I903" s="2"/>
      <c r="J903" s="2"/>
    </row>
    <row r="904" spans="1:10" ht="13" x14ac:dyDescent="0.15">
      <c r="A904" s="4"/>
      <c r="B904" s="2"/>
      <c r="C904" s="2"/>
      <c r="D904" s="2"/>
      <c r="E904" s="3"/>
      <c r="F904" s="2"/>
      <c r="G904" s="2"/>
      <c r="H904" s="2"/>
      <c r="I904" s="2"/>
      <c r="J904" s="2"/>
    </row>
    <row r="905" spans="1:10" ht="13" x14ac:dyDescent="0.15">
      <c r="A905" s="4"/>
      <c r="B905" s="2"/>
      <c r="C905" s="2"/>
      <c r="D905" s="2"/>
      <c r="E905" s="3"/>
      <c r="F905" s="2"/>
      <c r="G905" s="2"/>
      <c r="H905" s="2"/>
      <c r="I905" s="2"/>
      <c r="J905" s="2"/>
    </row>
    <row r="906" spans="1:10" ht="13" x14ac:dyDescent="0.15">
      <c r="A906" s="4"/>
      <c r="B906" s="2"/>
      <c r="C906" s="2"/>
      <c r="D906" s="2"/>
      <c r="E906" s="3"/>
      <c r="F906" s="2"/>
      <c r="G906" s="2"/>
      <c r="H906" s="2"/>
      <c r="I906" s="2"/>
      <c r="J906" s="2"/>
    </row>
    <row r="907" spans="1:10" ht="13" x14ac:dyDescent="0.15">
      <c r="A907" s="4"/>
      <c r="B907" s="2"/>
      <c r="C907" s="2"/>
      <c r="D907" s="2"/>
      <c r="E907" s="3"/>
      <c r="F907" s="2"/>
      <c r="G907" s="2"/>
      <c r="H907" s="2"/>
      <c r="I907" s="2"/>
      <c r="J907" s="2"/>
    </row>
    <row r="908" spans="1:10" ht="13" x14ac:dyDescent="0.15">
      <c r="A908" s="4"/>
      <c r="B908" s="2"/>
      <c r="C908" s="2"/>
      <c r="D908" s="2"/>
      <c r="E908" s="3"/>
      <c r="F908" s="2"/>
      <c r="G908" s="2"/>
      <c r="H908" s="2"/>
      <c r="I908" s="2"/>
      <c r="J908" s="2"/>
    </row>
    <row r="909" spans="1:10" ht="13" x14ac:dyDescent="0.15">
      <c r="A909" s="4"/>
      <c r="B909" s="2"/>
      <c r="C909" s="2"/>
      <c r="D909" s="2"/>
      <c r="E909" s="3"/>
      <c r="F909" s="2"/>
      <c r="G909" s="2"/>
      <c r="H909" s="2"/>
      <c r="I909" s="2"/>
      <c r="J909" s="2"/>
    </row>
    <row r="910" spans="1:10" ht="13" x14ac:dyDescent="0.15">
      <c r="A910" s="4"/>
      <c r="B910" s="2"/>
      <c r="C910" s="2"/>
      <c r="D910" s="2"/>
      <c r="E910" s="3"/>
      <c r="F910" s="2"/>
      <c r="G910" s="2"/>
      <c r="H910" s="2"/>
      <c r="I910" s="2"/>
      <c r="J910" s="2"/>
    </row>
    <row r="911" spans="1:10" ht="13" x14ac:dyDescent="0.15">
      <c r="A911" s="4"/>
      <c r="B911" s="2"/>
      <c r="C911" s="2"/>
      <c r="D911" s="2"/>
      <c r="E911" s="3"/>
      <c r="F911" s="2"/>
      <c r="G911" s="2"/>
      <c r="H911" s="2"/>
      <c r="I911" s="2"/>
      <c r="J911" s="2"/>
    </row>
    <row r="912" spans="1:10" ht="13" x14ac:dyDescent="0.15">
      <c r="A912" s="4"/>
      <c r="B912" s="2"/>
      <c r="C912" s="2"/>
      <c r="D912" s="2"/>
      <c r="E912" s="3"/>
      <c r="F912" s="2"/>
      <c r="G912" s="2"/>
      <c r="H912" s="2"/>
      <c r="I912" s="2"/>
      <c r="J912" s="2"/>
    </row>
    <row r="913" spans="1:10" ht="13" x14ac:dyDescent="0.15">
      <c r="A913" s="4"/>
      <c r="B913" s="2"/>
      <c r="C913" s="2"/>
      <c r="D913" s="2"/>
      <c r="E913" s="3"/>
      <c r="F913" s="2"/>
      <c r="G913" s="2"/>
      <c r="H913" s="2"/>
      <c r="I913" s="2"/>
      <c r="J913" s="2"/>
    </row>
    <row r="914" spans="1:10" ht="13" x14ac:dyDescent="0.15">
      <c r="A914" s="4"/>
      <c r="B914" s="2"/>
      <c r="C914" s="2"/>
      <c r="D914" s="2"/>
      <c r="E914" s="3"/>
      <c r="F914" s="2"/>
      <c r="G914" s="2"/>
      <c r="H914" s="2"/>
      <c r="I914" s="2"/>
      <c r="J914" s="2"/>
    </row>
    <row r="915" spans="1:10" ht="13" x14ac:dyDescent="0.15">
      <c r="A915" s="4"/>
      <c r="B915" s="2"/>
      <c r="C915" s="2"/>
      <c r="D915" s="2"/>
      <c r="E915" s="3"/>
      <c r="F915" s="2"/>
      <c r="G915" s="2"/>
      <c r="H915" s="2"/>
      <c r="I915" s="2"/>
      <c r="J915" s="2"/>
    </row>
    <row r="916" spans="1:10" ht="13" x14ac:dyDescent="0.15">
      <c r="A916" s="4"/>
      <c r="B916" s="2"/>
      <c r="C916" s="2"/>
      <c r="D916" s="2"/>
      <c r="E916" s="3"/>
      <c r="F916" s="2"/>
      <c r="G916" s="2"/>
      <c r="H916" s="2"/>
      <c r="I916" s="2"/>
      <c r="J916" s="2"/>
    </row>
    <row r="917" spans="1:10" ht="13" x14ac:dyDescent="0.15">
      <c r="A917" s="4"/>
      <c r="B917" s="2"/>
      <c r="C917" s="2"/>
      <c r="D917" s="2"/>
      <c r="E917" s="3"/>
      <c r="F917" s="2"/>
      <c r="G917" s="2"/>
      <c r="H917" s="2"/>
      <c r="I917" s="2"/>
      <c r="J917" s="2"/>
    </row>
    <row r="918" spans="1:10" ht="13" x14ac:dyDescent="0.15">
      <c r="A918" s="4"/>
      <c r="B918" s="2"/>
      <c r="C918" s="2"/>
      <c r="D918" s="2"/>
      <c r="E918" s="3"/>
      <c r="F918" s="2"/>
      <c r="G918" s="2"/>
      <c r="H918" s="2"/>
      <c r="I918" s="2"/>
      <c r="J918" s="2"/>
    </row>
    <row r="919" spans="1:10" ht="13" x14ac:dyDescent="0.15">
      <c r="A919" s="4"/>
      <c r="B919" s="2"/>
      <c r="C919" s="2"/>
      <c r="D919" s="2"/>
      <c r="E919" s="3"/>
      <c r="F919" s="2"/>
      <c r="G919" s="2"/>
      <c r="H919" s="2"/>
      <c r="I919" s="2"/>
      <c r="J919" s="2"/>
    </row>
    <row r="920" spans="1:10" ht="13" x14ac:dyDescent="0.15">
      <c r="A920" s="4"/>
      <c r="B920" s="2"/>
      <c r="C920" s="2"/>
      <c r="D920" s="2"/>
      <c r="E920" s="3"/>
      <c r="F920" s="2"/>
      <c r="G920" s="2"/>
      <c r="H920" s="2"/>
      <c r="I920" s="2"/>
      <c r="J920" s="2"/>
    </row>
    <row r="921" spans="1:10" ht="13" x14ac:dyDescent="0.15">
      <c r="A921" s="4"/>
      <c r="B921" s="2"/>
      <c r="C921" s="2"/>
      <c r="D921" s="2"/>
      <c r="E921" s="3"/>
      <c r="F921" s="2"/>
      <c r="G921" s="2"/>
      <c r="H921" s="2"/>
      <c r="I921" s="2"/>
      <c r="J921" s="2"/>
    </row>
    <row r="922" spans="1:10" ht="13" x14ac:dyDescent="0.15">
      <c r="A922" s="4"/>
      <c r="B922" s="2"/>
      <c r="C922" s="2"/>
      <c r="D922" s="2"/>
      <c r="E922" s="3"/>
      <c r="F922" s="2"/>
      <c r="G922" s="2"/>
      <c r="H922" s="2"/>
      <c r="I922" s="2"/>
      <c r="J922" s="2"/>
    </row>
    <row r="923" spans="1:10" ht="13" x14ac:dyDescent="0.15">
      <c r="A923" s="4"/>
      <c r="B923" s="2"/>
      <c r="C923" s="2"/>
      <c r="D923" s="2"/>
      <c r="E923" s="3"/>
      <c r="F923" s="2"/>
      <c r="G923" s="2"/>
      <c r="H923" s="2"/>
      <c r="I923" s="2"/>
      <c r="J923" s="2"/>
    </row>
    <row r="924" spans="1:10" ht="13" x14ac:dyDescent="0.15">
      <c r="A924" s="4"/>
      <c r="B924" s="2"/>
      <c r="C924" s="2"/>
      <c r="D924" s="2"/>
      <c r="E924" s="3"/>
      <c r="F924" s="2"/>
      <c r="G924" s="2"/>
      <c r="H924" s="2"/>
      <c r="I924" s="2"/>
      <c r="J924" s="2"/>
    </row>
    <row r="925" spans="1:10" ht="13" x14ac:dyDescent="0.15">
      <c r="A925" s="4"/>
      <c r="B925" s="2"/>
      <c r="C925" s="2"/>
      <c r="D925" s="2"/>
      <c r="E925" s="3"/>
      <c r="F925" s="2"/>
      <c r="G925" s="2"/>
      <c r="H925" s="2"/>
      <c r="I925" s="2"/>
      <c r="J925" s="2"/>
    </row>
    <row r="926" spans="1:10" ht="13" x14ac:dyDescent="0.15">
      <c r="A926" s="4"/>
      <c r="B926" s="2"/>
      <c r="C926" s="2"/>
      <c r="D926" s="2"/>
      <c r="E926" s="3"/>
      <c r="F926" s="2"/>
      <c r="G926" s="2"/>
      <c r="H926" s="2"/>
      <c r="I926" s="2"/>
      <c r="J926" s="2"/>
    </row>
    <row r="927" spans="1:10" ht="13" x14ac:dyDescent="0.15">
      <c r="A927" s="4"/>
      <c r="B927" s="2"/>
      <c r="C927" s="2"/>
      <c r="D927" s="2"/>
      <c r="E927" s="3"/>
      <c r="F927" s="2"/>
      <c r="G927" s="2"/>
      <c r="H927" s="2"/>
      <c r="I927" s="2"/>
      <c r="J927" s="2"/>
    </row>
    <row r="928" spans="1:10" ht="13" x14ac:dyDescent="0.15">
      <c r="A928" s="4"/>
      <c r="B928" s="2"/>
      <c r="C928" s="2"/>
      <c r="D928" s="2"/>
      <c r="E928" s="3"/>
      <c r="F928" s="2"/>
      <c r="G928" s="2"/>
      <c r="H928" s="2"/>
      <c r="I928" s="2"/>
      <c r="J928" s="2"/>
    </row>
    <row r="929" spans="1:10" ht="13" x14ac:dyDescent="0.15">
      <c r="A929" s="4"/>
      <c r="B929" s="2"/>
      <c r="C929" s="2"/>
      <c r="D929" s="2"/>
      <c r="E929" s="3"/>
      <c r="F929" s="2"/>
      <c r="G929" s="2"/>
      <c r="H929" s="2"/>
      <c r="I929" s="2"/>
      <c r="J929" s="2"/>
    </row>
    <row r="930" spans="1:10" ht="13" x14ac:dyDescent="0.15">
      <c r="A930" s="4"/>
      <c r="B930" s="2"/>
      <c r="C930" s="2"/>
      <c r="D930" s="2"/>
      <c r="E930" s="3"/>
      <c r="F930" s="2"/>
      <c r="G930" s="2"/>
      <c r="H930" s="2"/>
      <c r="I930" s="2"/>
      <c r="J930" s="2"/>
    </row>
    <row r="931" spans="1:10" ht="13" x14ac:dyDescent="0.15">
      <c r="A931" s="4"/>
      <c r="B931" s="2"/>
      <c r="C931" s="2"/>
      <c r="D931" s="2"/>
      <c r="E931" s="3"/>
      <c r="F931" s="2"/>
      <c r="G931" s="2"/>
      <c r="H931" s="2"/>
      <c r="I931" s="2"/>
      <c r="J931" s="2"/>
    </row>
    <row r="932" spans="1:10" ht="13" x14ac:dyDescent="0.15">
      <c r="A932" s="4"/>
      <c r="B932" s="2"/>
      <c r="C932" s="2"/>
      <c r="D932" s="2"/>
      <c r="E932" s="3"/>
      <c r="F932" s="2"/>
      <c r="G932" s="2"/>
      <c r="H932" s="2"/>
      <c r="I932" s="2"/>
      <c r="J932" s="2"/>
    </row>
    <row r="933" spans="1:10" ht="13" x14ac:dyDescent="0.15">
      <c r="A933" s="4"/>
      <c r="B933" s="2"/>
      <c r="C933" s="2"/>
      <c r="D933" s="2"/>
      <c r="E933" s="3"/>
      <c r="F933" s="2"/>
      <c r="G933" s="2"/>
      <c r="H933" s="2"/>
      <c r="I933" s="2"/>
      <c r="J933" s="2"/>
    </row>
    <row r="934" spans="1:10" ht="13" x14ac:dyDescent="0.15">
      <c r="A934" s="4"/>
      <c r="B934" s="2"/>
      <c r="C934" s="2"/>
      <c r="D934" s="2"/>
      <c r="E934" s="3"/>
      <c r="F934" s="2"/>
      <c r="G934" s="2"/>
      <c r="H934" s="2"/>
      <c r="I934" s="2"/>
      <c r="J934" s="2"/>
    </row>
    <row r="935" spans="1:10" ht="13" x14ac:dyDescent="0.15">
      <c r="A935" s="4"/>
      <c r="B935" s="2"/>
      <c r="C935" s="2"/>
      <c r="D935" s="2"/>
      <c r="E935" s="3"/>
      <c r="F935" s="2"/>
      <c r="G935" s="2"/>
      <c r="H935" s="2"/>
      <c r="I935" s="2"/>
      <c r="J935" s="2"/>
    </row>
    <row r="936" spans="1:10" ht="13" x14ac:dyDescent="0.15">
      <c r="A936" s="4"/>
      <c r="B936" s="2"/>
      <c r="C936" s="2"/>
      <c r="D936" s="2"/>
      <c r="E936" s="3"/>
      <c r="F936" s="2"/>
      <c r="G936" s="2"/>
      <c r="H936" s="2"/>
      <c r="I936" s="2"/>
      <c r="J936" s="2"/>
    </row>
    <row r="937" spans="1:10" ht="13" x14ac:dyDescent="0.15">
      <c r="A937" s="4"/>
      <c r="B937" s="2"/>
      <c r="C937" s="2"/>
      <c r="D937" s="2"/>
      <c r="E937" s="3"/>
      <c r="F937" s="2"/>
      <c r="G937" s="2"/>
      <c r="H937" s="2"/>
      <c r="I937" s="2"/>
      <c r="J937" s="2"/>
    </row>
    <row r="938" spans="1:10" ht="13" x14ac:dyDescent="0.15">
      <c r="A938" s="4"/>
      <c r="B938" s="2"/>
      <c r="C938" s="2"/>
      <c r="D938" s="2"/>
      <c r="E938" s="3"/>
      <c r="F938" s="2"/>
      <c r="G938" s="2"/>
      <c r="H938" s="2"/>
      <c r="I938" s="2"/>
      <c r="J938" s="2"/>
    </row>
    <row r="939" spans="1:10" ht="13" x14ac:dyDescent="0.15">
      <c r="A939" s="4"/>
      <c r="B939" s="2"/>
      <c r="C939" s="2"/>
      <c r="D939" s="2"/>
      <c r="E939" s="3"/>
      <c r="F939" s="2"/>
      <c r="G939" s="2"/>
      <c r="H939" s="2"/>
      <c r="I939" s="2"/>
      <c r="J939" s="2"/>
    </row>
    <row r="940" spans="1:10" ht="13" x14ac:dyDescent="0.15">
      <c r="A940" s="4"/>
      <c r="B940" s="2"/>
      <c r="C940" s="2"/>
      <c r="D940" s="2"/>
      <c r="E940" s="3"/>
      <c r="F940" s="2"/>
      <c r="G940" s="2"/>
      <c r="H940" s="2"/>
      <c r="I940" s="2"/>
      <c r="J940" s="2"/>
    </row>
    <row r="941" spans="1:10" ht="13" x14ac:dyDescent="0.15">
      <c r="A941" s="4"/>
      <c r="B941" s="2"/>
      <c r="C941" s="2"/>
      <c r="D941" s="2"/>
      <c r="E941" s="3"/>
      <c r="F941" s="2"/>
      <c r="G941" s="2"/>
      <c r="H941" s="2"/>
      <c r="I941" s="2"/>
      <c r="J941" s="2"/>
    </row>
    <row r="942" spans="1:10" ht="13" x14ac:dyDescent="0.15">
      <c r="A942" s="4"/>
      <c r="B942" s="2"/>
      <c r="C942" s="2"/>
      <c r="D942" s="2"/>
      <c r="E942" s="3"/>
      <c r="F942" s="2"/>
      <c r="G942" s="2"/>
      <c r="H942" s="2"/>
      <c r="I942" s="2"/>
      <c r="J942" s="2"/>
    </row>
    <row r="943" spans="1:10" ht="13" x14ac:dyDescent="0.15">
      <c r="A943" s="4"/>
      <c r="B943" s="2"/>
      <c r="C943" s="2"/>
      <c r="D943" s="2"/>
      <c r="E943" s="3"/>
      <c r="F943" s="2"/>
      <c r="G943" s="2"/>
      <c r="H943" s="2"/>
      <c r="I943" s="2"/>
      <c r="J943" s="2"/>
    </row>
    <row r="944" spans="1:10" ht="13" x14ac:dyDescent="0.15">
      <c r="A944" s="4"/>
      <c r="B944" s="2"/>
      <c r="C944" s="2"/>
      <c r="D944" s="2"/>
      <c r="E944" s="3"/>
      <c r="F944" s="2"/>
      <c r="G944" s="2"/>
      <c r="H944" s="2"/>
      <c r="I944" s="2"/>
      <c r="J944" s="2"/>
    </row>
    <row r="945" spans="1:10" ht="13" x14ac:dyDescent="0.15">
      <c r="A945" s="4"/>
      <c r="B945" s="2"/>
      <c r="C945" s="2"/>
      <c r="D945" s="2"/>
      <c r="E945" s="3"/>
      <c r="F945" s="2"/>
      <c r="G945" s="2"/>
      <c r="H945" s="2"/>
      <c r="I945" s="2"/>
      <c r="J945" s="2"/>
    </row>
    <row r="946" spans="1:10" ht="13" x14ac:dyDescent="0.15">
      <c r="A946" s="4"/>
      <c r="B946" s="2"/>
      <c r="C946" s="2"/>
      <c r="D946" s="2"/>
      <c r="E946" s="3"/>
      <c r="F946" s="2"/>
      <c r="G946" s="2"/>
      <c r="H946" s="2"/>
      <c r="I946" s="2"/>
      <c r="J946" s="2"/>
    </row>
    <row r="947" spans="1:10" ht="13" x14ac:dyDescent="0.15">
      <c r="A947" s="4"/>
      <c r="B947" s="2"/>
      <c r="C947" s="2"/>
      <c r="D947" s="2"/>
      <c r="E947" s="3"/>
      <c r="F947" s="2"/>
      <c r="G947" s="2"/>
      <c r="H947" s="2"/>
      <c r="I947" s="2"/>
      <c r="J947" s="2"/>
    </row>
    <row r="948" spans="1:10" ht="13" x14ac:dyDescent="0.15">
      <c r="A948" s="4"/>
      <c r="B948" s="2"/>
      <c r="C948" s="2"/>
      <c r="D948" s="2"/>
      <c r="E948" s="3"/>
      <c r="F948" s="2"/>
      <c r="G948" s="2"/>
      <c r="H948" s="2"/>
      <c r="I948" s="2"/>
      <c r="J948" s="2"/>
    </row>
    <row r="949" spans="1:10" ht="13" x14ac:dyDescent="0.15">
      <c r="A949" s="4"/>
      <c r="B949" s="2"/>
      <c r="C949" s="2"/>
      <c r="D949" s="2"/>
      <c r="E949" s="3"/>
      <c r="F949" s="2"/>
      <c r="G949" s="2"/>
      <c r="H949" s="2"/>
      <c r="I949" s="2"/>
      <c r="J949" s="2"/>
    </row>
    <row r="950" spans="1:10" ht="13" x14ac:dyDescent="0.15">
      <c r="A950" s="4"/>
      <c r="B950" s="2"/>
      <c r="C950" s="2"/>
      <c r="D950" s="2"/>
      <c r="E950" s="3"/>
      <c r="F950" s="2"/>
      <c r="G950" s="2"/>
      <c r="H950" s="2"/>
      <c r="I950" s="2"/>
      <c r="J950" s="2"/>
    </row>
    <row r="951" spans="1:10" ht="13" x14ac:dyDescent="0.15">
      <c r="A951" s="4"/>
      <c r="B951" s="2"/>
      <c r="C951" s="2"/>
      <c r="D951" s="2"/>
      <c r="E951" s="3"/>
      <c r="F951" s="2"/>
      <c r="G951" s="2"/>
      <c r="H951" s="2"/>
      <c r="I951" s="2"/>
      <c r="J951" s="2"/>
    </row>
    <row r="952" spans="1:10" ht="13" x14ac:dyDescent="0.15">
      <c r="A952" s="4"/>
      <c r="B952" s="2"/>
      <c r="C952" s="2"/>
      <c r="D952" s="2"/>
      <c r="E952" s="3"/>
      <c r="F952" s="2"/>
      <c r="G952" s="2"/>
      <c r="H952" s="2"/>
      <c r="I952" s="2"/>
      <c r="J952" s="2"/>
    </row>
    <row r="953" spans="1:10" ht="13" x14ac:dyDescent="0.15">
      <c r="A953" s="4"/>
      <c r="B953" s="2"/>
      <c r="C953" s="2"/>
      <c r="D953" s="2"/>
      <c r="E953" s="3"/>
      <c r="F953" s="2"/>
      <c r="G953" s="2"/>
      <c r="H953" s="2"/>
      <c r="I953" s="2"/>
      <c r="J953" s="2"/>
    </row>
    <row r="954" spans="1:10" ht="13" x14ac:dyDescent="0.15">
      <c r="A954" s="4"/>
      <c r="B954" s="2"/>
      <c r="C954" s="2"/>
      <c r="D954" s="2"/>
      <c r="E954" s="3"/>
      <c r="F954" s="2"/>
      <c r="G954" s="2"/>
      <c r="H954" s="2"/>
      <c r="I954" s="2"/>
      <c r="J954" s="2"/>
    </row>
    <row r="955" spans="1:10" ht="13" x14ac:dyDescent="0.15">
      <c r="A955" s="4"/>
      <c r="B955" s="2"/>
      <c r="C955" s="2"/>
      <c r="D955" s="2"/>
      <c r="E955" s="3"/>
      <c r="F955" s="2"/>
      <c r="G955" s="2"/>
      <c r="H955" s="2"/>
      <c r="I955" s="2"/>
      <c r="J955" s="2"/>
    </row>
    <row r="956" spans="1:10" ht="13" x14ac:dyDescent="0.15">
      <c r="A956" s="4"/>
      <c r="B956" s="2"/>
      <c r="C956" s="2"/>
      <c r="D956" s="2"/>
      <c r="E956" s="3"/>
      <c r="F956" s="2"/>
      <c r="G956" s="2"/>
      <c r="H956" s="2"/>
      <c r="I956" s="2"/>
      <c r="J956" s="2"/>
    </row>
    <row r="957" spans="1:10" ht="13" x14ac:dyDescent="0.15">
      <c r="A957" s="4"/>
      <c r="B957" s="2"/>
      <c r="C957" s="2"/>
      <c r="D957" s="2"/>
      <c r="E957" s="3"/>
      <c r="F957" s="2"/>
      <c r="G957" s="2"/>
      <c r="H957" s="2"/>
      <c r="I957" s="2"/>
      <c r="J957" s="2"/>
    </row>
    <row r="958" spans="1:10" ht="13" x14ac:dyDescent="0.15">
      <c r="A958" s="4"/>
      <c r="B958" s="2"/>
      <c r="C958" s="2"/>
      <c r="D958" s="2"/>
      <c r="E958" s="3"/>
      <c r="F958" s="2"/>
      <c r="G958" s="2"/>
      <c r="H958" s="2"/>
      <c r="I958" s="2"/>
      <c r="J958" s="2"/>
    </row>
    <row r="959" spans="1:10" ht="13" x14ac:dyDescent="0.15">
      <c r="A959" s="4"/>
      <c r="B959" s="2"/>
      <c r="C959" s="2"/>
      <c r="D959" s="2"/>
      <c r="E959" s="3"/>
      <c r="F959" s="2"/>
      <c r="G959" s="2"/>
      <c r="H959" s="2"/>
      <c r="I959" s="2"/>
      <c r="J959" s="2"/>
    </row>
    <row r="960" spans="1:10" ht="13" x14ac:dyDescent="0.15">
      <c r="A960" s="4"/>
      <c r="B960" s="2"/>
      <c r="C960" s="2"/>
      <c r="D960" s="2"/>
      <c r="E960" s="3"/>
      <c r="F960" s="2"/>
      <c r="G960" s="2"/>
      <c r="H960" s="2"/>
      <c r="I960" s="2"/>
      <c r="J960" s="2"/>
    </row>
    <row r="961" spans="1:10" ht="13" x14ac:dyDescent="0.15">
      <c r="A961" s="4"/>
      <c r="B961" s="2"/>
      <c r="C961" s="2"/>
      <c r="D961" s="2"/>
      <c r="E961" s="3"/>
      <c r="F961" s="2"/>
      <c r="G961" s="2"/>
      <c r="H961" s="2"/>
      <c r="I961" s="2"/>
      <c r="J961" s="2"/>
    </row>
    <row r="962" spans="1:10" ht="13" x14ac:dyDescent="0.15">
      <c r="A962" s="4"/>
      <c r="B962" s="2"/>
      <c r="C962" s="2"/>
      <c r="D962" s="2"/>
      <c r="E962" s="3"/>
      <c r="F962" s="2"/>
      <c r="G962" s="2"/>
      <c r="H962" s="2"/>
      <c r="I962" s="2"/>
      <c r="J962" s="2"/>
    </row>
    <row r="963" spans="1:10" ht="13" x14ac:dyDescent="0.15">
      <c r="A963" s="4"/>
      <c r="B963" s="2"/>
      <c r="C963" s="2"/>
      <c r="D963" s="2"/>
      <c r="E963" s="3"/>
      <c r="F963" s="2"/>
      <c r="G963" s="2"/>
      <c r="H963" s="2"/>
      <c r="I963" s="2"/>
      <c r="J963" s="2"/>
    </row>
    <row r="964" spans="1:10" ht="13" x14ac:dyDescent="0.15">
      <c r="A964" s="4"/>
      <c r="B964" s="2"/>
      <c r="C964" s="2"/>
      <c r="D964" s="2"/>
      <c r="E964" s="3"/>
      <c r="F964" s="2"/>
      <c r="G964" s="2"/>
      <c r="H964" s="2"/>
      <c r="I964" s="2"/>
      <c r="J964" s="2"/>
    </row>
    <row r="965" spans="1:10" ht="13" x14ac:dyDescent="0.15">
      <c r="A965" s="4"/>
      <c r="B965" s="2"/>
      <c r="C965" s="2"/>
      <c r="D965" s="2"/>
      <c r="E965" s="3"/>
      <c r="F965" s="2"/>
      <c r="G965" s="2"/>
      <c r="H965" s="2"/>
      <c r="I965" s="2"/>
      <c r="J965" s="2"/>
    </row>
    <row r="966" spans="1:10" ht="13" x14ac:dyDescent="0.15">
      <c r="A966" s="4"/>
      <c r="B966" s="2"/>
      <c r="C966" s="2"/>
      <c r="D966" s="2"/>
      <c r="E966" s="3"/>
      <c r="F966" s="2"/>
      <c r="G966" s="2"/>
      <c r="H966" s="2"/>
      <c r="I966" s="2"/>
      <c r="J966" s="2"/>
    </row>
    <row r="967" spans="1:10" ht="13" x14ac:dyDescent="0.15">
      <c r="A967" s="4"/>
      <c r="B967" s="2"/>
      <c r="C967" s="2"/>
      <c r="D967" s="2"/>
      <c r="E967" s="3"/>
      <c r="F967" s="2"/>
      <c r="G967" s="2"/>
      <c r="H967" s="2"/>
      <c r="I967" s="2"/>
      <c r="J967" s="2"/>
    </row>
    <row r="968" spans="1:10" ht="13" x14ac:dyDescent="0.15">
      <c r="A968" s="4"/>
      <c r="B968" s="2"/>
      <c r="C968" s="2"/>
      <c r="D968" s="2"/>
      <c r="E968" s="3"/>
      <c r="F968" s="2"/>
      <c r="G968" s="2"/>
      <c r="H968" s="2"/>
      <c r="I968" s="2"/>
      <c r="J968" s="2"/>
    </row>
    <row r="969" spans="1:10" ht="13" x14ac:dyDescent="0.15">
      <c r="A969" s="4"/>
      <c r="B969" s="2"/>
      <c r="C969" s="2"/>
      <c r="D969" s="2"/>
      <c r="E969" s="3"/>
      <c r="F969" s="2"/>
      <c r="G969" s="2"/>
      <c r="H969" s="2"/>
      <c r="I969" s="2"/>
      <c r="J969" s="2"/>
    </row>
    <row r="970" spans="1:10" ht="13" x14ac:dyDescent="0.15">
      <c r="A970" s="4"/>
      <c r="B970" s="2"/>
      <c r="C970" s="2"/>
      <c r="D970" s="2"/>
      <c r="E970" s="3"/>
      <c r="F970" s="2"/>
      <c r="G970" s="2"/>
      <c r="H970" s="2"/>
      <c r="I970" s="2"/>
      <c r="J970" s="2"/>
    </row>
    <row r="971" spans="1:10" ht="13" x14ac:dyDescent="0.15">
      <c r="A971" s="4"/>
      <c r="B971" s="2"/>
      <c r="C971" s="2"/>
      <c r="D971" s="2"/>
      <c r="E971" s="3"/>
      <c r="F971" s="2"/>
      <c r="G971" s="2"/>
      <c r="H971" s="2"/>
      <c r="I971" s="2"/>
      <c r="J971" s="2"/>
    </row>
    <row r="972" spans="1:10" ht="13" x14ac:dyDescent="0.15">
      <c r="A972" s="4"/>
      <c r="B972" s="2"/>
      <c r="C972" s="2"/>
      <c r="D972" s="2"/>
      <c r="E972" s="3"/>
      <c r="F972" s="2"/>
      <c r="G972" s="2"/>
      <c r="H972" s="2"/>
      <c r="I972" s="2"/>
      <c r="J972" s="2"/>
    </row>
    <row r="973" spans="1:10" ht="13" x14ac:dyDescent="0.15">
      <c r="A973" s="4"/>
      <c r="B973" s="2"/>
      <c r="C973" s="2"/>
      <c r="D973" s="2"/>
      <c r="E973" s="3"/>
      <c r="F973" s="2"/>
      <c r="G973" s="2"/>
      <c r="H973" s="2"/>
      <c r="I973" s="2"/>
      <c r="J973" s="2"/>
    </row>
    <row r="974" spans="1:10" ht="13" x14ac:dyDescent="0.15">
      <c r="A974" s="4"/>
      <c r="B974" s="2"/>
      <c r="C974" s="2"/>
      <c r="D974" s="2"/>
      <c r="E974" s="3"/>
      <c r="F974" s="2"/>
      <c r="G974" s="2"/>
      <c r="H974" s="2"/>
      <c r="I974" s="2"/>
      <c r="J974" s="2"/>
    </row>
    <row r="975" spans="1:10" ht="13" x14ac:dyDescent="0.15">
      <c r="A975" s="4"/>
      <c r="B975" s="2"/>
      <c r="C975" s="2"/>
      <c r="D975" s="2"/>
      <c r="E975" s="3"/>
      <c r="F975" s="2"/>
      <c r="G975" s="2"/>
      <c r="H975" s="2"/>
      <c r="I975" s="2"/>
      <c r="J975" s="2"/>
    </row>
    <row r="976" spans="1:10" ht="13" x14ac:dyDescent="0.15">
      <c r="A976" s="4"/>
      <c r="B976" s="2"/>
      <c r="C976" s="2"/>
      <c r="D976" s="2"/>
      <c r="E976" s="3"/>
      <c r="F976" s="2"/>
      <c r="G976" s="2"/>
      <c r="H976" s="2"/>
      <c r="I976" s="2"/>
      <c r="J976" s="2"/>
    </row>
    <row r="977" spans="1:10" ht="13" x14ac:dyDescent="0.15">
      <c r="A977" s="4"/>
      <c r="B977" s="2"/>
      <c r="C977" s="2"/>
      <c r="D977" s="2"/>
      <c r="E977" s="3"/>
      <c r="F977" s="2"/>
      <c r="G977" s="2"/>
      <c r="H977" s="2"/>
      <c r="I977" s="2"/>
      <c r="J977" s="2"/>
    </row>
    <row r="978" spans="1:10" ht="13" x14ac:dyDescent="0.15">
      <c r="A978" s="4"/>
      <c r="B978" s="2"/>
      <c r="C978" s="2"/>
      <c r="D978" s="2"/>
      <c r="E978" s="3"/>
      <c r="F978" s="2"/>
      <c r="G978" s="2"/>
      <c r="H978" s="2"/>
      <c r="I978" s="2"/>
      <c r="J978" s="2"/>
    </row>
    <row r="979" spans="1:10" ht="13" x14ac:dyDescent="0.15">
      <c r="A979" s="4"/>
      <c r="B979" s="2"/>
      <c r="C979" s="2"/>
      <c r="D979" s="2"/>
      <c r="E979" s="3"/>
      <c r="F979" s="2"/>
      <c r="G979" s="2"/>
      <c r="H979" s="2"/>
      <c r="I979" s="2"/>
      <c r="J979" s="2"/>
    </row>
    <row r="980" spans="1:10" ht="13" x14ac:dyDescent="0.15">
      <c r="A980" s="4"/>
      <c r="B980" s="2"/>
      <c r="C980" s="2"/>
      <c r="D980" s="2"/>
      <c r="E980" s="3"/>
      <c r="F980" s="2"/>
      <c r="G980" s="2"/>
      <c r="H980" s="2"/>
      <c r="I980" s="2"/>
      <c r="J980" s="2"/>
    </row>
    <row r="981" spans="1:10" ht="13" x14ac:dyDescent="0.15">
      <c r="A981" s="4"/>
      <c r="B981" s="2"/>
      <c r="C981" s="2"/>
      <c r="D981" s="2"/>
      <c r="E981" s="3"/>
      <c r="F981" s="2"/>
      <c r="G981" s="2"/>
      <c r="H981" s="2"/>
      <c r="I981" s="2"/>
      <c r="J981" s="2"/>
    </row>
    <row r="982" spans="1:10" ht="13" x14ac:dyDescent="0.15">
      <c r="A982" s="4"/>
      <c r="B982" s="2"/>
      <c r="C982" s="2"/>
      <c r="D982" s="2"/>
      <c r="E982" s="3"/>
      <c r="F982" s="2"/>
      <c r="G982" s="2"/>
      <c r="H982" s="2"/>
      <c r="I982" s="2"/>
      <c r="J982" s="2"/>
    </row>
    <row r="983" spans="1:10" ht="13" x14ac:dyDescent="0.15">
      <c r="A983" s="4"/>
      <c r="B983" s="2"/>
      <c r="C983" s="2"/>
      <c r="D983" s="2"/>
      <c r="E983" s="3"/>
      <c r="F983" s="2"/>
      <c r="G983" s="2"/>
      <c r="H983" s="2"/>
      <c r="I983" s="2"/>
      <c r="J983" s="2"/>
    </row>
    <row r="984" spans="1:10" ht="13" x14ac:dyDescent="0.15">
      <c r="A984" s="4"/>
      <c r="B984" s="2"/>
      <c r="C984" s="2"/>
      <c r="D984" s="2"/>
      <c r="E984" s="3"/>
      <c r="F984" s="2"/>
      <c r="G984" s="2"/>
      <c r="H984" s="2"/>
      <c r="I984" s="2"/>
      <c r="J984" s="2"/>
    </row>
    <row r="985" spans="1:10" ht="13" x14ac:dyDescent="0.15">
      <c r="A985" s="4"/>
      <c r="B985" s="2"/>
      <c r="C985" s="2"/>
      <c r="D985" s="2"/>
      <c r="E985" s="3"/>
      <c r="F985" s="2"/>
      <c r="G985" s="2"/>
      <c r="H985" s="2"/>
      <c r="I985" s="2"/>
      <c r="J985" s="2"/>
    </row>
    <row r="986" spans="1:10" ht="13" x14ac:dyDescent="0.15">
      <c r="A986" s="4"/>
      <c r="B986" s="2"/>
      <c r="C986" s="2"/>
      <c r="D986" s="2"/>
      <c r="E986" s="3"/>
      <c r="F986" s="2"/>
      <c r="G986" s="2"/>
      <c r="H986" s="2"/>
      <c r="I986" s="2"/>
      <c r="J986" s="2"/>
    </row>
    <row r="987" spans="1:10" ht="13" x14ac:dyDescent="0.15">
      <c r="A987" s="4"/>
      <c r="B987" s="2"/>
      <c r="C987" s="2"/>
      <c r="D987" s="2"/>
      <c r="E987" s="3"/>
      <c r="F987" s="2"/>
      <c r="G987" s="2"/>
      <c r="H987" s="2"/>
      <c r="I987" s="2"/>
      <c r="J987" s="2"/>
    </row>
    <row r="988" spans="1:10" ht="13" x14ac:dyDescent="0.15">
      <c r="A988" s="4"/>
      <c r="B988" s="2"/>
      <c r="C988" s="2"/>
      <c r="D988" s="2"/>
      <c r="E988" s="3"/>
      <c r="F988" s="2"/>
      <c r="G988" s="2"/>
      <c r="H988" s="2"/>
      <c r="I988" s="2"/>
      <c r="J988" s="2"/>
    </row>
    <row r="989" spans="1:10" ht="13" x14ac:dyDescent="0.15">
      <c r="A989" s="4"/>
      <c r="B989" s="2"/>
      <c r="C989" s="2"/>
      <c r="D989" s="2"/>
      <c r="E989" s="3"/>
      <c r="F989" s="2"/>
      <c r="G989" s="2"/>
      <c r="H989" s="2"/>
      <c r="I989" s="2"/>
      <c r="J989" s="2"/>
    </row>
    <row r="990" spans="1:10" ht="13" x14ac:dyDescent="0.15">
      <c r="A990" s="4"/>
      <c r="B990" s="2"/>
      <c r="C990" s="2"/>
      <c r="D990" s="2"/>
      <c r="E990" s="3"/>
      <c r="F990" s="2"/>
      <c r="G990" s="2"/>
      <c r="H990" s="2"/>
      <c r="I990" s="2"/>
      <c r="J990" s="2"/>
    </row>
    <row r="991" spans="1:10" ht="13" x14ac:dyDescent="0.15">
      <c r="A991" s="4"/>
      <c r="B991" s="2"/>
      <c r="C991" s="2"/>
      <c r="D991" s="2"/>
      <c r="E991" s="3"/>
      <c r="F991" s="2"/>
      <c r="G991" s="2"/>
      <c r="H991" s="2"/>
      <c r="I991" s="2"/>
      <c r="J991" s="2"/>
    </row>
    <row r="992" spans="1:10" ht="13" x14ac:dyDescent="0.15">
      <c r="A992" s="4"/>
      <c r="B992" s="2"/>
      <c r="C992" s="2"/>
      <c r="D992" s="2"/>
      <c r="E992" s="3"/>
      <c r="F992" s="2"/>
      <c r="G992" s="2"/>
      <c r="H992" s="2"/>
      <c r="I992" s="2"/>
      <c r="J992" s="2"/>
    </row>
    <row r="993" spans="1:10" ht="13" x14ac:dyDescent="0.15">
      <c r="A993" s="4"/>
      <c r="B993" s="2"/>
      <c r="C993" s="2"/>
      <c r="D993" s="2"/>
      <c r="E993" s="3"/>
      <c r="F993" s="2"/>
      <c r="G993" s="2"/>
      <c r="H993" s="2"/>
      <c r="I993" s="2"/>
      <c r="J993" s="2"/>
    </row>
    <row r="994" spans="1:10" ht="13" x14ac:dyDescent="0.15">
      <c r="A994" s="4"/>
      <c r="B994" s="2"/>
      <c r="C994" s="2"/>
      <c r="D994" s="2"/>
      <c r="E994" s="3"/>
      <c r="F994" s="2"/>
      <c r="G994" s="2"/>
      <c r="H994" s="2"/>
      <c r="I994" s="2"/>
      <c r="J994" s="2"/>
    </row>
    <row r="995" spans="1:10" ht="13" x14ac:dyDescent="0.15">
      <c r="A995" s="4"/>
      <c r="B995" s="2"/>
      <c r="C995" s="2"/>
      <c r="D995" s="2"/>
      <c r="E995" s="3"/>
      <c r="F995" s="2"/>
      <c r="G995" s="2"/>
      <c r="H995" s="2"/>
      <c r="I995" s="2"/>
      <c r="J995" s="2"/>
    </row>
    <row r="996" spans="1:10" ht="13" x14ac:dyDescent="0.15">
      <c r="A996" s="4"/>
      <c r="B996" s="2"/>
      <c r="C996" s="2"/>
      <c r="D996" s="2"/>
      <c r="E996" s="3"/>
      <c r="F996" s="2"/>
      <c r="G996" s="2"/>
      <c r="H996" s="2"/>
      <c r="I996" s="2"/>
      <c r="J996" s="2"/>
    </row>
  </sheetData>
  <mergeCells count="13">
    <mergeCell ref="A38:G38"/>
    <mergeCell ref="B1:C1"/>
    <mergeCell ref="B2:C2"/>
    <mergeCell ref="B3:C3"/>
    <mergeCell ref="A5:G5"/>
    <mergeCell ref="A6:G6"/>
    <mergeCell ref="A8:B8"/>
    <mergeCell ref="A25:B25"/>
    <mergeCell ref="A27:B27"/>
    <mergeCell ref="A30:B30"/>
    <mergeCell ref="A32:G32"/>
    <mergeCell ref="A35:G35"/>
    <mergeCell ref="A37:G37"/>
  </mergeCells>
  <printOptions horizontalCentered="1"/>
  <pageMargins left="0.7" right="0.7" top="0.75" bottom="0.75" header="0" footer="0"/>
  <pageSetup paperSize="9" pageOrder="overThenDown" orientation="portrait" cellComments="atEnd"/>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'HÀNG HÓA'!$D$2:$D$4061</xm:f>
          </x14:formula1>
          <xm:sqref>C15:C21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J996"/>
  <sheetViews>
    <sheetView workbookViewId="0"/>
  </sheetViews>
  <sheetFormatPr baseColWidth="10" defaultColWidth="12.6640625" defaultRowHeight="15.75" customHeight="1" x14ac:dyDescent="0.15"/>
  <cols>
    <col min="1" max="1" width="14.1640625" customWidth="1"/>
    <col min="2" max="2" width="31.6640625" customWidth="1"/>
    <col min="3" max="3" width="28.5" customWidth="1"/>
    <col min="4" max="4" width="26.6640625" customWidth="1"/>
    <col min="5" max="5" width="9" customWidth="1"/>
    <col min="6" max="6" width="13.6640625" customWidth="1"/>
    <col min="7" max="7" width="17.83203125" customWidth="1"/>
  </cols>
  <sheetData>
    <row r="1" spans="1:10" ht="28" x14ac:dyDescent="0.15">
      <c r="A1" s="4" t="s">
        <v>0</v>
      </c>
      <c r="B1" s="2"/>
      <c r="C1" s="2"/>
      <c r="D1" s="2"/>
      <c r="E1" s="3"/>
      <c r="F1" s="2"/>
      <c r="G1" s="2"/>
      <c r="H1" s="2"/>
      <c r="I1" s="2"/>
      <c r="J1" s="2"/>
    </row>
    <row r="2" spans="1:10" ht="42" x14ac:dyDescent="0.15">
      <c r="A2" s="4" t="s">
        <v>1</v>
      </c>
      <c r="B2" s="2"/>
      <c r="C2" s="2"/>
      <c r="D2" s="2"/>
      <c r="E2" s="3"/>
      <c r="F2" s="2"/>
      <c r="G2" s="2"/>
      <c r="H2" s="2"/>
      <c r="I2" s="2"/>
      <c r="J2" s="2"/>
    </row>
    <row r="3" spans="1:10" ht="28" x14ac:dyDescent="0.15">
      <c r="A3" s="4" t="s">
        <v>31</v>
      </c>
      <c r="B3" s="2"/>
      <c r="C3" s="2"/>
      <c r="D3" s="2"/>
      <c r="E3" s="3"/>
      <c r="F3" s="2"/>
      <c r="G3" s="2"/>
      <c r="H3" s="2"/>
      <c r="I3" s="2"/>
      <c r="J3" s="2"/>
    </row>
    <row r="4" spans="1:10" ht="13" x14ac:dyDescent="0.15">
      <c r="A4" s="4"/>
      <c r="B4" s="2"/>
      <c r="C4" s="2"/>
      <c r="D4" s="2"/>
      <c r="E4" s="3"/>
      <c r="F4" s="2"/>
      <c r="G4" s="2"/>
      <c r="H4" s="2"/>
      <c r="I4" s="2"/>
      <c r="J4" s="2"/>
    </row>
    <row r="5" spans="1:10" ht="13" x14ac:dyDescent="0.15">
      <c r="A5" s="114" t="s">
        <v>3</v>
      </c>
      <c r="B5" s="112"/>
      <c r="C5" s="112"/>
      <c r="D5" s="112"/>
      <c r="E5" s="112"/>
      <c r="F5" s="112"/>
      <c r="G5" s="112"/>
      <c r="H5" s="2"/>
      <c r="I5" s="2"/>
      <c r="J5" s="2"/>
    </row>
    <row r="6" spans="1:10" ht="13" x14ac:dyDescent="0.15">
      <c r="A6" s="122" t="s">
        <v>32</v>
      </c>
      <c r="B6" s="112"/>
      <c r="C6" s="112"/>
      <c r="D6" s="112"/>
      <c r="E6" s="112"/>
      <c r="F6" s="112"/>
      <c r="G6" s="112"/>
      <c r="H6" s="2"/>
      <c r="I6" s="2"/>
      <c r="J6" s="2"/>
    </row>
    <row r="7" spans="1:10" ht="13" x14ac:dyDescent="0.15">
      <c r="A7" s="4"/>
      <c r="B7" s="2"/>
      <c r="C7" s="2"/>
      <c r="D7" s="2"/>
      <c r="E7" s="3"/>
      <c r="F7" s="2"/>
      <c r="G7" s="2"/>
      <c r="H7" s="2"/>
      <c r="I7" s="2"/>
      <c r="J7" s="2"/>
    </row>
    <row r="8" spans="1:10" ht="13" x14ac:dyDescent="0.15">
      <c r="A8" s="118"/>
      <c r="B8" s="112"/>
      <c r="C8" s="2"/>
      <c r="D8" s="2"/>
      <c r="E8" s="3"/>
      <c r="F8" s="2"/>
      <c r="G8" s="2"/>
      <c r="H8" s="2"/>
      <c r="I8" s="2"/>
      <c r="J8" s="2"/>
    </row>
    <row r="9" spans="1:10" ht="15" x14ac:dyDescent="0.2">
      <c r="A9" s="1" t="s">
        <v>5</v>
      </c>
      <c r="B9" s="22" t="s">
        <v>33</v>
      </c>
      <c r="C9" s="2"/>
      <c r="D9" s="2"/>
      <c r="E9" s="3"/>
      <c r="F9" s="2"/>
      <c r="G9" s="2"/>
      <c r="H9" s="2"/>
      <c r="I9" s="2"/>
      <c r="J9" s="2"/>
    </row>
    <row r="10" spans="1:10" ht="15" x14ac:dyDescent="0.2">
      <c r="A10" s="1" t="s">
        <v>6</v>
      </c>
      <c r="B10" s="6" t="s">
        <v>34</v>
      </c>
      <c r="C10" s="23"/>
      <c r="D10" s="2"/>
      <c r="E10" s="3"/>
      <c r="F10" s="2"/>
      <c r="G10" s="2"/>
      <c r="H10" s="2"/>
      <c r="I10" s="2"/>
      <c r="J10" s="2"/>
    </row>
    <row r="11" spans="1:10" ht="14" x14ac:dyDescent="0.15">
      <c r="A11" s="1" t="s">
        <v>8</v>
      </c>
      <c r="B11" s="6" t="str">
        <f t="array" ref="B11">IFERROR(INDEX('KHÁCH HÀNG'!E:E, MATCH(TRIM(B9), 'KHÁCH HÀNG'!B:B, 0)), "")</f>
        <v>785 TRƯƠNG ĐỊNH</v>
      </c>
      <c r="C11" s="2"/>
      <c r="D11" s="2"/>
      <c r="E11" s="3"/>
      <c r="F11" s="2"/>
      <c r="G11" s="2"/>
      <c r="H11" s="2"/>
      <c r="I11" s="2"/>
      <c r="J11" s="2"/>
    </row>
    <row r="12" spans="1:10" ht="14" x14ac:dyDescent="0.15">
      <c r="A12" s="1" t="s">
        <v>9</v>
      </c>
      <c r="B12" s="6" t="str">
        <f t="array" ref="B12">IFERROR(INDEX('KHÁCH HÀNG'!D:D, MATCH(TRIM(B9), 'KHÁCH HÀNG'!B:B, 0))&amp;"", "")</f>
        <v>914530918</v>
      </c>
      <c r="C12" s="2"/>
      <c r="D12" s="2"/>
      <c r="E12" s="3"/>
      <c r="F12" s="2"/>
      <c r="G12" s="2"/>
      <c r="H12" s="2"/>
      <c r="I12" s="2"/>
      <c r="J12" s="2"/>
    </row>
    <row r="13" spans="1:10" ht="13" x14ac:dyDescent="0.15">
      <c r="A13" s="4"/>
      <c r="B13" s="2"/>
      <c r="C13" s="2"/>
      <c r="D13" s="2"/>
      <c r="E13" s="3"/>
      <c r="F13" s="2"/>
      <c r="G13" s="2"/>
      <c r="H13" s="2"/>
      <c r="I13" s="2"/>
      <c r="J13" s="2"/>
    </row>
    <row r="14" spans="1:10" ht="25.5" customHeight="1" x14ac:dyDescent="0.15">
      <c r="A14" s="8" t="s">
        <v>10</v>
      </c>
      <c r="B14" s="9" t="s">
        <v>11</v>
      </c>
      <c r="C14" s="10" t="s">
        <v>12</v>
      </c>
      <c r="D14" s="10" t="s">
        <v>13</v>
      </c>
      <c r="E14" s="11" t="s">
        <v>14</v>
      </c>
      <c r="F14" s="10" t="s">
        <v>15</v>
      </c>
      <c r="G14" s="10" t="s">
        <v>16</v>
      </c>
      <c r="H14" s="2"/>
      <c r="I14" s="2"/>
      <c r="J14" s="2"/>
    </row>
    <row r="15" spans="1:10" ht="112.5" customHeight="1" x14ac:dyDescent="0.3">
      <c r="A15" s="12"/>
      <c r="B15" s="24" t="s">
        <v>35</v>
      </c>
      <c r="C15" s="25"/>
      <c r="D15" s="15"/>
      <c r="E15" s="26"/>
      <c r="F15" s="15"/>
      <c r="G15" s="15"/>
      <c r="H15" s="2"/>
      <c r="I15" s="2"/>
      <c r="J15" s="2"/>
    </row>
    <row r="16" spans="1:10" ht="112.5" customHeight="1" x14ac:dyDescent="0.3">
      <c r="A16" s="12"/>
      <c r="B16" s="24"/>
      <c r="C16" s="27"/>
      <c r="D16" s="15"/>
      <c r="E16" s="26"/>
      <c r="F16" s="15"/>
      <c r="G16" s="15"/>
      <c r="H16" s="2"/>
      <c r="I16" s="2"/>
      <c r="J16" s="2"/>
    </row>
    <row r="17" spans="1:10" ht="112.5" customHeight="1" x14ac:dyDescent="0.2">
      <c r="A17" s="12"/>
      <c r="B17" s="28"/>
      <c r="C17" s="29"/>
      <c r="D17" s="15"/>
      <c r="E17" s="26"/>
      <c r="F17" s="15"/>
      <c r="G17" s="15"/>
      <c r="H17" s="2"/>
      <c r="I17" s="2"/>
      <c r="J17" s="2"/>
    </row>
    <row r="18" spans="1:10" ht="112.5" customHeight="1" x14ac:dyDescent="0.15">
      <c r="A18" s="12"/>
      <c r="B18" s="30"/>
      <c r="C18" s="29"/>
      <c r="D18" s="15"/>
      <c r="E18" s="26"/>
      <c r="F18" s="15"/>
      <c r="G18" s="15"/>
      <c r="H18" s="2"/>
      <c r="I18" s="2"/>
      <c r="J18" s="2"/>
    </row>
    <row r="19" spans="1:10" ht="112.5" customHeight="1" x14ac:dyDescent="0.15">
      <c r="A19" s="12"/>
      <c r="B19" s="31"/>
      <c r="C19" s="29"/>
      <c r="D19" s="15"/>
      <c r="E19" s="26"/>
      <c r="F19" s="15"/>
      <c r="G19" s="15"/>
      <c r="H19" s="2"/>
      <c r="I19" s="2"/>
      <c r="J19" s="2"/>
    </row>
    <row r="20" spans="1:10" ht="135" customHeight="1" x14ac:dyDescent="0.15">
      <c r="A20" s="12"/>
      <c r="B20" s="32"/>
      <c r="C20" s="29"/>
      <c r="D20" s="15"/>
      <c r="E20" s="26"/>
      <c r="F20" s="15"/>
      <c r="G20" s="15"/>
      <c r="H20" s="2"/>
      <c r="I20" s="2"/>
      <c r="J20" s="2"/>
    </row>
    <row r="21" spans="1:10" ht="135" customHeight="1" x14ac:dyDescent="0.15">
      <c r="A21" s="12"/>
      <c r="B21" s="33"/>
      <c r="C21" s="29"/>
      <c r="D21" s="15"/>
      <c r="E21" s="26"/>
      <c r="F21" s="15"/>
      <c r="G21" s="15"/>
      <c r="H21" s="2"/>
      <c r="I21" s="2"/>
      <c r="J21" s="2"/>
    </row>
    <row r="22" spans="1:10" ht="14" x14ac:dyDescent="0.15">
      <c r="A22" s="12" t="s">
        <v>19</v>
      </c>
      <c r="B22" s="15"/>
      <c r="C22" s="15"/>
      <c r="D22" s="15"/>
      <c r="E22" s="26"/>
      <c r="F22" s="15"/>
      <c r="G22" s="15"/>
      <c r="H22" s="2"/>
      <c r="I22" s="2"/>
      <c r="J22" s="2"/>
    </row>
    <row r="23" spans="1:10" ht="14" x14ac:dyDescent="0.15">
      <c r="A23" s="12" t="s">
        <v>20</v>
      </c>
      <c r="B23" s="15"/>
      <c r="C23" s="15"/>
      <c r="D23" s="15"/>
      <c r="E23" s="26"/>
      <c r="F23" s="15"/>
      <c r="G23" s="15"/>
      <c r="H23" s="2"/>
      <c r="I23" s="2"/>
      <c r="J23" s="2"/>
    </row>
    <row r="24" spans="1:10" ht="14" x14ac:dyDescent="0.15">
      <c r="A24" s="12" t="s">
        <v>21</v>
      </c>
      <c r="B24" s="15"/>
      <c r="C24" s="15"/>
      <c r="D24" s="15"/>
      <c r="E24" s="26"/>
      <c r="F24" s="15"/>
      <c r="G24" s="15"/>
      <c r="H24" s="2"/>
      <c r="I24" s="2"/>
      <c r="J24" s="2"/>
    </row>
    <row r="25" spans="1:10" ht="13" x14ac:dyDescent="0.15">
      <c r="A25" s="119" t="s">
        <v>22</v>
      </c>
      <c r="B25" s="117"/>
      <c r="C25" s="15"/>
      <c r="D25" s="15"/>
      <c r="E25" s="26"/>
      <c r="F25" s="15"/>
      <c r="G25" s="15"/>
      <c r="H25" s="2"/>
      <c r="I25" s="2"/>
      <c r="J25" s="2"/>
    </row>
    <row r="26" spans="1:10" ht="14" x14ac:dyDescent="0.15">
      <c r="A26" s="12" t="s">
        <v>23</v>
      </c>
      <c r="B26" s="15"/>
      <c r="C26" s="15"/>
      <c r="D26" s="15"/>
      <c r="E26" s="26"/>
      <c r="F26" s="15"/>
      <c r="G26" s="15"/>
      <c r="H26" s="2"/>
      <c r="I26" s="2"/>
      <c r="J26" s="2"/>
    </row>
    <row r="27" spans="1:10" ht="13" x14ac:dyDescent="0.15">
      <c r="A27" s="120" t="s">
        <v>24</v>
      </c>
      <c r="B27" s="117"/>
      <c r="C27" s="15"/>
      <c r="D27" s="15"/>
      <c r="E27" s="26"/>
      <c r="F27" s="15"/>
      <c r="G27" s="15"/>
      <c r="H27" s="2"/>
      <c r="I27" s="2"/>
      <c r="J27" s="2"/>
    </row>
    <row r="28" spans="1:10" ht="28" x14ac:dyDescent="0.15">
      <c r="A28" s="8" t="s">
        <v>25</v>
      </c>
      <c r="B28" s="15"/>
      <c r="C28" s="15"/>
      <c r="D28" s="15"/>
      <c r="E28" s="26"/>
      <c r="F28" s="15"/>
      <c r="G28" s="15"/>
      <c r="H28" s="2"/>
      <c r="I28" s="2"/>
      <c r="J28" s="2"/>
    </row>
    <row r="29" spans="1:10" ht="13" x14ac:dyDescent="0.15">
      <c r="A29" s="4"/>
      <c r="B29" s="2"/>
      <c r="C29" s="2"/>
      <c r="D29" s="2"/>
      <c r="E29" s="3"/>
      <c r="F29" s="2"/>
      <c r="G29" s="2"/>
      <c r="H29" s="2"/>
      <c r="I29" s="2"/>
      <c r="J29" s="2"/>
    </row>
    <row r="30" spans="1:10" ht="56" x14ac:dyDescent="0.15">
      <c r="A30" s="4" t="s">
        <v>36</v>
      </c>
      <c r="B30" s="2"/>
      <c r="C30" s="2"/>
      <c r="D30" s="2"/>
      <c r="E30" s="3"/>
      <c r="F30" s="2"/>
      <c r="G30" s="2"/>
      <c r="H30" s="2"/>
      <c r="I30" s="2"/>
      <c r="J30" s="2"/>
    </row>
    <row r="31" spans="1:10" ht="13" x14ac:dyDescent="0.15">
      <c r="A31" s="4"/>
      <c r="B31" s="2"/>
      <c r="C31" s="2"/>
      <c r="D31" s="2"/>
      <c r="E31" s="3"/>
      <c r="F31" s="2"/>
      <c r="G31" s="2"/>
      <c r="H31" s="2"/>
      <c r="I31" s="2"/>
      <c r="J31" s="2"/>
    </row>
    <row r="32" spans="1:10" ht="84" x14ac:dyDescent="0.15">
      <c r="A32" s="4" t="s">
        <v>26</v>
      </c>
      <c r="B32" s="2"/>
      <c r="C32" s="2"/>
      <c r="D32" s="2"/>
      <c r="E32" s="3"/>
      <c r="F32" s="2"/>
      <c r="G32" s="2"/>
      <c r="H32" s="2"/>
      <c r="I32" s="2"/>
      <c r="J32" s="2"/>
    </row>
    <row r="33" spans="1:10" ht="13" x14ac:dyDescent="0.15">
      <c r="A33" s="4"/>
      <c r="B33" s="2"/>
      <c r="C33" s="2"/>
      <c r="D33" s="2"/>
      <c r="E33" s="3"/>
      <c r="F33" s="2"/>
      <c r="G33" s="2"/>
      <c r="H33" s="2"/>
      <c r="I33" s="2"/>
      <c r="J33" s="2"/>
    </row>
    <row r="34" spans="1:10" ht="84" customHeight="1" x14ac:dyDescent="0.15">
      <c r="A34" s="4" t="s">
        <v>27</v>
      </c>
      <c r="B34" s="19"/>
      <c r="D34" s="2"/>
      <c r="E34" s="3"/>
      <c r="F34" s="2"/>
      <c r="G34" s="2"/>
      <c r="H34" s="2"/>
      <c r="I34" s="2"/>
      <c r="J34" s="2"/>
    </row>
    <row r="35" spans="1:10" ht="13" x14ac:dyDescent="0.15">
      <c r="A35" s="111" t="s">
        <v>28</v>
      </c>
      <c r="B35" s="112"/>
      <c r="C35" s="112"/>
      <c r="D35" s="112"/>
      <c r="E35" s="112"/>
      <c r="F35" s="112"/>
      <c r="G35" s="112"/>
      <c r="H35" s="2"/>
      <c r="I35" s="2"/>
      <c r="J35" s="2"/>
    </row>
    <row r="36" spans="1:10" ht="13" x14ac:dyDescent="0.15">
      <c r="A36" s="4"/>
      <c r="B36" s="2"/>
      <c r="C36" s="2"/>
      <c r="D36" s="2"/>
      <c r="E36" s="3"/>
      <c r="F36" s="2"/>
      <c r="G36" s="2"/>
      <c r="H36" s="2"/>
      <c r="I36" s="2"/>
      <c r="J36" s="2"/>
    </row>
    <row r="37" spans="1:10" ht="13" x14ac:dyDescent="0.15">
      <c r="A37" s="111" t="s">
        <v>29</v>
      </c>
      <c r="B37" s="112"/>
      <c r="C37" s="112"/>
      <c r="D37" s="112"/>
      <c r="E37" s="112"/>
      <c r="F37" s="112"/>
      <c r="G37" s="112"/>
      <c r="H37" s="2"/>
      <c r="I37" s="2"/>
      <c r="J37" s="2"/>
    </row>
    <row r="38" spans="1:10" ht="13" x14ac:dyDescent="0.15">
      <c r="A38" s="111" t="s">
        <v>30</v>
      </c>
      <c r="B38" s="112"/>
      <c r="C38" s="112"/>
      <c r="D38" s="112"/>
      <c r="E38" s="112"/>
      <c r="F38" s="112"/>
      <c r="G38" s="112"/>
      <c r="H38" s="2"/>
      <c r="I38" s="2"/>
      <c r="J38" s="2"/>
    </row>
    <row r="39" spans="1:10" ht="13" x14ac:dyDescent="0.15">
      <c r="A39" s="4"/>
      <c r="B39" s="20"/>
      <c r="C39" s="20"/>
      <c r="D39" s="20"/>
      <c r="E39" s="21"/>
      <c r="F39" s="20"/>
      <c r="G39" s="20"/>
      <c r="H39" s="2"/>
      <c r="I39" s="2"/>
      <c r="J39" s="2"/>
    </row>
    <row r="40" spans="1:10" ht="13" x14ac:dyDescent="0.15">
      <c r="A40" s="4"/>
      <c r="B40" s="2"/>
      <c r="C40" s="2"/>
      <c r="D40" s="2"/>
      <c r="E40" s="3"/>
      <c r="F40" s="2"/>
      <c r="G40" s="2"/>
      <c r="H40" s="2"/>
      <c r="I40" s="2"/>
      <c r="J40" s="2"/>
    </row>
    <row r="41" spans="1:10" ht="13" x14ac:dyDescent="0.15">
      <c r="A41" s="4"/>
      <c r="B41" s="2"/>
      <c r="C41" s="2"/>
      <c r="D41" s="2"/>
      <c r="E41" s="3"/>
      <c r="F41" s="2"/>
      <c r="G41" s="2"/>
      <c r="H41" s="2"/>
      <c r="I41" s="2"/>
      <c r="J41" s="2"/>
    </row>
    <row r="42" spans="1:10" ht="13" x14ac:dyDescent="0.15">
      <c r="A42" s="4"/>
      <c r="B42" s="2"/>
      <c r="C42" s="2"/>
      <c r="D42" s="2"/>
      <c r="E42" s="3"/>
      <c r="F42" s="2"/>
      <c r="G42" s="2"/>
      <c r="H42" s="2"/>
      <c r="I42" s="2"/>
      <c r="J42" s="2"/>
    </row>
    <row r="43" spans="1:10" ht="13" x14ac:dyDescent="0.15">
      <c r="A43" s="4"/>
      <c r="B43" s="2"/>
      <c r="C43" s="2"/>
      <c r="D43" s="2"/>
      <c r="E43" s="3"/>
      <c r="F43" s="2"/>
      <c r="G43" s="2"/>
      <c r="H43" s="2"/>
      <c r="I43" s="2"/>
      <c r="J43" s="2"/>
    </row>
    <row r="44" spans="1:10" ht="13" x14ac:dyDescent="0.15">
      <c r="A44" s="4"/>
      <c r="B44" s="2"/>
      <c r="C44" s="2"/>
      <c r="D44" s="2"/>
      <c r="E44" s="3"/>
      <c r="F44" s="2"/>
      <c r="G44" s="2"/>
      <c r="H44" s="2"/>
      <c r="I44" s="2"/>
      <c r="J44" s="2"/>
    </row>
    <row r="45" spans="1:10" ht="13" x14ac:dyDescent="0.15">
      <c r="A45" s="4"/>
      <c r="B45" s="2"/>
      <c r="C45" s="2"/>
      <c r="D45" s="2"/>
      <c r="E45" s="3"/>
      <c r="F45" s="2"/>
      <c r="G45" s="2"/>
      <c r="H45" s="2"/>
      <c r="I45" s="2"/>
      <c r="J45" s="2"/>
    </row>
    <row r="46" spans="1:10" ht="13" x14ac:dyDescent="0.15">
      <c r="A46" s="4"/>
      <c r="B46" s="2"/>
      <c r="C46" s="2"/>
      <c r="D46" s="2"/>
      <c r="E46" s="3"/>
      <c r="F46" s="2"/>
      <c r="G46" s="2"/>
      <c r="H46" s="2"/>
      <c r="I46" s="2"/>
      <c r="J46" s="2"/>
    </row>
    <row r="47" spans="1:10" ht="13" x14ac:dyDescent="0.15">
      <c r="A47" s="4"/>
      <c r="B47" s="2"/>
      <c r="C47" s="2"/>
      <c r="D47" s="2"/>
      <c r="E47" s="3"/>
      <c r="F47" s="2"/>
      <c r="G47" s="2"/>
      <c r="H47" s="2"/>
      <c r="I47" s="2"/>
      <c r="J47" s="2"/>
    </row>
    <row r="48" spans="1:10" ht="13" x14ac:dyDescent="0.15">
      <c r="A48" s="4"/>
      <c r="B48" s="2"/>
      <c r="C48" s="2"/>
      <c r="D48" s="2"/>
      <c r="E48" s="3"/>
      <c r="F48" s="2"/>
      <c r="G48" s="2"/>
      <c r="H48" s="2"/>
      <c r="I48" s="2"/>
      <c r="J48" s="2"/>
    </row>
    <row r="49" spans="1:10" ht="13" x14ac:dyDescent="0.15">
      <c r="A49" s="4"/>
      <c r="B49" s="2"/>
      <c r="C49" s="2"/>
      <c r="D49" s="2"/>
      <c r="E49" s="3"/>
      <c r="F49" s="2"/>
      <c r="G49" s="2"/>
      <c r="H49" s="2"/>
      <c r="I49" s="2"/>
      <c r="J49" s="2"/>
    </row>
    <row r="50" spans="1:10" ht="13" x14ac:dyDescent="0.15">
      <c r="A50" s="4"/>
      <c r="B50" s="2"/>
      <c r="C50" s="2"/>
      <c r="D50" s="2"/>
      <c r="E50" s="3"/>
      <c r="F50" s="2"/>
      <c r="G50" s="2"/>
      <c r="H50" s="2"/>
      <c r="I50" s="2"/>
      <c r="J50" s="2"/>
    </row>
    <row r="51" spans="1:10" ht="13" x14ac:dyDescent="0.15">
      <c r="A51" s="4"/>
      <c r="B51" s="2"/>
      <c r="C51" s="2"/>
      <c r="D51" s="2"/>
      <c r="E51" s="3"/>
      <c r="F51" s="2"/>
      <c r="G51" s="2"/>
      <c r="H51" s="2"/>
      <c r="I51" s="2"/>
      <c r="J51" s="2"/>
    </row>
    <row r="52" spans="1:10" ht="13" x14ac:dyDescent="0.15">
      <c r="A52" s="4"/>
      <c r="B52" s="2"/>
      <c r="C52" s="2"/>
      <c r="D52" s="2"/>
      <c r="E52" s="3"/>
      <c r="F52" s="2"/>
      <c r="G52" s="2"/>
      <c r="H52" s="2"/>
      <c r="I52" s="2"/>
      <c r="J52" s="2"/>
    </row>
    <row r="53" spans="1:10" ht="13" x14ac:dyDescent="0.15">
      <c r="A53" s="4"/>
      <c r="B53" s="2"/>
      <c r="C53" s="2"/>
      <c r="D53" s="2"/>
      <c r="E53" s="3"/>
      <c r="F53" s="2"/>
      <c r="G53" s="2"/>
      <c r="H53" s="2"/>
      <c r="I53" s="2"/>
      <c r="J53" s="2"/>
    </row>
    <row r="54" spans="1:10" ht="13" x14ac:dyDescent="0.15">
      <c r="A54" s="4"/>
      <c r="B54" s="2"/>
      <c r="C54" s="2"/>
      <c r="D54" s="2"/>
      <c r="E54" s="3"/>
      <c r="F54" s="2"/>
      <c r="G54" s="2"/>
      <c r="H54" s="2"/>
      <c r="I54" s="2"/>
      <c r="J54" s="2"/>
    </row>
    <row r="55" spans="1:10" ht="13" x14ac:dyDescent="0.15">
      <c r="A55" s="4"/>
      <c r="B55" s="2"/>
      <c r="C55" s="2"/>
      <c r="D55" s="2"/>
      <c r="E55" s="3"/>
      <c r="F55" s="2"/>
      <c r="G55" s="2"/>
      <c r="H55" s="2"/>
      <c r="I55" s="2"/>
      <c r="J55" s="2"/>
    </row>
    <row r="56" spans="1:10" ht="13" x14ac:dyDescent="0.15">
      <c r="A56" s="4"/>
      <c r="B56" s="2"/>
      <c r="C56" s="2"/>
      <c r="D56" s="2"/>
      <c r="E56" s="3"/>
      <c r="F56" s="2"/>
      <c r="G56" s="2"/>
      <c r="H56" s="2"/>
      <c r="I56" s="2"/>
      <c r="J56" s="2"/>
    </row>
    <row r="57" spans="1:10" ht="13" x14ac:dyDescent="0.15">
      <c r="A57" s="4"/>
      <c r="B57" s="2"/>
      <c r="C57" s="2"/>
      <c r="D57" s="2"/>
      <c r="E57" s="3"/>
      <c r="F57" s="2"/>
      <c r="G57" s="2"/>
      <c r="H57" s="2"/>
      <c r="I57" s="2"/>
      <c r="J57" s="2"/>
    </row>
    <row r="58" spans="1:10" ht="13" x14ac:dyDescent="0.15">
      <c r="A58" s="4"/>
      <c r="B58" s="2"/>
      <c r="C58" s="2"/>
      <c r="D58" s="2"/>
      <c r="E58" s="3"/>
      <c r="F58" s="2"/>
      <c r="G58" s="2"/>
      <c r="H58" s="2"/>
      <c r="I58" s="2"/>
      <c r="J58" s="2"/>
    </row>
    <row r="59" spans="1:10" ht="13" x14ac:dyDescent="0.15">
      <c r="A59" s="4"/>
      <c r="B59" s="2"/>
      <c r="C59" s="2"/>
      <c r="D59" s="2"/>
      <c r="E59" s="3"/>
      <c r="F59" s="2"/>
      <c r="G59" s="2"/>
      <c r="H59" s="2"/>
      <c r="I59" s="2"/>
      <c r="J59" s="2"/>
    </row>
    <row r="60" spans="1:10" ht="13" x14ac:dyDescent="0.15">
      <c r="A60" s="4"/>
      <c r="B60" s="2"/>
      <c r="C60" s="2"/>
      <c r="D60" s="2"/>
      <c r="E60" s="3"/>
      <c r="F60" s="2"/>
      <c r="G60" s="2"/>
      <c r="H60" s="2"/>
      <c r="I60" s="2"/>
      <c r="J60" s="2"/>
    </row>
    <row r="61" spans="1:10" ht="13" x14ac:dyDescent="0.15">
      <c r="A61" s="4"/>
      <c r="B61" s="2"/>
      <c r="C61" s="2"/>
      <c r="D61" s="2"/>
      <c r="E61" s="3"/>
      <c r="F61" s="2"/>
      <c r="G61" s="2"/>
      <c r="H61" s="2"/>
      <c r="I61" s="2"/>
      <c r="J61" s="2"/>
    </row>
    <row r="62" spans="1:10" ht="13" x14ac:dyDescent="0.15">
      <c r="A62" s="4"/>
      <c r="B62" s="2"/>
      <c r="C62" s="2"/>
      <c r="D62" s="2"/>
      <c r="E62" s="3"/>
      <c r="F62" s="2"/>
      <c r="G62" s="2"/>
      <c r="H62" s="2"/>
      <c r="I62" s="2"/>
      <c r="J62" s="2"/>
    </row>
    <row r="63" spans="1:10" ht="13" x14ac:dyDescent="0.15">
      <c r="A63" s="4"/>
      <c r="B63" s="2"/>
      <c r="C63" s="2"/>
      <c r="D63" s="2"/>
      <c r="E63" s="3"/>
      <c r="F63" s="2"/>
      <c r="G63" s="2"/>
      <c r="H63" s="2"/>
      <c r="I63" s="2"/>
      <c r="J63" s="2"/>
    </row>
    <row r="64" spans="1:10" ht="13" x14ac:dyDescent="0.15">
      <c r="A64" s="4"/>
      <c r="B64" s="2"/>
      <c r="C64" s="2"/>
      <c r="D64" s="2"/>
      <c r="E64" s="3"/>
      <c r="F64" s="2"/>
      <c r="G64" s="2"/>
      <c r="H64" s="2"/>
      <c r="I64" s="2"/>
      <c r="J64" s="2"/>
    </row>
    <row r="65" spans="1:10" ht="13" x14ac:dyDescent="0.15">
      <c r="A65" s="4"/>
      <c r="B65" s="2"/>
      <c r="C65" s="2"/>
      <c r="D65" s="2"/>
      <c r="E65" s="3"/>
      <c r="F65" s="2"/>
      <c r="G65" s="2"/>
      <c r="H65" s="2"/>
      <c r="I65" s="2"/>
      <c r="J65" s="2"/>
    </row>
    <row r="66" spans="1:10" ht="13" x14ac:dyDescent="0.15">
      <c r="A66" s="4"/>
      <c r="B66" s="2"/>
      <c r="C66" s="2"/>
      <c r="D66" s="2"/>
      <c r="E66" s="3"/>
      <c r="F66" s="2"/>
      <c r="G66" s="2"/>
      <c r="H66" s="2"/>
      <c r="I66" s="2"/>
      <c r="J66" s="2"/>
    </row>
    <row r="67" spans="1:10" ht="13" x14ac:dyDescent="0.15">
      <c r="A67" s="4"/>
      <c r="B67" s="2"/>
      <c r="C67" s="2"/>
      <c r="D67" s="2"/>
      <c r="E67" s="3"/>
      <c r="F67" s="2"/>
      <c r="G67" s="2"/>
      <c r="H67" s="2"/>
      <c r="I67" s="2"/>
      <c r="J67" s="2"/>
    </row>
    <row r="68" spans="1:10" ht="13" x14ac:dyDescent="0.15">
      <c r="A68" s="4"/>
      <c r="B68" s="2"/>
      <c r="C68" s="2"/>
      <c r="D68" s="2"/>
      <c r="E68" s="3"/>
      <c r="F68" s="2"/>
      <c r="G68" s="2"/>
      <c r="H68" s="2"/>
      <c r="I68" s="2"/>
      <c r="J68" s="2"/>
    </row>
    <row r="69" spans="1:10" ht="13" x14ac:dyDescent="0.15">
      <c r="A69" s="4"/>
      <c r="B69" s="2"/>
      <c r="C69" s="2"/>
      <c r="D69" s="2"/>
      <c r="E69" s="3"/>
      <c r="F69" s="2"/>
      <c r="G69" s="2"/>
      <c r="H69" s="2"/>
      <c r="I69" s="2"/>
      <c r="J69" s="2"/>
    </row>
    <row r="70" spans="1:10" ht="13" x14ac:dyDescent="0.15">
      <c r="A70" s="4"/>
      <c r="B70" s="2"/>
      <c r="C70" s="2"/>
      <c r="D70" s="2"/>
      <c r="E70" s="3"/>
      <c r="F70" s="2"/>
      <c r="G70" s="2"/>
      <c r="H70" s="2"/>
      <c r="I70" s="2"/>
      <c r="J70" s="2"/>
    </row>
    <row r="71" spans="1:10" ht="13" x14ac:dyDescent="0.15">
      <c r="A71" s="4"/>
      <c r="B71" s="2"/>
      <c r="C71" s="2"/>
      <c r="D71" s="2"/>
      <c r="E71" s="3"/>
      <c r="F71" s="2"/>
      <c r="G71" s="2"/>
      <c r="H71" s="2"/>
      <c r="I71" s="2"/>
      <c r="J71" s="2"/>
    </row>
    <row r="72" spans="1:10" ht="13" x14ac:dyDescent="0.15">
      <c r="A72" s="4"/>
      <c r="B72" s="2"/>
      <c r="C72" s="2"/>
      <c r="D72" s="2"/>
      <c r="E72" s="3"/>
      <c r="F72" s="2"/>
      <c r="G72" s="2"/>
      <c r="H72" s="2"/>
      <c r="I72" s="2"/>
      <c r="J72" s="2"/>
    </row>
    <row r="73" spans="1:10" ht="13" x14ac:dyDescent="0.15">
      <c r="A73" s="4"/>
      <c r="B73" s="2"/>
      <c r="C73" s="2"/>
      <c r="D73" s="2"/>
      <c r="E73" s="3"/>
      <c r="F73" s="2"/>
      <c r="G73" s="2"/>
      <c r="H73" s="2"/>
      <c r="I73" s="2"/>
      <c r="J73" s="2"/>
    </row>
    <row r="74" spans="1:10" ht="13" x14ac:dyDescent="0.15">
      <c r="A74" s="4"/>
      <c r="B74" s="2"/>
      <c r="C74" s="2"/>
      <c r="D74" s="2"/>
      <c r="E74" s="3"/>
      <c r="F74" s="2"/>
      <c r="G74" s="2"/>
      <c r="H74" s="2"/>
      <c r="I74" s="2"/>
      <c r="J74" s="2"/>
    </row>
    <row r="75" spans="1:10" ht="13" x14ac:dyDescent="0.15">
      <c r="A75" s="4"/>
      <c r="B75" s="2"/>
      <c r="C75" s="2"/>
      <c r="D75" s="2"/>
      <c r="E75" s="3"/>
      <c r="F75" s="2"/>
      <c r="G75" s="2"/>
      <c r="H75" s="2"/>
      <c r="I75" s="2"/>
      <c r="J75" s="2"/>
    </row>
    <row r="76" spans="1:10" ht="13" x14ac:dyDescent="0.15">
      <c r="A76" s="4"/>
      <c r="B76" s="2"/>
      <c r="C76" s="2"/>
      <c r="D76" s="2"/>
      <c r="E76" s="3"/>
      <c r="F76" s="2"/>
      <c r="G76" s="2"/>
      <c r="H76" s="2"/>
      <c r="I76" s="2"/>
      <c r="J76" s="2"/>
    </row>
    <row r="77" spans="1:10" ht="13" x14ac:dyDescent="0.15">
      <c r="A77" s="4"/>
      <c r="B77" s="2"/>
      <c r="C77" s="2"/>
      <c r="D77" s="2"/>
      <c r="E77" s="3"/>
      <c r="F77" s="2"/>
      <c r="G77" s="2"/>
      <c r="H77" s="2"/>
      <c r="I77" s="2"/>
      <c r="J77" s="2"/>
    </row>
    <row r="78" spans="1:10" ht="13" x14ac:dyDescent="0.15">
      <c r="A78" s="4"/>
      <c r="B78" s="2"/>
      <c r="C78" s="2"/>
      <c r="D78" s="2"/>
      <c r="E78" s="3"/>
      <c r="F78" s="2"/>
      <c r="G78" s="2"/>
      <c r="H78" s="2"/>
      <c r="I78" s="2"/>
      <c r="J78" s="2"/>
    </row>
    <row r="79" spans="1:10" ht="13" x14ac:dyDescent="0.15">
      <c r="A79" s="4"/>
      <c r="B79" s="2"/>
      <c r="C79" s="2"/>
      <c r="D79" s="2"/>
      <c r="E79" s="3"/>
      <c r="F79" s="2"/>
      <c r="G79" s="2"/>
      <c r="H79" s="2"/>
      <c r="I79" s="2"/>
      <c r="J79" s="2"/>
    </row>
    <row r="80" spans="1:10" ht="13" x14ac:dyDescent="0.15">
      <c r="A80" s="4"/>
      <c r="B80" s="2"/>
      <c r="C80" s="2"/>
      <c r="D80" s="2"/>
      <c r="E80" s="3"/>
      <c r="F80" s="2"/>
      <c r="G80" s="2"/>
      <c r="H80" s="2"/>
      <c r="I80" s="2"/>
      <c r="J80" s="2"/>
    </row>
    <row r="81" spans="1:10" ht="13" x14ac:dyDescent="0.15">
      <c r="A81" s="4"/>
      <c r="B81" s="2"/>
      <c r="C81" s="2"/>
      <c r="D81" s="2"/>
      <c r="E81" s="3"/>
      <c r="F81" s="2"/>
      <c r="G81" s="2"/>
      <c r="H81" s="2"/>
      <c r="I81" s="2"/>
      <c r="J81" s="2"/>
    </row>
    <row r="82" spans="1:10" ht="13" x14ac:dyDescent="0.15">
      <c r="A82" s="4"/>
      <c r="B82" s="2"/>
      <c r="C82" s="2"/>
      <c r="D82" s="2"/>
      <c r="E82" s="3"/>
      <c r="F82" s="2"/>
      <c r="G82" s="2"/>
      <c r="H82" s="2"/>
      <c r="I82" s="2"/>
      <c r="J82" s="2"/>
    </row>
    <row r="83" spans="1:10" ht="13" x14ac:dyDescent="0.15">
      <c r="A83" s="4"/>
      <c r="B83" s="2"/>
      <c r="C83" s="2"/>
      <c r="D83" s="2"/>
      <c r="E83" s="3"/>
      <c r="F83" s="2"/>
      <c r="G83" s="2"/>
      <c r="H83" s="2"/>
      <c r="I83" s="2"/>
      <c r="J83" s="2"/>
    </row>
    <row r="84" spans="1:10" ht="13" x14ac:dyDescent="0.15">
      <c r="A84" s="4"/>
      <c r="B84" s="2"/>
      <c r="C84" s="2"/>
      <c r="D84" s="2"/>
      <c r="E84" s="3"/>
      <c r="F84" s="2"/>
      <c r="G84" s="2"/>
      <c r="H84" s="2"/>
      <c r="I84" s="2"/>
      <c r="J84" s="2"/>
    </row>
    <row r="85" spans="1:10" ht="13" x14ac:dyDescent="0.15">
      <c r="A85" s="4"/>
      <c r="B85" s="2"/>
      <c r="C85" s="2"/>
      <c r="D85" s="2"/>
      <c r="E85" s="3"/>
      <c r="F85" s="2"/>
      <c r="G85" s="2"/>
      <c r="H85" s="2"/>
      <c r="I85" s="2"/>
      <c r="J85" s="2"/>
    </row>
    <row r="86" spans="1:10" ht="13" x14ac:dyDescent="0.15">
      <c r="A86" s="4"/>
      <c r="B86" s="2"/>
      <c r="C86" s="2"/>
      <c r="D86" s="2"/>
      <c r="E86" s="3"/>
      <c r="F86" s="2"/>
      <c r="G86" s="2"/>
      <c r="H86" s="2"/>
      <c r="I86" s="2"/>
      <c r="J86" s="2"/>
    </row>
    <row r="87" spans="1:10" ht="13" x14ac:dyDescent="0.15">
      <c r="A87" s="4"/>
      <c r="B87" s="2"/>
      <c r="C87" s="2"/>
      <c r="D87" s="2"/>
      <c r="E87" s="3"/>
      <c r="F87" s="2"/>
      <c r="G87" s="2"/>
      <c r="H87" s="2"/>
      <c r="I87" s="2"/>
      <c r="J87" s="2"/>
    </row>
    <row r="88" spans="1:10" ht="13" x14ac:dyDescent="0.15">
      <c r="A88" s="4"/>
      <c r="B88" s="2"/>
      <c r="C88" s="2"/>
      <c r="D88" s="2"/>
      <c r="E88" s="3"/>
      <c r="F88" s="2"/>
      <c r="G88" s="2"/>
      <c r="H88" s="2"/>
      <c r="I88" s="2"/>
      <c r="J88" s="2"/>
    </row>
    <row r="89" spans="1:10" ht="13" x14ac:dyDescent="0.15">
      <c r="A89" s="4"/>
      <c r="B89" s="2"/>
      <c r="C89" s="2"/>
      <c r="D89" s="2"/>
      <c r="E89" s="3"/>
      <c r="F89" s="2"/>
      <c r="G89" s="2"/>
      <c r="H89" s="2"/>
      <c r="I89" s="2"/>
      <c r="J89" s="2"/>
    </row>
    <row r="90" spans="1:10" ht="13" x14ac:dyDescent="0.15">
      <c r="A90" s="4"/>
      <c r="B90" s="2"/>
      <c r="C90" s="2"/>
      <c r="D90" s="2"/>
      <c r="E90" s="3"/>
      <c r="F90" s="2"/>
      <c r="G90" s="2"/>
      <c r="H90" s="2"/>
      <c r="I90" s="2"/>
      <c r="J90" s="2"/>
    </row>
    <row r="91" spans="1:10" ht="13" x14ac:dyDescent="0.15">
      <c r="A91" s="4"/>
      <c r="B91" s="2"/>
      <c r="C91" s="2"/>
      <c r="D91" s="2"/>
      <c r="E91" s="3"/>
      <c r="F91" s="2"/>
      <c r="G91" s="2"/>
      <c r="H91" s="2"/>
      <c r="I91" s="2"/>
      <c r="J91" s="2"/>
    </row>
    <row r="92" spans="1:10" ht="13" x14ac:dyDescent="0.15">
      <c r="A92" s="4"/>
      <c r="B92" s="2"/>
      <c r="C92" s="2"/>
      <c r="D92" s="2"/>
      <c r="E92" s="3"/>
      <c r="F92" s="2"/>
      <c r="G92" s="2"/>
      <c r="H92" s="2"/>
      <c r="I92" s="2"/>
      <c r="J92" s="2"/>
    </row>
    <row r="93" spans="1:10" ht="13" x14ac:dyDescent="0.15">
      <c r="A93" s="4"/>
      <c r="B93" s="2"/>
      <c r="C93" s="2"/>
      <c r="D93" s="2"/>
      <c r="E93" s="3"/>
      <c r="F93" s="2"/>
      <c r="G93" s="2"/>
      <c r="H93" s="2"/>
      <c r="I93" s="2"/>
      <c r="J93" s="2"/>
    </row>
    <row r="94" spans="1:10" ht="13" x14ac:dyDescent="0.15">
      <c r="A94" s="4"/>
      <c r="B94" s="2"/>
      <c r="C94" s="2"/>
      <c r="D94" s="2"/>
      <c r="E94" s="3"/>
      <c r="F94" s="2"/>
      <c r="G94" s="2"/>
      <c r="H94" s="2"/>
      <c r="I94" s="2"/>
      <c r="J94" s="2"/>
    </row>
    <row r="95" spans="1:10" ht="13" x14ac:dyDescent="0.15">
      <c r="A95" s="4"/>
      <c r="B95" s="2"/>
      <c r="C95" s="2"/>
      <c r="D95" s="2"/>
      <c r="E95" s="3"/>
      <c r="F95" s="2"/>
      <c r="G95" s="2"/>
      <c r="H95" s="2"/>
      <c r="I95" s="2"/>
      <c r="J95" s="2"/>
    </row>
    <row r="96" spans="1:10" ht="13" x14ac:dyDescent="0.15">
      <c r="A96" s="4"/>
      <c r="B96" s="2"/>
      <c r="C96" s="2"/>
      <c r="D96" s="2"/>
      <c r="E96" s="3"/>
      <c r="F96" s="2"/>
      <c r="G96" s="2"/>
      <c r="H96" s="2"/>
      <c r="I96" s="2"/>
      <c r="J96" s="2"/>
    </row>
    <row r="97" spans="1:10" ht="13" x14ac:dyDescent="0.15">
      <c r="A97" s="4"/>
      <c r="B97" s="2"/>
      <c r="C97" s="2"/>
      <c r="D97" s="2"/>
      <c r="E97" s="3"/>
      <c r="F97" s="2"/>
      <c r="G97" s="2"/>
      <c r="H97" s="2"/>
      <c r="I97" s="2"/>
      <c r="J97" s="2"/>
    </row>
    <row r="98" spans="1:10" ht="13" x14ac:dyDescent="0.15">
      <c r="A98" s="4"/>
      <c r="B98" s="2"/>
      <c r="C98" s="2"/>
      <c r="D98" s="2"/>
      <c r="E98" s="3"/>
      <c r="F98" s="2"/>
      <c r="G98" s="2"/>
      <c r="H98" s="2"/>
      <c r="I98" s="2"/>
      <c r="J98" s="2"/>
    </row>
    <row r="99" spans="1:10" ht="13" x14ac:dyDescent="0.15">
      <c r="A99" s="4"/>
      <c r="B99" s="2"/>
      <c r="C99" s="2"/>
      <c r="D99" s="2"/>
      <c r="E99" s="3"/>
      <c r="F99" s="2"/>
      <c r="G99" s="2"/>
      <c r="H99" s="2"/>
      <c r="I99" s="2"/>
      <c r="J99" s="2"/>
    </row>
    <row r="100" spans="1:10" ht="13" x14ac:dyDescent="0.15">
      <c r="A100" s="4"/>
      <c r="B100" s="2"/>
      <c r="C100" s="2"/>
      <c r="D100" s="2"/>
      <c r="E100" s="3"/>
      <c r="F100" s="2"/>
      <c r="G100" s="2"/>
      <c r="H100" s="2"/>
      <c r="I100" s="2"/>
      <c r="J100" s="2"/>
    </row>
    <row r="101" spans="1:10" ht="13" x14ac:dyDescent="0.15">
      <c r="A101" s="4"/>
      <c r="B101" s="2"/>
      <c r="C101" s="2"/>
      <c r="D101" s="2"/>
      <c r="E101" s="3"/>
      <c r="F101" s="2"/>
      <c r="G101" s="2"/>
      <c r="H101" s="2"/>
      <c r="I101" s="2"/>
      <c r="J101" s="2"/>
    </row>
    <row r="102" spans="1:10" ht="13" x14ac:dyDescent="0.15">
      <c r="A102" s="4"/>
      <c r="B102" s="2"/>
      <c r="C102" s="2"/>
      <c r="D102" s="2"/>
      <c r="E102" s="3"/>
      <c r="F102" s="2"/>
      <c r="G102" s="2"/>
      <c r="H102" s="2"/>
      <c r="I102" s="2"/>
      <c r="J102" s="2"/>
    </row>
    <row r="103" spans="1:10" ht="13" x14ac:dyDescent="0.15">
      <c r="A103" s="4"/>
      <c r="B103" s="2"/>
      <c r="C103" s="2"/>
      <c r="D103" s="2"/>
      <c r="E103" s="3"/>
      <c r="F103" s="2"/>
      <c r="G103" s="2"/>
      <c r="H103" s="2"/>
      <c r="I103" s="2"/>
      <c r="J103" s="2"/>
    </row>
    <row r="104" spans="1:10" ht="13" x14ac:dyDescent="0.15">
      <c r="A104" s="4"/>
      <c r="B104" s="2"/>
      <c r="C104" s="2"/>
      <c r="D104" s="2"/>
      <c r="E104" s="3"/>
      <c r="F104" s="2"/>
      <c r="G104" s="2"/>
      <c r="H104" s="2"/>
      <c r="I104" s="2"/>
      <c r="J104" s="2"/>
    </row>
    <row r="105" spans="1:10" ht="13" x14ac:dyDescent="0.15">
      <c r="A105" s="4"/>
      <c r="B105" s="2"/>
      <c r="C105" s="2"/>
      <c r="D105" s="2"/>
      <c r="E105" s="3"/>
      <c r="F105" s="2"/>
      <c r="G105" s="2"/>
      <c r="H105" s="2"/>
      <c r="I105" s="2"/>
      <c r="J105" s="2"/>
    </row>
    <row r="106" spans="1:10" ht="13" x14ac:dyDescent="0.15">
      <c r="A106" s="4"/>
      <c r="B106" s="2"/>
      <c r="C106" s="2"/>
      <c r="D106" s="2"/>
      <c r="E106" s="3"/>
      <c r="F106" s="2"/>
      <c r="G106" s="2"/>
      <c r="H106" s="2"/>
      <c r="I106" s="2"/>
      <c r="J106" s="2"/>
    </row>
    <row r="107" spans="1:10" ht="13" x14ac:dyDescent="0.15">
      <c r="A107" s="4"/>
      <c r="B107" s="2"/>
      <c r="C107" s="2"/>
      <c r="D107" s="2"/>
      <c r="E107" s="3"/>
      <c r="F107" s="2"/>
      <c r="G107" s="2"/>
      <c r="H107" s="2"/>
      <c r="I107" s="2"/>
      <c r="J107" s="2"/>
    </row>
    <row r="108" spans="1:10" ht="13" x14ac:dyDescent="0.15">
      <c r="A108" s="4"/>
      <c r="B108" s="2"/>
      <c r="C108" s="2"/>
      <c r="D108" s="2"/>
      <c r="E108" s="3"/>
      <c r="F108" s="2"/>
      <c r="G108" s="2"/>
      <c r="H108" s="2"/>
      <c r="I108" s="2"/>
      <c r="J108" s="2"/>
    </row>
    <row r="109" spans="1:10" ht="13" x14ac:dyDescent="0.15">
      <c r="A109" s="4"/>
      <c r="B109" s="2"/>
      <c r="C109" s="2"/>
      <c r="D109" s="2"/>
      <c r="E109" s="3"/>
      <c r="F109" s="2"/>
      <c r="G109" s="2"/>
      <c r="H109" s="2"/>
      <c r="I109" s="2"/>
      <c r="J109" s="2"/>
    </row>
    <row r="110" spans="1:10" ht="13" x14ac:dyDescent="0.15">
      <c r="A110" s="4"/>
      <c r="B110" s="2"/>
      <c r="C110" s="2"/>
      <c r="D110" s="2"/>
      <c r="E110" s="3"/>
      <c r="F110" s="2"/>
      <c r="G110" s="2"/>
      <c r="H110" s="2"/>
      <c r="I110" s="2"/>
      <c r="J110" s="2"/>
    </row>
    <row r="111" spans="1:10" ht="13" x14ac:dyDescent="0.15">
      <c r="A111" s="4"/>
      <c r="B111" s="2"/>
      <c r="C111" s="2"/>
      <c r="D111" s="2"/>
      <c r="E111" s="3"/>
      <c r="F111" s="2"/>
      <c r="G111" s="2"/>
      <c r="H111" s="2"/>
      <c r="I111" s="2"/>
      <c r="J111" s="2"/>
    </row>
    <row r="112" spans="1:10" ht="13" x14ac:dyDescent="0.15">
      <c r="A112" s="4"/>
      <c r="B112" s="2"/>
      <c r="C112" s="2"/>
      <c r="D112" s="2"/>
      <c r="E112" s="3"/>
      <c r="F112" s="2"/>
      <c r="G112" s="2"/>
      <c r="H112" s="2"/>
      <c r="I112" s="2"/>
      <c r="J112" s="2"/>
    </row>
    <row r="113" spans="1:10" ht="13" x14ac:dyDescent="0.15">
      <c r="A113" s="4"/>
      <c r="B113" s="2"/>
      <c r="C113" s="2"/>
      <c r="D113" s="2"/>
      <c r="E113" s="3"/>
      <c r="F113" s="2"/>
      <c r="G113" s="2"/>
      <c r="H113" s="2"/>
      <c r="I113" s="2"/>
      <c r="J113" s="2"/>
    </row>
    <row r="114" spans="1:10" ht="13" x14ac:dyDescent="0.15">
      <c r="A114" s="4"/>
      <c r="B114" s="2"/>
      <c r="C114" s="2"/>
      <c r="D114" s="2"/>
      <c r="E114" s="3"/>
      <c r="F114" s="2"/>
      <c r="G114" s="2"/>
      <c r="H114" s="2"/>
      <c r="I114" s="2"/>
      <c r="J114" s="2"/>
    </row>
    <row r="115" spans="1:10" ht="13" x14ac:dyDescent="0.15">
      <c r="A115" s="4"/>
      <c r="B115" s="2"/>
      <c r="C115" s="2"/>
      <c r="D115" s="2"/>
      <c r="E115" s="3"/>
      <c r="F115" s="2"/>
      <c r="G115" s="2"/>
      <c r="H115" s="2"/>
      <c r="I115" s="2"/>
      <c r="J115" s="2"/>
    </row>
    <row r="116" spans="1:10" ht="13" x14ac:dyDescent="0.15">
      <c r="A116" s="4"/>
      <c r="B116" s="2"/>
      <c r="C116" s="2"/>
      <c r="D116" s="2"/>
      <c r="E116" s="3"/>
      <c r="F116" s="2"/>
      <c r="G116" s="2"/>
      <c r="H116" s="2"/>
      <c r="I116" s="2"/>
      <c r="J116" s="2"/>
    </row>
    <row r="117" spans="1:10" ht="13" x14ac:dyDescent="0.15">
      <c r="A117" s="4"/>
      <c r="B117" s="2"/>
      <c r="C117" s="2"/>
      <c r="D117" s="2"/>
      <c r="E117" s="3"/>
      <c r="F117" s="2"/>
      <c r="G117" s="2"/>
      <c r="H117" s="2"/>
      <c r="I117" s="2"/>
      <c r="J117" s="2"/>
    </row>
    <row r="118" spans="1:10" ht="13" x14ac:dyDescent="0.15">
      <c r="A118" s="4"/>
      <c r="B118" s="2"/>
      <c r="C118" s="2"/>
      <c r="D118" s="2"/>
      <c r="E118" s="3"/>
      <c r="F118" s="2"/>
      <c r="G118" s="2"/>
      <c r="H118" s="2"/>
      <c r="I118" s="2"/>
      <c r="J118" s="2"/>
    </row>
    <row r="119" spans="1:10" ht="13" x14ac:dyDescent="0.15">
      <c r="A119" s="4"/>
      <c r="B119" s="2"/>
      <c r="C119" s="2"/>
      <c r="D119" s="2"/>
      <c r="E119" s="3"/>
      <c r="F119" s="2"/>
      <c r="G119" s="2"/>
      <c r="H119" s="2"/>
      <c r="I119" s="2"/>
      <c r="J119" s="2"/>
    </row>
    <row r="120" spans="1:10" ht="13" x14ac:dyDescent="0.15">
      <c r="A120" s="4"/>
      <c r="B120" s="2"/>
      <c r="C120" s="2"/>
      <c r="D120" s="2"/>
      <c r="E120" s="3"/>
      <c r="F120" s="2"/>
      <c r="G120" s="2"/>
      <c r="H120" s="2"/>
      <c r="I120" s="2"/>
      <c r="J120" s="2"/>
    </row>
    <row r="121" spans="1:10" ht="13" x14ac:dyDescent="0.15">
      <c r="A121" s="4"/>
      <c r="B121" s="2"/>
      <c r="C121" s="2"/>
      <c r="D121" s="2"/>
      <c r="E121" s="3"/>
      <c r="F121" s="2"/>
      <c r="G121" s="2"/>
      <c r="H121" s="2"/>
      <c r="I121" s="2"/>
      <c r="J121" s="2"/>
    </row>
    <row r="122" spans="1:10" ht="13" x14ac:dyDescent="0.15">
      <c r="A122" s="4"/>
      <c r="B122" s="2"/>
      <c r="C122" s="2"/>
      <c r="D122" s="2"/>
      <c r="E122" s="3"/>
      <c r="F122" s="2"/>
      <c r="G122" s="2"/>
      <c r="H122" s="2"/>
      <c r="I122" s="2"/>
      <c r="J122" s="2"/>
    </row>
    <row r="123" spans="1:10" ht="13" x14ac:dyDescent="0.15">
      <c r="A123" s="4"/>
      <c r="B123" s="2"/>
      <c r="C123" s="2"/>
      <c r="D123" s="2"/>
      <c r="E123" s="3"/>
      <c r="F123" s="2"/>
      <c r="G123" s="2"/>
      <c r="H123" s="2"/>
      <c r="I123" s="2"/>
      <c r="J123" s="2"/>
    </row>
    <row r="124" spans="1:10" ht="13" x14ac:dyDescent="0.15">
      <c r="A124" s="4"/>
      <c r="B124" s="2"/>
      <c r="C124" s="2"/>
      <c r="D124" s="2"/>
      <c r="E124" s="3"/>
      <c r="F124" s="2"/>
      <c r="G124" s="2"/>
      <c r="H124" s="2"/>
      <c r="I124" s="2"/>
      <c r="J124" s="2"/>
    </row>
    <row r="125" spans="1:10" ht="13" x14ac:dyDescent="0.15">
      <c r="A125" s="4"/>
      <c r="B125" s="2"/>
      <c r="C125" s="2"/>
      <c r="D125" s="2"/>
      <c r="E125" s="3"/>
      <c r="F125" s="2"/>
      <c r="G125" s="2"/>
      <c r="H125" s="2"/>
      <c r="I125" s="2"/>
      <c r="J125" s="2"/>
    </row>
    <row r="126" spans="1:10" ht="13" x14ac:dyDescent="0.15">
      <c r="A126" s="4"/>
      <c r="B126" s="2"/>
      <c r="C126" s="2"/>
      <c r="D126" s="2"/>
      <c r="E126" s="3"/>
      <c r="F126" s="2"/>
      <c r="G126" s="2"/>
      <c r="H126" s="2"/>
      <c r="I126" s="2"/>
      <c r="J126" s="2"/>
    </row>
    <row r="127" spans="1:10" ht="13" x14ac:dyDescent="0.15">
      <c r="A127" s="4"/>
      <c r="B127" s="2"/>
      <c r="C127" s="2"/>
      <c r="D127" s="2"/>
      <c r="E127" s="3"/>
      <c r="F127" s="2"/>
      <c r="G127" s="2"/>
      <c r="H127" s="2"/>
      <c r="I127" s="2"/>
      <c r="J127" s="2"/>
    </row>
    <row r="128" spans="1:10" ht="13" x14ac:dyDescent="0.15">
      <c r="A128" s="4"/>
      <c r="B128" s="2"/>
      <c r="C128" s="2"/>
      <c r="D128" s="2"/>
      <c r="E128" s="3"/>
      <c r="F128" s="2"/>
      <c r="G128" s="2"/>
      <c r="H128" s="2"/>
      <c r="I128" s="2"/>
      <c r="J128" s="2"/>
    </row>
    <row r="129" spans="1:10" ht="13" x14ac:dyDescent="0.15">
      <c r="A129" s="4"/>
      <c r="B129" s="2"/>
      <c r="C129" s="2"/>
      <c r="D129" s="2"/>
      <c r="E129" s="3"/>
      <c r="F129" s="2"/>
      <c r="G129" s="2"/>
      <c r="H129" s="2"/>
      <c r="I129" s="2"/>
      <c r="J129" s="2"/>
    </row>
    <row r="130" spans="1:10" ht="13" x14ac:dyDescent="0.15">
      <c r="A130" s="4"/>
      <c r="B130" s="2"/>
      <c r="C130" s="2"/>
      <c r="D130" s="2"/>
      <c r="E130" s="3"/>
      <c r="F130" s="2"/>
      <c r="G130" s="2"/>
      <c r="H130" s="2"/>
      <c r="I130" s="2"/>
      <c r="J130" s="2"/>
    </row>
    <row r="131" spans="1:10" ht="13" x14ac:dyDescent="0.15">
      <c r="A131" s="4"/>
      <c r="B131" s="2"/>
      <c r="C131" s="2"/>
      <c r="D131" s="2"/>
      <c r="E131" s="3"/>
      <c r="F131" s="2"/>
      <c r="G131" s="2"/>
      <c r="H131" s="2"/>
      <c r="I131" s="2"/>
      <c r="J131" s="2"/>
    </row>
    <row r="132" spans="1:10" ht="13" x14ac:dyDescent="0.15">
      <c r="A132" s="4"/>
      <c r="B132" s="2"/>
      <c r="C132" s="2"/>
      <c r="D132" s="2"/>
      <c r="E132" s="3"/>
      <c r="F132" s="2"/>
      <c r="G132" s="2"/>
      <c r="H132" s="2"/>
      <c r="I132" s="2"/>
      <c r="J132" s="2"/>
    </row>
    <row r="133" spans="1:10" ht="13" x14ac:dyDescent="0.15">
      <c r="A133" s="4"/>
      <c r="B133" s="2"/>
      <c r="C133" s="2"/>
      <c r="D133" s="2"/>
      <c r="E133" s="3"/>
      <c r="F133" s="2"/>
      <c r="G133" s="2"/>
      <c r="H133" s="2"/>
      <c r="I133" s="2"/>
      <c r="J133" s="2"/>
    </row>
    <row r="134" spans="1:10" ht="13" x14ac:dyDescent="0.15">
      <c r="A134" s="4"/>
      <c r="B134" s="2"/>
      <c r="C134" s="2"/>
      <c r="D134" s="2"/>
      <c r="E134" s="3"/>
      <c r="F134" s="2"/>
      <c r="G134" s="2"/>
      <c r="H134" s="2"/>
      <c r="I134" s="2"/>
      <c r="J134" s="2"/>
    </row>
    <row r="135" spans="1:10" ht="13" x14ac:dyDescent="0.15">
      <c r="A135" s="4"/>
      <c r="B135" s="2"/>
      <c r="C135" s="2"/>
      <c r="D135" s="2"/>
      <c r="E135" s="3"/>
      <c r="F135" s="2"/>
      <c r="G135" s="2"/>
      <c r="H135" s="2"/>
      <c r="I135" s="2"/>
      <c r="J135" s="2"/>
    </row>
    <row r="136" spans="1:10" ht="13" x14ac:dyDescent="0.15">
      <c r="A136" s="4"/>
      <c r="B136" s="2"/>
      <c r="C136" s="2"/>
      <c r="D136" s="2"/>
      <c r="E136" s="3"/>
      <c r="F136" s="2"/>
      <c r="G136" s="2"/>
      <c r="H136" s="2"/>
      <c r="I136" s="2"/>
      <c r="J136" s="2"/>
    </row>
    <row r="137" spans="1:10" ht="13" x14ac:dyDescent="0.15">
      <c r="A137" s="4"/>
      <c r="B137" s="2"/>
      <c r="C137" s="2"/>
      <c r="D137" s="2"/>
      <c r="E137" s="3"/>
      <c r="F137" s="2"/>
      <c r="G137" s="2"/>
      <c r="H137" s="2"/>
      <c r="I137" s="2"/>
      <c r="J137" s="2"/>
    </row>
    <row r="138" spans="1:10" ht="13" x14ac:dyDescent="0.15">
      <c r="A138" s="4"/>
      <c r="B138" s="2"/>
      <c r="C138" s="2"/>
      <c r="D138" s="2"/>
      <c r="E138" s="3"/>
      <c r="F138" s="2"/>
      <c r="G138" s="2"/>
      <c r="H138" s="2"/>
      <c r="I138" s="2"/>
      <c r="J138" s="2"/>
    </row>
    <row r="139" spans="1:10" ht="13" x14ac:dyDescent="0.15">
      <c r="A139" s="4"/>
      <c r="B139" s="2"/>
      <c r="C139" s="2"/>
      <c r="D139" s="2"/>
      <c r="E139" s="3"/>
      <c r="F139" s="2"/>
      <c r="G139" s="2"/>
      <c r="H139" s="2"/>
      <c r="I139" s="2"/>
      <c r="J139" s="2"/>
    </row>
    <row r="140" spans="1:10" ht="13" x14ac:dyDescent="0.15">
      <c r="A140" s="4"/>
      <c r="B140" s="2"/>
      <c r="C140" s="2"/>
      <c r="D140" s="2"/>
      <c r="E140" s="3"/>
      <c r="F140" s="2"/>
      <c r="G140" s="2"/>
      <c r="H140" s="2"/>
      <c r="I140" s="2"/>
      <c r="J140" s="2"/>
    </row>
    <row r="141" spans="1:10" ht="13" x14ac:dyDescent="0.15">
      <c r="A141" s="4"/>
      <c r="B141" s="2"/>
      <c r="C141" s="2"/>
      <c r="D141" s="2"/>
      <c r="E141" s="3"/>
      <c r="F141" s="2"/>
      <c r="G141" s="2"/>
      <c r="H141" s="2"/>
      <c r="I141" s="2"/>
      <c r="J141" s="2"/>
    </row>
    <row r="142" spans="1:10" ht="13" x14ac:dyDescent="0.15">
      <c r="A142" s="4"/>
      <c r="B142" s="2"/>
      <c r="C142" s="2"/>
      <c r="D142" s="2"/>
      <c r="E142" s="3"/>
      <c r="F142" s="2"/>
      <c r="G142" s="2"/>
      <c r="H142" s="2"/>
      <c r="I142" s="2"/>
      <c r="J142" s="2"/>
    </row>
    <row r="143" spans="1:10" ht="13" x14ac:dyDescent="0.15">
      <c r="A143" s="4"/>
      <c r="B143" s="2"/>
      <c r="C143" s="2"/>
      <c r="D143" s="2"/>
      <c r="E143" s="3"/>
      <c r="F143" s="2"/>
      <c r="G143" s="2"/>
      <c r="H143" s="2"/>
      <c r="I143" s="2"/>
      <c r="J143" s="2"/>
    </row>
    <row r="144" spans="1:10" ht="13" x14ac:dyDescent="0.15">
      <c r="A144" s="4"/>
      <c r="B144" s="2"/>
      <c r="C144" s="2"/>
      <c r="D144" s="2"/>
      <c r="E144" s="3"/>
      <c r="F144" s="2"/>
      <c r="G144" s="2"/>
      <c r="H144" s="2"/>
      <c r="I144" s="2"/>
      <c r="J144" s="2"/>
    </row>
    <row r="145" spans="1:10" ht="13" x14ac:dyDescent="0.15">
      <c r="A145" s="4"/>
      <c r="B145" s="2"/>
      <c r="C145" s="2"/>
      <c r="D145" s="2"/>
      <c r="E145" s="3"/>
      <c r="F145" s="2"/>
      <c r="G145" s="2"/>
      <c r="H145" s="2"/>
      <c r="I145" s="2"/>
      <c r="J145" s="2"/>
    </row>
    <row r="146" spans="1:10" ht="13" x14ac:dyDescent="0.15">
      <c r="A146" s="4"/>
      <c r="B146" s="2"/>
      <c r="C146" s="2"/>
      <c r="D146" s="2"/>
      <c r="E146" s="3"/>
      <c r="F146" s="2"/>
      <c r="G146" s="2"/>
      <c r="H146" s="2"/>
      <c r="I146" s="2"/>
      <c r="J146" s="2"/>
    </row>
    <row r="147" spans="1:10" ht="13" x14ac:dyDescent="0.15">
      <c r="A147" s="4"/>
      <c r="B147" s="2"/>
      <c r="C147" s="2"/>
      <c r="D147" s="2"/>
      <c r="E147" s="3"/>
      <c r="F147" s="2"/>
      <c r="G147" s="2"/>
      <c r="H147" s="2"/>
      <c r="I147" s="2"/>
      <c r="J147" s="2"/>
    </row>
    <row r="148" spans="1:10" ht="13" x14ac:dyDescent="0.15">
      <c r="A148" s="4"/>
      <c r="B148" s="2"/>
      <c r="C148" s="2"/>
      <c r="D148" s="2"/>
      <c r="E148" s="3"/>
      <c r="F148" s="2"/>
      <c r="G148" s="2"/>
      <c r="H148" s="2"/>
      <c r="I148" s="2"/>
      <c r="J148" s="2"/>
    </row>
    <row r="149" spans="1:10" ht="13" x14ac:dyDescent="0.15">
      <c r="A149" s="4"/>
      <c r="B149" s="2"/>
      <c r="C149" s="2"/>
      <c r="D149" s="2"/>
      <c r="E149" s="3"/>
      <c r="F149" s="2"/>
      <c r="G149" s="2"/>
      <c r="H149" s="2"/>
      <c r="I149" s="2"/>
      <c r="J149" s="2"/>
    </row>
    <row r="150" spans="1:10" ht="13" x14ac:dyDescent="0.15">
      <c r="A150" s="4"/>
      <c r="B150" s="2"/>
      <c r="C150" s="2"/>
      <c r="D150" s="2"/>
      <c r="E150" s="3"/>
      <c r="F150" s="2"/>
      <c r="G150" s="2"/>
      <c r="H150" s="2"/>
      <c r="I150" s="2"/>
      <c r="J150" s="2"/>
    </row>
    <row r="151" spans="1:10" ht="13" x14ac:dyDescent="0.15">
      <c r="A151" s="4"/>
      <c r="B151" s="2"/>
      <c r="C151" s="2"/>
      <c r="D151" s="2"/>
      <c r="E151" s="3"/>
      <c r="F151" s="2"/>
      <c r="G151" s="2"/>
      <c r="H151" s="2"/>
      <c r="I151" s="2"/>
      <c r="J151" s="2"/>
    </row>
    <row r="152" spans="1:10" ht="13" x14ac:dyDescent="0.15">
      <c r="A152" s="4"/>
      <c r="B152" s="2"/>
      <c r="C152" s="2"/>
      <c r="D152" s="2"/>
      <c r="E152" s="3"/>
      <c r="F152" s="2"/>
      <c r="G152" s="2"/>
      <c r="H152" s="2"/>
      <c r="I152" s="2"/>
      <c r="J152" s="2"/>
    </row>
    <row r="153" spans="1:10" ht="13" x14ac:dyDescent="0.15">
      <c r="A153" s="4"/>
      <c r="B153" s="2"/>
      <c r="C153" s="2"/>
      <c r="D153" s="2"/>
      <c r="E153" s="3"/>
      <c r="F153" s="2"/>
      <c r="G153" s="2"/>
      <c r="H153" s="2"/>
      <c r="I153" s="2"/>
      <c r="J153" s="2"/>
    </row>
    <row r="154" spans="1:10" ht="13" x14ac:dyDescent="0.15">
      <c r="A154" s="4"/>
      <c r="B154" s="2"/>
      <c r="C154" s="2"/>
      <c r="D154" s="2"/>
      <c r="E154" s="3"/>
      <c r="F154" s="2"/>
      <c r="G154" s="2"/>
      <c r="H154" s="2"/>
      <c r="I154" s="2"/>
      <c r="J154" s="2"/>
    </row>
    <row r="155" spans="1:10" ht="13" x14ac:dyDescent="0.15">
      <c r="A155" s="4"/>
      <c r="B155" s="2"/>
      <c r="C155" s="2"/>
      <c r="D155" s="2"/>
      <c r="E155" s="3"/>
      <c r="F155" s="2"/>
      <c r="G155" s="2"/>
      <c r="H155" s="2"/>
      <c r="I155" s="2"/>
      <c r="J155" s="2"/>
    </row>
    <row r="156" spans="1:10" ht="13" x14ac:dyDescent="0.15">
      <c r="A156" s="4"/>
      <c r="B156" s="2"/>
      <c r="C156" s="2"/>
      <c r="D156" s="2"/>
      <c r="E156" s="3"/>
      <c r="F156" s="2"/>
      <c r="G156" s="2"/>
      <c r="H156" s="2"/>
      <c r="I156" s="2"/>
      <c r="J156" s="2"/>
    </row>
    <row r="157" spans="1:10" ht="13" x14ac:dyDescent="0.15">
      <c r="A157" s="4"/>
      <c r="B157" s="2"/>
      <c r="C157" s="2"/>
      <c r="D157" s="2"/>
      <c r="E157" s="3"/>
      <c r="F157" s="2"/>
      <c r="G157" s="2"/>
      <c r="H157" s="2"/>
      <c r="I157" s="2"/>
      <c r="J157" s="2"/>
    </row>
    <row r="158" spans="1:10" ht="13" x14ac:dyDescent="0.15">
      <c r="A158" s="4"/>
      <c r="B158" s="2"/>
      <c r="C158" s="2"/>
      <c r="D158" s="2"/>
      <c r="E158" s="3"/>
      <c r="F158" s="2"/>
      <c r="G158" s="2"/>
      <c r="H158" s="2"/>
      <c r="I158" s="2"/>
      <c r="J158" s="2"/>
    </row>
    <row r="159" spans="1:10" ht="13" x14ac:dyDescent="0.15">
      <c r="A159" s="4"/>
      <c r="B159" s="2"/>
      <c r="C159" s="2"/>
      <c r="D159" s="2"/>
      <c r="E159" s="3"/>
      <c r="F159" s="2"/>
      <c r="G159" s="2"/>
      <c r="H159" s="2"/>
      <c r="I159" s="2"/>
      <c r="J159" s="2"/>
    </row>
    <row r="160" spans="1:10" ht="13" x14ac:dyDescent="0.15">
      <c r="A160" s="4"/>
      <c r="B160" s="2"/>
      <c r="C160" s="2"/>
      <c r="D160" s="2"/>
      <c r="E160" s="3"/>
      <c r="F160" s="2"/>
      <c r="G160" s="2"/>
      <c r="H160" s="2"/>
      <c r="I160" s="2"/>
      <c r="J160" s="2"/>
    </row>
    <row r="161" spans="1:10" ht="13" x14ac:dyDescent="0.15">
      <c r="A161" s="4"/>
      <c r="B161" s="2"/>
      <c r="C161" s="2"/>
      <c r="D161" s="2"/>
      <c r="E161" s="3"/>
      <c r="F161" s="2"/>
      <c r="G161" s="2"/>
      <c r="H161" s="2"/>
      <c r="I161" s="2"/>
      <c r="J161" s="2"/>
    </row>
    <row r="162" spans="1:10" ht="13" x14ac:dyDescent="0.15">
      <c r="A162" s="4"/>
      <c r="B162" s="2"/>
      <c r="C162" s="2"/>
      <c r="D162" s="2"/>
      <c r="E162" s="3"/>
      <c r="F162" s="2"/>
      <c r="G162" s="2"/>
      <c r="H162" s="2"/>
      <c r="I162" s="2"/>
      <c r="J162" s="2"/>
    </row>
    <row r="163" spans="1:10" ht="13" x14ac:dyDescent="0.15">
      <c r="A163" s="4"/>
      <c r="B163" s="2"/>
      <c r="C163" s="2"/>
      <c r="D163" s="2"/>
      <c r="E163" s="3"/>
      <c r="F163" s="2"/>
      <c r="G163" s="2"/>
      <c r="H163" s="2"/>
      <c r="I163" s="2"/>
      <c r="J163" s="2"/>
    </row>
    <row r="164" spans="1:10" ht="13" x14ac:dyDescent="0.15">
      <c r="A164" s="4"/>
      <c r="B164" s="2"/>
      <c r="C164" s="2"/>
      <c r="D164" s="2"/>
      <c r="E164" s="3"/>
      <c r="F164" s="2"/>
      <c r="G164" s="2"/>
      <c r="H164" s="2"/>
      <c r="I164" s="2"/>
      <c r="J164" s="2"/>
    </row>
    <row r="165" spans="1:10" ht="13" x14ac:dyDescent="0.15">
      <c r="A165" s="4"/>
      <c r="B165" s="2"/>
      <c r="C165" s="2"/>
      <c r="D165" s="2"/>
      <c r="E165" s="3"/>
      <c r="F165" s="2"/>
      <c r="G165" s="2"/>
      <c r="H165" s="2"/>
      <c r="I165" s="2"/>
      <c r="J165" s="2"/>
    </row>
    <row r="166" spans="1:10" ht="13" x14ac:dyDescent="0.15">
      <c r="A166" s="4"/>
      <c r="B166" s="2"/>
      <c r="C166" s="2"/>
      <c r="D166" s="2"/>
      <c r="E166" s="3"/>
      <c r="F166" s="2"/>
      <c r="G166" s="2"/>
      <c r="H166" s="2"/>
      <c r="I166" s="2"/>
      <c r="J166" s="2"/>
    </row>
    <row r="167" spans="1:10" ht="13" x14ac:dyDescent="0.15">
      <c r="A167" s="4"/>
      <c r="B167" s="2"/>
      <c r="C167" s="2"/>
      <c r="D167" s="2"/>
      <c r="E167" s="3"/>
      <c r="F167" s="2"/>
      <c r="G167" s="2"/>
      <c r="H167" s="2"/>
      <c r="I167" s="2"/>
      <c r="J167" s="2"/>
    </row>
    <row r="168" spans="1:10" ht="13" x14ac:dyDescent="0.15">
      <c r="A168" s="4"/>
      <c r="B168" s="2"/>
      <c r="C168" s="2"/>
      <c r="D168" s="2"/>
      <c r="E168" s="3"/>
      <c r="F168" s="2"/>
      <c r="G168" s="2"/>
      <c r="H168" s="2"/>
      <c r="I168" s="2"/>
      <c r="J168" s="2"/>
    </row>
    <row r="169" spans="1:10" ht="13" x14ac:dyDescent="0.15">
      <c r="A169" s="4"/>
      <c r="B169" s="2"/>
      <c r="C169" s="2"/>
      <c r="D169" s="2"/>
      <c r="E169" s="3"/>
      <c r="F169" s="2"/>
      <c r="G169" s="2"/>
      <c r="H169" s="2"/>
      <c r="I169" s="2"/>
      <c r="J169" s="2"/>
    </row>
    <row r="170" spans="1:10" ht="13" x14ac:dyDescent="0.15">
      <c r="A170" s="4"/>
      <c r="B170" s="2"/>
      <c r="C170" s="2"/>
      <c r="D170" s="2"/>
      <c r="E170" s="3"/>
      <c r="F170" s="2"/>
      <c r="G170" s="2"/>
      <c r="H170" s="2"/>
      <c r="I170" s="2"/>
      <c r="J170" s="2"/>
    </row>
    <row r="171" spans="1:10" ht="13" x14ac:dyDescent="0.15">
      <c r="A171" s="4"/>
      <c r="B171" s="2"/>
      <c r="C171" s="2"/>
      <c r="D171" s="2"/>
      <c r="E171" s="3"/>
      <c r="F171" s="2"/>
      <c r="G171" s="2"/>
      <c r="H171" s="2"/>
      <c r="I171" s="2"/>
      <c r="J171" s="2"/>
    </row>
    <row r="172" spans="1:10" ht="13" x14ac:dyDescent="0.15">
      <c r="A172" s="4"/>
      <c r="B172" s="2"/>
      <c r="C172" s="2"/>
      <c r="D172" s="2"/>
      <c r="E172" s="3"/>
      <c r="F172" s="2"/>
      <c r="G172" s="2"/>
      <c r="H172" s="2"/>
      <c r="I172" s="2"/>
      <c r="J172" s="2"/>
    </row>
    <row r="173" spans="1:10" ht="13" x14ac:dyDescent="0.15">
      <c r="A173" s="4"/>
      <c r="B173" s="2"/>
      <c r="C173" s="2"/>
      <c r="D173" s="2"/>
      <c r="E173" s="3"/>
      <c r="F173" s="2"/>
      <c r="G173" s="2"/>
      <c r="H173" s="2"/>
      <c r="I173" s="2"/>
      <c r="J173" s="2"/>
    </row>
    <row r="174" spans="1:10" ht="13" x14ac:dyDescent="0.15">
      <c r="A174" s="4"/>
      <c r="B174" s="2"/>
      <c r="C174" s="2"/>
      <c r="D174" s="2"/>
      <c r="E174" s="3"/>
      <c r="F174" s="2"/>
      <c r="G174" s="2"/>
      <c r="H174" s="2"/>
      <c r="I174" s="2"/>
      <c r="J174" s="2"/>
    </row>
    <row r="175" spans="1:10" ht="13" x14ac:dyDescent="0.15">
      <c r="A175" s="4"/>
      <c r="B175" s="2"/>
      <c r="C175" s="2"/>
      <c r="D175" s="2"/>
      <c r="E175" s="3"/>
      <c r="F175" s="2"/>
      <c r="G175" s="2"/>
      <c r="H175" s="2"/>
      <c r="I175" s="2"/>
      <c r="J175" s="2"/>
    </row>
    <row r="176" spans="1:10" ht="13" x14ac:dyDescent="0.15">
      <c r="A176" s="4"/>
      <c r="B176" s="2"/>
      <c r="C176" s="2"/>
      <c r="D176" s="2"/>
      <c r="E176" s="3"/>
      <c r="F176" s="2"/>
      <c r="G176" s="2"/>
      <c r="H176" s="2"/>
      <c r="I176" s="2"/>
      <c r="J176" s="2"/>
    </row>
    <row r="177" spans="1:10" ht="13" x14ac:dyDescent="0.15">
      <c r="A177" s="4"/>
      <c r="B177" s="2"/>
      <c r="C177" s="2"/>
      <c r="D177" s="2"/>
      <c r="E177" s="3"/>
      <c r="F177" s="2"/>
      <c r="G177" s="2"/>
      <c r="H177" s="2"/>
      <c r="I177" s="2"/>
      <c r="J177" s="2"/>
    </row>
    <row r="178" spans="1:10" ht="13" x14ac:dyDescent="0.15">
      <c r="A178" s="4"/>
      <c r="B178" s="2"/>
      <c r="C178" s="2"/>
      <c r="D178" s="2"/>
      <c r="E178" s="3"/>
      <c r="F178" s="2"/>
      <c r="G178" s="2"/>
      <c r="H178" s="2"/>
      <c r="I178" s="2"/>
      <c r="J178" s="2"/>
    </row>
    <row r="179" spans="1:10" ht="13" x14ac:dyDescent="0.15">
      <c r="A179" s="4"/>
      <c r="B179" s="2"/>
      <c r="C179" s="2"/>
      <c r="D179" s="2"/>
      <c r="E179" s="3"/>
      <c r="F179" s="2"/>
      <c r="G179" s="2"/>
      <c r="H179" s="2"/>
      <c r="I179" s="2"/>
      <c r="J179" s="2"/>
    </row>
    <row r="180" spans="1:10" ht="13" x14ac:dyDescent="0.15">
      <c r="A180" s="4"/>
      <c r="B180" s="2"/>
      <c r="C180" s="2"/>
      <c r="D180" s="2"/>
      <c r="E180" s="3"/>
      <c r="F180" s="2"/>
      <c r="G180" s="2"/>
      <c r="H180" s="2"/>
      <c r="I180" s="2"/>
      <c r="J180" s="2"/>
    </row>
    <row r="181" spans="1:10" ht="13" x14ac:dyDescent="0.15">
      <c r="A181" s="4"/>
      <c r="B181" s="2"/>
      <c r="C181" s="2"/>
      <c r="D181" s="2"/>
      <c r="E181" s="3"/>
      <c r="F181" s="2"/>
      <c r="G181" s="2"/>
      <c r="H181" s="2"/>
      <c r="I181" s="2"/>
      <c r="J181" s="2"/>
    </row>
    <row r="182" spans="1:10" ht="13" x14ac:dyDescent="0.15">
      <c r="A182" s="4"/>
      <c r="B182" s="2"/>
      <c r="C182" s="2"/>
      <c r="D182" s="2"/>
      <c r="E182" s="3"/>
      <c r="F182" s="2"/>
      <c r="G182" s="2"/>
      <c r="H182" s="2"/>
      <c r="I182" s="2"/>
      <c r="J182" s="2"/>
    </row>
    <row r="183" spans="1:10" ht="13" x14ac:dyDescent="0.15">
      <c r="A183" s="4"/>
      <c r="B183" s="2"/>
      <c r="C183" s="2"/>
      <c r="D183" s="2"/>
      <c r="E183" s="3"/>
      <c r="F183" s="2"/>
      <c r="G183" s="2"/>
      <c r="H183" s="2"/>
      <c r="I183" s="2"/>
      <c r="J183" s="2"/>
    </row>
    <row r="184" spans="1:10" ht="13" x14ac:dyDescent="0.15">
      <c r="A184" s="4"/>
      <c r="B184" s="2"/>
      <c r="C184" s="2"/>
      <c r="D184" s="2"/>
      <c r="E184" s="3"/>
      <c r="F184" s="2"/>
      <c r="G184" s="2"/>
      <c r="H184" s="2"/>
      <c r="I184" s="2"/>
      <c r="J184" s="2"/>
    </row>
    <row r="185" spans="1:10" ht="13" x14ac:dyDescent="0.15">
      <c r="A185" s="4"/>
      <c r="B185" s="2"/>
      <c r="C185" s="2"/>
      <c r="D185" s="2"/>
      <c r="E185" s="3"/>
      <c r="F185" s="2"/>
      <c r="G185" s="2"/>
      <c r="H185" s="2"/>
      <c r="I185" s="2"/>
      <c r="J185" s="2"/>
    </row>
    <row r="186" spans="1:10" ht="13" x14ac:dyDescent="0.15">
      <c r="A186" s="4"/>
      <c r="B186" s="2"/>
      <c r="C186" s="2"/>
      <c r="D186" s="2"/>
      <c r="E186" s="3"/>
      <c r="F186" s="2"/>
      <c r="G186" s="2"/>
      <c r="H186" s="2"/>
      <c r="I186" s="2"/>
      <c r="J186" s="2"/>
    </row>
    <row r="187" spans="1:10" ht="13" x14ac:dyDescent="0.15">
      <c r="A187" s="4"/>
      <c r="B187" s="2"/>
      <c r="C187" s="2"/>
      <c r="D187" s="2"/>
      <c r="E187" s="3"/>
      <c r="F187" s="2"/>
      <c r="G187" s="2"/>
      <c r="H187" s="2"/>
      <c r="I187" s="2"/>
      <c r="J187" s="2"/>
    </row>
    <row r="188" spans="1:10" ht="13" x14ac:dyDescent="0.15">
      <c r="A188" s="4"/>
      <c r="B188" s="2"/>
      <c r="C188" s="2"/>
      <c r="D188" s="2"/>
      <c r="E188" s="3"/>
      <c r="F188" s="2"/>
      <c r="G188" s="2"/>
      <c r="H188" s="2"/>
      <c r="I188" s="2"/>
      <c r="J188" s="2"/>
    </row>
    <row r="189" spans="1:10" ht="13" x14ac:dyDescent="0.15">
      <c r="A189" s="4"/>
      <c r="B189" s="2"/>
      <c r="C189" s="2"/>
      <c r="D189" s="2"/>
      <c r="E189" s="3"/>
      <c r="F189" s="2"/>
      <c r="G189" s="2"/>
      <c r="H189" s="2"/>
      <c r="I189" s="2"/>
      <c r="J189" s="2"/>
    </row>
    <row r="190" spans="1:10" ht="13" x14ac:dyDescent="0.15">
      <c r="A190" s="4"/>
      <c r="B190" s="2"/>
      <c r="C190" s="2"/>
      <c r="D190" s="2"/>
      <c r="E190" s="3"/>
      <c r="F190" s="2"/>
      <c r="G190" s="2"/>
      <c r="H190" s="2"/>
      <c r="I190" s="2"/>
      <c r="J190" s="2"/>
    </row>
    <row r="191" spans="1:10" ht="13" x14ac:dyDescent="0.15">
      <c r="A191" s="4"/>
      <c r="B191" s="2"/>
      <c r="C191" s="2"/>
      <c r="D191" s="2"/>
      <c r="E191" s="3"/>
      <c r="F191" s="2"/>
      <c r="G191" s="2"/>
      <c r="H191" s="2"/>
      <c r="I191" s="2"/>
      <c r="J191" s="2"/>
    </row>
    <row r="192" spans="1:10" ht="13" x14ac:dyDescent="0.15">
      <c r="A192" s="4"/>
      <c r="B192" s="2"/>
      <c r="C192" s="2"/>
      <c r="D192" s="2"/>
      <c r="E192" s="3"/>
      <c r="F192" s="2"/>
      <c r="G192" s="2"/>
      <c r="H192" s="2"/>
      <c r="I192" s="2"/>
      <c r="J192" s="2"/>
    </row>
    <row r="193" spans="1:10" ht="13" x14ac:dyDescent="0.15">
      <c r="A193" s="4"/>
      <c r="B193" s="2"/>
      <c r="C193" s="2"/>
      <c r="D193" s="2"/>
      <c r="E193" s="3"/>
      <c r="F193" s="2"/>
      <c r="G193" s="2"/>
      <c r="H193" s="2"/>
      <c r="I193" s="2"/>
      <c r="J193" s="2"/>
    </row>
    <row r="194" spans="1:10" ht="13" x14ac:dyDescent="0.15">
      <c r="A194" s="4"/>
      <c r="B194" s="2"/>
      <c r="C194" s="2"/>
      <c r="D194" s="2"/>
      <c r="E194" s="3"/>
      <c r="F194" s="2"/>
      <c r="G194" s="2"/>
      <c r="H194" s="2"/>
      <c r="I194" s="2"/>
      <c r="J194" s="2"/>
    </row>
    <row r="195" spans="1:10" ht="13" x14ac:dyDescent="0.15">
      <c r="A195" s="4"/>
      <c r="B195" s="2"/>
      <c r="C195" s="2"/>
      <c r="D195" s="2"/>
      <c r="E195" s="3"/>
      <c r="F195" s="2"/>
      <c r="G195" s="2"/>
      <c r="H195" s="2"/>
      <c r="I195" s="2"/>
      <c r="J195" s="2"/>
    </row>
    <row r="196" spans="1:10" ht="13" x14ac:dyDescent="0.15">
      <c r="A196" s="4"/>
      <c r="B196" s="2"/>
      <c r="C196" s="2"/>
      <c r="D196" s="2"/>
      <c r="E196" s="3"/>
      <c r="F196" s="2"/>
      <c r="G196" s="2"/>
      <c r="H196" s="2"/>
      <c r="I196" s="2"/>
      <c r="J196" s="2"/>
    </row>
    <row r="197" spans="1:10" ht="13" x14ac:dyDescent="0.15">
      <c r="A197" s="4"/>
      <c r="B197" s="2"/>
      <c r="C197" s="2"/>
      <c r="D197" s="2"/>
      <c r="E197" s="3"/>
      <c r="F197" s="2"/>
      <c r="G197" s="2"/>
      <c r="H197" s="2"/>
      <c r="I197" s="2"/>
      <c r="J197" s="2"/>
    </row>
    <row r="198" spans="1:10" ht="13" x14ac:dyDescent="0.15">
      <c r="A198" s="4"/>
      <c r="B198" s="2"/>
      <c r="C198" s="2"/>
      <c r="D198" s="2"/>
      <c r="E198" s="3"/>
      <c r="F198" s="2"/>
      <c r="G198" s="2"/>
      <c r="H198" s="2"/>
      <c r="I198" s="2"/>
      <c r="J198" s="2"/>
    </row>
    <row r="199" spans="1:10" ht="13" x14ac:dyDescent="0.15">
      <c r="A199" s="4"/>
      <c r="B199" s="2"/>
      <c r="C199" s="2"/>
      <c r="D199" s="2"/>
      <c r="E199" s="3"/>
      <c r="F199" s="2"/>
      <c r="G199" s="2"/>
      <c r="H199" s="2"/>
      <c r="I199" s="2"/>
      <c r="J199" s="2"/>
    </row>
    <row r="200" spans="1:10" ht="13" x14ac:dyDescent="0.15">
      <c r="A200" s="4"/>
      <c r="B200" s="2"/>
      <c r="C200" s="2"/>
      <c r="D200" s="2"/>
      <c r="E200" s="3"/>
      <c r="F200" s="2"/>
      <c r="G200" s="2"/>
      <c r="H200" s="2"/>
      <c r="I200" s="2"/>
      <c r="J200" s="2"/>
    </row>
    <row r="201" spans="1:10" ht="13" x14ac:dyDescent="0.15">
      <c r="A201" s="4"/>
      <c r="B201" s="2"/>
      <c r="C201" s="2"/>
      <c r="D201" s="2"/>
      <c r="E201" s="3"/>
      <c r="F201" s="2"/>
      <c r="G201" s="2"/>
      <c r="H201" s="2"/>
      <c r="I201" s="2"/>
      <c r="J201" s="2"/>
    </row>
    <row r="202" spans="1:10" ht="13" x14ac:dyDescent="0.15">
      <c r="A202" s="4"/>
      <c r="B202" s="2"/>
      <c r="C202" s="2"/>
      <c r="D202" s="2"/>
      <c r="E202" s="3"/>
      <c r="F202" s="2"/>
      <c r="G202" s="2"/>
      <c r="H202" s="2"/>
      <c r="I202" s="2"/>
      <c r="J202" s="2"/>
    </row>
    <row r="203" spans="1:10" ht="13" x14ac:dyDescent="0.15">
      <c r="A203" s="4"/>
      <c r="B203" s="2"/>
      <c r="C203" s="2"/>
      <c r="D203" s="2"/>
      <c r="E203" s="3"/>
      <c r="F203" s="2"/>
      <c r="G203" s="2"/>
      <c r="H203" s="2"/>
      <c r="I203" s="2"/>
      <c r="J203" s="2"/>
    </row>
    <row r="204" spans="1:10" ht="13" x14ac:dyDescent="0.15">
      <c r="A204" s="4"/>
      <c r="B204" s="2"/>
      <c r="C204" s="2"/>
      <c r="D204" s="2"/>
      <c r="E204" s="3"/>
      <c r="F204" s="2"/>
      <c r="G204" s="2"/>
      <c r="H204" s="2"/>
      <c r="I204" s="2"/>
      <c r="J204" s="2"/>
    </row>
    <row r="205" spans="1:10" ht="13" x14ac:dyDescent="0.15">
      <c r="A205" s="4"/>
      <c r="B205" s="2"/>
      <c r="C205" s="2"/>
      <c r="D205" s="2"/>
      <c r="E205" s="3"/>
      <c r="F205" s="2"/>
      <c r="G205" s="2"/>
      <c r="H205" s="2"/>
      <c r="I205" s="2"/>
      <c r="J205" s="2"/>
    </row>
    <row r="206" spans="1:10" ht="13" x14ac:dyDescent="0.15">
      <c r="A206" s="4"/>
      <c r="B206" s="2"/>
      <c r="C206" s="2"/>
      <c r="D206" s="2"/>
      <c r="E206" s="3"/>
      <c r="F206" s="2"/>
      <c r="G206" s="2"/>
      <c r="H206" s="2"/>
      <c r="I206" s="2"/>
      <c r="J206" s="2"/>
    </row>
    <row r="207" spans="1:10" ht="13" x14ac:dyDescent="0.15">
      <c r="A207" s="4"/>
      <c r="B207" s="2"/>
      <c r="C207" s="2"/>
      <c r="D207" s="2"/>
      <c r="E207" s="3"/>
      <c r="F207" s="2"/>
      <c r="G207" s="2"/>
      <c r="H207" s="2"/>
      <c r="I207" s="2"/>
      <c r="J207" s="2"/>
    </row>
    <row r="208" spans="1:10" ht="13" x14ac:dyDescent="0.15">
      <c r="A208" s="4"/>
      <c r="B208" s="2"/>
      <c r="C208" s="2"/>
      <c r="D208" s="2"/>
      <c r="E208" s="3"/>
      <c r="F208" s="2"/>
      <c r="G208" s="2"/>
      <c r="H208" s="2"/>
      <c r="I208" s="2"/>
      <c r="J208" s="2"/>
    </row>
    <row r="209" spans="1:10" ht="13" x14ac:dyDescent="0.15">
      <c r="A209" s="4"/>
      <c r="B209" s="2"/>
      <c r="C209" s="2"/>
      <c r="D209" s="2"/>
      <c r="E209" s="3"/>
      <c r="F209" s="2"/>
      <c r="G209" s="2"/>
      <c r="H209" s="2"/>
      <c r="I209" s="2"/>
      <c r="J209" s="2"/>
    </row>
    <row r="210" spans="1:10" ht="13" x14ac:dyDescent="0.15">
      <c r="A210" s="4"/>
      <c r="B210" s="2"/>
      <c r="C210" s="2"/>
      <c r="D210" s="2"/>
      <c r="E210" s="3"/>
      <c r="F210" s="2"/>
      <c r="G210" s="2"/>
      <c r="H210" s="2"/>
      <c r="I210" s="2"/>
      <c r="J210" s="2"/>
    </row>
    <row r="211" spans="1:10" ht="13" x14ac:dyDescent="0.15">
      <c r="A211" s="4"/>
      <c r="B211" s="2"/>
      <c r="C211" s="2"/>
      <c r="D211" s="2"/>
      <c r="E211" s="3"/>
      <c r="F211" s="2"/>
      <c r="G211" s="2"/>
      <c r="H211" s="2"/>
      <c r="I211" s="2"/>
      <c r="J211" s="2"/>
    </row>
    <row r="212" spans="1:10" ht="13" x14ac:dyDescent="0.15">
      <c r="A212" s="4"/>
      <c r="B212" s="2"/>
      <c r="C212" s="2"/>
      <c r="D212" s="2"/>
      <c r="E212" s="3"/>
      <c r="F212" s="2"/>
      <c r="G212" s="2"/>
      <c r="H212" s="2"/>
      <c r="I212" s="2"/>
      <c r="J212" s="2"/>
    </row>
    <row r="213" spans="1:10" ht="13" x14ac:dyDescent="0.15">
      <c r="A213" s="4"/>
      <c r="B213" s="2"/>
      <c r="C213" s="2"/>
      <c r="D213" s="2"/>
      <c r="E213" s="3"/>
      <c r="F213" s="2"/>
      <c r="G213" s="2"/>
      <c r="H213" s="2"/>
      <c r="I213" s="2"/>
      <c r="J213" s="2"/>
    </row>
    <row r="214" spans="1:10" ht="13" x14ac:dyDescent="0.15">
      <c r="A214" s="4"/>
      <c r="B214" s="2"/>
      <c r="C214" s="2"/>
      <c r="D214" s="2"/>
      <c r="E214" s="3"/>
      <c r="F214" s="2"/>
      <c r="G214" s="2"/>
      <c r="H214" s="2"/>
      <c r="I214" s="2"/>
      <c r="J214" s="2"/>
    </row>
    <row r="215" spans="1:10" ht="13" x14ac:dyDescent="0.15">
      <c r="A215" s="4"/>
      <c r="B215" s="2"/>
      <c r="C215" s="2"/>
      <c r="D215" s="2"/>
      <c r="E215" s="3"/>
      <c r="F215" s="2"/>
      <c r="G215" s="2"/>
      <c r="H215" s="2"/>
      <c r="I215" s="2"/>
      <c r="J215" s="2"/>
    </row>
    <row r="216" spans="1:10" ht="13" x14ac:dyDescent="0.15">
      <c r="A216" s="4"/>
      <c r="B216" s="2"/>
      <c r="C216" s="2"/>
      <c r="D216" s="2"/>
      <c r="E216" s="3"/>
      <c r="F216" s="2"/>
      <c r="G216" s="2"/>
      <c r="H216" s="2"/>
      <c r="I216" s="2"/>
      <c r="J216" s="2"/>
    </row>
    <row r="217" spans="1:10" ht="13" x14ac:dyDescent="0.15">
      <c r="A217" s="4"/>
      <c r="B217" s="2"/>
      <c r="C217" s="2"/>
      <c r="D217" s="2"/>
      <c r="E217" s="3"/>
      <c r="F217" s="2"/>
      <c r="G217" s="2"/>
      <c r="H217" s="2"/>
      <c r="I217" s="2"/>
      <c r="J217" s="2"/>
    </row>
    <row r="218" spans="1:10" ht="13" x14ac:dyDescent="0.15">
      <c r="A218" s="4"/>
      <c r="B218" s="2"/>
      <c r="C218" s="2"/>
      <c r="D218" s="2"/>
      <c r="E218" s="3"/>
      <c r="F218" s="2"/>
      <c r="G218" s="2"/>
      <c r="H218" s="2"/>
      <c r="I218" s="2"/>
      <c r="J218" s="2"/>
    </row>
    <row r="219" spans="1:10" ht="13" x14ac:dyDescent="0.15">
      <c r="A219" s="4"/>
      <c r="B219" s="2"/>
      <c r="C219" s="2"/>
      <c r="D219" s="2"/>
      <c r="E219" s="3"/>
      <c r="F219" s="2"/>
      <c r="G219" s="2"/>
      <c r="H219" s="2"/>
      <c r="I219" s="2"/>
      <c r="J219" s="2"/>
    </row>
    <row r="220" spans="1:10" ht="13" x14ac:dyDescent="0.15">
      <c r="A220" s="4"/>
      <c r="B220" s="2"/>
      <c r="C220" s="2"/>
      <c r="D220" s="2"/>
      <c r="E220" s="3"/>
      <c r="F220" s="2"/>
      <c r="G220" s="2"/>
      <c r="H220" s="2"/>
      <c r="I220" s="2"/>
      <c r="J220" s="2"/>
    </row>
    <row r="221" spans="1:10" ht="13" x14ac:dyDescent="0.15">
      <c r="A221" s="4"/>
      <c r="B221" s="2"/>
      <c r="C221" s="2"/>
      <c r="D221" s="2"/>
      <c r="E221" s="3"/>
      <c r="F221" s="2"/>
      <c r="G221" s="2"/>
      <c r="H221" s="2"/>
      <c r="I221" s="2"/>
      <c r="J221" s="2"/>
    </row>
    <row r="222" spans="1:10" ht="13" x14ac:dyDescent="0.15">
      <c r="A222" s="4"/>
      <c r="B222" s="2"/>
      <c r="C222" s="2"/>
      <c r="D222" s="2"/>
      <c r="E222" s="3"/>
      <c r="F222" s="2"/>
      <c r="G222" s="2"/>
      <c r="H222" s="2"/>
      <c r="I222" s="2"/>
      <c r="J222" s="2"/>
    </row>
    <row r="223" spans="1:10" ht="13" x14ac:dyDescent="0.15">
      <c r="A223" s="4"/>
      <c r="B223" s="2"/>
      <c r="C223" s="2"/>
      <c r="D223" s="2"/>
      <c r="E223" s="3"/>
      <c r="F223" s="2"/>
      <c r="G223" s="2"/>
      <c r="H223" s="2"/>
      <c r="I223" s="2"/>
      <c r="J223" s="2"/>
    </row>
    <row r="224" spans="1:10" ht="13" x14ac:dyDescent="0.15">
      <c r="A224" s="4"/>
      <c r="B224" s="2"/>
      <c r="C224" s="2"/>
      <c r="D224" s="2"/>
      <c r="E224" s="3"/>
      <c r="F224" s="2"/>
      <c r="G224" s="2"/>
      <c r="H224" s="2"/>
      <c r="I224" s="2"/>
      <c r="J224" s="2"/>
    </row>
    <row r="225" spans="1:10" ht="13" x14ac:dyDescent="0.15">
      <c r="A225" s="4"/>
      <c r="B225" s="2"/>
      <c r="C225" s="2"/>
      <c r="D225" s="2"/>
      <c r="E225" s="3"/>
      <c r="F225" s="2"/>
      <c r="G225" s="2"/>
      <c r="H225" s="2"/>
      <c r="I225" s="2"/>
      <c r="J225" s="2"/>
    </row>
    <row r="226" spans="1:10" ht="13" x14ac:dyDescent="0.15">
      <c r="A226" s="4"/>
      <c r="B226" s="2"/>
      <c r="C226" s="2"/>
      <c r="D226" s="2"/>
      <c r="E226" s="3"/>
      <c r="F226" s="2"/>
      <c r="G226" s="2"/>
      <c r="H226" s="2"/>
      <c r="I226" s="2"/>
      <c r="J226" s="2"/>
    </row>
    <row r="227" spans="1:10" ht="13" x14ac:dyDescent="0.15">
      <c r="A227" s="4"/>
      <c r="B227" s="2"/>
      <c r="C227" s="2"/>
      <c r="D227" s="2"/>
      <c r="E227" s="3"/>
      <c r="F227" s="2"/>
      <c r="G227" s="2"/>
      <c r="H227" s="2"/>
      <c r="I227" s="2"/>
      <c r="J227" s="2"/>
    </row>
    <row r="228" spans="1:10" ht="13" x14ac:dyDescent="0.15">
      <c r="A228" s="4"/>
      <c r="B228" s="2"/>
      <c r="C228" s="2"/>
      <c r="D228" s="2"/>
      <c r="E228" s="3"/>
      <c r="F228" s="2"/>
      <c r="G228" s="2"/>
      <c r="H228" s="2"/>
      <c r="I228" s="2"/>
      <c r="J228" s="2"/>
    </row>
    <row r="229" spans="1:10" ht="13" x14ac:dyDescent="0.15">
      <c r="A229" s="4"/>
      <c r="B229" s="2"/>
      <c r="C229" s="2"/>
      <c r="D229" s="2"/>
      <c r="E229" s="3"/>
      <c r="F229" s="2"/>
      <c r="G229" s="2"/>
      <c r="H229" s="2"/>
      <c r="I229" s="2"/>
      <c r="J229" s="2"/>
    </row>
    <row r="230" spans="1:10" ht="13" x14ac:dyDescent="0.15">
      <c r="A230" s="4"/>
      <c r="B230" s="2"/>
      <c r="C230" s="2"/>
      <c r="D230" s="2"/>
      <c r="E230" s="3"/>
      <c r="F230" s="2"/>
      <c r="G230" s="2"/>
      <c r="H230" s="2"/>
      <c r="I230" s="2"/>
      <c r="J230" s="2"/>
    </row>
    <row r="231" spans="1:10" ht="13" x14ac:dyDescent="0.15">
      <c r="A231" s="4"/>
      <c r="B231" s="2"/>
      <c r="C231" s="2"/>
      <c r="D231" s="2"/>
      <c r="E231" s="3"/>
      <c r="F231" s="2"/>
      <c r="G231" s="2"/>
      <c r="H231" s="2"/>
      <c r="I231" s="2"/>
      <c r="J231" s="2"/>
    </row>
    <row r="232" spans="1:10" ht="13" x14ac:dyDescent="0.15">
      <c r="A232" s="4"/>
      <c r="B232" s="2"/>
      <c r="C232" s="2"/>
      <c r="D232" s="2"/>
      <c r="E232" s="3"/>
      <c r="F232" s="2"/>
      <c r="G232" s="2"/>
      <c r="H232" s="2"/>
      <c r="I232" s="2"/>
      <c r="J232" s="2"/>
    </row>
    <row r="233" spans="1:10" ht="13" x14ac:dyDescent="0.15">
      <c r="A233" s="4"/>
      <c r="B233" s="2"/>
      <c r="C233" s="2"/>
      <c r="D233" s="2"/>
      <c r="E233" s="3"/>
      <c r="F233" s="2"/>
      <c r="G233" s="2"/>
      <c r="H233" s="2"/>
      <c r="I233" s="2"/>
      <c r="J233" s="2"/>
    </row>
    <row r="234" spans="1:10" ht="13" x14ac:dyDescent="0.15">
      <c r="A234" s="4"/>
      <c r="B234" s="2"/>
      <c r="C234" s="2"/>
      <c r="D234" s="2"/>
      <c r="E234" s="3"/>
      <c r="F234" s="2"/>
      <c r="G234" s="2"/>
      <c r="H234" s="2"/>
      <c r="I234" s="2"/>
      <c r="J234" s="2"/>
    </row>
    <row r="235" spans="1:10" ht="13" x14ac:dyDescent="0.15">
      <c r="A235" s="4"/>
      <c r="B235" s="2"/>
      <c r="C235" s="2"/>
      <c r="D235" s="2"/>
      <c r="E235" s="3"/>
      <c r="F235" s="2"/>
      <c r="G235" s="2"/>
      <c r="H235" s="2"/>
      <c r="I235" s="2"/>
      <c r="J235" s="2"/>
    </row>
    <row r="236" spans="1:10" ht="13" x14ac:dyDescent="0.15">
      <c r="A236" s="4"/>
      <c r="B236" s="2"/>
      <c r="C236" s="2"/>
      <c r="D236" s="2"/>
      <c r="E236" s="3"/>
      <c r="F236" s="2"/>
      <c r="G236" s="2"/>
      <c r="H236" s="2"/>
      <c r="I236" s="2"/>
      <c r="J236" s="2"/>
    </row>
    <row r="237" spans="1:10" ht="13" x14ac:dyDescent="0.15">
      <c r="A237" s="4"/>
      <c r="B237" s="2"/>
      <c r="C237" s="2"/>
      <c r="D237" s="2"/>
      <c r="E237" s="3"/>
      <c r="F237" s="2"/>
      <c r="G237" s="2"/>
      <c r="H237" s="2"/>
      <c r="I237" s="2"/>
      <c r="J237" s="2"/>
    </row>
    <row r="238" spans="1:10" ht="13" x14ac:dyDescent="0.15">
      <c r="A238" s="4"/>
      <c r="B238" s="2"/>
      <c r="C238" s="2"/>
      <c r="D238" s="2"/>
      <c r="E238" s="3"/>
      <c r="F238" s="2"/>
      <c r="G238" s="2"/>
      <c r="H238" s="2"/>
      <c r="I238" s="2"/>
      <c r="J238" s="2"/>
    </row>
    <row r="239" spans="1:10" ht="13" x14ac:dyDescent="0.15">
      <c r="A239" s="4"/>
      <c r="B239" s="2"/>
      <c r="C239" s="2"/>
      <c r="D239" s="2"/>
      <c r="E239" s="3"/>
      <c r="F239" s="2"/>
      <c r="G239" s="2"/>
      <c r="H239" s="2"/>
      <c r="I239" s="2"/>
      <c r="J239" s="2"/>
    </row>
    <row r="240" spans="1:10" ht="13" x14ac:dyDescent="0.15">
      <c r="A240" s="4"/>
      <c r="B240" s="2"/>
      <c r="C240" s="2"/>
      <c r="D240" s="2"/>
      <c r="E240" s="3"/>
      <c r="F240" s="2"/>
      <c r="G240" s="2"/>
      <c r="H240" s="2"/>
      <c r="I240" s="2"/>
      <c r="J240" s="2"/>
    </row>
    <row r="241" spans="1:10" ht="13" x14ac:dyDescent="0.15">
      <c r="A241" s="4"/>
      <c r="B241" s="2"/>
      <c r="C241" s="2"/>
      <c r="D241" s="2"/>
      <c r="E241" s="3"/>
      <c r="F241" s="2"/>
      <c r="G241" s="2"/>
      <c r="H241" s="2"/>
      <c r="I241" s="2"/>
      <c r="J241" s="2"/>
    </row>
    <row r="242" spans="1:10" ht="13" x14ac:dyDescent="0.15">
      <c r="A242" s="4"/>
      <c r="B242" s="2"/>
      <c r="C242" s="2"/>
      <c r="D242" s="2"/>
      <c r="E242" s="3"/>
      <c r="F242" s="2"/>
      <c r="G242" s="2"/>
      <c r="H242" s="2"/>
      <c r="I242" s="2"/>
      <c r="J242" s="2"/>
    </row>
    <row r="243" spans="1:10" ht="13" x14ac:dyDescent="0.15">
      <c r="A243" s="4"/>
      <c r="B243" s="2"/>
      <c r="C243" s="2"/>
      <c r="D243" s="2"/>
      <c r="E243" s="3"/>
      <c r="F243" s="2"/>
      <c r="G243" s="2"/>
      <c r="H243" s="2"/>
      <c r="I243" s="2"/>
      <c r="J243" s="2"/>
    </row>
    <row r="244" spans="1:10" ht="13" x14ac:dyDescent="0.15">
      <c r="A244" s="4"/>
      <c r="B244" s="2"/>
      <c r="C244" s="2"/>
      <c r="D244" s="2"/>
      <c r="E244" s="3"/>
      <c r="F244" s="2"/>
      <c r="G244" s="2"/>
      <c r="H244" s="2"/>
      <c r="I244" s="2"/>
      <c r="J244" s="2"/>
    </row>
    <row r="245" spans="1:10" ht="13" x14ac:dyDescent="0.15">
      <c r="A245" s="4"/>
      <c r="B245" s="2"/>
      <c r="C245" s="2"/>
      <c r="D245" s="2"/>
      <c r="E245" s="3"/>
      <c r="F245" s="2"/>
      <c r="G245" s="2"/>
      <c r="H245" s="2"/>
      <c r="I245" s="2"/>
      <c r="J245" s="2"/>
    </row>
    <row r="246" spans="1:10" ht="13" x14ac:dyDescent="0.15">
      <c r="A246" s="4"/>
      <c r="B246" s="2"/>
      <c r="C246" s="2"/>
      <c r="D246" s="2"/>
      <c r="E246" s="3"/>
      <c r="F246" s="2"/>
      <c r="G246" s="2"/>
      <c r="H246" s="2"/>
      <c r="I246" s="2"/>
      <c r="J246" s="2"/>
    </row>
    <row r="247" spans="1:10" ht="13" x14ac:dyDescent="0.15">
      <c r="A247" s="4"/>
      <c r="B247" s="2"/>
      <c r="C247" s="2"/>
      <c r="D247" s="2"/>
      <c r="E247" s="3"/>
      <c r="F247" s="2"/>
      <c r="G247" s="2"/>
      <c r="H247" s="2"/>
      <c r="I247" s="2"/>
      <c r="J247" s="2"/>
    </row>
    <row r="248" spans="1:10" ht="13" x14ac:dyDescent="0.15">
      <c r="A248" s="4"/>
      <c r="B248" s="2"/>
      <c r="C248" s="2"/>
      <c r="D248" s="2"/>
      <c r="E248" s="3"/>
      <c r="F248" s="2"/>
      <c r="G248" s="2"/>
      <c r="H248" s="2"/>
      <c r="I248" s="2"/>
      <c r="J248" s="2"/>
    </row>
    <row r="249" spans="1:10" ht="13" x14ac:dyDescent="0.15">
      <c r="A249" s="4"/>
      <c r="B249" s="2"/>
      <c r="C249" s="2"/>
      <c r="D249" s="2"/>
      <c r="E249" s="3"/>
      <c r="F249" s="2"/>
      <c r="G249" s="2"/>
      <c r="H249" s="2"/>
      <c r="I249" s="2"/>
      <c r="J249" s="2"/>
    </row>
    <row r="250" spans="1:10" ht="13" x14ac:dyDescent="0.15">
      <c r="A250" s="4"/>
      <c r="B250" s="2"/>
      <c r="C250" s="2"/>
      <c r="D250" s="2"/>
      <c r="E250" s="3"/>
      <c r="F250" s="2"/>
      <c r="G250" s="2"/>
      <c r="H250" s="2"/>
      <c r="I250" s="2"/>
      <c r="J250" s="2"/>
    </row>
    <row r="251" spans="1:10" ht="13" x14ac:dyDescent="0.15">
      <c r="A251" s="4"/>
      <c r="B251" s="2"/>
      <c r="C251" s="2"/>
      <c r="D251" s="2"/>
      <c r="E251" s="3"/>
      <c r="F251" s="2"/>
      <c r="G251" s="2"/>
      <c r="H251" s="2"/>
      <c r="I251" s="2"/>
      <c r="J251" s="2"/>
    </row>
    <row r="252" spans="1:10" ht="13" x14ac:dyDescent="0.15">
      <c r="A252" s="4"/>
      <c r="B252" s="2"/>
      <c r="C252" s="2"/>
      <c r="D252" s="2"/>
      <c r="E252" s="3"/>
      <c r="F252" s="2"/>
      <c r="G252" s="2"/>
      <c r="H252" s="2"/>
      <c r="I252" s="2"/>
      <c r="J252" s="2"/>
    </row>
    <row r="253" spans="1:10" ht="13" x14ac:dyDescent="0.15">
      <c r="A253" s="4"/>
      <c r="B253" s="2"/>
      <c r="C253" s="2"/>
      <c r="D253" s="2"/>
      <c r="E253" s="3"/>
      <c r="F253" s="2"/>
      <c r="G253" s="2"/>
      <c r="H253" s="2"/>
      <c r="I253" s="2"/>
      <c r="J253" s="2"/>
    </row>
    <row r="254" spans="1:10" ht="13" x14ac:dyDescent="0.15">
      <c r="A254" s="4"/>
      <c r="B254" s="2"/>
      <c r="C254" s="2"/>
      <c r="D254" s="2"/>
      <c r="E254" s="3"/>
      <c r="F254" s="2"/>
      <c r="G254" s="2"/>
      <c r="H254" s="2"/>
      <c r="I254" s="2"/>
      <c r="J254" s="2"/>
    </row>
    <row r="255" spans="1:10" ht="13" x14ac:dyDescent="0.15">
      <c r="A255" s="4"/>
      <c r="B255" s="2"/>
      <c r="C255" s="2"/>
      <c r="D255" s="2"/>
      <c r="E255" s="3"/>
      <c r="F255" s="2"/>
      <c r="G255" s="2"/>
      <c r="H255" s="2"/>
      <c r="I255" s="2"/>
      <c r="J255" s="2"/>
    </row>
    <row r="256" spans="1:10" ht="13" x14ac:dyDescent="0.15">
      <c r="A256" s="4"/>
      <c r="B256" s="2"/>
      <c r="C256" s="2"/>
      <c r="D256" s="2"/>
      <c r="E256" s="3"/>
      <c r="F256" s="2"/>
      <c r="G256" s="2"/>
      <c r="H256" s="2"/>
      <c r="I256" s="2"/>
      <c r="J256" s="2"/>
    </row>
    <row r="257" spans="1:10" ht="13" x14ac:dyDescent="0.15">
      <c r="A257" s="4"/>
      <c r="B257" s="2"/>
      <c r="C257" s="2"/>
      <c r="D257" s="2"/>
      <c r="E257" s="3"/>
      <c r="F257" s="2"/>
      <c r="G257" s="2"/>
      <c r="H257" s="2"/>
      <c r="I257" s="2"/>
      <c r="J257" s="2"/>
    </row>
    <row r="258" spans="1:10" ht="13" x14ac:dyDescent="0.15">
      <c r="A258" s="4"/>
      <c r="B258" s="2"/>
      <c r="C258" s="2"/>
      <c r="D258" s="2"/>
      <c r="E258" s="3"/>
      <c r="F258" s="2"/>
      <c r="G258" s="2"/>
      <c r="H258" s="2"/>
      <c r="I258" s="2"/>
      <c r="J258" s="2"/>
    </row>
    <row r="259" spans="1:10" ht="13" x14ac:dyDescent="0.15">
      <c r="A259" s="4"/>
      <c r="B259" s="2"/>
      <c r="C259" s="2"/>
      <c r="D259" s="2"/>
      <c r="E259" s="3"/>
      <c r="F259" s="2"/>
      <c r="G259" s="2"/>
      <c r="H259" s="2"/>
      <c r="I259" s="2"/>
      <c r="J259" s="2"/>
    </row>
    <row r="260" spans="1:10" ht="13" x14ac:dyDescent="0.15">
      <c r="A260" s="4"/>
      <c r="B260" s="2"/>
      <c r="C260" s="2"/>
      <c r="D260" s="2"/>
      <c r="E260" s="3"/>
      <c r="F260" s="2"/>
      <c r="G260" s="2"/>
      <c r="H260" s="2"/>
      <c r="I260" s="2"/>
      <c r="J260" s="2"/>
    </row>
    <row r="261" spans="1:10" ht="13" x14ac:dyDescent="0.15">
      <c r="A261" s="4"/>
      <c r="B261" s="2"/>
      <c r="C261" s="2"/>
      <c r="D261" s="2"/>
      <c r="E261" s="3"/>
      <c r="F261" s="2"/>
      <c r="G261" s="2"/>
      <c r="H261" s="2"/>
      <c r="I261" s="2"/>
      <c r="J261" s="2"/>
    </row>
    <row r="262" spans="1:10" ht="13" x14ac:dyDescent="0.15">
      <c r="A262" s="4"/>
      <c r="B262" s="2"/>
      <c r="C262" s="2"/>
      <c r="D262" s="2"/>
      <c r="E262" s="3"/>
      <c r="F262" s="2"/>
      <c r="G262" s="2"/>
      <c r="H262" s="2"/>
      <c r="I262" s="2"/>
      <c r="J262" s="2"/>
    </row>
    <row r="263" spans="1:10" ht="13" x14ac:dyDescent="0.15">
      <c r="A263" s="4"/>
      <c r="B263" s="2"/>
      <c r="C263" s="2"/>
      <c r="D263" s="2"/>
      <c r="E263" s="3"/>
      <c r="F263" s="2"/>
      <c r="G263" s="2"/>
      <c r="H263" s="2"/>
      <c r="I263" s="2"/>
      <c r="J263" s="2"/>
    </row>
    <row r="264" spans="1:10" ht="13" x14ac:dyDescent="0.15">
      <c r="A264" s="4"/>
      <c r="B264" s="2"/>
      <c r="C264" s="2"/>
      <c r="D264" s="2"/>
      <c r="E264" s="3"/>
      <c r="F264" s="2"/>
      <c r="G264" s="2"/>
      <c r="H264" s="2"/>
      <c r="I264" s="2"/>
      <c r="J264" s="2"/>
    </row>
    <row r="265" spans="1:10" ht="13" x14ac:dyDescent="0.15">
      <c r="A265" s="4"/>
      <c r="B265" s="2"/>
      <c r="C265" s="2"/>
      <c r="D265" s="2"/>
      <c r="E265" s="3"/>
      <c r="F265" s="2"/>
      <c r="G265" s="2"/>
      <c r="H265" s="2"/>
      <c r="I265" s="2"/>
      <c r="J265" s="2"/>
    </row>
    <row r="266" spans="1:10" ht="13" x14ac:dyDescent="0.15">
      <c r="A266" s="4"/>
      <c r="B266" s="2"/>
      <c r="C266" s="2"/>
      <c r="D266" s="2"/>
      <c r="E266" s="3"/>
      <c r="F266" s="2"/>
      <c r="G266" s="2"/>
      <c r="H266" s="2"/>
      <c r="I266" s="2"/>
      <c r="J266" s="2"/>
    </row>
    <row r="267" spans="1:10" ht="13" x14ac:dyDescent="0.15">
      <c r="A267" s="4"/>
      <c r="B267" s="2"/>
      <c r="C267" s="2"/>
      <c r="D267" s="2"/>
      <c r="E267" s="3"/>
      <c r="F267" s="2"/>
      <c r="G267" s="2"/>
      <c r="H267" s="2"/>
      <c r="I267" s="2"/>
      <c r="J267" s="2"/>
    </row>
    <row r="268" spans="1:10" ht="13" x14ac:dyDescent="0.15">
      <c r="A268" s="4"/>
      <c r="B268" s="2"/>
      <c r="C268" s="2"/>
      <c r="D268" s="2"/>
      <c r="E268" s="3"/>
      <c r="F268" s="2"/>
      <c r="G268" s="2"/>
      <c r="H268" s="2"/>
      <c r="I268" s="2"/>
      <c r="J268" s="2"/>
    </row>
    <row r="269" spans="1:10" ht="13" x14ac:dyDescent="0.15">
      <c r="A269" s="4"/>
      <c r="B269" s="2"/>
      <c r="C269" s="2"/>
      <c r="D269" s="2"/>
      <c r="E269" s="3"/>
      <c r="F269" s="2"/>
      <c r="G269" s="2"/>
      <c r="H269" s="2"/>
      <c r="I269" s="2"/>
      <c r="J269" s="2"/>
    </row>
    <row r="270" spans="1:10" ht="13" x14ac:dyDescent="0.15">
      <c r="A270" s="4"/>
      <c r="B270" s="2"/>
      <c r="C270" s="2"/>
      <c r="D270" s="2"/>
      <c r="E270" s="3"/>
      <c r="F270" s="2"/>
      <c r="G270" s="2"/>
      <c r="H270" s="2"/>
      <c r="I270" s="2"/>
      <c r="J270" s="2"/>
    </row>
    <row r="271" spans="1:10" ht="13" x14ac:dyDescent="0.15">
      <c r="A271" s="4"/>
      <c r="B271" s="2"/>
      <c r="C271" s="2"/>
      <c r="D271" s="2"/>
      <c r="E271" s="3"/>
      <c r="F271" s="2"/>
      <c r="G271" s="2"/>
      <c r="H271" s="2"/>
      <c r="I271" s="2"/>
      <c r="J271" s="2"/>
    </row>
    <row r="272" spans="1:10" ht="13" x14ac:dyDescent="0.15">
      <c r="A272" s="4"/>
      <c r="B272" s="2"/>
      <c r="C272" s="2"/>
      <c r="D272" s="2"/>
      <c r="E272" s="3"/>
      <c r="F272" s="2"/>
      <c r="G272" s="2"/>
      <c r="H272" s="2"/>
      <c r="I272" s="2"/>
      <c r="J272" s="2"/>
    </row>
    <row r="273" spans="1:10" ht="13" x14ac:dyDescent="0.15">
      <c r="A273" s="4"/>
      <c r="B273" s="2"/>
      <c r="C273" s="2"/>
      <c r="D273" s="2"/>
      <c r="E273" s="3"/>
      <c r="F273" s="2"/>
      <c r="G273" s="2"/>
      <c r="H273" s="2"/>
      <c r="I273" s="2"/>
      <c r="J273" s="2"/>
    </row>
    <row r="274" spans="1:10" ht="13" x14ac:dyDescent="0.15">
      <c r="A274" s="4"/>
      <c r="B274" s="2"/>
      <c r="C274" s="2"/>
      <c r="D274" s="2"/>
      <c r="E274" s="3"/>
      <c r="F274" s="2"/>
      <c r="G274" s="2"/>
      <c r="H274" s="2"/>
      <c r="I274" s="2"/>
      <c r="J274" s="2"/>
    </row>
    <row r="275" spans="1:10" ht="13" x14ac:dyDescent="0.15">
      <c r="A275" s="4"/>
      <c r="B275" s="2"/>
      <c r="C275" s="2"/>
      <c r="D275" s="2"/>
      <c r="E275" s="3"/>
      <c r="F275" s="2"/>
      <c r="G275" s="2"/>
      <c r="H275" s="2"/>
      <c r="I275" s="2"/>
      <c r="J275" s="2"/>
    </row>
    <row r="276" spans="1:10" ht="13" x14ac:dyDescent="0.15">
      <c r="A276" s="4"/>
      <c r="B276" s="2"/>
      <c r="C276" s="2"/>
      <c r="D276" s="2"/>
      <c r="E276" s="3"/>
      <c r="F276" s="2"/>
      <c r="G276" s="2"/>
      <c r="H276" s="2"/>
      <c r="I276" s="2"/>
      <c r="J276" s="2"/>
    </row>
    <row r="277" spans="1:10" ht="13" x14ac:dyDescent="0.15">
      <c r="A277" s="4"/>
      <c r="B277" s="2"/>
      <c r="C277" s="2"/>
      <c r="D277" s="2"/>
      <c r="E277" s="3"/>
      <c r="F277" s="2"/>
      <c r="G277" s="2"/>
      <c r="H277" s="2"/>
      <c r="I277" s="2"/>
      <c r="J277" s="2"/>
    </row>
    <row r="278" spans="1:10" ht="13" x14ac:dyDescent="0.15">
      <c r="A278" s="4"/>
      <c r="B278" s="2"/>
      <c r="C278" s="2"/>
      <c r="D278" s="2"/>
      <c r="E278" s="3"/>
      <c r="F278" s="2"/>
      <c r="G278" s="2"/>
      <c r="H278" s="2"/>
      <c r="I278" s="2"/>
      <c r="J278" s="2"/>
    </row>
    <row r="279" spans="1:10" ht="13" x14ac:dyDescent="0.15">
      <c r="A279" s="4"/>
      <c r="B279" s="2"/>
      <c r="C279" s="2"/>
      <c r="D279" s="2"/>
      <c r="E279" s="3"/>
      <c r="F279" s="2"/>
      <c r="G279" s="2"/>
      <c r="H279" s="2"/>
      <c r="I279" s="2"/>
      <c r="J279" s="2"/>
    </row>
    <row r="280" spans="1:10" ht="13" x14ac:dyDescent="0.15">
      <c r="A280" s="4"/>
      <c r="B280" s="2"/>
      <c r="C280" s="2"/>
      <c r="D280" s="2"/>
      <c r="E280" s="3"/>
      <c r="F280" s="2"/>
      <c r="G280" s="2"/>
      <c r="H280" s="2"/>
      <c r="I280" s="2"/>
      <c r="J280" s="2"/>
    </row>
    <row r="281" spans="1:10" ht="13" x14ac:dyDescent="0.15">
      <c r="A281" s="4"/>
      <c r="B281" s="2"/>
      <c r="C281" s="2"/>
      <c r="D281" s="2"/>
      <c r="E281" s="3"/>
      <c r="F281" s="2"/>
      <c r="G281" s="2"/>
      <c r="H281" s="2"/>
      <c r="I281" s="2"/>
      <c r="J281" s="2"/>
    </row>
    <row r="282" spans="1:10" ht="13" x14ac:dyDescent="0.15">
      <c r="A282" s="4"/>
      <c r="B282" s="2"/>
      <c r="C282" s="2"/>
      <c r="D282" s="2"/>
      <c r="E282" s="3"/>
      <c r="F282" s="2"/>
      <c r="G282" s="2"/>
      <c r="H282" s="2"/>
      <c r="I282" s="2"/>
      <c r="J282" s="2"/>
    </row>
    <row r="283" spans="1:10" ht="13" x14ac:dyDescent="0.15">
      <c r="A283" s="4"/>
      <c r="B283" s="2"/>
      <c r="C283" s="2"/>
      <c r="D283" s="2"/>
      <c r="E283" s="3"/>
      <c r="F283" s="2"/>
      <c r="G283" s="2"/>
      <c r="H283" s="2"/>
      <c r="I283" s="2"/>
      <c r="J283" s="2"/>
    </row>
    <row r="284" spans="1:10" ht="13" x14ac:dyDescent="0.15">
      <c r="A284" s="4"/>
      <c r="B284" s="2"/>
      <c r="C284" s="2"/>
      <c r="D284" s="2"/>
      <c r="E284" s="3"/>
      <c r="F284" s="2"/>
      <c r="G284" s="2"/>
      <c r="H284" s="2"/>
      <c r="I284" s="2"/>
      <c r="J284" s="2"/>
    </row>
    <row r="285" spans="1:10" ht="13" x14ac:dyDescent="0.15">
      <c r="A285" s="4"/>
      <c r="B285" s="2"/>
      <c r="C285" s="2"/>
      <c r="D285" s="2"/>
      <c r="E285" s="3"/>
      <c r="F285" s="2"/>
      <c r="G285" s="2"/>
      <c r="H285" s="2"/>
      <c r="I285" s="2"/>
      <c r="J285" s="2"/>
    </row>
    <row r="286" spans="1:10" ht="13" x14ac:dyDescent="0.15">
      <c r="A286" s="4"/>
      <c r="B286" s="2"/>
      <c r="C286" s="2"/>
      <c r="D286" s="2"/>
      <c r="E286" s="3"/>
      <c r="F286" s="2"/>
      <c r="G286" s="2"/>
      <c r="H286" s="2"/>
      <c r="I286" s="2"/>
      <c r="J286" s="2"/>
    </row>
    <row r="287" spans="1:10" ht="13" x14ac:dyDescent="0.15">
      <c r="A287" s="4"/>
      <c r="B287" s="2"/>
      <c r="C287" s="2"/>
      <c r="D287" s="2"/>
      <c r="E287" s="3"/>
      <c r="F287" s="2"/>
      <c r="G287" s="2"/>
      <c r="H287" s="2"/>
      <c r="I287" s="2"/>
      <c r="J287" s="2"/>
    </row>
    <row r="288" spans="1:10" ht="13" x14ac:dyDescent="0.15">
      <c r="A288" s="4"/>
      <c r="B288" s="2"/>
      <c r="C288" s="2"/>
      <c r="D288" s="2"/>
      <c r="E288" s="3"/>
      <c r="F288" s="2"/>
      <c r="G288" s="2"/>
      <c r="H288" s="2"/>
      <c r="I288" s="2"/>
      <c r="J288" s="2"/>
    </row>
    <row r="289" spans="1:10" ht="13" x14ac:dyDescent="0.15">
      <c r="A289" s="4"/>
      <c r="B289" s="2"/>
      <c r="C289" s="2"/>
      <c r="D289" s="2"/>
      <c r="E289" s="3"/>
      <c r="F289" s="2"/>
      <c r="G289" s="2"/>
      <c r="H289" s="2"/>
      <c r="I289" s="2"/>
      <c r="J289" s="2"/>
    </row>
    <row r="290" spans="1:10" ht="13" x14ac:dyDescent="0.15">
      <c r="A290" s="4"/>
      <c r="B290" s="2"/>
      <c r="C290" s="2"/>
      <c r="D290" s="2"/>
      <c r="E290" s="3"/>
      <c r="F290" s="2"/>
      <c r="G290" s="2"/>
      <c r="H290" s="2"/>
      <c r="I290" s="2"/>
      <c r="J290" s="2"/>
    </row>
    <row r="291" spans="1:10" ht="13" x14ac:dyDescent="0.15">
      <c r="A291" s="4"/>
      <c r="B291" s="2"/>
      <c r="C291" s="2"/>
      <c r="D291" s="2"/>
      <c r="E291" s="3"/>
      <c r="F291" s="2"/>
      <c r="G291" s="2"/>
      <c r="H291" s="2"/>
      <c r="I291" s="2"/>
      <c r="J291" s="2"/>
    </row>
    <row r="292" spans="1:10" ht="13" x14ac:dyDescent="0.15">
      <c r="A292" s="4"/>
      <c r="B292" s="2"/>
      <c r="C292" s="2"/>
      <c r="D292" s="2"/>
      <c r="E292" s="3"/>
      <c r="F292" s="2"/>
      <c r="G292" s="2"/>
      <c r="H292" s="2"/>
      <c r="I292" s="2"/>
      <c r="J292" s="2"/>
    </row>
    <row r="293" spans="1:10" ht="13" x14ac:dyDescent="0.15">
      <c r="A293" s="4"/>
      <c r="B293" s="2"/>
      <c r="C293" s="2"/>
      <c r="D293" s="2"/>
      <c r="E293" s="3"/>
      <c r="F293" s="2"/>
      <c r="G293" s="2"/>
      <c r="H293" s="2"/>
      <c r="I293" s="2"/>
      <c r="J293" s="2"/>
    </row>
    <row r="294" spans="1:10" ht="13" x14ac:dyDescent="0.15">
      <c r="A294" s="4"/>
      <c r="B294" s="2"/>
      <c r="C294" s="2"/>
      <c r="D294" s="2"/>
      <c r="E294" s="3"/>
      <c r="F294" s="2"/>
      <c r="G294" s="2"/>
      <c r="H294" s="2"/>
      <c r="I294" s="2"/>
      <c r="J294" s="2"/>
    </row>
    <row r="295" spans="1:10" ht="13" x14ac:dyDescent="0.15">
      <c r="A295" s="4"/>
      <c r="B295" s="2"/>
      <c r="C295" s="2"/>
      <c r="D295" s="2"/>
      <c r="E295" s="3"/>
      <c r="F295" s="2"/>
      <c r="G295" s="2"/>
      <c r="H295" s="2"/>
      <c r="I295" s="2"/>
      <c r="J295" s="2"/>
    </row>
    <row r="296" spans="1:10" ht="13" x14ac:dyDescent="0.15">
      <c r="A296" s="4"/>
      <c r="B296" s="2"/>
      <c r="C296" s="2"/>
      <c r="D296" s="2"/>
      <c r="E296" s="3"/>
      <c r="F296" s="2"/>
      <c r="G296" s="2"/>
      <c r="H296" s="2"/>
      <c r="I296" s="2"/>
      <c r="J296" s="2"/>
    </row>
    <row r="297" spans="1:10" ht="13" x14ac:dyDescent="0.15">
      <c r="A297" s="4"/>
      <c r="B297" s="2"/>
      <c r="C297" s="2"/>
      <c r="D297" s="2"/>
      <c r="E297" s="3"/>
      <c r="F297" s="2"/>
      <c r="G297" s="2"/>
      <c r="H297" s="2"/>
      <c r="I297" s="2"/>
      <c r="J297" s="2"/>
    </row>
    <row r="298" spans="1:10" ht="13" x14ac:dyDescent="0.15">
      <c r="A298" s="4"/>
      <c r="B298" s="2"/>
      <c r="C298" s="2"/>
      <c r="D298" s="2"/>
      <c r="E298" s="3"/>
      <c r="F298" s="2"/>
      <c r="G298" s="2"/>
      <c r="H298" s="2"/>
      <c r="I298" s="2"/>
      <c r="J298" s="2"/>
    </row>
    <row r="299" spans="1:10" ht="13" x14ac:dyDescent="0.15">
      <c r="A299" s="4"/>
      <c r="B299" s="2"/>
      <c r="C299" s="2"/>
      <c r="D299" s="2"/>
      <c r="E299" s="3"/>
      <c r="F299" s="2"/>
      <c r="G299" s="2"/>
      <c r="H299" s="2"/>
      <c r="I299" s="2"/>
      <c r="J299" s="2"/>
    </row>
    <row r="300" spans="1:10" ht="13" x14ac:dyDescent="0.15">
      <c r="A300" s="4"/>
      <c r="B300" s="2"/>
      <c r="C300" s="2"/>
      <c r="D300" s="2"/>
      <c r="E300" s="3"/>
      <c r="F300" s="2"/>
      <c r="G300" s="2"/>
      <c r="H300" s="2"/>
      <c r="I300" s="2"/>
      <c r="J300" s="2"/>
    </row>
    <row r="301" spans="1:10" ht="13" x14ac:dyDescent="0.15">
      <c r="A301" s="4"/>
      <c r="B301" s="2"/>
      <c r="C301" s="2"/>
      <c r="D301" s="2"/>
      <c r="E301" s="3"/>
      <c r="F301" s="2"/>
      <c r="G301" s="2"/>
      <c r="H301" s="2"/>
      <c r="I301" s="2"/>
      <c r="J301" s="2"/>
    </row>
    <row r="302" spans="1:10" ht="13" x14ac:dyDescent="0.15">
      <c r="A302" s="4"/>
      <c r="B302" s="2"/>
      <c r="C302" s="2"/>
      <c r="D302" s="2"/>
      <c r="E302" s="3"/>
      <c r="F302" s="2"/>
      <c r="G302" s="2"/>
      <c r="H302" s="2"/>
      <c r="I302" s="2"/>
      <c r="J302" s="2"/>
    </row>
    <row r="303" spans="1:10" ht="13" x14ac:dyDescent="0.15">
      <c r="A303" s="4"/>
      <c r="B303" s="2"/>
      <c r="C303" s="2"/>
      <c r="D303" s="2"/>
      <c r="E303" s="3"/>
      <c r="F303" s="2"/>
      <c r="G303" s="2"/>
      <c r="H303" s="2"/>
      <c r="I303" s="2"/>
      <c r="J303" s="2"/>
    </row>
    <row r="304" spans="1:10" ht="13" x14ac:dyDescent="0.15">
      <c r="A304" s="4"/>
      <c r="B304" s="2"/>
      <c r="C304" s="2"/>
      <c r="D304" s="2"/>
      <c r="E304" s="3"/>
      <c r="F304" s="2"/>
      <c r="G304" s="2"/>
      <c r="H304" s="2"/>
      <c r="I304" s="2"/>
      <c r="J304" s="2"/>
    </row>
    <row r="305" spans="1:10" ht="13" x14ac:dyDescent="0.15">
      <c r="A305" s="4"/>
      <c r="B305" s="2"/>
      <c r="C305" s="2"/>
      <c r="D305" s="2"/>
      <c r="E305" s="3"/>
      <c r="F305" s="2"/>
      <c r="G305" s="2"/>
      <c r="H305" s="2"/>
      <c r="I305" s="2"/>
      <c r="J305" s="2"/>
    </row>
    <row r="306" spans="1:10" ht="13" x14ac:dyDescent="0.15">
      <c r="A306" s="4"/>
      <c r="B306" s="2"/>
      <c r="C306" s="2"/>
      <c r="D306" s="2"/>
      <c r="E306" s="3"/>
      <c r="F306" s="2"/>
      <c r="G306" s="2"/>
      <c r="H306" s="2"/>
      <c r="I306" s="2"/>
      <c r="J306" s="2"/>
    </row>
    <row r="307" spans="1:10" ht="13" x14ac:dyDescent="0.15">
      <c r="A307" s="4"/>
      <c r="B307" s="2"/>
      <c r="C307" s="2"/>
      <c r="D307" s="2"/>
      <c r="E307" s="3"/>
      <c r="F307" s="2"/>
      <c r="G307" s="2"/>
      <c r="H307" s="2"/>
      <c r="I307" s="2"/>
      <c r="J307" s="2"/>
    </row>
    <row r="308" spans="1:10" ht="13" x14ac:dyDescent="0.15">
      <c r="A308" s="4"/>
      <c r="B308" s="2"/>
      <c r="C308" s="2"/>
      <c r="D308" s="2"/>
      <c r="E308" s="3"/>
      <c r="F308" s="2"/>
      <c r="G308" s="2"/>
      <c r="H308" s="2"/>
      <c r="I308" s="2"/>
      <c r="J308" s="2"/>
    </row>
    <row r="309" spans="1:10" ht="13" x14ac:dyDescent="0.15">
      <c r="A309" s="4"/>
      <c r="B309" s="2"/>
      <c r="C309" s="2"/>
      <c r="D309" s="2"/>
      <c r="E309" s="3"/>
      <c r="F309" s="2"/>
      <c r="G309" s="2"/>
      <c r="H309" s="2"/>
      <c r="I309" s="2"/>
      <c r="J309" s="2"/>
    </row>
    <row r="310" spans="1:10" ht="13" x14ac:dyDescent="0.15">
      <c r="A310" s="4"/>
      <c r="B310" s="2"/>
      <c r="C310" s="2"/>
      <c r="D310" s="2"/>
      <c r="E310" s="3"/>
      <c r="F310" s="2"/>
      <c r="G310" s="2"/>
      <c r="H310" s="2"/>
      <c r="I310" s="2"/>
      <c r="J310" s="2"/>
    </row>
    <row r="311" spans="1:10" ht="13" x14ac:dyDescent="0.15">
      <c r="A311" s="4"/>
      <c r="B311" s="2"/>
      <c r="C311" s="2"/>
      <c r="D311" s="2"/>
      <c r="E311" s="3"/>
      <c r="F311" s="2"/>
      <c r="G311" s="2"/>
      <c r="H311" s="2"/>
      <c r="I311" s="2"/>
      <c r="J311" s="2"/>
    </row>
    <row r="312" spans="1:10" ht="13" x14ac:dyDescent="0.15">
      <c r="A312" s="4"/>
      <c r="B312" s="2"/>
      <c r="C312" s="2"/>
      <c r="D312" s="2"/>
      <c r="E312" s="3"/>
      <c r="F312" s="2"/>
      <c r="G312" s="2"/>
      <c r="H312" s="2"/>
      <c r="I312" s="2"/>
      <c r="J312" s="2"/>
    </row>
    <row r="313" spans="1:10" ht="13" x14ac:dyDescent="0.15">
      <c r="A313" s="4"/>
      <c r="B313" s="2"/>
      <c r="C313" s="2"/>
      <c r="D313" s="2"/>
      <c r="E313" s="3"/>
      <c r="F313" s="2"/>
      <c r="G313" s="2"/>
      <c r="H313" s="2"/>
      <c r="I313" s="2"/>
      <c r="J313" s="2"/>
    </row>
    <row r="314" spans="1:10" ht="13" x14ac:dyDescent="0.15">
      <c r="A314" s="4"/>
      <c r="B314" s="2"/>
      <c r="C314" s="2"/>
      <c r="D314" s="2"/>
      <c r="E314" s="3"/>
      <c r="F314" s="2"/>
      <c r="G314" s="2"/>
      <c r="H314" s="2"/>
      <c r="I314" s="2"/>
      <c r="J314" s="2"/>
    </row>
    <row r="315" spans="1:10" ht="13" x14ac:dyDescent="0.15">
      <c r="A315" s="4"/>
      <c r="B315" s="2"/>
      <c r="C315" s="2"/>
      <c r="D315" s="2"/>
      <c r="E315" s="3"/>
      <c r="F315" s="2"/>
      <c r="G315" s="2"/>
      <c r="H315" s="2"/>
      <c r="I315" s="2"/>
      <c r="J315" s="2"/>
    </row>
    <row r="316" spans="1:10" ht="13" x14ac:dyDescent="0.15">
      <c r="A316" s="4"/>
      <c r="B316" s="2"/>
      <c r="C316" s="2"/>
      <c r="D316" s="2"/>
      <c r="E316" s="3"/>
      <c r="F316" s="2"/>
      <c r="G316" s="2"/>
      <c r="H316" s="2"/>
      <c r="I316" s="2"/>
      <c r="J316" s="2"/>
    </row>
    <row r="317" spans="1:10" ht="13" x14ac:dyDescent="0.15">
      <c r="A317" s="4"/>
      <c r="B317" s="2"/>
      <c r="C317" s="2"/>
      <c r="D317" s="2"/>
      <c r="E317" s="3"/>
      <c r="F317" s="2"/>
      <c r="G317" s="2"/>
      <c r="H317" s="2"/>
      <c r="I317" s="2"/>
      <c r="J317" s="2"/>
    </row>
    <row r="318" spans="1:10" ht="13" x14ac:dyDescent="0.15">
      <c r="A318" s="4"/>
      <c r="B318" s="2"/>
      <c r="C318" s="2"/>
      <c r="D318" s="2"/>
      <c r="E318" s="3"/>
      <c r="F318" s="2"/>
      <c r="G318" s="2"/>
      <c r="H318" s="2"/>
      <c r="I318" s="2"/>
      <c r="J318" s="2"/>
    </row>
    <row r="319" spans="1:10" ht="13" x14ac:dyDescent="0.15">
      <c r="A319" s="4"/>
      <c r="B319" s="2"/>
      <c r="C319" s="2"/>
      <c r="D319" s="2"/>
      <c r="E319" s="3"/>
      <c r="F319" s="2"/>
      <c r="G319" s="2"/>
      <c r="H319" s="2"/>
      <c r="I319" s="2"/>
      <c r="J319" s="2"/>
    </row>
    <row r="320" spans="1:10" ht="13" x14ac:dyDescent="0.15">
      <c r="A320" s="4"/>
      <c r="B320" s="2"/>
      <c r="C320" s="2"/>
      <c r="D320" s="2"/>
      <c r="E320" s="3"/>
      <c r="F320" s="2"/>
      <c r="G320" s="2"/>
      <c r="H320" s="2"/>
      <c r="I320" s="2"/>
      <c r="J320" s="2"/>
    </row>
    <row r="321" spans="1:10" ht="13" x14ac:dyDescent="0.15">
      <c r="A321" s="4"/>
      <c r="B321" s="2"/>
      <c r="C321" s="2"/>
      <c r="D321" s="2"/>
      <c r="E321" s="3"/>
      <c r="F321" s="2"/>
      <c r="G321" s="2"/>
      <c r="H321" s="2"/>
      <c r="I321" s="2"/>
      <c r="J321" s="2"/>
    </row>
    <row r="322" spans="1:10" ht="13" x14ac:dyDescent="0.15">
      <c r="A322" s="4"/>
      <c r="B322" s="2"/>
      <c r="C322" s="2"/>
      <c r="D322" s="2"/>
      <c r="E322" s="3"/>
      <c r="F322" s="2"/>
      <c r="G322" s="2"/>
      <c r="H322" s="2"/>
      <c r="I322" s="2"/>
      <c r="J322" s="2"/>
    </row>
    <row r="323" spans="1:10" ht="13" x14ac:dyDescent="0.15">
      <c r="A323" s="4"/>
      <c r="B323" s="2"/>
      <c r="C323" s="2"/>
      <c r="D323" s="2"/>
      <c r="E323" s="3"/>
      <c r="F323" s="2"/>
      <c r="G323" s="2"/>
      <c r="H323" s="2"/>
      <c r="I323" s="2"/>
      <c r="J323" s="2"/>
    </row>
    <row r="324" spans="1:10" ht="13" x14ac:dyDescent="0.15">
      <c r="A324" s="4"/>
      <c r="B324" s="2"/>
      <c r="C324" s="2"/>
      <c r="D324" s="2"/>
      <c r="E324" s="3"/>
      <c r="F324" s="2"/>
      <c r="G324" s="2"/>
      <c r="H324" s="2"/>
      <c r="I324" s="2"/>
      <c r="J324" s="2"/>
    </row>
    <row r="325" spans="1:10" ht="13" x14ac:dyDescent="0.15">
      <c r="A325" s="4"/>
      <c r="B325" s="2"/>
      <c r="C325" s="2"/>
      <c r="D325" s="2"/>
      <c r="E325" s="3"/>
      <c r="F325" s="2"/>
      <c r="G325" s="2"/>
      <c r="H325" s="2"/>
      <c r="I325" s="2"/>
      <c r="J325" s="2"/>
    </row>
    <row r="326" spans="1:10" ht="13" x14ac:dyDescent="0.15">
      <c r="A326" s="4"/>
      <c r="B326" s="2"/>
      <c r="C326" s="2"/>
      <c r="D326" s="2"/>
      <c r="E326" s="3"/>
      <c r="F326" s="2"/>
      <c r="G326" s="2"/>
      <c r="H326" s="2"/>
      <c r="I326" s="2"/>
      <c r="J326" s="2"/>
    </row>
    <row r="327" spans="1:10" ht="13" x14ac:dyDescent="0.15">
      <c r="A327" s="4"/>
      <c r="B327" s="2"/>
      <c r="C327" s="2"/>
      <c r="D327" s="2"/>
      <c r="E327" s="3"/>
      <c r="F327" s="2"/>
      <c r="G327" s="2"/>
      <c r="H327" s="2"/>
      <c r="I327" s="2"/>
      <c r="J327" s="2"/>
    </row>
    <row r="328" spans="1:10" ht="13" x14ac:dyDescent="0.15">
      <c r="A328" s="4"/>
      <c r="B328" s="2"/>
      <c r="C328" s="2"/>
      <c r="D328" s="2"/>
      <c r="E328" s="3"/>
      <c r="F328" s="2"/>
      <c r="G328" s="2"/>
      <c r="H328" s="2"/>
      <c r="I328" s="2"/>
      <c r="J328" s="2"/>
    </row>
    <row r="329" spans="1:10" ht="13" x14ac:dyDescent="0.15">
      <c r="A329" s="4"/>
      <c r="B329" s="2"/>
      <c r="C329" s="2"/>
      <c r="D329" s="2"/>
      <c r="E329" s="3"/>
      <c r="F329" s="2"/>
      <c r="G329" s="2"/>
      <c r="H329" s="2"/>
      <c r="I329" s="2"/>
      <c r="J329" s="2"/>
    </row>
    <row r="330" spans="1:10" ht="13" x14ac:dyDescent="0.15">
      <c r="A330" s="4"/>
      <c r="B330" s="2"/>
      <c r="C330" s="2"/>
      <c r="D330" s="2"/>
      <c r="E330" s="3"/>
      <c r="F330" s="2"/>
      <c r="G330" s="2"/>
      <c r="H330" s="2"/>
      <c r="I330" s="2"/>
      <c r="J330" s="2"/>
    </row>
    <row r="331" spans="1:10" ht="13" x14ac:dyDescent="0.15">
      <c r="A331" s="4"/>
      <c r="B331" s="2"/>
      <c r="C331" s="2"/>
      <c r="D331" s="2"/>
      <c r="E331" s="3"/>
      <c r="F331" s="2"/>
      <c r="G331" s="2"/>
      <c r="H331" s="2"/>
      <c r="I331" s="2"/>
      <c r="J331" s="2"/>
    </row>
    <row r="332" spans="1:10" ht="13" x14ac:dyDescent="0.15">
      <c r="A332" s="4"/>
      <c r="B332" s="2"/>
      <c r="C332" s="2"/>
      <c r="D332" s="2"/>
      <c r="E332" s="3"/>
      <c r="F332" s="2"/>
      <c r="G332" s="2"/>
      <c r="H332" s="2"/>
      <c r="I332" s="2"/>
      <c r="J332" s="2"/>
    </row>
    <row r="333" spans="1:10" ht="13" x14ac:dyDescent="0.15">
      <c r="A333" s="4"/>
      <c r="B333" s="2"/>
      <c r="C333" s="2"/>
      <c r="D333" s="2"/>
      <c r="E333" s="3"/>
      <c r="F333" s="2"/>
      <c r="G333" s="2"/>
      <c r="H333" s="2"/>
      <c r="I333" s="2"/>
      <c r="J333" s="2"/>
    </row>
    <row r="334" spans="1:10" ht="13" x14ac:dyDescent="0.15">
      <c r="A334" s="4"/>
      <c r="B334" s="2"/>
      <c r="C334" s="2"/>
      <c r="D334" s="2"/>
      <c r="E334" s="3"/>
      <c r="F334" s="2"/>
      <c r="G334" s="2"/>
      <c r="H334" s="2"/>
      <c r="I334" s="2"/>
      <c r="J334" s="2"/>
    </row>
    <row r="335" spans="1:10" ht="13" x14ac:dyDescent="0.15">
      <c r="A335" s="4"/>
      <c r="B335" s="2"/>
      <c r="C335" s="2"/>
      <c r="D335" s="2"/>
      <c r="E335" s="3"/>
      <c r="F335" s="2"/>
      <c r="G335" s="2"/>
      <c r="H335" s="2"/>
      <c r="I335" s="2"/>
      <c r="J335" s="2"/>
    </row>
    <row r="336" spans="1:10" ht="13" x14ac:dyDescent="0.15">
      <c r="A336" s="4"/>
      <c r="B336" s="2"/>
      <c r="C336" s="2"/>
      <c r="D336" s="2"/>
      <c r="E336" s="3"/>
      <c r="F336" s="2"/>
      <c r="G336" s="2"/>
      <c r="H336" s="2"/>
      <c r="I336" s="2"/>
      <c r="J336" s="2"/>
    </row>
    <row r="337" spans="1:10" ht="13" x14ac:dyDescent="0.15">
      <c r="A337" s="4"/>
      <c r="B337" s="2"/>
      <c r="C337" s="2"/>
      <c r="D337" s="2"/>
      <c r="E337" s="3"/>
      <c r="F337" s="2"/>
      <c r="G337" s="2"/>
      <c r="H337" s="2"/>
      <c r="I337" s="2"/>
      <c r="J337" s="2"/>
    </row>
    <row r="338" spans="1:10" ht="13" x14ac:dyDescent="0.15">
      <c r="A338" s="4"/>
      <c r="B338" s="2"/>
      <c r="C338" s="2"/>
      <c r="D338" s="2"/>
      <c r="E338" s="3"/>
      <c r="F338" s="2"/>
      <c r="G338" s="2"/>
      <c r="H338" s="2"/>
      <c r="I338" s="2"/>
      <c r="J338" s="2"/>
    </row>
    <row r="339" spans="1:10" ht="13" x14ac:dyDescent="0.15">
      <c r="A339" s="4"/>
      <c r="B339" s="2"/>
      <c r="C339" s="2"/>
      <c r="D339" s="2"/>
      <c r="E339" s="3"/>
      <c r="F339" s="2"/>
      <c r="G339" s="2"/>
      <c r="H339" s="2"/>
      <c r="I339" s="2"/>
      <c r="J339" s="2"/>
    </row>
    <row r="340" spans="1:10" ht="13" x14ac:dyDescent="0.15">
      <c r="A340" s="4"/>
      <c r="B340" s="2"/>
      <c r="C340" s="2"/>
      <c r="D340" s="2"/>
      <c r="E340" s="3"/>
      <c r="F340" s="2"/>
      <c r="G340" s="2"/>
      <c r="H340" s="2"/>
      <c r="I340" s="2"/>
      <c r="J340" s="2"/>
    </row>
    <row r="341" spans="1:10" ht="13" x14ac:dyDescent="0.15">
      <c r="A341" s="4"/>
      <c r="B341" s="2"/>
      <c r="C341" s="2"/>
      <c r="D341" s="2"/>
      <c r="E341" s="3"/>
      <c r="F341" s="2"/>
      <c r="G341" s="2"/>
      <c r="H341" s="2"/>
      <c r="I341" s="2"/>
      <c r="J341" s="2"/>
    </row>
    <row r="342" spans="1:10" ht="13" x14ac:dyDescent="0.15">
      <c r="A342" s="4"/>
      <c r="B342" s="2"/>
      <c r="C342" s="2"/>
      <c r="D342" s="2"/>
      <c r="E342" s="3"/>
      <c r="F342" s="2"/>
      <c r="G342" s="2"/>
      <c r="H342" s="2"/>
      <c r="I342" s="2"/>
      <c r="J342" s="2"/>
    </row>
    <row r="343" spans="1:10" ht="13" x14ac:dyDescent="0.15">
      <c r="A343" s="4"/>
      <c r="B343" s="2"/>
      <c r="C343" s="2"/>
      <c r="D343" s="2"/>
      <c r="E343" s="3"/>
      <c r="F343" s="2"/>
      <c r="G343" s="2"/>
      <c r="H343" s="2"/>
      <c r="I343" s="2"/>
      <c r="J343" s="2"/>
    </row>
    <row r="344" spans="1:10" ht="13" x14ac:dyDescent="0.15">
      <c r="A344" s="4"/>
      <c r="B344" s="2"/>
      <c r="C344" s="2"/>
      <c r="D344" s="2"/>
      <c r="E344" s="3"/>
      <c r="F344" s="2"/>
      <c r="G344" s="2"/>
      <c r="H344" s="2"/>
      <c r="I344" s="2"/>
      <c r="J344" s="2"/>
    </row>
    <row r="345" spans="1:10" ht="13" x14ac:dyDescent="0.15">
      <c r="A345" s="4"/>
      <c r="B345" s="2"/>
      <c r="C345" s="2"/>
      <c r="D345" s="2"/>
      <c r="E345" s="3"/>
      <c r="F345" s="2"/>
      <c r="G345" s="2"/>
      <c r="H345" s="2"/>
      <c r="I345" s="2"/>
      <c r="J345" s="2"/>
    </row>
    <row r="346" spans="1:10" ht="13" x14ac:dyDescent="0.15">
      <c r="A346" s="4"/>
      <c r="B346" s="2"/>
      <c r="C346" s="2"/>
      <c r="D346" s="2"/>
      <c r="E346" s="3"/>
      <c r="F346" s="2"/>
      <c r="G346" s="2"/>
      <c r="H346" s="2"/>
      <c r="I346" s="2"/>
      <c r="J346" s="2"/>
    </row>
    <row r="347" spans="1:10" ht="13" x14ac:dyDescent="0.15">
      <c r="A347" s="4"/>
      <c r="B347" s="2"/>
      <c r="C347" s="2"/>
      <c r="D347" s="2"/>
      <c r="E347" s="3"/>
      <c r="F347" s="2"/>
      <c r="G347" s="2"/>
      <c r="H347" s="2"/>
      <c r="I347" s="2"/>
      <c r="J347" s="2"/>
    </row>
    <row r="348" spans="1:10" ht="13" x14ac:dyDescent="0.15">
      <c r="A348" s="4"/>
      <c r="B348" s="2"/>
      <c r="C348" s="2"/>
      <c r="D348" s="2"/>
      <c r="E348" s="3"/>
      <c r="F348" s="2"/>
      <c r="G348" s="2"/>
      <c r="H348" s="2"/>
      <c r="I348" s="2"/>
      <c r="J348" s="2"/>
    </row>
    <row r="349" spans="1:10" ht="13" x14ac:dyDescent="0.15">
      <c r="A349" s="4"/>
      <c r="B349" s="2"/>
      <c r="C349" s="2"/>
      <c r="D349" s="2"/>
      <c r="E349" s="3"/>
      <c r="F349" s="2"/>
      <c r="G349" s="2"/>
      <c r="H349" s="2"/>
      <c r="I349" s="2"/>
      <c r="J349" s="2"/>
    </row>
    <row r="350" spans="1:10" ht="13" x14ac:dyDescent="0.15">
      <c r="A350" s="4"/>
      <c r="B350" s="2"/>
      <c r="C350" s="2"/>
      <c r="D350" s="2"/>
      <c r="E350" s="3"/>
      <c r="F350" s="2"/>
      <c r="G350" s="2"/>
      <c r="H350" s="2"/>
      <c r="I350" s="2"/>
      <c r="J350" s="2"/>
    </row>
    <row r="351" spans="1:10" ht="13" x14ac:dyDescent="0.15">
      <c r="A351" s="4"/>
      <c r="B351" s="2"/>
      <c r="C351" s="2"/>
      <c r="D351" s="2"/>
      <c r="E351" s="3"/>
      <c r="F351" s="2"/>
      <c r="G351" s="2"/>
      <c r="H351" s="2"/>
      <c r="I351" s="2"/>
      <c r="J351" s="2"/>
    </row>
    <row r="352" spans="1:10" ht="13" x14ac:dyDescent="0.15">
      <c r="A352" s="4"/>
      <c r="B352" s="2"/>
      <c r="C352" s="2"/>
      <c r="D352" s="2"/>
      <c r="E352" s="3"/>
      <c r="F352" s="2"/>
      <c r="G352" s="2"/>
      <c r="H352" s="2"/>
      <c r="I352" s="2"/>
      <c r="J352" s="2"/>
    </row>
    <row r="353" spans="1:10" ht="13" x14ac:dyDescent="0.15">
      <c r="A353" s="4"/>
      <c r="B353" s="2"/>
      <c r="C353" s="2"/>
      <c r="D353" s="2"/>
      <c r="E353" s="3"/>
      <c r="F353" s="2"/>
      <c r="G353" s="2"/>
      <c r="H353" s="2"/>
      <c r="I353" s="2"/>
      <c r="J353" s="2"/>
    </row>
    <row r="354" spans="1:10" ht="13" x14ac:dyDescent="0.15">
      <c r="A354" s="4"/>
      <c r="B354" s="2"/>
      <c r="C354" s="2"/>
      <c r="D354" s="2"/>
      <c r="E354" s="3"/>
      <c r="F354" s="2"/>
      <c r="G354" s="2"/>
      <c r="H354" s="2"/>
      <c r="I354" s="2"/>
      <c r="J354" s="2"/>
    </row>
    <row r="355" spans="1:10" ht="13" x14ac:dyDescent="0.15">
      <c r="A355" s="4"/>
      <c r="B355" s="2"/>
      <c r="C355" s="2"/>
      <c r="D355" s="2"/>
      <c r="E355" s="3"/>
      <c r="F355" s="2"/>
      <c r="G355" s="2"/>
      <c r="H355" s="2"/>
      <c r="I355" s="2"/>
      <c r="J355" s="2"/>
    </row>
    <row r="356" spans="1:10" ht="13" x14ac:dyDescent="0.15">
      <c r="A356" s="4"/>
      <c r="B356" s="2"/>
      <c r="C356" s="2"/>
      <c r="D356" s="2"/>
      <c r="E356" s="3"/>
      <c r="F356" s="2"/>
      <c r="G356" s="2"/>
      <c r="H356" s="2"/>
      <c r="I356" s="2"/>
      <c r="J356" s="2"/>
    </row>
    <row r="357" spans="1:10" ht="13" x14ac:dyDescent="0.15">
      <c r="A357" s="4"/>
      <c r="B357" s="2"/>
      <c r="C357" s="2"/>
      <c r="D357" s="2"/>
      <c r="E357" s="3"/>
      <c r="F357" s="2"/>
      <c r="G357" s="2"/>
      <c r="H357" s="2"/>
      <c r="I357" s="2"/>
      <c r="J357" s="2"/>
    </row>
    <row r="358" spans="1:10" ht="13" x14ac:dyDescent="0.15">
      <c r="A358" s="4"/>
      <c r="B358" s="2"/>
      <c r="C358" s="2"/>
      <c r="D358" s="2"/>
      <c r="E358" s="3"/>
      <c r="F358" s="2"/>
      <c r="G358" s="2"/>
      <c r="H358" s="2"/>
      <c r="I358" s="2"/>
      <c r="J358" s="2"/>
    </row>
    <row r="359" spans="1:10" ht="13" x14ac:dyDescent="0.15">
      <c r="A359" s="4"/>
      <c r="B359" s="2"/>
      <c r="C359" s="2"/>
      <c r="D359" s="2"/>
      <c r="E359" s="3"/>
      <c r="F359" s="2"/>
      <c r="G359" s="2"/>
      <c r="H359" s="2"/>
      <c r="I359" s="2"/>
      <c r="J359" s="2"/>
    </row>
    <row r="360" spans="1:10" ht="13" x14ac:dyDescent="0.15">
      <c r="A360" s="4"/>
      <c r="B360" s="2"/>
      <c r="C360" s="2"/>
      <c r="D360" s="2"/>
      <c r="E360" s="3"/>
      <c r="F360" s="2"/>
      <c r="G360" s="2"/>
      <c r="H360" s="2"/>
      <c r="I360" s="2"/>
      <c r="J360" s="2"/>
    </row>
    <row r="361" spans="1:10" ht="13" x14ac:dyDescent="0.15">
      <c r="A361" s="4"/>
      <c r="B361" s="2"/>
      <c r="C361" s="2"/>
      <c r="D361" s="2"/>
      <c r="E361" s="3"/>
      <c r="F361" s="2"/>
      <c r="G361" s="2"/>
      <c r="H361" s="2"/>
      <c r="I361" s="2"/>
      <c r="J361" s="2"/>
    </row>
    <row r="362" spans="1:10" ht="13" x14ac:dyDescent="0.15">
      <c r="A362" s="4"/>
      <c r="B362" s="2"/>
      <c r="C362" s="2"/>
      <c r="D362" s="2"/>
      <c r="E362" s="3"/>
      <c r="F362" s="2"/>
      <c r="G362" s="2"/>
      <c r="H362" s="2"/>
      <c r="I362" s="2"/>
      <c r="J362" s="2"/>
    </row>
    <row r="363" spans="1:10" ht="13" x14ac:dyDescent="0.15">
      <c r="A363" s="4"/>
      <c r="B363" s="2"/>
      <c r="C363" s="2"/>
      <c r="D363" s="2"/>
      <c r="E363" s="3"/>
      <c r="F363" s="2"/>
      <c r="G363" s="2"/>
      <c r="H363" s="2"/>
      <c r="I363" s="2"/>
      <c r="J363" s="2"/>
    </row>
    <row r="364" spans="1:10" ht="13" x14ac:dyDescent="0.15">
      <c r="A364" s="4"/>
      <c r="B364" s="2"/>
      <c r="C364" s="2"/>
      <c r="D364" s="2"/>
      <c r="E364" s="3"/>
      <c r="F364" s="2"/>
      <c r="G364" s="2"/>
      <c r="H364" s="2"/>
      <c r="I364" s="2"/>
      <c r="J364" s="2"/>
    </row>
    <row r="365" spans="1:10" ht="13" x14ac:dyDescent="0.15">
      <c r="A365" s="4"/>
      <c r="B365" s="2"/>
      <c r="C365" s="2"/>
      <c r="D365" s="2"/>
      <c r="E365" s="3"/>
      <c r="F365" s="2"/>
      <c r="G365" s="2"/>
      <c r="H365" s="2"/>
      <c r="I365" s="2"/>
      <c r="J365" s="2"/>
    </row>
    <row r="366" spans="1:10" ht="13" x14ac:dyDescent="0.15">
      <c r="A366" s="4"/>
      <c r="B366" s="2"/>
      <c r="C366" s="2"/>
      <c r="D366" s="2"/>
      <c r="E366" s="3"/>
      <c r="F366" s="2"/>
      <c r="G366" s="2"/>
      <c r="H366" s="2"/>
      <c r="I366" s="2"/>
      <c r="J366" s="2"/>
    </row>
    <row r="367" spans="1:10" ht="13" x14ac:dyDescent="0.15">
      <c r="A367" s="4"/>
      <c r="B367" s="2"/>
      <c r="C367" s="2"/>
      <c r="D367" s="2"/>
      <c r="E367" s="3"/>
      <c r="F367" s="2"/>
      <c r="G367" s="2"/>
      <c r="H367" s="2"/>
      <c r="I367" s="2"/>
      <c r="J367" s="2"/>
    </row>
    <row r="368" spans="1:10" ht="13" x14ac:dyDescent="0.15">
      <c r="A368" s="4"/>
      <c r="B368" s="2"/>
      <c r="C368" s="2"/>
      <c r="D368" s="2"/>
      <c r="E368" s="3"/>
      <c r="F368" s="2"/>
      <c r="G368" s="2"/>
      <c r="H368" s="2"/>
      <c r="I368" s="2"/>
      <c r="J368" s="2"/>
    </row>
    <row r="369" spans="1:10" ht="13" x14ac:dyDescent="0.15">
      <c r="A369" s="4"/>
      <c r="B369" s="2"/>
      <c r="C369" s="2"/>
      <c r="D369" s="2"/>
      <c r="E369" s="3"/>
      <c r="F369" s="2"/>
      <c r="G369" s="2"/>
      <c r="H369" s="2"/>
      <c r="I369" s="2"/>
      <c r="J369" s="2"/>
    </row>
    <row r="370" spans="1:10" ht="13" x14ac:dyDescent="0.15">
      <c r="A370" s="4"/>
      <c r="B370" s="2"/>
      <c r="C370" s="2"/>
      <c r="D370" s="2"/>
      <c r="E370" s="3"/>
      <c r="F370" s="2"/>
      <c r="G370" s="2"/>
      <c r="H370" s="2"/>
      <c r="I370" s="2"/>
      <c r="J370" s="2"/>
    </row>
    <row r="371" spans="1:10" ht="13" x14ac:dyDescent="0.15">
      <c r="A371" s="4"/>
      <c r="B371" s="2"/>
      <c r="C371" s="2"/>
      <c r="D371" s="2"/>
      <c r="E371" s="3"/>
      <c r="F371" s="2"/>
      <c r="G371" s="2"/>
      <c r="H371" s="2"/>
      <c r="I371" s="2"/>
      <c r="J371" s="2"/>
    </row>
    <row r="372" spans="1:10" ht="13" x14ac:dyDescent="0.15">
      <c r="A372" s="4"/>
      <c r="B372" s="2"/>
      <c r="C372" s="2"/>
      <c r="D372" s="2"/>
      <c r="E372" s="3"/>
      <c r="F372" s="2"/>
      <c r="G372" s="2"/>
      <c r="H372" s="2"/>
      <c r="I372" s="2"/>
      <c r="J372" s="2"/>
    </row>
    <row r="373" spans="1:10" ht="13" x14ac:dyDescent="0.15">
      <c r="A373" s="4"/>
      <c r="B373" s="2"/>
      <c r="C373" s="2"/>
      <c r="D373" s="2"/>
      <c r="E373" s="3"/>
      <c r="F373" s="2"/>
      <c r="G373" s="2"/>
      <c r="H373" s="2"/>
      <c r="I373" s="2"/>
      <c r="J373" s="2"/>
    </row>
    <row r="374" spans="1:10" ht="13" x14ac:dyDescent="0.15">
      <c r="A374" s="4"/>
      <c r="B374" s="2"/>
      <c r="C374" s="2"/>
      <c r="D374" s="2"/>
      <c r="E374" s="3"/>
      <c r="F374" s="2"/>
      <c r="G374" s="2"/>
      <c r="H374" s="2"/>
      <c r="I374" s="2"/>
      <c r="J374" s="2"/>
    </row>
    <row r="375" spans="1:10" ht="13" x14ac:dyDescent="0.15">
      <c r="A375" s="4"/>
      <c r="B375" s="2"/>
      <c r="C375" s="2"/>
      <c r="D375" s="2"/>
      <c r="E375" s="3"/>
      <c r="F375" s="2"/>
      <c r="G375" s="2"/>
      <c r="H375" s="2"/>
      <c r="I375" s="2"/>
      <c r="J375" s="2"/>
    </row>
    <row r="376" spans="1:10" ht="13" x14ac:dyDescent="0.15">
      <c r="A376" s="4"/>
      <c r="B376" s="2"/>
      <c r="C376" s="2"/>
      <c r="D376" s="2"/>
      <c r="E376" s="3"/>
      <c r="F376" s="2"/>
      <c r="G376" s="2"/>
      <c r="H376" s="2"/>
      <c r="I376" s="2"/>
      <c r="J376" s="2"/>
    </row>
    <row r="377" spans="1:10" ht="13" x14ac:dyDescent="0.15">
      <c r="A377" s="4"/>
      <c r="B377" s="2"/>
      <c r="C377" s="2"/>
      <c r="D377" s="2"/>
      <c r="E377" s="3"/>
      <c r="F377" s="2"/>
      <c r="G377" s="2"/>
      <c r="H377" s="2"/>
      <c r="I377" s="2"/>
      <c r="J377" s="2"/>
    </row>
    <row r="378" spans="1:10" ht="13" x14ac:dyDescent="0.15">
      <c r="A378" s="4"/>
      <c r="B378" s="2"/>
      <c r="C378" s="2"/>
      <c r="D378" s="2"/>
      <c r="E378" s="3"/>
      <c r="F378" s="2"/>
      <c r="G378" s="2"/>
      <c r="H378" s="2"/>
      <c r="I378" s="2"/>
      <c r="J378" s="2"/>
    </row>
    <row r="379" spans="1:10" ht="13" x14ac:dyDescent="0.15">
      <c r="A379" s="4"/>
      <c r="B379" s="2"/>
      <c r="C379" s="2"/>
      <c r="D379" s="2"/>
      <c r="E379" s="3"/>
      <c r="F379" s="2"/>
      <c r="G379" s="2"/>
      <c r="H379" s="2"/>
      <c r="I379" s="2"/>
      <c r="J379" s="2"/>
    </row>
    <row r="380" spans="1:10" ht="13" x14ac:dyDescent="0.15">
      <c r="A380" s="4"/>
      <c r="B380" s="2"/>
      <c r="C380" s="2"/>
      <c r="D380" s="2"/>
      <c r="E380" s="3"/>
      <c r="F380" s="2"/>
      <c r="G380" s="2"/>
      <c r="H380" s="2"/>
      <c r="I380" s="2"/>
      <c r="J380" s="2"/>
    </row>
    <row r="381" spans="1:10" ht="13" x14ac:dyDescent="0.15">
      <c r="A381" s="4"/>
      <c r="B381" s="2"/>
      <c r="C381" s="2"/>
      <c r="D381" s="2"/>
      <c r="E381" s="3"/>
      <c r="F381" s="2"/>
      <c r="G381" s="2"/>
      <c r="H381" s="2"/>
      <c r="I381" s="2"/>
      <c r="J381" s="2"/>
    </row>
    <row r="382" spans="1:10" ht="13" x14ac:dyDescent="0.15">
      <c r="A382" s="4"/>
      <c r="B382" s="2"/>
      <c r="C382" s="2"/>
      <c r="D382" s="2"/>
      <c r="E382" s="3"/>
      <c r="F382" s="2"/>
      <c r="G382" s="2"/>
      <c r="H382" s="2"/>
      <c r="I382" s="2"/>
      <c r="J382" s="2"/>
    </row>
    <row r="383" spans="1:10" ht="13" x14ac:dyDescent="0.15">
      <c r="A383" s="4"/>
      <c r="B383" s="2"/>
      <c r="C383" s="2"/>
      <c r="D383" s="2"/>
      <c r="E383" s="3"/>
      <c r="F383" s="2"/>
      <c r="G383" s="2"/>
      <c r="H383" s="2"/>
      <c r="I383" s="2"/>
      <c r="J383" s="2"/>
    </row>
    <row r="384" spans="1:10" ht="13" x14ac:dyDescent="0.15">
      <c r="A384" s="4"/>
      <c r="B384" s="2"/>
      <c r="C384" s="2"/>
      <c r="D384" s="2"/>
      <c r="E384" s="3"/>
      <c r="F384" s="2"/>
      <c r="G384" s="2"/>
      <c r="H384" s="2"/>
      <c r="I384" s="2"/>
      <c r="J384" s="2"/>
    </row>
    <row r="385" spans="1:10" ht="13" x14ac:dyDescent="0.15">
      <c r="A385" s="4"/>
      <c r="B385" s="2"/>
      <c r="C385" s="2"/>
      <c r="D385" s="2"/>
      <c r="E385" s="3"/>
      <c r="F385" s="2"/>
      <c r="G385" s="2"/>
      <c r="H385" s="2"/>
      <c r="I385" s="2"/>
      <c r="J385" s="2"/>
    </row>
    <row r="386" spans="1:10" ht="13" x14ac:dyDescent="0.15">
      <c r="A386" s="4"/>
      <c r="B386" s="2"/>
      <c r="C386" s="2"/>
      <c r="D386" s="2"/>
      <c r="E386" s="3"/>
      <c r="F386" s="2"/>
      <c r="G386" s="2"/>
      <c r="H386" s="2"/>
      <c r="I386" s="2"/>
      <c r="J386" s="2"/>
    </row>
    <row r="387" spans="1:10" ht="13" x14ac:dyDescent="0.15">
      <c r="A387" s="4"/>
      <c r="B387" s="2"/>
      <c r="C387" s="2"/>
      <c r="D387" s="2"/>
      <c r="E387" s="3"/>
      <c r="F387" s="2"/>
      <c r="G387" s="2"/>
      <c r="H387" s="2"/>
      <c r="I387" s="2"/>
      <c r="J387" s="2"/>
    </row>
    <row r="388" spans="1:10" ht="13" x14ac:dyDescent="0.15">
      <c r="A388" s="4"/>
      <c r="B388" s="2"/>
      <c r="C388" s="2"/>
      <c r="D388" s="2"/>
      <c r="E388" s="3"/>
      <c r="F388" s="2"/>
      <c r="G388" s="2"/>
      <c r="H388" s="2"/>
      <c r="I388" s="2"/>
      <c r="J388" s="2"/>
    </row>
    <row r="389" spans="1:10" ht="13" x14ac:dyDescent="0.15">
      <c r="A389" s="4"/>
      <c r="B389" s="2"/>
      <c r="C389" s="2"/>
      <c r="D389" s="2"/>
      <c r="E389" s="3"/>
      <c r="F389" s="2"/>
      <c r="G389" s="2"/>
      <c r="H389" s="2"/>
      <c r="I389" s="2"/>
      <c r="J389" s="2"/>
    </row>
    <row r="390" spans="1:10" ht="13" x14ac:dyDescent="0.15">
      <c r="A390" s="4"/>
      <c r="B390" s="2"/>
      <c r="C390" s="2"/>
      <c r="D390" s="2"/>
      <c r="E390" s="3"/>
      <c r="F390" s="2"/>
      <c r="G390" s="2"/>
      <c r="H390" s="2"/>
      <c r="I390" s="2"/>
      <c r="J390" s="2"/>
    </row>
    <row r="391" spans="1:10" ht="13" x14ac:dyDescent="0.15">
      <c r="A391" s="4"/>
      <c r="B391" s="2"/>
      <c r="C391" s="2"/>
      <c r="D391" s="2"/>
      <c r="E391" s="3"/>
      <c r="F391" s="2"/>
      <c r="G391" s="2"/>
      <c r="H391" s="2"/>
      <c r="I391" s="2"/>
      <c r="J391" s="2"/>
    </row>
    <row r="392" spans="1:10" ht="13" x14ac:dyDescent="0.15">
      <c r="A392" s="4"/>
      <c r="B392" s="2"/>
      <c r="C392" s="2"/>
      <c r="D392" s="2"/>
      <c r="E392" s="3"/>
      <c r="F392" s="2"/>
      <c r="G392" s="2"/>
      <c r="H392" s="2"/>
      <c r="I392" s="2"/>
      <c r="J392" s="2"/>
    </row>
    <row r="393" spans="1:10" ht="13" x14ac:dyDescent="0.15">
      <c r="A393" s="4"/>
      <c r="B393" s="2"/>
      <c r="C393" s="2"/>
      <c r="D393" s="2"/>
      <c r="E393" s="3"/>
      <c r="F393" s="2"/>
      <c r="G393" s="2"/>
      <c r="H393" s="2"/>
      <c r="I393" s="2"/>
      <c r="J393" s="2"/>
    </row>
    <row r="394" spans="1:10" ht="13" x14ac:dyDescent="0.15">
      <c r="A394" s="4"/>
      <c r="B394" s="2"/>
      <c r="C394" s="2"/>
      <c r="D394" s="2"/>
      <c r="E394" s="3"/>
      <c r="F394" s="2"/>
      <c r="G394" s="2"/>
      <c r="H394" s="2"/>
      <c r="I394" s="2"/>
      <c r="J394" s="2"/>
    </row>
    <row r="395" spans="1:10" ht="13" x14ac:dyDescent="0.15">
      <c r="A395" s="4"/>
      <c r="B395" s="2"/>
      <c r="C395" s="2"/>
      <c r="D395" s="2"/>
      <c r="E395" s="3"/>
      <c r="F395" s="2"/>
      <c r="G395" s="2"/>
      <c r="H395" s="2"/>
      <c r="I395" s="2"/>
      <c r="J395" s="2"/>
    </row>
    <row r="396" spans="1:10" ht="13" x14ac:dyDescent="0.15">
      <c r="A396" s="4"/>
      <c r="B396" s="2"/>
      <c r="C396" s="2"/>
      <c r="D396" s="2"/>
      <c r="E396" s="3"/>
      <c r="F396" s="2"/>
      <c r="G396" s="2"/>
      <c r="H396" s="2"/>
      <c r="I396" s="2"/>
      <c r="J396" s="2"/>
    </row>
    <row r="397" spans="1:10" ht="13" x14ac:dyDescent="0.15">
      <c r="A397" s="4"/>
      <c r="B397" s="2"/>
      <c r="C397" s="2"/>
      <c r="D397" s="2"/>
      <c r="E397" s="3"/>
      <c r="F397" s="2"/>
      <c r="G397" s="2"/>
      <c r="H397" s="2"/>
      <c r="I397" s="2"/>
      <c r="J397" s="2"/>
    </row>
    <row r="398" spans="1:10" ht="13" x14ac:dyDescent="0.15">
      <c r="A398" s="4"/>
      <c r="B398" s="2"/>
      <c r="C398" s="2"/>
      <c r="D398" s="2"/>
      <c r="E398" s="3"/>
      <c r="F398" s="2"/>
      <c r="G398" s="2"/>
      <c r="H398" s="2"/>
      <c r="I398" s="2"/>
      <c r="J398" s="2"/>
    </row>
    <row r="399" spans="1:10" ht="13" x14ac:dyDescent="0.15">
      <c r="A399" s="4"/>
      <c r="B399" s="2"/>
      <c r="C399" s="2"/>
      <c r="D399" s="2"/>
      <c r="E399" s="3"/>
      <c r="F399" s="2"/>
      <c r="G399" s="2"/>
      <c r="H399" s="2"/>
      <c r="I399" s="2"/>
      <c r="J399" s="2"/>
    </row>
    <row r="400" spans="1:10" ht="13" x14ac:dyDescent="0.15">
      <c r="A400" s="4"/>
      <c r="B400" s="2"/>
      <c r="C400" s="2"/>
      <c r="D400" s="2"/>
      <c r="E400" s="3"/>
      <c r="F400" s="2"/>
      <c r="G400" s="2"/>
      <c r="H400" s="2"/>
      <c r="I400" s="2"/>
      <c r="J400" s="2"/>
    </row>
    <row r="401" spans="1:10" ht="13" x14ac:dyDescent="0.15">
      <c r="A401" s="4"/>
      <c r="B401" s="2"/>
      <c r="C401" s="2"/>
      <c r="D401" s="2"/>
      <c r="E401" s="3"/>
      <c r="F401" s="2"/>
      <c r="G401" s="2"/>
      <c r="H401" s="2"/>
      <c r="I401" s="2"/>
      <c r="J401" s="2"/>
    </row>
    <row r="402" spans="1:10" ht="13" x14ac:dyDescent="0.15">
      <c r="A402" s="4"/>
      <c r="B402" s="2"/>
      <c r="C402" s="2"/>
      <c r="D402" s="2"/>
      <c r="E402" s="3"/>
      <c r="F402" s="2"/>
      <c r="G402" s="2"/>
      <c r="H402" s="2"/>
      <c r="I402" s="2"/>
      <c r="J402" s="2"/>
    </row>
    <row r="403" spans="1:10" ht="13" x14ac:dyDescent="0.15">
      <c r="A403" s="4"/>
      <c r="B403" s="2"/>
      <c r="C403" s="2"/>
      <c r="D403" s="2"/>
      <c r="E403" s="3"/>
      <c r="F403" s="2"/>
      <c r="G403" s="2"/>
      <c r="H403" s="2"/>
      <c r="I403" s="2"/>
      <c r="J403" s="2"/>
    </row>
    <row r="404" spans="1:10" ht="13" x14ac:dyDescent="0.15">
      <c r="A404" s="4"/>
      <c r="B404" s="2"/>
      <c r="C404" s="2"/>
      <c r="D404" s="2"/>
      <c r="E404" s="3"/>
      <c r="F404" s="2"/>
      <c r="G404" s="2"/>
      <c r="H404" s="2"/>
      <c r="I404" s="2"/>
      <c r="J404" s="2"/>
    </row>
    <row r="405" spans="1:10" ht="13" x14ac:dyDescent="0.15">
      <c r="A405" s="4"/>
      <c r="B405" s="2"/>
      <c r="C405" s="2"/>
      <c r="D405" s="2"/>
      <c r="E405" s="3"/>
      <c r="F405" s="2"/>
      <c r="G405" s="2"/>
      <c r="H405" s="2"/>
      <c r="I405" s="2"/>
      <c r="J405" s="2"/>
    </row>
    <row r="406" spans="1:10" ht="13" x14ac:dyDescent="0.15">
      <c r="A406" s="4"/>
      <c r="B406" s="2"/>
      <c r="C406" s="2"/>
      <c r="D406" s="2"/>
      <c r="E406" s="3"/>
      <c r="F406" s="2"/>
      <c r="G406" s="2"/>
      <c r="H406" s="2"/>
      <c r="I406" s="2"/>
      <c r="J406" s="2"/>
    </row>
    <row r="407" spans="1:10" ht="13" x14ac:dyDescent="0.15">
      <c r="A407" s="4"/>
      <c r="B407" s="2"/>
      <c r="C407" s="2"/>
      <c r="D407" s="2"/>
      <c r="E407" s="3"/>
      <c r="F407" s="2"/>
      <c r="G407" s="2"/>
      <c r="H407" s="2"/>
      <c r="I407" s="2"/>
      <c r="J407" s="2"/>
    </row>
    <row r="408" spans="1:10" ht="13" x14ac:dyDescent="0.15">
      <c r="A408" s="4"/>
      <c r="B408" s="2"/>
      <c r="C408" s="2"/>
      <c r="D408" s="2"/>
      <c r="E408" s="3"/>
      <c r="F408" s="2"/>
      <c r="G408" s="2"/>
      <c r="H408" s="2"/>
      <c r="I408" s="2"/>
      <c r="J408" s="2"/>
    </row>
    <row r="409" spans="1:10" ht="13" x14ac:dyDescent="0.15">
      <c r="A409" s="4"/>
      <c r="B409" s="2"/>
      <c r="C409" s="2"/>
      <c r="D409" s="2"/>
      <c r="E409" s="3"/>
      <c r="F409" s="2"/>
      <c r="G409" s="2"/>
      <c r="H409" s="2"/>
      <c r="I409" s="2"/>
      <c r="J409" s="2"/>
    </row>
    <row r="410" spans="1:10" ht="13" x14ac:dyDescent="0.15">
      <c r="A410" s="4"/>
      <c r="B410" s="2"/>
      <c r="C410" s="2"/>
      <c r="D410" s="2"/>
      <c r="E410" s="3"/>
      <c r="F410" s="2"/>
      <c r="G410" s="2"/>
      <c r="H410" s="2"/>
      <c r="I410" s="2"/>
      <c r="J410" s="2"/>
    </row>
    <row r="411" spans="1:10" ht="13" x14ac:dyDescent="0.15">
      <c r="A411" s="4"/>
      <c r="B411" s="2"/>
      <c r="C411" s="2"/>
      <c r="D411" s="2"/>
      <c r="E411" s="3"/>
      <c r="F411" s="2"/>
      <c r="G411" s="2"/>
      <c r="H411" s="2"/>
      <c r="I411" s="2"/>
      <c r="J411" s="2"/>
    </row>
    <row r="412" spans="1:10" ht="13" x14ac:dyDescent="0.15">
      <c r="A412" s="4"/>
      <c r="B412" s="2"/>
      <c r="C412" s="2"/>
      <c r="D412" s="2"/>
      <c r="E412" s="3"/>
      <c r="F412" s="2"/>
      <c r="G412" s="2"/>
      <c r="H412" s="2"/>
      <c r="I412" s="2"/>
      <c r="J412" s="2"/>
    </row>
    <row r="413" spans="1:10" ht="13" x14ac:dyDescent="0.15">
      <c r="A413" s="4"/>
      <c r="B413" s="2"/>
      <c r="C413" s="2"/>
      <c r="D413" s="2"/>
      <c r="E413" s="3"/>
      <c r="F413" s="2"/>
      <c r="G413" s="2"/>
      <c r="H413" s="2"/>
      <c r="I413" s="2"/>
      <c r="J413" s="2"/>
    </row>
    <row r="414" spans="1:10" ht="13" x14ac:dyDescent="0.15">
      <c r="A414" s="4"/>
      <c r="B414" s="2"/>
      <c r="C414" s="2"/>
      <c r="D414" s="2"/>
      <c r="E414" s="3"/>
      <c r="F414" s="2"/>
      <c r="G414" s="2"/>
      <c r="H414" s="2"/>
      <c r="I414" s="2"/>
      <c r="J414" s="2"/>
    </row>
    <row r="415" spans="1:10" ht="13" x14ac:dyDescent="0.15">
      <c r="A415" s="4"/>
      <c r="B415" s="2"/>
      <c r="C415" s="2"/>
      <c r="D415" s="2"/>
      <c r="E415" s="3"/>
      <c r="F415" s="2"/>
      <c r="G415" s="2"/>
      <c r="H415" s="2"/>
      <c r="I415" s="2"/>
      <c r="J415" s="2"/>
    </row>
    <row r="416" spans="1:10" ht="13" x14ac:dyDescent="0.15">
      <c r="A416" s="4"/>
      <c r="B416" s="2"/>
      <c r="C416" s="2"/>
      <c r="D416" s="2"/>
      <c r="E416" s="3"/>
      <c r="F416" s="2"/>
      <c r="G416" s="2"/>
      <c r="H416" s="2"/>
      <c r="I416" s="2"/>
      <c r="J416" s="2"/>
    </row>
    <row r="417" spans="1:10" ht="13" x14ac:dyDescent="0.15">
      <c r="A417" s="4"/>
      <c r="B417" s="2"/>
      <c r="C417" s="2"/>
      <c r="D417" s="2"/>
      <c r="E417" s="3"/>
      <c r="F417" s="2"/>
      <c r="G417" s="2"/>
      <c r="H417" s="2"/>
      <c r="I417" s="2"/>
      <c r="J417" s="2"/>
    </row>
    <row r="418" spans="1:10" ht="13" x14ac:dyDescent="0.15">
      <c r="A418" s="4"/>
      <c r="B418" s="2"/>
      <c r="C418" s="2"/>
      <c r="D418" s="2"/>
      <c r="E418" s="3"/>
      <c r="F418" s="2"/>
      <c r="G418" s="2"/>
      <c r="H418" s="2"/>
      <c r="I418" s="2"/>
      <c r="J418" s="2"/>
    </row>
    <row r="419" spans="1:10" ht="13" x14ac:dyDescent="0.15">
      <c r="A419" s="4"/>
      <c r="B419" s="2"/>
      <c r="C419" s="2"/>
      <c r="D419" s="2"/>
      <c r="E419" s="3"/>
      <c r="F419" s="2"/>
      <c r="G419" s="2"/>
      <c r="H419" s="2"/>
      <c r="I419" s="2"/>
      <c r="J419" s="2"/>
    </row>
    <row r="420" spans="1:10" ht="13" x14ac:dyDescent="0.15">
      <c r="A420" s="4"/>
      <c r="B420" s="2"/>
      <c r="C420" s="2"/>
      <c r="D420" s="2"/>
      <c r="E420" s="3"/>
      <c r="F420" s="2"/>
      <c r="G420" s="2"/>
      <c r="H420" s="2"/>
      <c r="I420" s="2"/>
      <c r="J420" s="2"/>
    </row>
    <row r="421" spans="1:10" ht="13" x14ac:dyDescent="0.15">
      <c r="A421" s="4"/>
      <c r="B421" s="2"/>
      <c r="C421" s="2"/>
      <c r="D421" s="2"/>
      <c r="E421" s="3"/>
      <c r="F421" s="2"/>
      <c r="G421" s="2"/>
      <c r="H421" s="2"/>
      <c r="I421" s="2"/>
      <c r="J421" s="2"/>
    </row>
    <row r="422" spans="1:10" ht="13" x14ac:dyDescent="0.15">
      <c r="A422" s="4"/>
      <c r="B422" s="2"/>
      <c r="C422" s="2"/>
      <c r="D422" s="2"/>
      <c r="E422" s="3"/>
      <c r="F422" s="2"/>
      <c r="G422" s="2"/>
      <c r="H422" s="2"/>
      <c r="I422" s="2"/>
      <c r="J422" s="2"/>
    </row>
    <row r="423" spans="1:10" ht="13" x14ac:dyDescent="0.15">
      <c r="A423" s="4"/>
      <c r="B423" s="2"/>
      <c r="C423" s="2"/>
      <c r="D423" s="2"/>
      <c r="E423" s="3"/>
      <c r="F423" s="2"/>
      <c r="G423" s="2"/>
      <c r="H423" s="2"/>
      <c r="I423" s="2"/>
      <c r="J423" s="2"/>
    </row>
    <row r="424" spans="1:10" ht="13" x14ac:dyDescent="0.15">
      <c r="A424" s="4"/>
      <c r="B424" s="2"/>
      <c r="C424" s="2"/>
      <c r="D424" s="2"/>
      <c r="E424" s="3"/>
      <c r="F424" s="2"/>
      <c r="G424" s="2"/>
      <c r="H424" s="2"/>
      <c r="I424" s="2"/>
      <c r="J424" s="2"/>
    </row>
    <row r="425" spans="1:10" ht="13" x14ac:dyDescent="0.15">
      <c r="A425" s="4"/>
      <c r="B425" s="2"/>
      <c r="C425" s="2"/>
      <c r="D425" s="2"/>
      <c r="E425" s="3"/>
      <c r="F425" s="2"/>
      <c r="G425" s="2"/>
      <c r="H425" s="2"/>
      <c r="I425" s="2"/>
      <c r="J425" s="2"/>
    </row>
    <row r="426" spans="1:10" ht="13" x14ac:dyDescent="0.15">
      <c r="A426" s="4"/>
      <c r="B426" s="2"/>
      <c r="C426" s="2"/>
      <c r="D426" s="2"/>
      <c r="E426" s="3"/>
      <c r="F426" s="2"/>
      <c r="G426" s="2"/>
      <c r="H426" s="2"/>
      <c r="I426" s="2"/>
      <c r="J426" s="2"/>
    </row>
    <row r="427" spans="1:10" ht="13" x14ac:dyDescent="0.15">
      <c r="A427" s="4"/>
      <c r="B427" s="2"/>
      <c r="C427" s="2"/>
      <c r="D427" s="2"/>
      <c r="E427" s="3"/>
      <c r="F427" s="2"/>
      <c r="G427" s="2"/>
      <c r="H427" s="2"/>
      <c r="I427" s="2"/>
      <c r="J427" s="2"/>
    </row>
    <row r="428" spans="1:10" ht="13" x14ac:dyDescent="0.15">
      <c r="A428" s="4"/>
      <c r="B428" s="2"/>
      <c r="C428" s="2"/>
      <c r="D428" s="2"/>
      <c r="E428" s="3"/>
      <c r="F428" s="2"/>
      <c r="G428" s="2"/>
      <c r="H428" s="2"/>
      <c r="I428" s="2"/>
      <c r="J428" s="2"/>
    </row>
    <row r="429" spans="1:10" ht="13" x14ac:dyDescent="0.15">
      <c r="A429" s="4"/>
      <c r="B429" s="2"/>
      <c r="C429" s="2"/>
      <c r="D429" s="2"/>
      <c r="E429" s="3"/>
      <c r="F429" s="2"/>
      <c r="G429" s="2"/>
      <c r="H429" s="2"/>
      <c r="I429" s="2"/>
      <c r="J429" s="2"/>
    </row>
    <row r="430" spans="1:10" ht="13" x14ac:dyDescent="0.15">
      <c r="A430" s="4"/>
      <c r="B430" s="2"/>
      <c r="C430" s="2"/>
      <c r="D430" s="2"/>
      <c r="E430" s="3"/>
      <c r="F430" s="2"/>
      <c r="G430" s="2"/>
      <c r="H430" s="2"/>
      <c r="I430" s="2"/>
      <c r="J430" s="2"/>
    </row>
    <row r="431" spans="1:10" ht="13" x14ac:dyDescent="0.15">
      <c r="A431" s="4"/>
      <c r="B431" s="2"/>
      <c r="C431" s="2"/>
      <c r="D431" s="2"/>
      <c r="E431" s="3"/>
      <c r="F431" s="2"/>
      <c r="G431" s="2"/>
      <c r="H431" s="2"/>
      <c r="I431" s="2"/>
      <c r="J431" s="2"/>
    </row>
    <row r="432" spans="1:10" ht="13" x14ac:dyDescent="0.15">
      <c r="A432" s="4"/>
      <c r="B432" s="2"/>
      <c r="C432" s="2"/>
      <c r="D432" s="2"/>
      <c r="E432" s="3"/>
      <c r="F432" s="2"/>
      <c r="G432" s="2"/>
      <c r="H432" s="2"/>
      <c r="I432" s="2"/>
      <c r="J432" s="2"/>
    </row>
    <row r="433" spans="1:10" ht="13" x14ac:dyDescent="0.15">
      <c r="A433" s="4"/>
      <c r="B433" s="2"/>
      <c r="C433" s="2"/>
      <c r="D433" s="2"/>
      <c r="E433" s="3"/>
      <c r="F433" s="2"/>
      <c r="G433" s="2"/>
      <c r="H433" s="2"/>
      <c r="I433" s="2"/>
      <c r="J433" s="2"/>
    </row>
    <row r="434" spans="1:10" ht="13" x14ac:dyDescent="0.15">
      <c r="A434" s="4"/>
      <c r="B434" s="2"/>
      <c r="C434" s="2"/>
      <c r="D434" s="2"/>
      <c r="E434" s="3"/>
      <c r="F434" s="2"/>
      <c r="G434" s="2"/>
      <c r="H434" s="2"/>
      <c r="I434" s="2"/>
      <c r="J434" s="2"/>
    </row>
    <row r="435" spans="1:10" ht="13" x14ac:dyDescent="0.15">
      <c r="A435" s="4"/>
      <c r="B435" s="2"/>
      <c r="C435" s="2"/>
      <c r="D435" s="2"/>
      <c r="E435" s="3"/>
      <c r="F435" s="2"/>
      <c r="G435" s="2"/>
      <c r="H435" s="2"/>
      <c r="I435" s="2"/>
      <c r="J435" s="2"/>
    </row>
    <row r="436" spans="1:10" ht="13" x14ac:dyDescent="0.15">
      <c r="A436" s="4"/>
      <c r="B436" s="2"/>
      <c r="C436" s="2"/>
      <c r="D436" s="2"/>
      <c r="E436" s="3"/>
      <c r="F436" s="2"/>
      <c r="G436" s="2"/>
      <c r="H436" s="2"/>
      <c r="I436" s="2"/>
      <c r="J436" s="2"/>
    </row>
    <row r="437" spans="1:10" ht="13" x14ac:dyDescent="0.15">
      <c r="A437" s="4"/>
      <c r="B437" s="2"/>
      <c r="C437" s="2"/>
      <c r="D437" s="2"/>
      <c r="E437" s="3"/>
      <c r="F437" s="2"/>
      <c r="G437" s="2"/>
      <c r="H437" s="2"/>
      <c r="I437" s="2"/>
      <c r="J437" s="2"/>
    </row>
    <row r="438" spans="1:10" ht="13" x14ac:dyDescent="0.15">
      <c r="A438" s="4"/>
      <c r="B438" s="2"/>
      <c r="C438" s="2"/>
      <c r="D438" s="2"/>
      <c r="E438" s="3"/>
      <c r="F438" s="2"/>
      <c r="G438" s="2"/>
      <c r="H438" s="2"/>
      <c r="I438" s="2"/>
      <c r="J438" s="2"/>
    </row>
    <row r="439" spans="1:10" ht="13" x14ac:dyDescent="0.15">
      <c r="A439" s="4"/>
      <c r="B439" s="2"/>
      <c r="C439" s="2"/>
      <c r="D439" s="2"/>
      <c r="E439" s="3"/>
      <c r="F439" s="2"/>
      <c r="G439" s="2"/>
      <c r="H439" s="2"/>
      <c r="I439" s="2"/>
      <c r="J439" s="2"/>
    </row>
    <row r="440" spans="1:10" ht="13" x14ac:dyDescent="0.15">
      <c r="A440" s="4"/>
      <c r="B440" s="2"/>
      <c r="C440" s="2"/>
      <c r="D440" s="2"/>
      <c r="E440" s="3"/>
      <c r="F440" s="2"/>
      <c r="G440" s="2"/>
      <c r="H440" s="2"/>
      <c r="I440" s="2"/>
      <c r="J440" s="2"/>
    </row>
    <row r="441" spans="1:10" ht="13" x14ac:dyDescent="0.15">
      <c r="A441" s="4"/>
      <c r="B441" s="2"/>
      <c r="C441" s="2"/>
      <c r="D441" s="2"/>
      <c r="E441" s="3"/>
      <c r="F441" s="2"/>
      <c r="G441" s="2"/>
      <c r="H441" s="2"/>
      <c r="I441" s="2"/>
      <c r="J441" s="2"/>
    </row>
    <row r="442" spans="1:10" ht="13" x14ac:dyDescent="0.15">
      <c r="A442" s="4"/>
      <c r="B442" s="2"/>
      <c r="C442" s="2"/>
      <c r="D442" s="2"/>
      <c r="E442" s="3"/>
      <c r="F442" s="2"/>
      <c r="G442" s="2"/>
      <c r="H442" s="2"/>
      <c r="I442" s="2"/>
      <c r="J442" s="2"/>
    </row>
    <row r="443" spans="1:10" ht="13" x14ac:dyDescent="0.15">
      <c r="A443" s="4"/>
      <c r="B443" s="2"/>
      <c r="C443" s="2"/>
      <c r="D443" s="2"/>
      <c r="E443" s="3"/>
      <c r="F443" s="2"/>
      <c r="G443" s="2"/>
      <c r="H443" s="2"/>
      <c r="I443" s="2"/>
      <c r="J443" s="2"/>
    </row>
    <row r="444" spans="1:10" ht="13" x14ac:dyDescent="0.15">
      <c r="A444" s="4"/>
      <c r="B444" s="2"/>
      <c r="C444" s="2"/>
      <c r="D444" s="2"/>
      <c r="E444" s="3"/>
      <c r="F444" s="2"/>
      <c r="G444" s="2"/>
      <c r="H444" s="2"/>
      <c r="I444" s="2"/>
      <c r="J444" s="2"/>
    </row>
    <row r="445" spans="1:10" ht="13" x14ac:dyDescent="0.15">
      <c r="A445" s="4"/>
      <c r="B445" s="2"/>
      <c r="C445" s="2"/>
      <c r="D445" s="2"/>
      <c r="E445" s="3"/>
      <c r="F445" s="2"/>
      <c r="G445" s="2"/>
      <c r="H445" s="2"/>
      <c r="I445" s="2"/>
      <c r="J445" s="2"/>
    </row>
    <row r="446" spans="1:10" ht="13" x14ac:dyDescent="0.15">
      <c r="A446" s="4"/>
      <c r="B446" s="2"/>
      <c r="C446" s="2"/>
      <c r="D446" s="2"/>
      <c r="E446" s="3"/>
      <c r="F446" s="2"/>
      <c r="G446" s="2"/>
      <c r="H446" s="2"/>
      <c r="I446" s="2"/>
      <c r="J446" s="2"/>
    </row>
    <row r="447" spans="1:10" ht="13" x14ac:dyDescent="0.15">
      <c r="A447" s="4"/>
      <c r="B447" s="2"/>
      <c r="C447" s="2"/>
      <c r="D447" s="2"/>
      <c r="E447" s="3"/>
      <c r="F447" s="2"/>
      <c r="G447" s="2"/>
      <c r="H447" s="2"/>
      <c r="I447" s="2"/>
      <c r="J447" s="2"/>
    </row>
    <row r="448" spans="1:10" ht="13" x14ac:dyDescent="0.15">
      <c r="A448" s="4"/>
      <c r="B448" s="2"/>
      <c r="C448" s="2"/>
      <c r="D448" s="2"/>
      <c r="E448" s="3"/>
      <c r="F448" s="2"/>
      <c r="G448" s="2"/>
      <c r="H448" s="2"/>
      <c r="I448" s="2"/>
      <c r="J448" s="2"/>
    </row>
    <row r="449" spans="1:10" ht="13" x14ac:dyDescent="0.15">
      <c r="A449" s="4"/>
      <c r="B449" s="2"/>
      <c r="C449" s="2"/>
      <c r="D449" s="2"/>
      <c r="E449" s="3"/>
      <c r="F449" s="2"/>
      <c r="G449" s="2"/>
      <c r="H449" s="2"/>
      <c r="I449" s="2"/>
      <c r="J449" s="2"/>
    </row>
    <row r="450" spans="1:10" ht="13" x14ac:dyDescent="0.15">
      <c r="A450" s="4"/>
      <c r="B450" s="2"/>
      <c r="C450" s="2"/>
      <c r="D450" s="2"/>
      <c r="E450" s="3"/>
      <c r="F450" s="2"/>
      <c r="G450" s="2"/>
      <c r="H450" s="2"/>
      <c r="I450" s="2"/>
      <c r="J450" s="2"/>
    </row>
    <row r="451" spans="1:10" ht="13" x14ac:dyDescent="0.15">
      <c r="A451" s="4"/>
      <c r="B451" s="2"/>
      <c r="C451" s="2"/>
      <c r="D451" s="2"/>
      <c r="E451" s="3"/>
      <c r="F451" s="2"/>
      <c r="G451" s="2"/>
      <c r="H451" s="2"/>
      <c r="I451" s="2"/>
      <c r="J451" s="2"/>
    </row>
    <row r="452" spans="1:10" ht="13" x14ac:dyDescent="0.15">
      <c r="A452" s="4"/>
      <c r="B452" s="2"/>
      <c r="C452" s="2"/>
      <c r="D452" s="2"/>
      <c r="E452" s="3"/>
      <c r="F452" s="2"/>
      <c r="G452" s="2"/>
      <c r="H452" s="2"/>
      <c r="I452" s="2"/>
      <c r="J452" s="2"/>
    </row>
    <row r="453" spans="1:10" ht="13" x14ac:dyDescent="0.15">
      <c r="A453" s="4"/>
      <c r="B453" s="2"/>
      <c r="C453" s="2"/>
      <c r="D453" s="2"/>
      <c r="E453" s="3"/>
      <c r="F453" s="2"/>
      <c r="G453" s="2"/>
      <c r="H453" s="2"/>
      <c r="I453" s="2"/>
      <c r="J453" s="2"/>
    </row>
    <row r="454" spans="1:10" ht="13" x14ac:dyDescent="0.15">
      <c r="A454" s="4"/>
      <c r="B454" s="2"/>
      <c r="C454" s="2"/>
      <c r="D454" s="2"/>
      <c r="E454" s="3"/>
      <c r="F454" s="2"/>
      <c r="G454" s="2"/>
      <c r="H454" s="2"/>
      <c r="I454" s="2"/>
      <c r="J454" s="2"/>
    </row>
    <row r="455" spans="1:10" ht="13" x14ac:dyDescent="0.15">
      <c r="A455" s="4"/>
      <c r="B455" s="2"/>
      <c r="C455" s="2"/>
      <c r="D455" s="2"/>
      <c r="E455" s="3"/>
      <c r="F455" s="2"/>
      <c r="G455" s="2"/>
      <c r="H455" s="2"/>
      <c r="I455" s="2"/>
      <c r="J455" s="2"/>
    </row>
    <row r="456" spans="1:10" ht="13" x14ac:dyDescent="0.15">
      <c r="A456" s="4"/>
      <c r="B456" s="2"/>
      <c r="C456" s="2"/>
      <c r="D456" s="2"/>
      <c r="E456" s="3"/>
      <c r="F456" s="2"/>
      <c r="G456" s="2"/>
      <c r="H456" s="2"/>
      <c r="I456" s="2"/>
      <c r="J456" s="2"/>
    </row>
    <row r="457" spans="1:10" ht="13" x14ac:dyDescent="0.15">
      <c r="A457" s="4"/>
      <c r="B457" s="2"/>
      <c r="C457" s="2"/>
      <c r="D457" s="2"/>
      <c r="E457" s="3"/>
      <c r="F457" s="2"/>
      <c r="G457" s="2"/>
      <c r="H457" s="2"/>
      <c r="I457" s="2"/>
      <c r="J457" s="2"/>
    </row>
    <row r="458" spans="1:10" ht="13" x14ac:dyDescent="0.15">
      <c r="A458" s="4"/>
      <c r="B458" s="2"/>
      <c r="C458" s="2"/>
      <c r="D458" s="2"/>
      <c r="E458" s="3"/>
      <c r="F458" s="2"/>
      <c r="G458" s="2"/>
      <c r="H458" s="2"/>
      <c r="I458" s="2"/>
      <c r="J458" s="2"/>
    </row>
    <row r="459" spans="1:10" ht="13" x14ac:dyDescent="0.15">
      <c r="A459" s="4"/>
      <c r="B459" s="2"/>
      <c r="C459" s="2"/>
      <c r="D459" s="2"/>
      <c r="E459" s="3"/>
      <c r="F459" s="2"/>
      <c r="G459" s="2"/>
      <c r="H459" s="2"/>
      <c r="I459" s="2"/>
      <c r="J459" s="2"/>
    </row>
    <row r="460" spans="1:10" ht="13" x14ac:dyDescent="0.15">
      <c r="A460" s="4"/>
      <c r="B460" s="2"/>
      <c r="C460" s="2"/>
      <c r="D460" s="2"/>
      <c r="E460" s="3"/>
      <c r="F460" s="2"/>
      <c r="G460" s="2"/>
      <c r="H460" s="2"/>
      <c r="I460" s="2"/>
      <c r="J460" s="2"/>
    </row>
    <row r="461" spans="1:10" ht="13" x14ac:dyDescent="0.15">
      <c r="A461" s="4"/>
      <c r="B461" s="2"/>
      <c r="C461" s="2"/>
      <c r="D461" s="2"/>
      <c r="E461" s="3"/>
      <c r="F461" s="2"/>
      <c r="G461" s="2"/>
      <c r="H461" s="2"/>
      <c r="I461" s="2"/>
      <c r="J461" s="2"/>
    </row>
    <row r="462" spans="1:10" ht="13" x14ac:dyDescent="0.15">
      <c r="A462" s="4"/>
      <c r="B462" s="2"/>
      <c r="C462" s="2"/>
      <c r="D462" s="2"/>
      <c r="E462" s="3"/>
      <c r="F462" s="2"/>
      <c r="G462" s="2"/>
      <c r="H462" s="2"/>
      <c r="I462" s="2"/>
      <c r="J462" s="2"/>
    </row>
    <row r="463" spans="1:10" ht="13" x14ac:dyDescent="0.15">
      <c r="A463" s="4"/>
      <c r="B463" s="2"/>
      <c r="C463" s="2"/>
      <c r="D463" s="2"/>
      <c r="E463" s="3"/>
      <c r="F463" s="2"/>
      <c r="G463" s="2"/>
      <c r="H463" s="2"/>
      <c r="I463" s="2"/>
      <c r="J463" s="2"/>
    </row>
    <row r="464" spans="1:10" ht="13" x14ac:dyDescent="0.15">
      <c r="A464" s="4"/>
      <c r="B464" s="2"/>
      <c r="C464" s="2"/>
      <c r="D464" s="2"/>
      <c r="E464" s="3"/>
      <c r="F464" s="2"/>
      <c r="G464" s="2"/>
      <c r="H464" s="2"/>
      <c r="I464" s="2"/>
      <c r="J464" s="2"/>
    </row>
    <row r="465" spans="1:10" ht="13" x14ac:dyDescent="0.15">
      <c r="A465" s="4"/>
      <c r="B465" s="2"/>
      <c r="C465" s="2"/>
      <c r="D465" s="2"/>
      <c r="E465" s="3"/>
      <c r="F465" s="2"/>
      <c r="G465" s="2"/>
      <c r="H465" s="2"/>
      <c r="I465" s="2"/>
      <c r="J465" s="2"/>
    </row>
    <row r="466" spans="1:10" ht="13" x14ac:dyDescent="0.15">
      <c r="A466" s="4"/>
      <c r="B466" s="2"/>
      <c r="C466" s="2"/>
      <c r="D466" s="2"/>
      <c r="E466" s="3"/>
      <c r="F466" s="2"/>
      <c r="G466" s="2"/>
      <c r="H466" s="2"/>
      <c r="I466" s="2"/>
      <c r="J466" s="2"/>
    </row>
    <row r="467" spans="1:10" ht="13" x14ac:dyDescent="0.15">
      <c r="A467" s="4"/>
      <c r="B467" s="2"/>
      <c r="C467" s="2"/>
      <c r="D467" s="2"/>
      <c r="E467" s="3"/>
      <c r="F467" s="2"/>
      <c r="G467" s="2"/>
      <c r="H467" s="2"/>
      <c r="I467" s="2"/>
      <c r="J467" s="2"/>
    </row>
    <row r="468" spans="1:10" ht="13" x14ac:dyDescent="0.15">
      <c r="A468" s="4"/>
      <c r="B468" s="2"/>
      <c r="C468" s="2"/>
      <c r="D468" s="2"/>
      <c r="E468" s="3"/>
      <c r="F468" s="2"/>
      <c r="G468" s="2"/>
      <c r="H468" s="2"/>
      <c r="I468" s="2"/>
      <c r="J468" s="2"/>
    </row>
    <row r="469" spans="1:10" ht="13" x14ac:dyDescent="0.15">
      <c r="A469" s="4"/>
      <c r="B469" s="2"/>
      <c r="C469" s="2"/>
      <c r="D469" s="2"/>
      <c r="E469" s="3"/>
      <c r="F469" s="2"/>
      <c r="G469" s="2"/>
      <c r="H469" s="2"/>
      <c r="I469" s="2"/>
      <c r="J469" s="2"/>
    </row>
    <row r="470" spans="1:10" ht="13" x14ac:dyDescent="0.15">
      <c r="A470" s="4"/>
      <c r="B470" s="2"/>
      <c r="C470" s="2"/>
      <c r="D470" s="2"/>
      <c r="E470" s="3"/>
      <c r="F470" s="2"/>
      <c r="G470" s="2"/>
      <c r="H470" s="2"/>
      <c r="I470" s="2"/>
      <c r="J470" s="2"/>
    </row>
    <row r="471" spans="1:10" ht="13" x14ac:dyDescent="0.15">
      <c r="A471" s="4"/>
      <c r="B471" s="2"/>
      <c r="C471" s="2"/>
      <c r="D471" s="2"/>
      <c r="E471" s="3"/>
      <c r="F471" s="2"/>
      <c r="G471" s="2"/>
      <c r="H471" s="2"/>
      <c r="I471" s="2"/>
      <c r="J471" s="2"/>
    </row>
    <row r="472" spans="1:10" ht="13" x14ac:dyDescent="0.15">
      <c r="A472" s="4"/>
      <c r="B472" s="2"/>
      <c r="C472" s="2"/>
      <c r="D472" s="2"/>
      <c r="E472" s="3"/>
      <c r="F472" s="2"/>
      <c r="G472" s="2"/>
      <c r="H472" s="2"/>
      <c r="I472" s="2"/>
      <c r="J472" s="2"/>
    </row>
    <row r="473" spans="1:10" ht="13" x14ac:dyDescent="0.15">
      <c r="A473" s="4"/>
      <c r="B473" s="2"/>
      <c r="C473" s="2"/>
      <c r="D473" s="2"/>
      <c r="E473" s="3"/>
      <c r="F473" s="2"/>
      <c r="G473" s="2"/>
      <c r="H473" s="2"/>
      <c r="I473" s="2"/>
      <c r="J473" s="2"/>
    </row>
    <row r="474" spans="1:10" ht="13" x14ac:dyDescent="0.15">
      <c r="A474" s="4"/>
      <c r="B474" s="2"/>
      <c r="C474" s="2"/>
      <c r="D474" s="2"/>
      <c r="E474" s="3"/>
      <c r="F474" s="2"/>
      <c r="G474" s="2"/>
      <c r="H474" s="2"/>
      <c r="I474" s="2"/>
      <c r="J474" s="2"/>
    </row>
    <row r="475" spans="1:10" ht="13" x14ac:dyDescent="0.15">
      <c r="A475" s="4"/>
      <c r="B475" s="2"/>
      <c r="C475" s="2"/>
      <c r="D475" s="2"/>
      <c r="E475" s="3"/>
      <c r="F475" s="2"/>
      <c r="G475" s="2"/>
      <c r="H475" s="2"/>
      <c r="I475" s="2"/>
      <c r="J475" s="2"/>
    </row>
    <row r="476" spans="1:10" ht="13" x14ac:dyDescent="0.15">
      <c r="A476" s="4"/>
      <c r="B476" s="2"/>
      <c r="C476" s="2"/>
      <c r="D476" s="2"/>
      <c r="E476" s="3"/>
      <c r="F476" s="2"/>
      <c r="G476" s="2"/>
      <c r="H476" s="2"/>
      <c r="I476" s="2"/>
      <c r="J476" s="2"/>
    </row>
    <row r="477" spans="1:10" ht="13" x14ac:dyDescent="0.15">
      <c r="A477" s="4"/>
      <c r="B477" s="2"/>
      <c r="C477" s="2"/>
      <c r="D477" s="2"/>
      <c r="E477" s="3"/>
      <c r="F477" s="2"/>
      <c r="G477" s="2"/>
      <c r="H477" s="2"/>
      <c r="I477" s="2"/>
      <c r="J477" s="2"/>
    </row>
    <row r="478" spans="1:10" ht="13" x14ac:dyDescent="0.15">
      <c r="A478" s="4"/>
      <c r="B478" s="2"/>
      <c r="C478" s="2"/>
      <c r="D478" s="2"/>
      <c r="E478" s="3"/>
      <c r="F478" s="2"/>
      <c r="G478" s="2"/>
      <c r="H478" s="2"/>
      <c r="I478" s="2"/>
      <c r="J478" s="2"/>
    </row>
    <row r="479" spans="1:10" ht="13" x14ac:dyDescent="0.15">
      <c r="A479" s="4"/>
      <c r="B479" s="2"/>
      <c r="C479" s="2"/>
      <c r="D479" s="2"/>
      <c r="E479" s="3"/>
      <c r="F479" s="2"/>
      <c r="G479" s="2"/>
      <c r="H479" s="2"/>
      <c r="I479" s="2"/>
      <c r="J479" s="2"/>
    </row>
    <row r="480" spans="1:10" ht="13" x14ac:dyDescent="0.15">
      <c r="A480" s="4"/>
      <c r="B480" s="2"/>
      <c r="C480" s="2"/>
      <c r="D480" s="2"/>
      <c r="E480" s="3"/>
      <c r="F480" s="2"/>
      <c r="G480" s="2"/>
      <c r="H480" s="2"/>
      <c r="I480" s="2"/>
      <c r="J480" s="2"/>
    </row>
    <row r="481" spans="1:10" ht="13" x14ac:dyDescent="0.15">
      <c r="A481" s="4"/>
      <c r="B481" s="2"/>
      <c r="C481" s="2"/>
      <c r="D481" s="2"/>
      <c r="E481" s="3"/>
      <c r="F481" s="2"/>
      <c r="G481" s="2"/>
      <c r="H481" s="2"/>
      <c r="I481" s="2"/>
      <c r="J481" s="2"/>
    </row>
    <row r="482" spans="1:10" ht="13" x14ac:dyDescent="0.15">
      <c r="A482" s="4"/>
      <c r="B482" s="2"/>
      <c r="C482" s="2"/>
      <c r="D482" s="2"/>
      <c r="E482" s="3"/>
      <c r="F482" s="2"/>
      <c r="G482" s="2"/>
      <c r="H482" s="2"/>
      <c r="I482" s="2"/>
      <c r="J482" s="2"/>
    </row>
    <row r="483" spans="1:10" ht="13" x14ac:dyDescent="0.15">
      <c r="A483" s="4"/>
      <c r="B483" s="2"/>
      <c r="C483" s="2"/>
      <c r="D483" s="2"/>
      <c r="E483" s="3"/>
      <c r="F483" s="2"/>
      <c r="G483" s="2"/>
      <c r="H483" s="2"/>
      <c r="I483" s="2"/>
      <c r="J483" s="2"/>
    </row>
    <row r="484" spans="1:10" ht="13" x14ac:dyDescent="0.15">
      <c r="A484" s="4"/>
      <c r="B484" s="2"/>
      <c r="C484" s="2"/>
      <c r="D484" s="2"/>
      <c r="E484" s="3"/>
      <c r="F484" s="2"/>
      <c r="G484" s="2"/>
      <c r="H484" s="2"/>
      <c r="I484" s="2"/>
      <c r="J484" s="2"/>
    </row>
    <row r="485" spans="1:10" ht="13" x14ac:dyDescent="0.15">
      <c r="A485" s="4"/>
      <c r="B485" s="2"/>
      <c r="C485" s="2"/>
      <c r="D485" s="2"/>
      <c r="E485" s="3"/>
      <c r="F485" s="2"/>
      <c r="G485" s="2"/>
      <c r="H485" s="2"/>
      <c r="I485" s="2"/>
      <c r="J485" s="2"/>
    </row>
    <row r="486" spans="1:10" ht="13" x14ac:dyDescent="0.15">
      <c r="A486" s="4"/>
      <c r="B486" s="2"/>
      <c r="C486" s="2"/>
      <c r="D486" s="2"/>
      <c r="E486" s="3"/>
      <c r="F486" s="2"/>
      <c r="G486" s="2"/>
      <c r="H486" s="2"/>
      <c r="I486" s="2"/>
      <c r="J486" s="2"/>
    </row>
    <row r="487" spans="1:10" ht="13" x14ac:dyDescent="0.15">
      <c r="A487" s="4"/>
      <c r="B487" s="2"/>
      <c r="C487" s="2"/>
      <c r="D487" s="2"/>
      <c r="E487" s="3"/>
      <c r="F487" s="2"/>
      <c r="G487" s="2"/>
      <c r="H487" s="2"/>
      <c r="I487" s="2"/>
      <c r="J487" s="2"/>
    </row>
    <row r="488" spans="1:10" ht="13" x14ac:dyDescent="0.15">
      <c r="A488" s="4"/>
      <c r="B488" s="2"/>
      <c r="C488" s="2"/>
      <c r="D488" s="2"/>
      <c r="E488" s="3"/>
      <c r="F488" s="2"/>
      <c r="G488" s="2"/>
      <c r="H488" s="2"/>
      <c r="I488" s="2"/>
      <c r="J488" s="2"/>
    </row>
    <row r="489" spans="1:10" ht="13" x14ac:dyDescent="0.15">
      <c r="A489" s="4"/>
      <c r="B489" s="2"/>
      <c r="C489" s="2"/>
      <c r="D489" s="2"/>
      <c r="E489" s="3"/>
      <c r="F489" s="2"/>
      <c r="G489" s="2"/>
      <c r="H489" s="2"/>
      <c r="I489" s="2"/>
      <c r="J489" s="2"/>
    </row>
    <row r="490" spans="1:10" ht="13" x14ac:dyDescent="0.15">
      <c r="A490" s="4"/>
      <c r="B490" s="2"/>
      <c r="C490" s="2"/>
      <c r="D490" s="2"/>
      <c r="E490" s="3"/>
      <c r="F490" s="2"/>
      <c r="G490" s="2"/>
      <c r="H490" s="2"/>
      <c r="I490" s="2"/>
      <c r="J490" s="2"/>
    </row>
    <row r="491" spans="1:10" ht="13" x14ac:dyDescent="0.15">
      <c r="A491" s="4"/>
      <c r="B491" s="2"/>
      <c r="C491" s="2"/>
      <c r="D491" s="2"/>
      <c r="E491" s="3"/>
      <c r="F491" s="2"/>
      <c r="G491" s="2"/>
      <c r="H491" s="2"/>
      <c r="I491" s="2"/>
      <c r="J491" s="2"/>
    </row>
    <row r="492" spans="1:10" ht="13" x14ac:dyDescent="0.15">
      <c r="A492" s="4"/>
      <c r="B492" s="2"/>
      <c r="C492" s="2"/>
      <c r="D492" s="2"/>
      <c r="E492" s="3"/>
      <c r="F492" s="2"/>
      <c r="G492" s="2"/>
      <c r="H492" s="2"/>
      <c r="I492" s="2"/>
      <c r="J492" s="2"/>
    </row>
    <row r="493" spans="1:10" ht="13" x14ac:dyDescent="0.15">
      <c r="A493" s="4"/>
      <c r="B493" s="2"/>
      <c r="C493" s="2"/>
      <c r="D493" s="2"/>
      <c r="E493" s="3"/>
      <c r="F493" s="2"/>
      <c r="G493" s="2"/>
      <c r="H493" s="2"/>
      <c r="I493" s="2"/>
      <c r="J493" s="2"/>
    </row>
    <row r="494" spans="1:10" ht="13" x14ac:dyDescent="0.15">
      <c r="A494" s="4"/>
      <c r="B494" s="2"/>
      <c r="C494" s="2"/>
      <c r="D494" s="2"/>
      <c r="E494" s="3"/>
      <c r="F494" s="2"/>
      <c r="G494" s="2"/>
      <c r="H494" s="2"/>
      <c r="I494" s="2"/>
      <c r="J494" s="2"/>
    </row>
    <row r="495" spans="1:10" ht="13" x14ac:dyDescent="0.15">
      <c r="A495" s="4"/>
      <c r="B495" s="2"/>
      <c r="C495" s="2"/>
      <c r="D495" s="2"/>
      <c r="E495" s="3"/>
      <c r="F495" s="2"/>
      <c r="G495" s="2"/>
      <c r="H495" s="2"/>
      <c r="I495" s="2"/>
      <c r="J495" s="2"/>
    </row>
    <row r="496" spans="1:10" ht="13" x14ac:dyDescent="0.15">
      <c r="A496" s="4"/>
      <c r="B496" s="2"/>
      <c r="C496" s="2"/>
      <c r="D496" s="2"/>
      <c r="E496" s="3"/>
      <c r="F496" s="2"/>
      <c r="G496" s="2"/>
      <c r="H496" s="2"/>
      <c r="I496" s="2"/>
      <c r="J496" s="2"/>
    </row>
    <row r="497" spans="1:10" ht="13" x14ac:dyDescent="0.15">
      <c r="A497" s="4"/>
      <c r="B497" s="2"/>
      <c r="C497" s="2"/>
      <c r="D497" s="2"/>
      <c r="E497" s="3"/>
      <c r="F497" s="2"/>
      <c r="G497" s="2"/>
      <c r="H497" s="2"/>
      <c r="I497" s="2"/>
      <c r="J497" s="2"/>
    </row>
    <row r="498" spans="1:10" ht="13" x14ac:dyDescent="0.15">
      <c r="A498" s="4"/>
      <c r="B498" s="2"/>
      <c r="C498" s="2"/>
      <c r="D498" s="2"/>
      <c r="E498" s="3"/>
      <c r="F498" s="2"/>
      <c r="G498" s="2"/>
      <c r="H498" s="2"/>
      <c r="I498" s="2"/>
      <c r="J498" s="2"/>
    </row>
    <row r="499" spans="1:10" ht="13" x14ac:dyDescent="0.15">
      <c r="A499" s="4"/>
      <c r="B499" s="2"/>
      <c r="C499" s="2"/>
      <c r="D499" s="2"/>
      <c r="E499" s="3"/>
      <c r="F499" s="2"/>
      <c r="G499" s="2"/>
      <c r="H499" s="2"/>
      <c r="I499" s="2"/>
      <c r="J499" s="2"/>
    </row>
    <row r="500" spans="1:10" ht="13" x14ac:dyDescent="0.15">
      <c r="A500" s="4"/>
      <c r="B500" s="2"/>
      <c r="C500" s="2"/>
      <c r="D500" s="2"/>
      <c r="E500" s="3"/>
      <c r="F500" s="2"/>
      <c r="G500" s="2"/>
      <c r="H500" s="2"/>
      <c r="I500" s="2"/>
      <c r="J500" s="2"/>
    </row>
    <row r="501" spans="1:10" ht="13" x14ac:dyDescent="0.15">
      <c r="A501" s="4"/>
      <c r="B501" s="2"/>
      <c r="C501" s="2"/>
      <c r="D501" s="2"/>
      <c r="E501" s="3"/>
      <c r="F501" s="2"/>
      <c r="G501" s="2"/>
      <c r="H501" s="2"/>
      <c r="I501" s="2"/>
      <c r="J501" s="2"/>
    </row>
    <row r="502" spans="1:10" ht="13" x14ac:dyDescent="0.15">
      <c r="A502" s="4"/>
      <c r="B502" s="2"/>
      <c r="C502" s="2"/>
      <c r="D502" s="2"/>
      <c r="E502" s="3"/>
      <c r="F502" s="2"/>
      <c r="G502" s="2"/>
      <c r="H502" s="2"/>
      <c r="I502" s="2"/>
      <c r="J502" s="2"/>
    </row>
    <row r="503" spans="1:10" ht="13" x14ac:dyDescent="0.15">
      <c r="A503" s="4"/>
      <c r="B503" s="2"/>
      <c r="C503" s="2"/>
      <c r="D503" s="2"/>
      <c r="E503" s="3"/>
      <c r="F503" s="2"/>
      <c r="G503" s="2"/>
      <c r="H503" s="2"/>
      <c r="I503" s="2"/>
      <c r="J503" s="2"/>
    </row>
    <row r="504" spans="1:10" ht="13" x14ac:dyDescent="0.15">
      <c r="A504" s="4"/>
      <c r="B504" s="2"/>
      <c r="C504" s="2"/>
      <c r="D504" s="2"/>
      <c r="E504" s="3"/>
      <c r="F504" s="2"/>
      <c r="G504" s="2"/>
      <c r="H504" s="2"/>
      <c r="I504" s="2"/>
      <c r="J504" s="2"/>
    </row>
    <row r="505" spans="1:10" ht="13" x14ac:dyDescent="0.15">
      <c r="A505" s="4"/>
      <c r="B505" s="2"/>
      <c r="C505" s="2"/>
      <c r="D505" s="2"/>
      <c r="E505" s="3"/>
      <c r="F505" s="2"/>
      <c r="G505" s="2"/>
      <c r="H505" s="2"/>
      <c r="I505" s="2"/>
      <c r="J505" s="2"/>
    </row>
    <row r="506" spans="1:10" ht="13" x14ac:dyDescent="0.15">
      <c r="A506" s="4"/>
      <c r="B506" s="2"/>
      <c r="C506" s="2"/>
      <c r="D506" s="2"/>
      <c r="E506" s="3"/>
      <c r="F506" s="2"/>
      <c r="G506" s="2"/>
      <c r="H506" s="2"/>
      <c r="I506" s="2"/>
      <c r="J506" s="2"/>
    </row>
    <row r="507" spans="1:10" ht="13" x14ac:dyDescent="0.15">
      <c r="A507" s="4"/>
      <c r="B507" s="2"/>
      <c r="C507" s="2"/>
      <c r="D507" s="2"/>
      <c r="E507" s="3"/>
      <c r="F507" s="2"/>
      <c r="G507" s="2"/>
      <c r="H507" s="2"/>
      <c r="I507" s="2"/>
      <c r="J507" s="2"/>
    </row>
    <row r="508" spans="1:10" ht="13" x14ac:dyDescent="0.15">
      <c r="A508" s="4"/>
      <c r="B508" s="2"/>
      <c r="C508" s="2"/>
      <c r="D508" s="2"/>
      <c r="E508" s="3"/>
      <c r="F508" s="2"/>
      <c r="G508" s="2"/>
      <c r="H508" s="2"/>
      <c r="I508" s="2"/>
      <c r="J508" s="2"/>
    </row>
    <row r="509" spans="1:10" ht="13" x14ac:dyDescent="0.15">
      <c r="A509" s="4"/>
      <c r="B509" s="2"/>
      <c r="C509" s="2"/>
      <c r="D509" s="2"/>
      <c r="E509" s="3"/>
      <c r="F509" s="2"/>
      <c r="G509" s="2"/>
      <c r="H509" s="2"/>
      <c r="I509" s="2"/>
      <c r="J509" s="2"/>
    </row>
    <row r="510" spans="1:10" ht="13" x14ac:dyDescent="0.15">
      <c r="A510" s="4"/>
      <c r="B510" s="2"/>
      <c r="C510" s="2"/>
      <c r="D510" s="2"/>
      <c r="E510" s="3"/>
      <c r="F510" s="2"/>
      <c r="G510" s="2"/>
      <c r="H510" s="2"/>
      <c r="I510" s="2"/>
      <c r="J510" s="2"/>
    </row>
    <row r="511" spans="1:10" ht="13" x14ac:dyDescent="0.15">
      <c r="A511" s="4"/>
      <c r="B511" s="2"/>
      <c r="C511" s="2"/>
      <c r="D511" s="2"/>
      <c r="E511" s="3"/>
      <c r="F511" s="2"/>
      <c r="G511" s="2"/>
      <c r="H511" s="2"/>
      <c r="I511" s="2"/>
      <c r="J511" s="2"/>
    </row>
    <row r="512" spans="1:10" ht="13" x14ac:dyDescent="0.15">
      <c r="A512" s="4"/>
      <c r="B512" s="2"/>
      <c r="C512" s="2"/>
      <c r="D512" s="2"/>
      <c r="E512" s="3"/>
      <c r="F512" s="2"/>
      <c r="G512" s="2"/>
      <c r="H512" s="2"/>
      <c r="I512" s="2"/>
      <c r="J512" s="2"/>
    </row>
    <row r="513" spans="1:10" ht="13" x14ac:dyDescent="0.15">
      <c r="A513" s="4"/>
      <c r="B513" s="2"/>
      <c r="C513" s="2"/>
      <c r="D513" s="2"/>
      <c r="E513" s="3"/>
      <c r="F513" s="2"/>
      <c r="G513" s="2"/>
      <c r="H513" s="2"/>
      <c r="I513" s="2"/>
      <c r="J513" s="2"/>
    </row>
    <row r="514" spans="1:10" ht="13" x14ac:dyDescent="0.15">
      <c r="A514" s="4"/>
      <c r="B514" s="2"/>
      <c r="C514" s="2"/>
      <c r="D514" s="2"/>
      <c r="E514" s="3"/>
      <c r="F514" s="2"/>
      <c r="G514" s="2"/>
      <c r="H514" s="2"/>
      <c r="I514" s="2"/>
      <c r="J514" s="2"/>
    </row>
    <row r="515" spans="1:10" ht="13" x14ac:dyDescent="0.15">
      <c r="A515" s="4"/>
      <c r="B515" s="2"/>
      <c r="C515" s="2"/>
      <c r="D515" s="2"/>
      <c r="E515" s="3"/>
      <c r="F515" s="2"/>
      <c r="G515" s="2"/>
      <c r="H515" s="2"/>
      <c r="I515" s="2"/>
      <c r="J515" s="2"/>
    </row>
    <row r="516" spans="1:10" ht="13" x14ac:dyDescent="0.15">
      <c r="A516" s="4"/>
      <c r="B516" s="2"/>
      <c r="C516" s="2"/>
      <c r="D516" s="2"/>
      <c r="E516" s="3"/>
      <c r="F516" s="2"/>
      <c r="G516" s="2"/>
      <c r="H516" s="2"/>
      <c r="I516" s="2"/>
      <c r="J516" s="2"/>
    </row>
    <row r="517" spans="1:10" ht="13" x14ac:dyDescent="0.15">
      <c r="A517" s="4"/>
      <c r="B517" s="2"/>
      <c r="C517" s="2"/>
      <c r="D517" s="2"/>
      <c r="E517" s="3"/>
      <c r="F517" s="2"/>
      <c r="G517" s="2"/>
      <c r="H517" s="2"/>
      <c r="I517" s="2"/>
      <c r="J517" s="2"/>
    </row>
    <row r="518" spans="1:10" ht="13" x14ac:dyDescent="0.15">
      <c r="A518" s="4"/>
      <c r="B518" s="2"/>
      <c r="C518" s="2"/>
      <c r="D518" s="2"/>
      <c r="E518" s="3"/>
      <c r="F518" s="2"/>
      <c r="G518" s="2"/>
      <c r="H518" s="2"/>
      <c r="I518" s="2"/>
      <c r="J518" s="2"/>
    </row>
    <row r="519" spans="1:10" ht="13" x14ac:dyDescent="0.15">
      <c r="A519" s="4"/>
      <c r="B519" s="2"/>
      <c r="C519" s="2"/>
      <c r="D519" s="2"/>
      <c r="E519" s="3"/>
      <c r="F519" s="2"/>
      <c r="G519" s="2"/>
      <c r="H519" s="2"/>
      <c r="I519" s="2"/>
      <c r="J519" s="2"/>
    </row>
    <row r="520" spans="1:10" ht="13" x14ac:dyDescent="0.15">
      <c r="A520" s="4"/>
      <c r="B520" s="2"/>
      <c r="C520" s="2"/>
      <c r="D520" s="2"/>
      <c r="E520" s="3"/>
      <c r="F520" s="2"/>
      <c r="G520" s="2"/>
      <c r="H520" s="2"/>
      <c r="I520" s="2"/>
      <c r="J520" s="2"/>
    </row>
    <row r="521" spans="1:10" ht="13" x14ac:dyDescent="0.15">
      <c r="A521" s="4"/>
      <c r="B521" s="2"/>
      <c r="C521" s="2"/>
      <c r="D521" s="2"/>
      <c r="E521" s="3"/>
      <c r="F521" s="2"/>
      <c r="G521" s="2"/>
      <c r="H521" s="2"/>
      <c r="I521" s="2"/>
      <c r="J521" s="2"/>
    </row>
    <row r="522" spans="1:10" ht="13" x14ac:dyDescent="0.15">
      <c r="A522" s="4"/>
      <c r="B522" s="2"/>
      <c r="C522" s="2"/>
      <c r="D522" s="2"/>
      <c r="E522" s="3"/>
      <c r="F522" s="2"/>
      <c r="G522" s="2"/>
      <c r="H522" s="2"/>
      <c r="I522" s="2"/>
      <c r="J522" s="2"/>
    </row>
    <row r="523" spans="1:10" ht="13" x14ac:dyDescent="0.15">
      <c r="A523" s="4"/>
      <c r="B523" s="2"/>
      <c r="C523" s="2"/>
      <c r="D523" s="2"/>
      <c r="E523" s="3"/>
      <c r="F523" s="2"/>
      <c r="G523" s="2"/>
      <c r="H523" s="2"/>
      <c r="I523" s="2"/>
      <c r="J523" s="2"/>
    </row>
    <row r="524" spans="1:10" ht="13" x14ac:dyDescent="0.15">
      <c r="A524" s="4"/>
      <c r="B524" s="2"/>
      <c r="C524" s="2"/>
      <c r="D524" s="2"/>
      <c r="E524" s="3"/>
      <c r="F524" s="2"/>
      <c r="G524" s="2"/>
      <c r="H524" s="2"/>
      <c r="I524" s="2"/>
      <c r="J524" s="2"/>
    </row>
    <row r="525" spans="1:10" ht="13" x14ac:dyDescent="0.15">
      <c r="A525" s="4"/>
      <c r="B525" s="2"/>
      <c r="C525" s="2"/>
      <c r="D525" s="2"/>
      <c r="E525" s="3"/>
      <c r="F525" s="2"/>
      <c r="G525" s="2"/>
      <c r="H525" s="2"/>
      <c r="I525" s="2"/>
      <c r="J525" s="2"/>
    </row>
    <row r="526" spans="1:10" ht="13" x14ac:dyDescent="0.15">
      <c r="A526" s="4"/>
      <c r="B526" s="2"/>
      <c r="C526" s="2"/>
      <c r="D526" s="2"/>
      <c r="E526" s="3"/>
      <c r="F526" s="2"/>
      <c r="G526" s="2"/>
      <c r="H526" s="2"/>
      <c r="I526" s="2"/>
      <c r="J526" s="2"/>
    </row>
    <row r="527" spans="1:10" ht="13" x14ac:dyDescent="0.15">
      <c r="A527" s="4"/>
      <c r="B527" s="2"/>
      <c r="C527" s="2"/>
      <c r="D527" s="2"/>
      <c r="E527" s="3"/>
      <c r="F527" s="2"/>
      <c r="G527" s="2"/>
      <c r="H527" s="2"/>
      <c r="I527" s="2"/>
      <c r="J527" s="2"/>
    </row>
    <row r="528" spans="1:10" ht="13" x14ac:dyDescent="0.15">
      <c r="A528" s="4"/>
      <c r="B528" s="2"/>
      <c r="C528" s="2"/>
      <c r="D528" s="2"/>
      <c r="E528" s="3"/>
      <c r="F528" s="2"/>
      <c r="G528" s="2"/>
      <c r="H528" s="2"/>
      <c r="I528" s="2"/>
      <c r="J528" s="2"/>
    </row>
    <row r="529" spans="1:10" ht="13" x14ac:dyDescent="0.15">
      <c r="A529" s="4"/>
      <c r="B529" s="2"/>
      <c r="C529" s="2"/>
      <c r="D529" s="2"/>
      <c r="E529" s="3"/>
      <c r="F529" s="2"/>
      <c r="G529" s="2"/>
      <c r="H529" s="2"/>
      <c r="I529" s="2"/>
      <c r="J529" s="2"/>
    </row>
    <row r="530" spans="1:10" ht="13" x14ac:dyDescent="0.15">
      <c r="A530" s="4"/>
      <c r="B530" s="2"/>
      <c r="C530" s="2"/>
      <c r="D530" s="2"/>
      <c r="E530" s="3"/>
      <c r="F530" s="2"/>
      <c r="G530" s="2"/>
      <c r="H530" s="2"/>
      <c r="I530" s="2"/>
      <c r="J530" s="2"/>
    </row>
    <row r="531" spans="1:10" ht="13" x14ac:dyDescent="0.15">
      <c r="A531" s="4"/>
      <c r="B531" s="2"/>
      <c r="C531" s="2"/>
      <c r="D531" s="2"/>
      <c r="E531" s="3"/>
      <c r="F531" s="2"/>
      <c r="G531" s="2"/>
      <c r="H531" s="2"/>
      <c r="I531" s="2"/>
      <c r="J531" s="2"/>
    </row>
    <row r="532" spans="1:10" ht="13" x14ac:dyDescent="0.15">
      <c r="A532" s="4"/>
      <c r="B532" s="2"/>
      <c r="C532" s="2"/>
      <c r="D532" s="2"/>
      <c r="E532" s="3"/>
      <c r="F532" s="2"/>
      <c r="G532" s="2"/>
      <c r="H532" s="2"/>
      <c r="I532" s="2"/>
      <c r="J532" s="2"/>
    </row>
    <row r="533" spans="1:10" ht="13" x14ac:dyDescent="0.15">
      <c r="A533" s="4"/>
      <c r="B533" s="2"/>
      <c r="C533" s="2"/>
      <c r="D533" s="2"/>
      <c r="E533" s="3"/>
      <c r="F533" s="2"/>
      <c r="G533" s="2"/>
      <c r="H533" s="2"/>
      <c r="I533" s="2"/>
      <c r="J533" s="2"/>
    </row>
    <row r="534" spans="1:10" ht="13" x14ac:dyDescent="0.15">
      <c r="A534" s="4"/>
      <c r="B534" s="2"/>
      <c r="C534" s="2"/>
      <c r="D534" s="2"/>
      <c r="E534" s="3"/>
      <c r="F534" s="2"/>
      <c r="G534" s="2"/>
      <c r="H534" s="2"/>
      <c r="I534" s="2"/>
      <c r="J534" s="2"/>
    </row>
    <row r="535" spans="1:10" ht="13" x14ac:dyDescent="0.15">
      <c r="A535" s="4"/>
      <c r="B535" s="2"/>
      <c r="C535" s="2"/>
      <c r="D535" s="2"/>
      <c r="E535" s="3"/>
      <c r="F535" s="2"/>
      <c r="G535" s="2"/>
      <c r="H535" s="2"/>
      <c r="I535" s="2"/>
      <c r="J535" s="2"/>
    </row>
    <row r="536" spans="1:10" ht="13" x14ac:dyDescent="0.15">
      <c r="A536" s="4"/>
      <c r="B536" s="2"/>
      <c r="C536" s="2"/>
      <c r="D536" s="2"/>
      <c r="E536" s="3"/>
      <c r="F536" s="2"/>
      <c r="G536" s="2"/>
      <c r="H536" s="2"/>
      <c r="I536" s="2"/>
      <c r="J536" s="2"/>
    </row>
    <row r="537" spans="1:10" ht="13" x14ac:dyDescent="0.15">
      <c r="A537" s="4"/>
      <c r="B537" s="2"/>
      <c r="C537" s="2"/>
      <c r="D537" s="2"/>
      <c r="E537" s="3"/>
      <c r="F537" s="2"/>
      <c r="G537" s="2"/>
      <c r="H537" s="2"/>
      <c r="I537" s="2"/>
      <c r="J537" s="2"/>
    </row>
    <row r="538" spans="1:10" ht="13" x14ac:dyDescent="0.15">
      <c r="A538" s="4"/>
      <c r="B538" s="2"/>
      <c r="C538" s="2"/>
      <c r="D538" s="2"/>
      <c r="E538" s="3"/>
      <c r="F538" s="2"/>
      <c r="G538" s="2"/>
      <c r="H538" s="2"/>
      <c r="I538" s="2"/>
      <c r="J538" s="2"/>
    </row>
    <row r="539" spans="1:10" ht="13" x14ac:dyDescent="0.15">
      <c r="A539" s="4"/>
      <c r="B539" s="2"/>
      <c r="C539" s="2"/>
      <c r="D539" s="2"/>
      <c r="E539" s="3"/>
      <c r="F539" s="2"/>
      <c r="G539" s="2"/>
      <c r="H539" s="2"/>
      <c r="I539" s="2"/>
      <c r="J539" s="2"/>
    </row>
    <row r="540" spans="1:10" ht="13" x14ac:dyDescent="0.15">
      <c r="A540" s="4"/>
      <c r="B540" s="2"/>
      <c r="C540" s="2"/>
      <c r="D540" s="2"/>
      <c r="E540" s="3"/>
      <c r="F540" s="2"/>
      <c r="G540" s="2"/>
      <c r="H540" s="2"/>
      <c r="I540" s="2"/>
      <c r="J540" s="2"/>
    </row>
    <row r="541" spans="1:10" ht="13" x14ac:dyDescent="0.15">
      <c r="A541" s="4"/>
      <c r="B541" s="2"/>
      <c r="C541" s="2"/>
      <c r="D541" s="2"/>
      <c r="E541" s="3"/>
      <c r="F541" s="2"/>
      <c r="G541" s="2"/>
      <c r="H541" s="2"/>
      <c r="I541" s="2"/>
      <c r="J541" s="2"/>
    </row>
    <row r="542" spans="1:10" ht="13" x14ac:dyDescent="0.15">
      <c r="A542" s="4"/>
      <c r="B542" s="2"/>
      <c r="C542" s="2"/>
      <c r="D542" s="2"/>
      <c r="E542" s="3"/>
      <c r="F542" s="2"/>
      <c r="G542" s="2"/>
      <c r="H542" s="2"/>
      <c r="I542" s="2"/>
      <c r="J542" s="2"/>
    </row>
    <row r="543" spans="1:10" ht="13" x14ac:dyDescent="0.15">
      <c r="A543" s="4"/>
      <c r="B543" s="2"/>
      <c r="C543" s="2"/>
      <c r="D543" s="2"/>
      <c r="E543" s="3"/>
      <c r="F543" s="2"/>
      <c r="G543" s="2"/>
      <c r="H543" s="2"/>
      <c r="I543" s="2"/>
      <c r="J543" s="2"/>
    </row>
    <row r="544" spans="1:10" ht="13" x14ac:dyDescent="0.15">
      <c r="A544" s="4"/>
      <c r="B544" s="2"/>
      <c r="C544" s="2"/>
      <c r="D544" s="2"/>
      <c r="E544" s="3"/>
      <c r="F544" s="2"/>
      <c r="G544" s="2"/>
      <c r="H544" s="2"/>
      <c r="I544" s="2"/>
      <c r="J544" s="2"/>
    </row>
    <row r="545" spans="1:10" ht="13" x14ac:dyDescent="0.15">
      <c r="A545" s="4"/>
      <c r="B545" s="2"/>
      <c r="C545" s="2"/>
      <c r="D545" s="2"/>
      <c r="E545" s="3"/>
      <c r="F545" s="2"/>
      <c r="G545" s="2"/>
      <c r="H545" s="2"/>
      <c r="I545" s="2"/>
      <c r="J545" s="2"/>
    </row>
    <row r="546" spans="1:10" ht="13" x14ac:dyDescent="0.15">
      <c r="A546" s="4"/>
      <c r="B546" s="2"/>
      <c r="C546" s="2"/>
      <c r="D546" s="2"/>
      <c r="E546" s="3"/>
      <c r="F546" s="2"/>
      <c r="G546" s="2"/>
      <c r="H546" s="2"/>
      <c r="I546" s="2"/>
      <c r="J546" s="2"/>
    </row>
    <row r="547" spans="1:10" ht="13" x14ac:dyDescent="0.15">
      <c r="A547" s="4"/>
      <c r="B547" s="2"/>
      <c r="C547" s="2"/>
      <c r="D547" s="2"/>
      <c r="E547" s="3"/>
      <c r="F547" s="2"/>
      <c r="G547" s="2"/>
      <c r="H547" s="2"/>
      <c r="I547" s="2"/>
      <c r="J547" s="2"/>
    </row>
    <row r="548" spans="1:10" ht="13" x14ac:dyDescent="0.15">
      <c r="A548" s="4"/>
      <c r="B548" s="2"/>
      <c r="C548" s="2"/>
      <c r="D548" s="2"/>
      <c r="E548" s="3"/>
      <c r="F548" s="2"/>
      <c r="G548" s="2"/>
      <c r="H548" s="2"/>
      <c r="I548" s="2"/>
      <c r="J548" s="2"/>
    </row>
    <row r="549" spans="1:10" ht="13" x14ac:dyDescent="0.15">
      <c r="A549" s="4"/>
      <c r="B549" s="2"/>
      <c r="C549" s="2"/>
      <c r="D549" s="2"/>
      <c r="E549" s="3"/>
      <c r="F549" s="2"/>
      <c r="G549" s="2"/>
      <c r="H549" s="2"/>
      <c r="I549" s="2"/>
      <c r="J549" s="2"/>
    </row>
    <row r="550" spans="1:10" ht="13" x14ac:dyDescent="0.15">
      <c r="A550" s="4"/>
      <c r="B550" s="2"/>
      <c r="C550" s="2"/>
      <c r="D550" s="2"/>
      <c r="E550" s="3"/>
      <c r="F550" s="2"/>
      <c r="G550" s="2"/>
      <c r="H550" s="2"/>
      <c r="I550" s="2"/>
      <c r="J550" s="2"/>
    </row>
    <row r="551" spans="1:10" ht="13" x14ac:dyDescent="0.15">
      <c r="A551" s="4"/>
      <c r="B551" s="2"/>
      <c r="C551" s="2"/>
      <c r="D551" s="2"/>
      <c r="E551" s="3"/>
      <c r="F551" s="2"/>
      <c r="G551" s="2"/>
      <c r="H551" s="2"/>
      <c r="I551" s="2"/>
      <c r="J551" s="2"/>
    </row>
    <row r="552" spans="1:10" ht="13" x14ac:dyDescent="0.15">
      <c r="A552" s="4"/>
      <c r="B552" s="2"/>
      <c r="C552" s="2"/>
      <c r="D552" s="2"/>
      <c r="E552" s="3"/>
      <c r="F552" s="2"/>
      <c r="G552" s="2"/>
      <c r="H552" s="2"/>
      <c r="I552" s="2"/>
      <c r="J552" s="2"/>
    </row>
    <row r="553" spans="1:10" ht="13" x14ac:dyDescent="0.15">
      <c r="A553" s="4"/>
      <c r="B553" s="2"/>
      <c r="C553" s="2"/>
      <c r="D553" s="2"/>
      <c r="E553" s="3"/>
      <c r="F553" s="2"/>
      <c r="G553" s="2"/>
      <c r="H553" s="2"/>
      <c r="I553" s="2"/>
      <c r="J553" s="2"/>
    </row>
    <row r="554" spans="1:10" ht="13" x14ac:dyDescent="0.15">
      <c r="A554" s="4"/>
      <c r="B554" s="2"/>
      <c r="C554" s="2"/>
      <c r="D554" s="2"/>
      <c r="E554" s="3"/>
      <c r="F554" s="2"/>
      <c r="G554" s="2"/>
      <c r="H554" s="2"/>
      <c r="I554" s="2"/>
      <c r="J554" s="2"/>
    </row>
    <row r="555" spans="1:10" ht="13" x14ac:dyDescent="0.15">
      <c r="A555" s="4"/>
      <c r="B555" s="2"/>
      <c r="C555" s="2"/>
      <c r="D555" s="2"/>
      <c r="E555" s="3"/>
      <c r="F555" s="2"/>
      <c r="G555" s="2"/>
      <c r="H555" s="2"/>
      <c r="I555" s="2"/>
      <c r="J555" s="2"/>
    </row>
    <row r="556" spans="1:10" ht="13" x14ac:dyDescent="0.15">
      <c r="A556" s="4"/>
      <c r="B556" s="2"/>
      <c r="C556" s="2"/>
      <c r="D556" s="2"/>
      <c r="E556" s="3"/>
      <c r="F556" s="2"/>
      <c r="G556" s="2"/>
      <c r="H556" s="2"/>
      <c r="I556" s="2"/>
      <c r="J556" s="2"/>
    </row>
    <row r="557" spans="1:10" ht="13" x14ac:dyDescent="0.15">
      <c r="A557" s="4"/>
      <c r="B557" s="2"/>
      <c r="C557" s="2"/>
      <c r="D557" s="2"/>
      <c r="E557" s="3"/>
      <c r="F557" s="2"/>
      <c r="G557" s="2"/>
      <c r="H557" s="2"/>
      <c r="I557" s="2"/>
      <c r="J557" s="2"/>
    </row>
    <row r="558" spans="1:10" ht="13" x14ac:dyDescent="0.15">
      <c r="A558" s="4"/>
      <c r="B558" s="2"/>
      <c r="C558" s="2"/>
      <c r="D558" s="2"/>
      <c r="E558" s="3"/>
      <c r="F558" s="2"/>
      <c r="G558" s="2"/>
      <c r="H558" s="2"/>
      <c r="I558" s="2"/>
      <c r="J558" s="2"/>
    </row>
    <row r="559" spans="1:10" ht="13" x14ac:dyDescent="0.15">
      <c r="A559" s="4"/>
      <c r="B559" s="2"/>
      <c r="C559" s="2"/>
      <c r="D559" s="2"/>
      <c r="E559" s="3"/>
      <c r="F559" s="2"/>
      <c r="G559" s="2"/>
      <c r="H559" s="2"/>
      <c r="I559" s="2"/>
      <c r="J559" s="2"/>
    </row>
    <row r="560" spans="1:10" ht="13" x14ac:dyDescent="0.15">
      <c r="A560" s="4"/>
      <c r="B560" s="2"/>
      <c r="C560" s="2"/>
      <c r="D560" s="2"/>
      <c r="E560" s="3"/>
      <c r="F560" s="2"/>
      <c r="G560" s="2"/>
      <c r="H560" s="2"/>
      <c r="I560" s="2"/>
      <c r="J560" s="2"/>
    </row>
    <row r="561" spans="1:10" ht="13" x14ac:dyDescent="0.15">
      <c r="A561" s="4"/>
      <c r="B561" s="2"/>
      <c r="C561" s="2"/>
      <c r="D561" s="2"/>
      <c r="E561" s="3"/>
      <c r="F561" s="2"/>
      <c r="G561" s="2"/>
      <c r="H561" s="2"/>
      <c r="I561" s="2"/>
      <c r="J561" s="2"/>
    </row>
    <row r="562" spans="1:10" ht="13" x14ac:dyDescent="0.15">
      <c r="A562" s="4"/>
      <c r="B562" s="2"/>
      <c r="C562" s="2"/>
      <c r="D562" s="2"/>
      <c r="E562" s="3"/>
      <c r="F562" s="2"/>
      <c r="G562" s="2"/>
      <c r="H562" s="2"/>
      <c r="I562" s="2"/>
      <c r="J562" s="2"/>
    </row>
    <row r="563" spans="1:10" ht="13" x14ac:dyDescent="0.15">
      <c r="A563" s="4"/>
      <c r="B563" s="2"/>
      <c r="C563" s="2"/>
      <c r="D563" s="2"/>
      <c r="E563" s="3"/>
      <c r="F563" s="2"/>
      <c r="G563" s="2"/>
      <c r="H563" s="2"/>
      <c r="I563" s="2"/>
      <c r="J563" s="2"/>
    </row>
    <row r="564" spans="1:10" ht="13" x14ac:dyDescent="0.15">
      <c r="A564" s="4"/>
      <c r="B564" s="2"/>
      <c r="C564" s="2"/>
      <c r="D564" s="2"/>
      <c r="E564" s="3"/>
      <c r="F564" s="2"/>
      <c r="G564" s="2"/>
      <c r="H564" s="2"/>
      <c r="I564" s="2"/>
      <c r="J564" s="2"/>
    </row>
    <row r="565" spans="1:10" ht="13" x14ac:dyDescent="0.15">
      <c r="A565" s="4"/>
      <c r="B565" s="2"/>
      <c r="C565" s="2"/>
      <c r="D565" s="2"/>
      <c r="E565" s="3"/>
      <c r="F565" s="2"/>
      <c r="G565" s="2"/>
      <c r="H565" s="2"/>
      <c r="I565" s="2"/>
      <c r="J565" s="2"/>
    </row>
    <row r="566" spans="1:10" ht="13" x14ac:dyDescent="0.15">
      <c r="A566" s="4"/>
      <c r="B566" s="2"/>
      <c r="C566" s="2"/>
      <c r="D566" s="2"/>
      <c r="E566" s="3"/>
      <c r="F566" s="2"/>
      <c r="G566" s="2"/>
      <c r="H566" s="2"/>
      <c r="I566" s="2"/>
      <c r="J566" s="2"/>
    </row>
    <row r="567" spans="1:10" ht="13" x14ac:dyDescent="0.15">
      <c r="A567" s="4"/>
      <c r="B567" s="2"/>
      <c r="C567" s="2"/>
      <c r="D567" s="2"/>
      <c r="E567" s="3"/>
      <c r="F567" s="2"/>
      <c r="G567" s="2"/>
      <c r="H567" s="2"/>
      <c r="I567" s="2"/>
      <c r="J567" s="2"/>
    </row>
    <row r="568" spans="1:10" ht="13" x14ac:dyDescent="0.15">
      <c r="A568" s="4"/>
      <c r="B568" s="2"/>
      <c r="C568" s="2"/>
      <c r="D568" s="2"/>
      <c r="E568" s="3"/>
      <c r="F568" s="2"/>
      <c r="G568" s="2"/>
      <c r="H568" s="2"/>
      <c r="I568" s="2"/>
      <c r="J568" s="2"/>
    </row>
    <row r="569" spans="1:10" ht="13" x14ac:dyDescent="0.15">
      <c r="A569" s="4"/>
      <c r="B569" s="2"/>
      <c r="C569" s="2"/>
      <c r="D569" s="2"/>
      <c r="E569" s="3"/>
      <c r="F569" s="2"/>
      <c r="G569" s="2"/>
      <c r="H569" s="2"/>
      <c r="I569" s="2"/>
      <c r="J569" s="2"/>
    </row>
    <row r="570" spans="1:10" ht="13" x14ac:dyDescent="0.15">
      <c r="A570" s="4"/>
      <c r="B570" s="2"/>
      <c r="C570" s="2"/>
      <c r="D570" s="2"/>
      <c r="E570" s="3"/>
      <c r="F570" s="2"/>
      <c r="G570" s="2"/>
      <c r="H570" s="2"/>
      <c r="I570" s="2"/>
      <c r="J570" s="2"/>
    </row>
    <row r="571" spans="1:10" ht="13" x14ac:dyDescent="0.15">
      <c r="A571" s="4"/>
      <c r="B571" s="2"/>
      <c r="C571" s="2"/>
      <c r="D571" s="2"/>
      <c r="E571" s="3"/>
      <c r="F571" s="2"/>
      <c r="G571" s="2"/>
      <c r="H571" s="2"/>
      <c r="I571" s="2"/>
      <c r="J571" s="2"/>
    </row>
    <row r="572" spans="1:10" ht="13" x14ac:dyDescent="0.15">
      <c r="A572" s="4"/>
      <c r="B572" s="2"/>
      <c r="C572" s="2"/>
      <c r="D572" s="2"/>
      <c r="E572" s="3"/>
      <c r="F572" s="2"/>
      <c r="G572" s="2"/>
      <c r="H572" s="2"/>
      <c r="I572" s="2"/>
      <c r="J572" s="2"/>
    </row>
    <row r="573" spans="1:10" ht="13" x14ac:dyDescent="0.15">
      <c r="A573" s="4"/>
      <c r="B573" s="2"/>
      <c r="C573" s="2"/>
      <c r="D573" s="2"/>
      <c r="E573" s="3"/>
      <c r="F573" s="2"/>
      <c r="G573" s="2"/>
      <c r="H573" s="2"/>
      <c r="I573" s="2"/>
      <c r="J573" s="2"/>
    </row>
    <row r="574" spans="1:10" ht="13" x14ac:dyDescent="0.15">
      <c r="A574" s="4"/>
      <c r="B574" s="2"/>
      <c r="C574" s="2"/>
      <c r="D574" s="2"/>
      <c r="E574" s="3"/>
      <c r="F574" s="2"/>
      <c r="G574" s="2"/>
      <c r="H574" s="2"/>
      <c r="I574" s="2"/>
      <c r="J574" s="2"/>
    </row>
    <row r="575" spans="1:10" ht="13" x14ac:dyDescent="0.15">
      <c r="A575" s="4"/>
      <c r="B575" s="2"/>
      <c r="C575" s="2"/>
      <c r="D575" s="2"/>
      <c r="E575" s="3"/>
      <c r="F575" s="2"/>
      <c r="G575" s="2"/>
      <c r="H575" s="2"/>
      <c r="I575" s="2"/>
      <c r="J575" s="2"/>
    </row>
    <row r="576" spans="1:10" ht="13" x14ac:dyDescent="0.15">
      <c r="A576" s="4"/>
      <c r="B576" s="2"/>
      <c r="C576" s="2"/>
      <c r="D576" s="2"/>
      <c r="E576" s="3"/>
      <c r="F576" s="2"/>
      <c r="G576" s="2"/>
      <c r="H576" s="2"/>
      <c r="I576" s="2"/>
      <c r="J576" s="2"/>
    </row>
    <row r="577" spans="1:10" ht="13" x14ac:dyDescent="0.15">
      <c r="A577" s="4"/>
      <c r="B577" s="2"/>
      <c r="C577" s="2"/>
      <c r="D577" s="2"/>
      <c r="E577" s="3"/>
      <c r="F577" s="2"/>
      <c r="G577" s="2"/>
      <c r="H577" s="2"/>
      <c r="I577" s="2"/>
      <c r="J577" s="2"/>
    </row>
    <row r="578" spans="1:10" ht="13" x14ac:dyDescent="0.15">
      <c r="A578" s="4"/>
      <c r="B578" s="2"/>
      <c r="C578" s="2"/>
      <c r="D578" s="2"/>
      <c r="E578" s="3"/>
      <c r="F578" s="2"/>
      <c r="G578" s="2"/>
      <c r="H578" s="2"/>
      <c r="I578" s="2"/>
      <c r="J578" s="2"/>
    </row>
    <row r="579" spans="1:10" ht="13" x14ac:dyDescent="0.15">
      <c r="A579" s="4"/>
      <c r="B579" s="2"/>
      <c r="C579" s="2"/>
      <c r="D579" s="2"/>
      <c r="E579" s="3"/>
      <c r="F579" s="2"/>
      <c r="G579" s="2"/>
      <c r="H579" s="2"/>
      <c r="I579" s="2"/>
      <c r="J579" s="2"/>
    </row>
    <row r="580" spans="1:10" ht="13" x14ac:dyDescent="0.15">
      <c r="A580" s="4"/>
      <c r="B580" s="2"/>
      <c r="C580" s="2"/>
      <c r="D580" s="2"/>
      <c r="E580" s="3"/>
      <c r="F580" s="2"/>
      <c r="G580" s="2"/>
      <c r="H580" s="2"/>
      <c r="I580" s="2"/>
      <c r="J580" s="2"/>
    </row>
    <row r="581" spans="1:10" ht="13" x14ac:dyDescent="0.15">
      <c r="A581" s="4"/>
      <c r="B581" s="2"/>
      <c r="C581" s="2"/>
      <c r="D581" s="2"/>
      <c r="E581" s="3"/>
      <c r="F581" s="2"/>
      <c r="G581" s="2"/>
      <c r="H581" s="2"/>
      <c r="I581" s="2"/>
      <c r="J581" s="2"/>
    </row>
    <row r="582" spans="1:10" ht="13" x14ac:dyDescent="0.15">
      <c r="A582" s="4"/>
      <c r="B582" s="2"/>
      <c r="C582" s="2"/>
      <c r="D582" s="2"/>
      <c r="E582" s="3"/>
      <c r="F582" s="2"/>
      <c r="G582" s="2"/>
      <c r="H582" s="2"/>
      <c r="I582" s="2"/>
      <c r="J582" s="2"/>
    </row>
    <row r="583" spans="1:10" ht="13" x14ac:dyDescent="0.15">
      <c r="A583" s="4"/>
      <c r="B583" s="2"/>
      <c r="C583" s="2"/>
      <c r="D583" s="2"/>
      <c r="E583" s="3"/>
      <c r="F583" s="2"/>
      <c r="G583" s="2"/>
      <c r="H583" s="2"/>
      <c r="I583" s="2"/>
      <c r="J583" s="2"/>
    </row>
    <row r="584" spans="1:10" ht="13" x14ac:dyDescent="0.15">
      <c r="A584" s="4"/>
      <c r="B584" s="2"/>
      <c r="C584" s="2"/>
      <c r="D584" s="2"/>
      <c r="E584" s="3"/>
      <c r="F584" s="2"/>
      <c r="G584" s="2"/>
      <c r="H584" s="2"/>
      <c r="I584" s="2"/>
      <c r="J584" s="2"/>
    </row>
    <row r="585" spans="1:10" ht="13" x14ac:dyDescent="0.15">
      <c r="A585" s="4"/>
      <c r="B585" s="2"/>
      <c r="C585" s="2"/>
      <c r="D585" s="2"/>
      <c r="E585" s="3"/>
      <c r="F585" s="2"/>
      <c r="G585" s="2"/>
      <c r="H585" s="2"/>
      <c r="I585" s="2"/>
      <c r="J585" s="2"/>
    </row>
    <row r="586" spans="1:10" ht="13" x14ac:dyDescent="0.15">
      <c r="A586" s="4"/>
      <c r="B586" s="2"/>
      <c r="C586" s="2"/>
      <c r="D586" s="2"/>
      <c r="E586" s="3"/>
      <c r="F586" s="2"/>
      <c r="G586" s="2"/>
      <c r="H586" s="2"/>
      <c r="I586" s="2"/>
      <c r="J586" s="2"/>
    </row>
    <row r="587" spans="1:10" ht="13" x14ac:dyDescent="0.15">
      <c r="A587" s="4"/>
      <c r="B587" s="2"/>
      <c r="C587" s="2"/>
      <c r="D587" s="2"/>
      <c r="E587" s="3"/>
      <c r="F587" s="2"/>
      <c r="G587" s="2"/>
      <c r="H587" s="2"/>
      <c r="I587" s="2"/>
      <c r="J587" s="2"/>
    </row>
    <row r="588" spans="1:10" ht="13" x14ac:dyDescent="0.15">
      <c r="A588" s="4"/>
      <c r="B588" s="2"/>
      <c r="C588" s="2"/>
      <c r="D588" s="2"/>
      <c r="E588" s="3"/>
      <c r="F588" s="2"/>
      <c r="G588" s="2"/>
      <c r="H588" s="2"/>
      <c r="I588" s="2"/>
      <c r="J588" s="2"/>
    </row>
    <row r="589" spans="1:10" ht="13" x14ac:dyDescent="0.15">
      <c r="A589" s="4"/>
      <c r="B589" s="2"/>
      <c r="C589" s="2"/>
      <c r="D589" s="2"/>
      <c r="E589" s="3"/>
      <c r="F589" s="2"/>
      <c r="G589" s="2"/>
      <c r="H589" s="2"/>
      <c r="I589" s="2"/>
      <c r="J589" s="2"/>
    </row>
    <row r="590" spans="1:10" ht="13" x14ac:dyDescent="0.15">
      <c r="A590" s="4"/>
      <c r="B590" s="2"/>
      <c r="C590" s="2"/>
      <c r="D590" s="2"/>
      <c r="E590" s="3"/>
      <c r="F590" s="2"/>
      <c r="G590" s="2"/>
      <c r="H590" s="2"/>
      <c r="I590" s="2"/>
      <c r="J590" s="2"/>
    </row>
    <row r="591" spans="1:10" ht="13" x14ac:dyDescent="0.15">
      <c r="A591" s="4"/>
      <c r="B591" s="2"/>
      <c r="C591" s="2"/>
      <c r="D591" s="2"/>
      <c r="E591" s="3"/>
      <c r="F591" s="2"/>
      <c r="G591" s="2"/>
      <c r="H591" s="2"/>
      <c r="I591" s="2"/>
      <c r="J591" s="2"/>
    </row>
    <row r="592" spans="1:10" ht="13" x14ac:dyDescent="0.15">
      <c r="A592" s="4"/>
      <c r="B592" s="2"/>
      <c r="C592" s="2"/>
      <c r="D592" s="2"/>
      <c r="E592" s="3"/>
      <c r="F592" s="2"/>
      <c r="G592" s="2"/>
      <c r="H592" s="2"/>
      <c r="I592" s="2"/>
      <c r="J592" s="2"/>
    </row>
    <row r="593" spans="1:10" ht="13" x14ac:dyDescent="0.15">
      <c r="A593" s="4"/>
      <c r="B593" s="2"/>
      <c r="C593" s="2"/>
      <c r="D593" s="2"/>
      <c r="E593" s="3"/>
      <c r="F593" s="2"/>
      <c r="G593" s="2"/>
      <c r="H593" s="2"/>
      <c r="I593" s="2"/>
      <c r="J593" s="2"/>
    </row>
    <row r="594" spans="1:10" ht="13" x14ac:dyDescent="0.15">
      <c r="A594" s="4"/>
      <c r="B594" s="2"/>
      <c r="C594" s="2"/>
      <c r="D594" s="2"/>
      <c r="E594" s="3"/>
      <c r="F594" s="2"/>
      <c r="G594" s="2"/>
      <c r="H594" s="2"/>
      <c r="I594" s="2"/>
      <c r="J594" s="2"/>
    </row>
    <row r="595" spans="1:10" ht="13" x14ac:dyDescent="0.15">
      <c r="A595" s="4"/>
      <c r="B595" s="2"/>
      <c r="C595" s="2"/>
      <c r="D595" s="2"/>
      <c r="E595" s="3"/>
      <c r="F595" s="2"/>
      <c r="G595" s="2"/>
      <c r="H595" s="2"/>
      <c r="I595" s="2"/>
      <c r="J595" s="2"/>
    </row>
    <row r="596" spans="1:10" ht="13" x14ac:dyDescent="0.15">
      <c r="A596" s="4"/>
      <c r="B596" s="2"/>
      <c r="C596" s="2"/>
      <c r="D596" s="2"/>
      <c r="E596" s="3"/>
      <c r="F596" s="2"/>
      <c r="G596" s="2"/>
      <c r="H596" s="2"/>
      <c r="I596" s="2"/>
      <c r="J596" s="2"/>
    </row>
    <row r="597" spans="1:10" ht="13" x14ac:dyDescent="0.15">
      <c r="A597" s="4"/>
      <c r="B597" s="2"/>
      <c r="C597" s="2"/>
      <c r="D597" s="2"/>
      <c r="E597" s="3"/>
      <c r="F597" s="2"/>
      <c r="G597" s="2"/>
      <c r="H597" s="2"/>
      <c r="I597" s="2"/>
      <c r="J597" s="2"/>
    </row>
    <row r="598" spans="1:10" ht="13" x14ac:dyDescent="0.15">
      <c r="A598" s="4"/>
      <c r="B598" s="2"/>
      <c r="C598" s="2"/>
      <c r="D598" s="2"/>
      <c r="E598" s="3"/>
      <c r="F598" s="2"/>
      <c r="G598" s="2"/>
      <c r="H598" s="2"/>
      <c r="I598" s="2"/>
      <c r="J598" s="2"/>
    </row>
    <row r="599" spans="1:10" ht="13" x14ac:dyDescent="0.15">
      <c r="A599" s="4"/>
      <c r="B599" s="2"/>
      <c r="C599" s="2"/>
      <c r="D599" s="2"/>
      <c r="E599" s="3"/>
      <c r="F599" s="2"/>
      <c r="G599" s="2"/>
      <c r="H599" s="2"/>
      <c r="I599" s="2"/>
      <c r="J599" s="2"/>
    </row>
    <row r="600" spans="1:10" ht="13" x14ac:dyDescent="0.15">
      <c r="A600" s="4"/>
      <c r="B600" s="2"/>
      <c r="C600" s="2"/>
      <c r="D600" s="2"/>
      <c r="E600" s="3"/>
      <c r="F600" s="2"/>
      <c r="G600" s="2"/>
      <c r="H600" s="2"/>
      <c r="I600" s="2"/>
      <c r="J600" s="2"/>
    </row>
    <row r="601" spans="1:10" ht="13" x14ac:dyDescent="0.15">
      <c r="A601" s="4"/>
      <c r="B601" s="2"/>
      <c r="C601" s="2"/>
      <c r="D601" s="2"/>
      <c r="E601" s="3"/>
      <c r="F601" s="2"/>
      <c r="G601" s="2"/>
      <c r="H601" s="2"/>
      <c r="I601" s="2"/>
      <c r="J601" s="2"/>
    </row>
    <row r="602" spans="1:10" ht="13" x14ac:dyDescent="0.15">
      <c r="A602" s="4"/>
      <c r="B602" s="2"/>
      <c r="C602" s="2"/>
      <c r="D602" s="2"/>
      <c r="E602" s="3"/>
      <c r="F602" s="2"/>
      <c r="G602" s="2"/>
      <c r="H602" s="2"/>
      <c r="I602" s="2"/>
      <c r="J602" s="2"/>
    </row>
    <row r="603" spans="1:10" ht="13" x14ac:dyDescent="0.15">
      <c r="A603" s="4"/>
      <c r="B603" s="2"/>
      <c r="C603" s="2"/>
      <c r="D603" s="2"/>
      <c r="E603" s="3"/>
      <c r="F603" s="2"/>
      <c r="G603" s="2"/>
      <c r="H603" s="2"/>
      <c r="I603" s="2"/>
      <c r="J603" s="2"/>
    </row>
    <row r="604" spans="1:10" ht="13" x14ac:dyDescent="0.15">
      <c r="A604" s="4"/>
      <c r="B604" s="2"/>
      <c r="C604" s="2"/>
      <c r="D604" s="2"/>
      <c r="E604" s="3"/>
      <c r="F604" s="2"/>
      <c r="G604" s="2"/>
      <c r="H604" s="2"/>
      <c r="I604" s="2"/>
      <c r="J604" s="2"/>
    </row>
    <row r="605" spans="1:10" ht="13" x14ac:dyDescent="0.15">
      <c r="A605" s="4"/>
      <c r="B605" s="2"/>
      <c r="C605" s="2"/>
      <c r="D605" s="2"/>
      <c r="E605" s="3"/>
      <c r="F605" s="2"/>
      <c r="G605" s="2"/>
      <c r="H605" s="2"/>
      <c r="I605" s="2"/>
      <c r="J605" s="2"/>
    </row>
    <row r="606" spans="1:10" ht="13" x14ac:dyDescent="0.15">
      <c r="A606" s="4"/>
      <c r="B606" s="2"/>
      <c r="C606" s="2"/>
      <c r="D606" s="2"/>
      <c r="E606" s="3"/>
      <c r="F606" s="2"/>
      <c r="G606" s="2"/>
      <c r="H606" s="2"/>
      <c r="I606" s="2"/>
      <c r="J606" s="2"/>
    </row>
    <row r="607" spans="1:10" ht="13" x14ac:dyDescent="0.15">
      <c r="A607" s="4"/>
      <c r="B607" s="2"/>
      <c r="C607" s="2"/>
      <c r="D607" s="2"/>
      <c r="E607" s="3"/>
      <c r="F607" s="2"/>
      <c r="G607" s="2"/>
      <c r="H607" s="2"/>
      <c r="I607" s="2"/>
      <c r="J607" s="2"/>
    </row>
    <row r="608" spans="1:10" ht="13" x14ac:dyDescent="0.15">
      <c r="A608" s="4"/>
      <c r="B608" s="2"/>
      <c r="C608" s="2"/>
      <c r="D608" s="2"/>
      <c r="E608" s="3"/>
      <c r="F608" s="2"/>
      <c r="G608" s="2"/>
      <c r="H608" s="2"/>
      <c r="I608" s="2"/>
      <c r="J608" s="2"/>
    </row>
    <row r="609" spans="1:10" ht="13" x14ac:dyDescent="0.15">
      <c r="A609" s="4"/>
      <c r="B609" s="2"/>
      <c r="C609" s="2"/>
      <c r="D609" s="2"/>
      <c r="E609" s="3"/>
      <c r="F609" s="2"/>
      <c r="G609" s="2"/>
      <c r="H609" s="2"/>
      <c r="I609" s="2"/>
      <c r="J609" s="2"/>
    </row>
    <row r="610" spans="1:10" ht="13" x14ac:dyDescent="0.15">
      <c r="A610" s="4"/>
      <c r="B610" s="2"/>
      <c r="C610" s="2"/>
      <c r="D610" s="2"/>
      <c r="E610" s="3"/>
      <c r="F610" s="2"/>
      <c r="G610" s="2"/>
      <c r="H610" s="2"/>
      <c r="I610" s="2"/>
      <c r="J610" s="2"/>
    </row>
    <row r="611" spans="1:10" ht="13" x14ac:dyDescent="0.15">
      <c r="A611" s="4"/>
      <c r="B611" s="2"/>
      <c r="C611" s="2"/>
      <c r="D611" s="2"/>
      <c r="E611" s="3"/>
      <c r="F611" s="2"/>
      <c r="G611" s="2"/>
      <c r="H611" s="2"/>
      <c r="I611" s="2"/>
      <c r="J611" s="2"/>
    </row>
    <row r="612" spans="1:10" ht="13" x14ac:dyDescent="0.15">
      <c r="A612" s="4"/>
      <c r="B612" s="2"/>
      <c r="C612" s="2"/>
      <c r="D612" s="2"/>
      <c r="E612" s="3"/>
      <c r="F612" s="2"/>
      <c r="G612" s="2"/>
      <c r="H612" s="2"/>
      <c r="I612" s="2"/>
      <c r="J612" s="2"/>
    </row>
    <row r="613" spans="1:10" ht="13" x14ac:dyDescent="0.15">
      <c r="A613" s="4"/>
      <c r="B613" s="2"/>
      <c r="C613" s="2"/>
      <c r="D613" s="2"/>
      <c r="E613" s="3"/>
      <c r="F613" s="2"/>
      <c r="G613" s="2"/>
      <c r="H613" s="2"/>
      <c r="I613" s="2"/>
      <c r="J613" s="2"/>
    </row>
    <row r="614" spans="1:10" ht="13" x14ac:dyDescent="0.15">
      <c r="A614" s="4"/>
      <c r="B614" s="2"/>
      <c r="C614" s="2"/>
      <c r="D614" s="2"/>
      <c r="E614" s="3"/>
      <c r="F614" s="2"/>
      <c r="G614" s="2"/>
      <c r="H614" s="2"/>
      <c r="I614" s="2"/>
      <c r="J614" s="2"/>
    </row>
    <row r="615" spans="1:10" ht="13" x14ac:dyDescent="0.15">
      <c r="A615" s="4"/>
      <c r="B615" s="2"/>
      <c r="C615" s="2"/>
      <c r="D615" s="2"/>
      <c r="E615" s="3"/>
      <c r="F615" s="2"/>
      <c r="G615" s="2"/>
      <c r="H615" s="2"/>
      <c r="I615" s="2"/>
      <c r="J615" s="2"/>
    </row>
    <row r="616" spans="1:10" ht="13" x14ac:dyDescent="0.15">
      <c r="A616" s="4"/>
      <c r="B616" s="2"/>
      <c r="C616" s="2"/>
      <c r="D616" s="2"/>
      <c r="E616" s="3"/>
      <c r="F616" s="2"/>
      <c r="G616" s="2"/>
      <c r="H616" s="2"/>
      <c r="I616" s="2"/>
      <c r="J616" s="2"/>
    </row>
    <row r="617" spans="1:10" ht="13" x14ac:dyDescent="0.15">
      <c r="A617" s="4"/>
      <c r="B617" s="2"/>
      <c r="C617" s="2"/>
      <c r="D617" s="2"/>
      <c r="E617" s="3"/>
      <c r="F617" s="2"/>
      <c r="G617" s="2"/>
      <c r="H617" s="2"/>
      <c r="I617" s="2"/>
      <c r="J617" s="2"/>
    </row>
    <row r="618" spans="1:10" ht="13" x14ac:dyDescent="0.15">
      <c r="A618" s="4"/>
      <c r="B618" s="2"/>
      <c r="C618" s="2"/>
      <c r="D618" s="2"/>
      <c r="E618" s="3"/>
      <c r="F618" s="2"/>
      <c r="G618" s="2"/>
      <c r="H618" s="2"/>
      <c r="I618" s="2"/>
      <c r="J618" s="2"/>
    </row>
    <row r="619" spans="1:10" ht="13" x14ac:dyDescent="0.15">
      <c r="A619" s="4"/>
      <c r="B619" s="2"/>
      <c r="C619" s="2"/>
      <c r="D619" s="2"/>
      <c r="E619" s="3"/>
      <c r="F619" s="2"/>
      <c r="G619" s="2"/>
      <c r="H619" s="2"/>
      <c r="I619" s="2"/>
      <c r="J619" s="2"/>
    </row>
    <row r="620" spans="1:10" ht="13" x14ac:dyDescent="0.15">
      <c r="A620" s="4"/>
      <c r="B620" s="2"/>
      <c r="C620" s="2"/>
      <c r="D620" s="2"/>
      <c r="E620" s="3"/>
      <c r="F620" s="2"/>
      <c r="G620" s="2"/>
      <c r="H620" s="2"/>
      <c r="I620" s="2"/>
      <c r="J620" s="2"/>
    </row>
    <row r="621" spans="1:10" ht="13" x14ac:dyDescent="0.15">
      <c r="A621" s="4"/>
      <c r="B621" s="2"/>
      <c r="C621" s="2"/>
      <c r="D621" s="2"/>
      <c r="E621" s="3"/>
      <c r="F621" s="2"/>
      <c r="G621" s="2"/>
      <c r="H621" s="2"/>
      <c r="I621" s="2"/>
      <c r="J621" s="2"/>
    </row>
    <row r="622" spans="1:10" ht="13" x14ac:dyDescent="0.15">
      <c r="A622" s="4"/>
      <c r="B622" s="2"/>
      <c r="C622" s="2"/>
      <c r="D622" s="2"/>
      <c r="E622" s="3"/>
      <c r="F622" s="2"/>
      <c r="G622" s="2"/>
      <c r="H622" s="2"/>
      <c r="I622" s="2"/>
      <c r="J622" s="2"/>
    </row>
    <row r="623" spans="1:10" ht="13" x14ac:dyDescent="0.15">
      <c r="A623" s="4"/>
      <c r="B623" s="2"/>
      <c r="C623" s="2"/>
      <c r="D623" s="2"/>
      <c r="E623" s="3"/>
      <c r="F623" s="2"/>
      <c r="G623" s="2"/>
      <c r="H623" s="2"/>
      <c r="I623" s="2"/>
      <c r="J623" s="2"/>
    </row>
    <row r="624" spans="1:10" ht="13" x14ac:dyDescent="0.15">
      <c r="A624" s="4"/>
      <c r="B624" s="2"/>
      <c r="C624" s="2"/>
      <c r="D624" s="2"/>
      <c r="E624" s="3"/>
      <c r="F624" s="2"/>
      <c r="G624" s="2"/>
      <c r="H624" s="2"/>
      <c r="I624" s="2"/>
      <c r="J624" s="2"/>
    </row>
    <row r="625" spans="1:10" ht="13" x14ac:dyDescent="0.15">
      <c r="A625" s="4"/>
      <c r="B625" s="2"/>
      <c r="C625" s="2"/>
      <c r="D625" s="2"/>
      <c r="E625" s="3"/>
      <c r="F625" s="2"/>
      <c r="G625" s="2"/>
      <c r="H625" s="2"/>
      <c r="I625" s="2"/>
      <c r="J625" s="2"/>
    </row>
    <row r="626" spans="1:10" ht="13" x14ac:dyDescent="0.15">
      <c r="A626" s="4"/>
      <c r="B626" s="2"/>
      <c r="C626" s="2"/>
      <c r="D626" s="2"/>
      <c r="E626" s="3"/>
      <c r="F626" s="2"/>
      <c r="G626" s="2"/>
      <c r="H626" s="2"/>
      <c r="I626" s="2"/>
      <c r="J626" s="2"/>
    </row>
    <row r="627" spans="1:10" ht="13" x14ac:dyDescent="0.15">
      <c r="A627" s="4"/>
      <c r="B627" s="2"/>
      <c r="C627" s="2"/>
      <c r="D627" s="2"/>
      <c r="E627" s="3"/>
      <c r="F627" s="2"/>
      <c r="G627" s="2"/>
      <c r="H627" s="2"/>
      <c r="I627" s="2"/>
      <c r="J627" s="2"/>
    </row>
    <row r="628" spans="1:10" ht="13" x14ac:dyDescent="0.15">
      <c r="A628" s="4"/>
      <c r="B628" s="2"/>
      <c r="C628" s="2"/>
      <c r="D628" s="2"/>
      <c r="E628" s="3"/>
      <c r="F628" s="2"/>
      <c r="G628" s="2"/>
      <c r="H628" s="2"/>
      <c r="I628" s="2"/>
      <c r="J628" s="2"/>
    </row>
    <row r="629" spans="1:10" ht="13" x14ac:dyDescent="0.15">
      <c r="A629" s="4"/>
      <c r="B629" s="2"/>
      <c r="C629" s="2"/>
      <c r="D629" s="2"/>
      <c r="E629" s="3"/>
      <c r="F629" s="2"/>
      <c r="G629" s="2"/>
      <c r="H629" s="2"/>
      <c r="I629" s="2"/>
      <c r="J629" s="2"/>
    </row>
    <row r="630" spans="1:10" ht="13" x14ac:dyDescent="0.15">
      <c r="A630" s="4"/>
      <c r="B630" s="2"/>
      <c r="C630" s="2"/>
      <c r="D630" s="2"/>
      <c r="E630" s="3"/>
      <c r="F630" s="2"/>
      <c r="G630" s="2"/>
      <c r="H630" s="2"/>
      <c r="I630" s="2"/>
      <c r="J630" s="2"/>
    </row>
    <row r="631" spans="1:10" ht="13" x14ac:dyDescent="0.15">
      <c r="A631" s="4"/>
      <c r="B631" s="2"/>
      <c r="C631" s="2"/>
      <c r="D631" s="2"/>
      <c r="E631" s="3"/>
      <c r="F631" s="2"/>
      <c r="G631" s="2"/>
      <c r="H631" s="2"/>
      <c r="I631" s="2"/>
      <c r="J631" s="2"/>
    </row>
    <row r="632" spans="1:10" ht="13" x14ac:dyDescent="0.15">
      <c r="A632" s="4"/>
      <c r="B632" s="2"/>
      <c r="C632" s="2"/>
      <c r="D632" s="2"/>
      <c r="E632" s="3"/>
      <c r="F632" s="2"/>
      <c r="G632" s="2"/>
      <c r="H632" s="2"/>
      <c r="I632" s="2"/>
      <c r="J632" s="2"/>
    </row>
    <row r="633" spans="1:10" ht="13" x14ac:dyDescent="0.15">
      <c r="A633" s="4"/>
      <c r="B633" s="2"/>
      <c r="C633" s="2"/>
      <c r="D633" s="2"/>
      <c r="E633" s="3"/>
      <c r="F633" s="2"/>
      <c r="G633" s="2"/>
      <c r="H633" s="2"/>
      <c r="I633" s="2"/>
      <c r="J633" s="2"/>
    </row>
    <row r="634" spans="1:10" ht="13" x14ac:dyDescent="0.15">
      <c r="A634" s="4"/>
      <c r="B634" s="2"/>
      <c r="C634" s="2"/>
      <c r="D634" s="2"/>
      <c r="E634" s="3"/>
      <c r="F634" s="2"/>
      <c r="G634" s="2"/>
      <c r="H634" s="2"/>
      <c r="I634" s="2"/>
      <c r="J634" s="2"/>
    </row>
    <row r="635" spans="1:10" ht="13" x14ac:dyDescent="0.15">
      <c r="A635" s="4"/>
      <c r="B635" s="2"/>
      <c r="C635" s="2"/>
      <c r="D635" s="2"/>
      <c r="E635" s="3"/>
      <c r="F635" s="2"/>
      <c r="G635" s="2"/>
      <c r="H635" s="2"/>
      <c r="I635" s="2"/>
      <c r="J635" s="2"/>
    </row>
    <row r="636" spans="1:10" ht="13" x14ac:dyDescent="0.15">
      <c r="A636" s="4"/>
      <c r="B636" s="2"/>
      <c r="C636" s="2"/>
      <c r="D636" s="2"/>
      <c r="E636" s="3"/>
      <c r="F636" s="2"/>
      <c r="G636" s="2"/>
      <c r="H636" s="2"/>
      <c r="I636" s="2"/>
      <c r="J636" s="2"/>
    </row>
    <row r="637" spans="1:10" ht="13" x14ac:dyDescent="0.15">
      <c r="A637" s="4"/>
      <c r="B637" s="2"/>
      <c r="C637" s="2"/>
      <c r="D637" s="2"/>
      <c r="E637" s="3"/>
      <c r="F637" s="2"/>
      <c r="G637" s="2"/>
      <c r="H637" s="2"/>
      <c r="I637" s="2"/>
      <c r="J637" s="2"/>
    </row>
    <row r="638" spans="1:10" ht="13" x14ac:dyDescent="0.15">
      <c r="A638" s="4"/>
      <c r="B638" s="2"/>
      <c r="C638" s="2"/>
      <c r="D638" s="2"/>
      <c r="E638" s="3"/>
      <c r="F638" s="2"/>
      <c r="G638" s="2"/>
      <c r="H638" s="2"/>
      <c r="I638" s="2"/>
      <c r="J638" s="2"/>
    </row>
    <row r="639" spans="1:10" ht="13" x14ac:dyDescent="0.15">
      <c r="A639" s="4"/>
      <c r="B639" s="2"/>
      <c r="C639" s="2"/>
      <c r="D639" s="2"/>
      <c r="E639" s="3"/>
      <c r="F639" s="2"/>
      <c r="G639" s="2"/>
      <c r="H639" s="2"/>
      <c r="I639" s="2"/>
      <c r="J639" s="2"/>
    </row>
    <row r="640" spans="1:10" ht="13" x14ac:dyDescent="0.15">
      <c r="A640" s="4"/>
      <c r="B640" s="2"/>
      <c r="C640" s="2"/>
      <c r="D640" s="2"/>
      <c r="E640" s="3"/>
      <c r="F640" s="2"/>
      <c r="G640" s="2"/>
      <c r="H640" s="2"/>
      <c r="I640" s="2"/>
      <c r="J640" s="2"/>
    </row>
    <row r="641" spans="1:10" ht="13" x14ac:dyDescent="0.15">
      <c r="A641" s="4"/>
      <c r="B641" s="2"/>
      <c r="C641" s="2"/>
      <c r="D641" s="2"/>
      <c r="E641" s="3"/>
      <c r="F641" s="2"/>
      <c r="G641" s="2"/>
      <c r="H641" s="2"/>
      <c r="I641" s="2"/>
      <c r="J641" s="2"/>
    </row>
    <row r="642" spans="1:10" ht="13" x14ac:dyDescent="0.15">
      <c r="A642" s="4"/>
      <c r="B642" s="2"/>
      <c r="C642" s="2"/>
      <c r="D642" s="2"/>
      <c r="E642" s="3"/>
      <c r="F642" s="2"/>
      <c r="G642" s="2"/>
      <c r="H642" s="2"/>
      <c r="I642" s="2"/>
      <c r="J642" s="2"/>
    </row>
    <row r="643" spans="1:10" ht="13" x14ac:dyDescent="0.15">
      <c r="A643" s="4"/>
      <c r="B643" s="2"/>
      <c r="C643" s="2"/>
      <c r="D643" s="2"/>
      <c r="E643" s="3"/>
      <c r="F643" s="2"/>
      <c r="G643" s="2"/>
      <c r="H643" s="2"/>
      <c r="I643" s="2"/>
      <c r="J643" s="2"/>
    </row>
    <row r="644" spans="1:10" ht="13" x14ac:dyDescent="0.15">
      <c r="A644" s="4"/>
      <c r="B644" s="2"/>
      <c r="C644" s="2"/>
      <c r="D644" s="2"/>
      <c r="E644" s="3"/>
      <c r="F644" s="2"/>
      <c r="G644" s="2"/>
      <c r="H644" s="2"/>
      <c r="I644" s="2"/>
      <c r="J644" s="2"/>
    </row>
    <row r="645" spans="1:10" ht="13" x14ac:dyDescent="0.15">
      <c r="A645" s="4"/>
      <c r="B645" s="2"/>
      <c r="C645" s="2"/>
      <c r="D645" s="2"/>
      <c r="E645" s="3"/>
      <c r="F645" s="2"/>
      <c r="G645" s="2"/>
      <c r="H645" s="2"/>
      <c r="I645" s="2"/>
      <c r="J645" s="2"/>
    </row>
    <row r="646" spans="1:10" ht="13" x14ac:dyDescent="0.15">
      <c r="A646" s="4"/>
      <c r="B646" s="2"/>
      <c r="C646" s="2"/>
      <c r="D646" s="2"/>
      <c r="E646" s="3"/>
      <c r="F646" s="2"/>
      <c r="G646" s="2"/>
      <c r="H646" s="2"/>
      <c r="I646" s="2"/>
      <c r="J646" s="2"/>
    </row>
    <row r="647" spans="1:10" ht="13" x14ac:dyDescent="0.15">
      <c r="A647" s="4"/>
      <c r="B647" s="2"/>
      <c r="C647" s="2"/>
      <c r="D647" s="2"/>
      <c r="E647" s="3"/>
      <c r="F647" s="2"/>
      <c r="G647" s="2"/>
      <c r="H647" s="2"/>
      <c r="I647" s="2"/>
      <c r="J647" s="2"/>
    </row>
    <row r="648" spans="1:10" ht="13" x14ac:dyDescent="0.15">
      <c r="A648" s="4"/>
      <c r="B648" s="2"/>
      <c r="C648" s="2"/>
      <c r="D648" s="2"/>
      <c r="E648" s="3"/>
      <c r="F648" s="2"/>
      <c r="G648" s="2"/>
      <c r="H648" s="2"/>
      <c r="I648" s="2"/>
      <c r="J648" s="2"/>
    </row>
    <row r="649" spans="1:10" ht="13" x14ac:dyDescent="0.15">
      <c r="A649" s="4"/>
      <c r="B649" s="2"/>
      <c r="C649" s="2"/>
      <c r="D649" s="2"/>
      <c r="E649" s="3"/>
      <c r="F649" s="2"/>
      <c r="G649" s="2"/>
      <c r="H649" s="2"/>
      <c r="I649" s="2"/>
      <c r="J649" s="2"/>
    </row>
    <row r="650" spans="1:10" ht="13" x14ac:dyDescent="0.15">
      <c r="A650" s="4"/>
      <c r="B650" s="2"/>
      <c r="C650" s="2"/>
      <c r="D650" s="2"/>
      <c r="E650" s="3"/>
      <c r="F650" s="2"/>
      <c r="G650" s="2"/>
      <c r="H650" s="2"/>
      <c r="I650" s="2"/>
      <c r="J650" s="2"/>
    </row>
    <row r="651" spans="1:10" ht="13" x14ac:dyDescent="0.15">
      <c r="A651" s="4"/>
      <c r="B651" s="2"/>
      <c r="C651" s="2"/>
      <c r="D651" s="2"/>
      <c r="E651" s="3"/>
      <c r="F651" s="2"/>
      <c r="G651" s="2"/>
      <c r="H651" s="2"/>
      <c r="I651" s="2"/>
      <c r="J651" s="2"/>
    </row>
    <row r="652" spans="1:10" ht="13" x14ac:dyDescent="0.15">
      <c r="A652" s="4"/>
      <c r="B652" s="2"/>
      <c r="C652" s="2"/>
      <c r="D652" s="2"/>
      <c r="E652" s="3"/>
      <c r="F652" s="2"/>
      <c r="G652" s="2"/>
      <c r="H652" s="2"/>
      <c r="I652" s="2"/>
      <c r="J652" s="2"/>
    </row>
    <row r="653" spans="1:10" ht="13" x14ac:dyDescent="0.15">
      <c r="A653" s="4"/>
      <c r="B653" s="2"/>
      <c r="C653" s="2"/>
      <c r="D653" s="2"/>
      <c r="E653" s="3"/>
      <c r="F653" s="2"/>
      <c r="G653" s="2"/>
      <c r="H653" s="2"/>
      <c r="I653" s="2"/>
      <c r="J653" s="2"/>
    </row>
    <row r="654" spans="1:10" ht="13" x14ac:dyDescent="0.15">
      <c r="A654" s="4"/>
      <c r="B654" s="2"/>
      <c r="C654" s="2"/>
      <c r="D654" s="2"/>
      <c r="E654" s="3"/>
      <c r="F654" s="2"/>
      <c r="G654" s="2"/>
      <c r="H654" s="2"/>
      <c r="I654" s="2"/>
      <c r="J654" s="2"/>
    </row>
    <row r="655" spans="1:10" ht="13" x14ac:dyDescent="0.15">
      <c r="A655" s="4"/>
      <c r="B655" s="2"/>
      <c r="C655" s="2"/>
      <c r="D655" s="2"/>
      <c r="E655" s="3"/>
      <c r="F655" s="2"/>
      <c r="G655" s="2"/>
      <c r="H655" s="2"/>
      <c r="I655" s="2"/>
      <c r="J655" s="2"/>
    </row>
    <row r="656" spans="1:10" ht="13" x14ac:dyDescent="0.15">
      <c r="A656" s="4"/>
      <c r="B656" s="2"/>
      <c r="C656" s="2"/>
      <c r="D656" s="2"/>
      <c r="E656" s="3"/>
      <c r="F656" s="2"/>
      <c r="G656" s="2"/>
      <c r="H656" s="2"/>
      <c r="I656" s="2"/>
      <c r="J656" s="2"/>
    </row>
    <row r="657" spans="1:10" ht="13" x14ac:dyDescent="0.15">
      <c r="A657" s="4"/>
      <c r="B657" s="2"/>
      <c r="C657" s="2"/>
      <c r="D657" s="2"/>
      <c r="E657" s="3"/>
      <c r="F657" s="2"/>
      <c r="G657" s="2"/>
      <c r="H657" s="2"/>
      <c r="I657" s="2"/>
      <c r="J657" s="2"/>
    </row>
    <row r="658" spans="1:10" ht="13" x14ac:dyDescent="0.15">
      <c r="A658" s="4"/>
      <c r="B658" s="2"/>
      <c r="C658" s="2"/>
      <c r="D658" s="2"/>
      <c r="E658" s="3"/>
      <c r="F658" s="2"/>
      <c r="G658" s="2"/>
      <c r="H658" s="2"/>
      <c r="I658" s="2"/>
      <c r="J658" s="2"/>
    </row>
    <row r="659" spans="1:10" ht="13" x14ac:dyDescent="0.15">
      <c r="A659" s="4"/>
      <c r="B659" s="2"/>
      <c r="C659" s="2"/>
      <c r="D659" s="2"/>
      <c r="E659" s="3"/>
      <c r="F659" s="2"/>
      <c r="G659" s="2"/>
      <c r="H659" s="2"/>
      <c r="I659" s="2"/>
      <c r="J659" s="2"/>
    </row>
    <row r="660" spans="1:10" ht="13" x14ac:dyDescent="0.15">
      <c r="A660" s="4"/>
      <c r="B660" s="2"/>
      <c r="C660" s="2"/>
      <c r="D660" s="2"/>
      <c r="E660" s="3"/>
      <c r="F660" s="2"/>
      <c r="G660" s="2"/>
      <c r="H660" s="2"/>
      <c r="I660" s="2"/>
      <c r="J660" s="2"/>
    </row>
    <row r="661" spans="1:10" ht="13" x14ac:dyDescent="0.15">
      <c r="A661" s="4"/>
      <c r="B661" s="2"/>
      <c r="C661" s="2"/>
      <c r="D661" s="2"/>
      <c r="E661" s="3"/>
      <c r="F661" s="2"/>
      <c r="G661" s="2"/>
      <c r="H661" s="2"/>
      <c r="I661" s="2"/>
      <c r="J661" s="2"/>
    </row>
    <row r="662" spans="1:10" ht="13" x14ac:dyDescent="0.15">
      <c r="A662" s="4"/>
      <c r="B662" s="2"/>
      <c r="C662" s="2"/>
      <c r="D662" s="2"/>
      <c r="E662" s="3"/>
      <c r="F662" s="2"/>
      <c r="G662" s="2"/>
      <c r="H662" s="2"/>
      <c r="I662" s="2"/>
      <c r="J662" s="2"/>
    </row>
    <row r="663" spans="1:10" ht="13" x14ac:dyDescent="0.15">
      <c r="A663" s="4"/>
      <c r="B663" s="2"/>
      <c r="C663" s="2"/>
      <c r="D663" s="2"/>
      <c r="E663" s="3"/>
      <c r="F663" s="2"/>
      <c r="G663" s="2"/>
      <c r="H663" s="2"/>
      <c r="I663" s="2"/>
      <c r="J663" s="2"/>
    </row>
    <row r="664" spans="1:10" ht="13" x14ac:dyDescent="0.15">
      <c r="A664" s="4"/>
      <c r="B664" s="2"/>
      <c r="C664" s="2"/>
      <c r="D664" s="2"/>
      <c r="E664" s="3"/>
      <c r="F664" s="2"/>
      <c r="G664" s="2"/>
      <c r="H664" s="2"/>
      <c r="I664" s="2"/>
      <c r="J664" s="2"/>
    </row>
    <row r="665" spans="1:10" ht="13" x14ac:dyDescent="0.15">
      <c r="A665" s="4"/>
      <c r="B665" s="2"/>
      <c r="C665" s="2"/>
      <c r="D665" s="2"/>
      <c r="E665" s="3"/>
      <c r="F665" s="2"/>
      <c r="G665" s="2"/>
      <c r="H665" s="2"/>
      <c r="I665" s="2"/>
      <c r="J665" s="2"/>
    </row>
    <row r="666" spans="1:10" ht="13" x14ac:dyDescent="0.15">
      <c r="A666" s="4"/>
      <c r="B666" s="2"/>
      <c r="C666" s="2"/>
      <c r="D666" s="2"/>
      <c r="E666" s="3"/>
      <c r="F666" s="2"/>
      <c r="G666" s="2"/>
      <c r="H666" s="2"/>
      <c r="I666" s="2"/>
      <c r="J666" s="2"/>
    </row>
    <row r="667" spans="1:10" ht="13" x14ac:dyDescent="0.15">
      <c r="A667" s="4"/>
      <c r="B667" s="2"/>
      <c r="C667" s="2"/>
      <c r="D667" s="2"/>
      <c r="E667" s="3"/>
      <c r="F667" s="2"/>
      <c r="G667" s="2"/>
      <c r="H667" s="2"/>
      <c r="I667" s="2"/>
      <c r="J667" s="2"/>
    </row>
    <row r="668" spans="1:10" ht="13" x14ac:dyDescent="0.15">
      <c r="A668" s="4"/>
      <c r="B668" s="2"/>
      <c r="C668" s="2"/>
      <c r="D668" s="2"/>
      <c r="E668" s="3"/>
      <c r="F668" s="2"/>
      <c r="G668" s="2"/>
      <c r="H668" s="2"/>
      <c r="I668" s="2"/>
      <c r="J668" s="2"/>
    </row>
    <row r="669" spans="1:10" ht="13" x14ac:dyDescent="0.15">
      <c r="A669" s="4"/>
      <c r="B669" s="2"/>
      <c r="C669" s="2"/>
      <c r="D669" s="2"/>
      <c r="E669" s="3"/>
      <c r="F669" s="2"/>
      <c r="G669" s="2"/>
      <c r="H669" s="2"/>
      <c r="I669" s="2"/>
      <c r="J669" s="2"/>
    </row>
    <row r="670" spans="1:10" ht="13" x14ac:dyDescent="0.15">
      <c r="A670" s="4"/>
      <c r="B670" s="2"/>
      <c r="C670" s="2"/>
      <c r="D670" s="2"/>
      <c r="E670" s="3"/>
      <c r="F670" s="2"/>
      <c r="G670" s="2"/>
      <c r="H670" s="2"/>
      <c r="I670" s="2"/>
      <c r="J670" s="2"/>
    </row>
    <row r="671" spans="1:10" ht="13" x14ac:dyDescent="0.15">
      <c r="A671" s="4"/>
      <c r="B671" s="2"/>
      <c r="C671" s="2"/>
      <c r="D671" s="2"/>
      <c r="E671" s="3"/>
      <c r="F671" s="2"/>
      <c r="G671" s="2"/>
      <c r="H671" s="2"/>
      <c r="I671" s="2"/>
      <c r="J671" s="2"/>
    </row>
    <row r="672" spans="1:10" ht="13" x14ac:dyDescent="0.15">
      <c r="A672" s="4"/>
      <c r="B672" s="2"/>
      <c r="C672" s="2"/>
      <c r="D672" s="2"/>
      <c r="E672" s="3"/>
      <c r="F672" s="2"/>
      <c r="G672" s="2"/>
      <c r="H672" s="2"/>
      <c r="I672" s="2"/>
      <c r="J672" s="2"/>
    </row>
    <row r="673" spans="1:10" ht="13" x14ac:dyDescent="0.15">
      <c r="A673" s="4"/>
      <c r="B673" s="2"/>
      <c r="C673" s="2"/>
      <c r="D673" s="2"/>
      <c r="E673" s="3"/>
      <c r="F673" s="2"/>
      <c r="G673" s="2"/>
      <c r="H673" s="2"/>
      <c r="I673" s="2"/>
      <c r="J673" s="2"/>
    </row>
    <row r="674" spans="1:10" ht="13" x14ac:dyDescent="0.15">
      <c r="A674" s="4"/>
      <c r="B674" s="2"/>
      <c r="C674" s="2"/>
      <c r="D674" s="2"/>
      <c r="E674" s="3"/>
      <c r="F674" s="2"/>
      <c r="G674" s="2"/>
      <c r="H674" s="2"/>
      <c r="I674" s="2"/>
      <c r="J674" s="2"/>
    </row>
    <row r="675" spans="1:10" ht="13" x14ac:dyDescent="0.15">
      <c r="A675" s="4"/>
      <c r="B675" s="2"/>
      <c r="C675" s="2"/>
      <c r="D675" s="2"/>
      <c r="E675" s="3"/>
      <c r="F675" s="2"/>
      <c r="G675" s="2"/>
      <c r="H675" s="2"/>
      <c r="I675" s="2"/>
      <c r="J675" s="2"/>
    </row>
    <row r="676" spans="1:10" ht="13" x14ac:dyDescent="0.15">
      <c r="A676" s="4"/>
      <c r="B676" s="2"/>
      <c r="C676" s="2"/>
      <c r="D676" s="2"/>
      <c r="E676" s="3"/>
      <c r="F676" s="2"/>
      <c r="G676" s="2"/>
      <c r="H676" s="2"/>
      <c r="I676" s="2"/>
      <c r="J676" s="2"/>
    </row>
    <row r="677" spans="1:10" ht="13" x14ac:dyDescent="0.15">
      <c r="A677" s="4"/>
      <c r="B677" s="2"/>
      <c r="C677" s="2"/>
      <c r="D677" s="2"/>
      <c r="E677" s="3"/>
      <c r="F677" s="2"/>
      <c r="G677" s="2"/>
      <c r="H677" s="2"/>
      <c r="I677" s="2"/>
      <c r="J677" s="2"/>
    </row>
    <row r="678" spans="1:10" ht="13" x14ac:dyDescent="0.15">
      <c r="A678" s="4"/>
      <c r="B678" s="2"/>
      <c r="C678" s="2"/>
      <c r="D678" s="2"/>
      <c r="E678" s="3"/>
      <c r="F678" s="2"/>
      <c r="G678" s="2"/>
      <c r="H678" s="2"/>
      <c r="I678" s="2"/>
      <c r="J678" s="2"/>
    </row>
    <row r="679" spans="1:10" ht="13" x14ac:dyDescent="0.15">
      <c r="A679" s="4"/>
      <c r="B679" s="2"/>
      <c r="C679" s="2"/>
      <c r="D679" s="2"/>
      <c r="E679" s="3"/>
      <c r="F679" s="2"/>
      <c r="G679" s="2"/>
      <c r="H679" s="2"/>
      <c r="I679" s="2"/>
      <c r="J679" s="2"/>
    </row>
    <row r="680" spans="1:10" ht="13" x14ac:dyDescent="0.15">
      <c r="A680" s="4"/>
      <c r="B680" s="2"/>
      <c r="C680" s="2"/>
      <c r="D680" s="2"/>
      <c r="E680" s="3"/>
      <c r="F680" s="2"/>
      <c r="G680" s="2"/>
      <c r="H680" s="2"/>
      <c r="I680" s="2"/>
      <c r="J680" s="2"/>
    </row>
    <row r="681" spans="1:10" ht="13" x14ac:dyDescent="0.15">
      <c r="A681" s="4"/>
      <c r="B681" s="2"/>
      <c r="C681" s="2"/>
      <c r="D681" s="2"/>
      <c r="E681" s="3"/>
      <c r="F681" s="2"/>
      <c r="G681" s="2"/>
      <c r="H681" s="2"/>
      <c r="I681" s="2"/>
      <c r="J681" s="2"/>
    </row>
    <row r="682" spans="1:10" ht="13" x14ac:dyDescent="0.15">
      <c r="A682" s="4"/>
      <c r="B682" s="2"/>
      <c r="C682" s="2"/>
      <c r="D682" s="2"/>
      <c r="E682" s="3"/>
      <c r="F682" s="2"/>
      <c r="G682" s="2"/>
      <c r="H682" s="2"/>
      <c r="I682" s="2"/>
      <c r="J682" s="2"/>
    </row>
    <row r="683" spans="1:10" ht="13" x14ac:dyDescent="0.15">
      <c r="A683" s="4"/>
      <c r="B683" s="2"/>
      <c r="C683" s="2"/>
      <c r="D683" s="2"/>
      <c r="E683" s="3"/>
      <c r="F683" s="2"/>
      <c r="G683" s="2"/>
      <c r="H683" s="2"/>
      <c r="I683" s="2"/>
      <c r="J683" s="2"/>
    </row>
    <row r="684" spans="1:10" ht="13" x14ac:dyDescent="0.15">
      <c r="A684" s="4"/>
      <c r="B684" s="2"/>
      <c r="C684" s="2"/>
      <c r="D684" s="2"/>
      <c r="E684" s="3"/>
      <c r="F684" s="2"/>
      <c r="G684" s="2"/>
      <c r="H684" s="2"/>
      <c r="I684" s="2"/>
      <c r="J684" s="2"/>
    </row>
    <row r="685" spans="1:10" ht="13" x14ac:dyDescent="0.15">
      <c r="A685" s="4"/>
      <c r="B685" s="2"/>
      <c r="C685" s="2"/>
      <c r="D685" s="2"/>
      <c r="E685" s="3"/>
      <c r="F685" s="2"/>
      <c r="G685" s="2"/>
      <c r="H685" s="2"/>
      <c r="I685" s="2"/>
      <c r="J685" s="2"/>
    </row>
    <row r="686" spans="1:10" ht="13" x14ac:dyDescent="0.15">
      <c r="A686" s="4"/>
      <c r="B686" s="2"/>
      <c r="C686" s="2"/>
      <c r="D686" s="2"/>
      <c r="E686" s="3"/>
      <c r="F686" s="2"/>
      <c r="G686" s="2"/>
      <c r="H686" s="2"/>
      <c r="I686" s="2"/>
      <c r="J686" s="2"/>
    </row>
    <row r="687" spans="1:10" ht="13" x14ac:dyDescent="0.15">
      <c r="A687" s="4"/>
      <c r="B687" s="2"/>
      <c r="C687" s="2"/>
      <c r="D687" s="2"/>
      <c r="E687" s="3"/>
      <c r="F687" s="2"/>
      <c r="G687" s="2"/>
      <c r="H687" s="2"/>
      <c r="I687" s="2"/>
      <c r="J687" s="2"/>
    </row>
    <row r="688" spans="1:10" ht="13" x14ac:dyDescent="0.15">
      <c r="A688" s="4"/>
      <c r="B688" s="2"/>
      <c r="C688" s="2"/>
      <c r="D688" s="2"/>
      <c r="E688" s="3"/>
      <c r="F688" s="2"/>
      <c r="G688" s="2"/>
      <c r="H688" s="2"/>
      <c r="I688" s="2"/>
      <c r="J688" s="2"/>
    </row>
    <row r="689" spans="1:10" ht="13" x14ac:dyDescent="0.15">
      <c r="A689" s="4"/>
      <c r="B689" s="2"/>
      <c r="C689" s="2"/>
      <c r="D689" s="2"/>
      <c r="E689" s="3"/>
      <c r="F689" s="2"/>
      <c r="G689" s="2"/>
      <c r="H689" s="2"/>
      <c r="I689" s="2"/>
      <c r="J689" s="2"/>
    </row>
    <row r="690" spans="1:10" ht="13" x14ac:dyDescent="0.15">
      <c r="A690" s="4"/>
      <c r="B690" s="2"/>
      <c r="C690" s="2"/>
      <c r="D690" s="2"/>
      <c r="E690" s="3"/>
      <c r="F690" s="2"/>
      <c r="G690" s="2"/>
      <c r="H690" s="2"/>
      <c r="I690" s="2"/>
      <c r="J690" s="2"/>
    </row>
    <row r="691" spans="1:10" ht="13" x14ac:dyDescent="0.15">
      <c r="A691" s="4"/>
      <c r="B691" s="2"/>
      <c r="C691" s="2"/>
      <c r="D691" s="2"/>
      <c r="E691" s="3"/>
      <c r="F691" s="2"/>
      <c r="G691" s="2"/>
      <c r="H691" s="2"/>
      <c r="I691" s="2"/>
      <c r="J691" s="2"/>
    </row>
    <row r="692" spans="1:10" ht="13" x14ac:dyDescent="0.15">
      <c r="A692" s="4"/>
      <c r="B692" s="2"/>
      <c r="C692" s="2"/>
      <c r="D692" s="2"/>
      <c r="E692" s="3"/>
      <c r="F692" s="2"/>
      <c r="G692" s="2"/>
      <c r="H692" s="2"/>
      <c r="I692" s="2"/>
      <c r="J692" s="2"/>
    </row>
    <row r="693" spans="1:10" ht="13" x14ac:dyDescent="0.15">
      <c r="A693" s="4"/>
      <c r="B693" s="2"/>
      <c r="C693" s="2"/>
      <c r="D693" s="2"/>
      <c r="E693" s="3"/>
      <c r="F693" s="2"/>
      <c r="G693" s="2"/>
      <c r="H693" s="2"/>
      <c r="I693" s="2"/>
      <c r="J693" s="2"/>
    </row>
    <row r="694" spans="1:10" ht="13" x14ac:dyDescent="0.15">
      <c r="A694" s="4"/>
      <c r="B694" s="2"/>
      <c r="C694" s="2"/>
      <c r="D694" s="2"/>
      <c r="E694" s="3"/>
      <c r="F694" s="2"/>
      <c r="G694" s="2"/>
      <c r="H694" s="2"/>
      <c r="I694" s="2"/>
      <c r="J694" s="2"/>
    </row>
    <row r="695" spans="1:10" ht="13" x14ac:dyDescent="0.15">
      <c r="A695" s="4"/>
      <c r="B695" s="2"/>
      <c r="C695" s="2"/>
      <c r="D695" s="2"/>
      <c r="E695" s="3"/>
      <c r="F695" s="2"/>
      <c r="G695" s="2"/>
      <c r="H695" s="2"/>
      <c r="I695" s="2"/>
      <c r="J695" s="2"/>
    </row>
    <row r="696" spans="1:10" ht="13" x14ac:dyDescent="0.15">
      <c r="A696" s="4"/>
      <c r="B696" s="2"/>
      <c r="C696" s="2"/>
      <c r="D696" s="2"/>
      <c r="E696" s="3"/>
      <c r="F696" s="2"/>
      <c r="G696" s="2"/>
      <c r="H696" s="2"/>
      <c r="I696" s="2"/>
      <c r="J696" s="2"/>
    </row>
    <row r="697" spans="1:10" ht="13" x14ac:dyDescent="0.15">
      <c r="A697" s="4"/>
      <c r="B697" s="2"/>
      <c r="C697" s="2"/>
      <c r="D697" s="2"/>
      <c r="E697" s="3"/>
      <c r="F697" s="2"/>
      <c r="G697" s="2"/>
      <c r="H697" s="2"/>
      <c r="I697" s="2"/>
      <c r="J697" s="2"/>
    </row>
    <row r="698" spans="1:10" ht="13" x14ac:dyDescent="0.15">
      <c r="A698" s="4"/>
      <c r="B698" s="2"/>
      <c r="C698" s="2"/>
      <c r="D698" s="2"/>
      <c r="E698" s="3"/>
      <c r="F698" s="2"/>
      <c r="G698" s="2"/>
      <c r="H698" s="2"/>
      <c r="I698" s="2"/>
      <c r="J698" s="2"/>
    </row>
    <row r="699" spans="1:10" ht="13" x14ac:dyDescent="0.15">
      <c r="A699" s="4"/>
      <c r="B699" s="2"/>
      <c r="C699" s="2"/>
      <c r="D699" s="2"/>
      <c r="E699" s="3"/>
      <c r="F699" s="2"/>
      <c r="G699" s="2"/>
      <c r="H699" s="2"/>
      <c r="I699" s="2"/>
      <c r="J699" s="2"/>
    </row>
    <row r="700" spans="1:10" ht="13" x14ac:dyDescent="0.15">
      <c r="A700" s="4"/>
      <c r="B700" s="2"/>
      <c r="C700" s="2"/>
      <c r="D700" s="2"/>
      <c r="E700" s="3"/>
      <c r="F700" s="2"/>
      <c r="G700" s="2"/>
      <c r="H700" s="2"/>
      <c r="I700" s="2"/>
      <c r="J700" s="2"/>
    </row>
    <row r="701" spans="1:10" ht="13" x14ac:dyDescent="0.15">
      <c r="A701" s="4"/>
      <c r="B701" s="2"/>
      <c r="C701" s="2"/>
      <c r="D701" s="2"/>
      <c r="E701" s="3"/>
      <c r="F701" s="2"/>
      <c r="G701" s="2"/>
      <c r="H701" s="2"/>
      <c r="I701" s="2"/>
      <c r="J701" s="2"/>
    </row>
    <row r="702" spans="1:10" ht="13" x14ac:dyDescent="0.15">
      <c r="A702" s="4"/>
      <c r="B702" s="2"/>
      <c r="C702" s="2"/>
      <c r="D702" s="2"/>
      <c r="E702" s="3"/>
      <c r="F702" s="2"/>
      <c r="G702" s="2"/>
      <c r="H702" s="2"/>
      <c r="I702" s="2"/>
      <c r="J702" s="2"/>
    </row>
    <row r="703" spans="1:10" ht="13" x14ac:dyDescent="0.15">
      <c r="A703" s="4"/>
      <c r="B703" s="2"/>
      <c r="C703" s="2"/>
      <c r="D703" s="2"/>
      <c r="E703" s="3"/>
      <c r="F703" s="2"/>
      <c r="G703" s="2"/>
      <c r="H703" s="2"/>
      <c r="I703" s="2"/>
      <c r="J703" s="2"/>
    </row>
    <row r="704" spans="1:10" ht="13" x14ac:dyDescent="0.15">
      <c r="A704" s="4"/>
      <c r="B704" s="2"/>
      <c r="C704" s="2"/>
      <c r="D704" s="2"/>
      <c r="E704" s="3"/>
      <c r="F704" s="2"/>
      <c r="G704" s="2"/>
      <c r="H704" s="2"/>
      <c r="I704" s="2"/>
      <c r="J704" s="2"/>
    </row>
    <row r="705" spans="1:10" ht="13" x14ac:dyDescent="0.15">
      <c r="A705" s="4"/>
      <c r="B705" s="2"/>
      <c r="C705" s="2"/>
      <c r="D705" s="2"/>
      <c r="E705" s="3"/>
      <c r="F705" s="2"/>
      <c r="G705" s="2"/>
      <c r="H705" s="2"/>
      <c r="I705" s="2"/>
      <c r="J705" s="2"/>
    </row>
    <row r="706" spans="1:10" ht="13" x14ac:dyDescent="0.15">
      <c r="A706" s="4"/>
      <c r="B706" s="2"/>
      <c r="C706" s="2"/>
      <c r="D706" s="2"/>
      <c r="E706" s="3"/>
      <c r="F706" s="2"/>
      <c r="G706" s="2"/>
      <c r="H706" s="2"/>
      <c r="I706" s="2"/>
      <c r="J706" s="2"/>
    </row>
    <row r="707" spans="1:10" ht="13" x14ac:dyDescent="0.15">
      <c r="A707" s="4"/>
      <c r="B707" s="2"/>
      <c r="C707" s="2"/>
      <c r="D707" s="2"/>
      <c r="E707" s="3"/>
      <c r="F707" s="2"/>
      <c r="G707" s="2"/>
      <c r="H707" s="2"/>
      <c r="I707" s="2"/>
      <c r="J707" s="2"/>
    </row>
    <row r="708" spans="1:10" ht="13" x14ac:dyDescent="0.15">
      <c r="A708" s="4"/>
      <c r="B708" s="2"/>
      <c r="C708" s="2"/>
      <c r="D708" s="2"/>
      <c r="E708" s="3"/>
      <c r="F708" s="2"/>
      <c r="G708" s="2"/>
      <c r="H708" s="2"/>
      <c r="I708" s="2"/>
      <c r="J708" s="2"/>
    </row>
    <row r="709" spans="1:10" ht="13" x14ac:dyDescent="0.15">
      <c r="A709" s="4"/>
      <c r="B709" s="2"/>
      <c r="C709" s="2"/>
      <c r="D709" s="2"/>
      <c r="E709" s="3"/>
      <c r="F709" s="2"/>
      <c r="G709" s="2"/>
      <c r="H709" s="2"/>
      <c r="I709" s="2"/>
      <c r="J709" s="2"/>
    </row>
    <row r="710" spans="1:10" ht="13" x14ac:dyDescent="0.15">
      <c r="A710" s="4"/>
      <c r="B710" s="2"/>
      <c r="C710" s="2"/>
      <c r="D710" s="2"/>
      <c r="E710" s="3"/>
      <c r="F710" s="2"/>
      <c r="G710" s="2"/>
      <c r="H710" s="2"/>
      <c r="I710" s="2"/>
      <c r="J710" s="2"/>
    </row>
    <row r="711" spans="1:10" ht="13" x14ac:dyDescent="0.15">
      <c r="A711" s="4"/>
      <c r="B711" s="2"/>
      <c r="C711" s="2"/>
      <c r="D711" s="2"/>
      <c r="E711" s="3"/>
      <c r="F711" s="2"/>
      <c r="G711" s="2"/>
      <c r="H711" s="2"/>
      <c r="I711" s="2"/>
      <c r="J711" s="2"/>
    </row>
    <row r="712" spans="1:10" ht="13" x14ac:dyDescent="0.15">
      <c r="A712" s="4"/>
      <c r="B712" s="2"/>
      <c r="C712" s="2"/>
      <c r="D712" s="2"/>
      <c r="E712" s="3"/>
      <c r="F712" s="2"/>
      <c r="G712" s="2"/>
      <c r="H712" s="2"/>
      <c r="I712" s="2"/>
      <c r="J712" s="2"/>
    </row>
    <row r="713" spans="1:10" ht="13" x14ac:dyDescent="0.15">
      <c r="A713" s="4"/>
      <c r="B713" s="2"/>
      <c r="C713" s="2"/>
      <c r="D713" s="2"/>
      <c r="E713" s="3"/>
      <c r="F713" s="2"/>
      <c r="G713" s="2"/>
      <c r="H713" s="2"/>
      <c r="I713" s="2"/>
      <c r="J713" s="2"/>
    </row>
    <row r="714" spans="1:10" ht="13" x14ac:dyDescent="0.15">
      <c r="A714" s="4"/>
      <c r="B714" s="2"/>
      <c r="C714" s="2"/>
      <c r="D714" s="2"/>
      <c r="E714" s="3"/>
      <c r="F714" s="2"/>
      <c r="G714" s="2"/>
      <c r="H714" s="2"/>
      <c r="I714" s="2"/>
      <c r="J714" s="2"/>
    </row>
    <row r="715" spans="1:10" ht="13" x14ac:dyDescent="0.15">
      <c r="A715" s="4"/>
      <c r="B715" s="2"/>
      <c r="C715" s="2"/>
      <c r="D715" s="2"/>
      <c r="E715" s="3"/>
      <c r="F715" s="2"/>
      <c r="G715" s="2"/>
      <c r="H715" s="2"/>
      <c r="I715" s="2"/>
      <c r="J715" s="2"/>
    </row>
    <row r="716" spans="1:10" ht="13" x14ac:dyDescent="0.15">
      <c r="A716" s="4"/>
      <c r="B716" s="2"/>
      <c r="C716" s="2"/>
      <c r="D716" s="2"/>
      <c r="E716" s="3"/>
      <c r="F716" s="2"/>
      <c r="G716" s="2"/>
      <c r="H716" s="2"/>
      <c r="I716" s="2"/>
      <c r="J716" s="2"/>
    </row>
    <row r="717" spans="1:10" ht="13" x14ac:dyDescent="0.15">
      <c r="A717" s="4"/>
      <c r="B717" s="2"/>
      <c r="C717" s="2"/>
      <c r="D717" s="2"/>
      <c r="E717" s="3"/>
      <c r="F717" s="2"/>
      <c r="G717" s="2"/>
      <c r="H717" s="2"/>
      <c r="I717" s="2"/>
      <c r="J717" s="2"/>
    </row>
    <row r="718" spans="1:10" ht="13" x14ac:dyDescent="0.15">
      <c r="A718" s="4"/>
      <c r="B718" s="2"/>
      <c r="C718" s="2"/>
      <c r="D718" s="2"/>
      <c r="E718" s="3"/>
      <c r="F718" s="2"/>
      <c r="G718" s="2"/>
      <c r="H718" s="2"/>
      <c r="I718" s="2"/>
      <c r="J718" s="2"/>
    </row>
    <row r="719" spans="1:10" ht="13" x14ac:dyDescent="0.15">
      <c r="A719" s="4"/>
      <c r="B719" s="2"/>
      <c r="C719" s="2"/>
      <c r="D719" s="2"/>
      <c r="E719" s="3"/>
      <c r="F719" s="2"/>
      <c r="G719" s="2"/>
      <c r="H719" s="2"/>
      <c r="I719" s="2"/>
      <c r="J719" s="2"/>
    </row>
    <row r="720" spans="1:10" ht="13" x14ac:dyDescent="0.15">
      <c r="A720" s="4"/>
      <c r="B720" s="2"/>
      <c r="C720" s="2"/>
      <c r="D720" s="2"/>
      <c r="E720" s="3"/>
      <c r="F720" s="2"/>
      <c r="G720" s="2"/>
      <c r="H720" s="2"/>
      <c r="I720" s="2"/>
      <c r="J720" s="2"/>
    </row>
    <row r="721" spans="1:10" ht="13" x14ac:dyDescent="0.15">
      <c r="A721" s="4"/>
      <c r="B721" s="2"/>
      <c r="C721" s="2"/>
      <c r="D721" s="2"/>
      <c r="E721" s="3"/>
      <c r="F721" s="2"/>
      <c r="G721" s="2"/>
      <c r="H721" s="2"/>
      <c r="I721" s="2"/>
      <c r="J721" s="2"/>
    </row>
    <row r="722" spans="1:10" ht="13" x14ac:dyDescent="0.15">
      <c r="A722" s="4"/>
      <c r="B722" s="2"/>
      <c r="C722" s="2"/>
      <c r="D722" s="2"/>
      <c r="E722" s="3"/>
      <c r="F722" s="2"/>
      <c r="G722" s="2"/>
      <c r="H722" s="2"/>
      <c r="I722" s="2"/>
      <c r="J722" s="2"/>
    </row>
    <row r="723" spans="1:10" ht="13" x14ac:dyDescent="0.15">
      <c r="A723" s="4"/>
      <c r="B723" s="2"/>
      <c r="C723" s="2"/>
      <c r="D723" s="2"/>
      <c r="E723" s="3"/>
      <c r="F723" s="2"/>
      <c r="G723" s="2"/>
      <c r="H723" s="2"/>
      <c r="I723" s="2"/>
      <c r="J723" s="2"/>
    </row>
    <row r="724" spans="1:10" ht="13" x14ac:dyDescent="0.15">
      <c r="A724" s="4"/>
      <c r="B724" s="2"/>
      <c r="C724" s="2"/>
      <c r="D724" s="2"/>
      <c r="E724" s="3"/>
      <c r="F724" s="2"/>
      <c r="G724" s="2"/>
      <c r="H724" s="2"/>
      <c r="I724" s="2"/>
      <c r="J724" s="2"/>
    </row>
    <row r="725" spans="1:10" ht="13" x14ac:dyDescent="0.15">
      <c r="A725" s="4"/>
      <c r="B725" s="2"/>
      <c r="C725" s="2"/>
      <c r="D725" s="2"/>
      <c r="E725" s="3"/>
      <c r="F725" s="2"/>
      <c r="G725" s="2"/>
      <c r="H725" s="2"/>
      <c r="I725" s="2"/>
      <c r="J725" s="2"/>
    </row>
    <row r="726" spans="1:10" ht="13" x14ac:dyDescent="0.15">
      <c r="A726" s="4"/>
      <c r="B726" s="2"/>
      <c r="C726" s="2"/>
      <c r="D726" s="2"/>
      <c r="E726" s="3"/>
      <c r="F726" s="2"/>
      <c r="G726" s="2"/>
      <c r="H726" s="2"/>
      <c r="I726" s="2"/>
      <c r="J726" s="2"/>
    </row>
    <row r="727" spans="1:10" ht="13" x14ac:dyDescent="0.15">
      <c r="A727" s="4"/>
      <c r="B727" s="2"/>
      <c r="C727" s="2"/>
      <c r="D727" s="2"/>
      <c r="E727" s="3"/>
      <c r="F727" s="2"/>
      <c r="G727" s="2"/>
      <c r="H727" s="2"/>
      <c r="I727" s="2"/>
      <c r="J727" s="2"/>
    </row>
    <row r="728" spans="1:10" ht="13" x14ac:dyDescent="0.15">
      <c r="A728" s="4"/>
      <c r="B728" s="2"/>
      <c r="C728" s="2"/>
      <c r="D728" s="2"/>
      <c r="E728" s="3"/>
      <c r="F728" s="2"/>
      <c r="G728" s="2"/>
      <c r="H728" s="2"/>
      <c r="I728" s="2"/>
      <c r="J728" s="2"/>
    </row>
    <row r="729" spans="1:10" ht="13" x14ac:dyDescent="0.15">
      <c r="A729" s="4"/>
      <c r="B729" s="2"/>
      <c r="C729" s="2"/>
      <c r="D729" s="2"/>
      <c r="E729" s="3"/>
      <c r="F729" s="2"/>
      <c r="G729" s="2"/>
      <c r="H729" s="2"/>
      <c r="I729" s="2"/>
      <c r="J729" s="2"/>
    </row>
    <row r="730" spans="1:10" ht="13" x14ac:dyDescent="0.15">
      <c r="A730" s="4"/>
      <c r="B730" s="2"/>
      <c r="C730" s="2"/>
      <c r="D730" s="2"/>
      <c r="E730" s="3"/>
      <c r="F730" s="2"/>
      <c r="G730" s="2"/>
      <c r="H730" s="2"/>
      <c r="I730" s="2"/>
      <c r="J730" s="2"/>
    </row>
    <row r="731" spans="1:10" ht="13" x14ac:dyDescent="0.15">
      <c r="A731" s="4"/>
      <c r="B731" s="2"/>
      <c r="C731" s="2"/>
      <c r="D731" s="2"/>
      <c r="E731" s="3"/>
      <c r="F731" s="2"/>
      <c r="G731" s="2"/>
      <c r="H731" s="2"/>
      <c r="I731" s="2"/>
      <c r="J731" s="2"/>
    </row>
    <row r="732" spans="1:10" ht="13" x14ac:dyDescent="0.15">
      <c r="A732" s="4"/>
      <c r="B732" s="2"/>
      <c r="C732" s="2"/>
      <c r="D732" s="2"/>
      <c r="E732" s="3"/>
      <c r="F732" s="2"/>
      <c r="G732" s="2"/>
      <c r="H732" s="2"/>
      <c r="I732" s="2"/>
      <c r="J732" s="2"/>
    </row>
    <row r="733" spans="1:10" ht="13" x14ac:dyDescent="0.15">
      <c r="A733" s="4"/>
      <c r="B733" s="2"/>
      <c r="C733" s="2"/>
      <c r="D733" s="2"/>
      <c r="E733" s="3"/>
      <c r="F733" s="2"/>
      <c r="G733" s="2"/>
      <c r="H733" s="2"/>
      <c r="I733" s="2"/>
      <c r="J733" s="2"/>
    </row>
    <row r="734" spans="1:10" ht="13" x14ac:dyDescent="0.15">
      <c r="A734" s="4"/>
      <c r="B734" s="2"/>
      <c r="C734" s="2"/>
      <c r="D734" s="2"/>
      <c r="E734" s="3"/>
      <c r="F734" s="2"/>
      <c r="G734" s="2"/>
      <c r="H734" s="2"/>
      <c r="I734" s="2"/>
      <c r="J734" s="2"/>
    </row>
    <row r="735" spans="1:10" ht="13" x14ac:dyDescent="0.15">
      <c r="A735" s="4"/>
      <c r="B735" s="2"/>
      <c r="C735" s="2"/>
      <c r="D735" s="2"/>
      <c r="E735" s="3"/>
      <c r="F735" s="2"/>
      <c r="G735" s="2"/>
      <c r="H735" s="2"/>
      <c r="I735" s="2"/>
      <c r="J735" s="2"/>
    </row>
    <row r="736" spans="1:10" ht="13" x14ac:dyDescent="0.15">
      <c r="A736" s="4"/>
      <c r="B736" s="2"/>
      <c r="C736" s="2"/>
      <c r="D736" s="2"/>
      <c r="E736" s="3"/>
      <c r="F736" s="2"/>
      <c r="G736" s="2"/>
      <c r="H736" s="2"/>
      <c r="I736" s="2"/>
      <c r="J736" s="2"/>
    </row>
    <row r="737" spans="1:10" ht="13" x14ac:dyDescent="0.15">
      <c r="A737" s="4"/>
      <c r="B737" s="2"/>
      <c r="C737" s="2"/>
      <c r="D737" s="2"/>
      <c r="E737" s="3"/>
      <c r="F737" s="2"/>
      <c r="G737" s="2"/>
      <c r="H737" s="2"/>
      <c r="I737" s="2"/>
      <c r="J737" s="2"/>
    </row>
    <row r="738" spans="1:10" ht="13" x14ac:dyDescent="0.15">
      <c r="A738" s="4"/>
      <c r="B738" s="2"/>
      <c r="C738" s="2"/>
      <c r="D738" s="2"/>
      <c r="E738" s="3"/>
      <c r="F738" s="2"/>
      <c r="G738" s="2"/>
      <c r="H738" s="2"/>
      <c r="I738" s="2"/>
      <c r="J738" s="2"/>
    </row>
    <row r="739" spans="1:10" ht="13" x14ac:dyDescent="0.15">
      <c r="A739" s="4"/>
      <c r="B739" s="2"/>
      <c r="C739" s="2"/>
      <c r="D739" s="2"/>
      <c r="E739" s="3"/>
      <c r="F739" s="2"/>
      <c r="G739" s="2"/>
      <c r="H739" s="2"/>
      <c r="I739" s="2"/>
      <c r="J739" s="2"/>
    </row>
    <row r="740" spans="1:10" ht="13" x14ac:dyDescent="0.15">
      <c r="A740" s="4"/>
      <c r="B740" s="2"/>
      <c r="C740" s="2"/>
      <c r="D740" s="2"/>
      <c r="E740" s="3"/>
      <c r="F740" s="2"/>
      <c r="G740" s="2"/>
      <c r="H740" s="2"/>
      <c r="I740" s="2"/>
      <c r="J740" s="2"/>
    </row>
    <row r="741" spans="1:10" ht="13" x14ac:dyDescent="0.15">
      <c r="A741" s="4"/>
      <c r="B741" s="2"/>
      <c r="C741" s="2"/>
      <c r="D741" s="2"/>
      <c r="E741" s="3"/>
      <c r="F741" s="2"/>
      <c r="G741" s="2"/>
      <c r="H741" s="2"/>
      <c r="I741" s="2"/>
      <c r="J741" s="2"/>
    </row>
    <row r="742" spans="1:10" ht="13" x14ac:dyDescent="0.15">
      <c r="A742" s="4"/>
      <c r="B742" s="2"/>
      <c r="C742" s="2"/>
      <c r="D742" s="2"/>
      <c r="E742" s="3"/>
      <c r="F742" s="2"/>
      <c r="G742" s="2"/>
      <c r="H742" s="2"/>
      <c r="I742" s="2"/>
      <c r="J742" s="2"/>
    </row>
    <row r="743" spans="1:10" ht="13" x14ac:dyDescent="0.15">
      <c r="A743" s="4"/>
      <c r="B743" s="2"/>
      <c r="C743" s="2"/>
      <c r="D743" s="2"/>
      <c r="E743" s="3"/>
      <c r="F743" s="2"/>
      <c r="G743" s="2"/>
      <c r="H743" s="2"/>
      <c r="I743" s="2"/>
      <c r="J743" s="2"/>
    </row>
    <row r="744" spans="1:10" ht="13" x14ac:dyDescent="0.15">
      <c r="A744" s="4"/>
      <c r="B744" s="2"/>
      <c r="C744" s="2"/>
      <c r="D744" s="2"/>
      <c r="E744" s="3"/>
      <c r="F744" s="2"/>
      <c r="G744" s="2"/>
      <c r="H744" s="2"/>
      <c r="I744" s="2"/>
      <c r="J744" s="2"/>
    </row>
    <row r="745" spans="1:10" ht="13" x14ac:dyDescent="0.15">
      <c r="A745" s="4"/>
      <c r="B745" s="2"/>
      <c r="C745" s="2"/>
      <c r="D745" s="2"/>
      <c r="E745" s="3"/>
      <c r="F745" s="2"/>
      <c r="G745" s="2"/>
      <c r="H745" s="2"/>
      <c r="I745" s="2"/>
      <c r="J745" s="2"/>
    </row>
    <row r="746" spans="1:10" ht="13" x14ac:dyDescent="0.15">
      <c r="A746" s="4"/>
      <c r="B746" s="2"/>
      <c r="C746" s="2"/>
      <c r="D746" s="2"/>
      <c r="E746" s="3"/>
      <c r="F746" s="2"/>
      <c r="G746" s="2"/>
      <c r="H746" s="2"/>
      <c r="I746" s="2"/>
      <c r="J746" s="2"/>
    </row>
    <row r="747" spans="1:10" ht="13" x14ac:dyDescent="0.15">
      <c r="A747" s="4"/>
      <c r="B747" s="2"/>
      <c r="C747" s="2"/>
      <c r="D747" s="2"/>
      <c r="E747" s="3"/>
      <c r="F747" s="2"/>
      <c r="G747" s="2"/>
      <c r="H747" s="2"/>
      <c r="I747" s="2"/>
      <c r="J747" s="2"/>
    </row>
    <row r="748" spans="1:10" ht="13" x14ac:dyDescent="0.15">
      <c r="A748" s="4"/>
      <c r="B748" s="2"/>
      <c r="C748" s="2"/>
      <c r="D748" s="2"/>
      <c r="E748" s="3"/>
      <c r="F748" s="2"/>
      <c r="G748" s="2"/>
      <c r="H748" s="2"/>
      <c r="I748" s="2"/>
      <c r="J748" s="2"/>
    </row>
    <row r="749" spans="1:10" ht="13" x14ac:dyDescent="0.15">
      <c r="A749" s="4"/>
      <c r="B749" s="2"/>
      <c r="C749" s="2"/>
      <c r="D749" s="2"/>
      <c r="E749" s="3"/>
      <c r="F749" s="2"/>
      <c r="G749" s="2"/>
      <c r="H749" s="2"/>
      <c r="I749" s="2"/>
      <c r="J749" s="2"/>
    </row>
    <row r="750" spans="1:10" ht="13" x14ac:dyDescent="0.15">
      <c r="A750" s="4"/>
      <c r="B750" s="2"/>
      <c r="C750" s="2"/>
      <c r="D750" s="2"/>
      <c r="E750" s="3"/>
      <c r="F750" s="2"/>
      <c r="G750" s="2"/>
      <c r="H750" s="2"/>
      <c r="I750" s="2"/>
      <c r="J750" s="2"/>
    </row>
    <row r="751" spans="1:10" ht="13" x14ac:dyDescent="0.15">
      <c r="A751" s="4"/>
      <c r="B751" s="2"/>
      <c r="C751" s="2"/>
      <c r="D751" s="2"/>
      <c r="E751" s="3"/>
      <c r="F751" s="2"/>
      <c r="G751" s="2"/>
      <c r="H751" s="2"/>
      <c r="I751" s="2"/>
      <c r="J751" s="2"/>
    </row>
    <row r="752" spans="1:10" ht="13" x14ac:dyDescent="0.15">
      <c r="A752" s="4"/>
      <c r="B752" s="2"/>
      <c r="C752" s="2"/>
      <c r="D752" s="2"/>
      <c r="E752" s="3"/>
      <c r="F752" s="2"/>
      <c r="G752" s="2"/>
      <c r="H752" s="2"/>
      <c r="I752" s="2"/>
      <c r="J752" s="2"/>
    </row>
    <row r="753" spans="1:10" ht="13" x14ac:dyDescent="0.15">
      <c r="A753" s="4"/>
      <c r="B753" s="2"/>
      <c r="C753" s="2"/>
      <c r="D753" s="2"/>
      <c r="E753" s="3"/>
      <c r="F753" s="2"/>
      <c r="G753" s="2"/>
      <c r="H753" s="2"/>
      <c r="I753" s="2"/>
      <c r="J753" s="2"/>
    </row>
    <row r="754" spans="1:10" ht="13" x14ac:dyDescent="0.15">
      <c r="A754" s="4"/>
      <c r="B754" s="2"/>
      <c r="C754" s="2"/>
      <c r="D754" s="2"/>
      <c r="E754" s="3"/>
      <c r="F754" s="2"/>
      <c r="G754" s="2"/>
      <c r="H754" s="2"/>
      <c r="I754" s="2"/>
      <c r="J754" s="2"/>
    </row>
    <row r="755" spans="1:10" ht="13" x14ac:dyDescent="0.15">
      <c r="A755" s="4"/>
      <c r="B755" s="2"/>
      <c r="C755" s="2"/>
      <c r="D755" s="2"/>
      <c r="E755" s="3"/>
      <c r="F755" s="2"/>
      <c r="G755" s="2"/>
      <c r="H755" s="2"/>
      <c r="I755" s="2"/>
      <c r="J755" s="2"/>
    </row>
    <row r="756" spans="1:10" ht="13" x14ac:dyDescent="0.15">
      <c r="A756" s="4"/>
      <c r="B756" s="2"/>
      <c r="C756" s="2"/>
      <c r="D756" s="2"/>
      <c r="E756" s="3"/>
      <c r="F756" s="2"/>
      <c r="G756" s="2"/>
      <c r="H756" s="2"/>
      <c r="I756" s="2"/>
      <c r="J756" s="2"/>
    </row>
    <row r="757" spans="1:10" ht="13" x14ac:dyDescent="0.15">
      <c r="A757" s="4"/>
      <c r="B757" s="2"/>
      <c r="C757" s="2"/>
      <c r="D757" s="2"/>
      <c r="E757" s="3"/>
      <c r="F757" s="2"/>
      <c r="G757" s="2"/>
      <c r="H757" s="2"/>
      <c r="I757" s="2"/>
      <c r="J757" s="2"/>
    </row>
    <row r="758" spans="1:10" ht="13" x14ac:dyDescent="0.15">
      <c r="A758" s="4"/>
      <c r="B758" s="2"/>
      <c r="C758" s="2"/>
      <c r="D758" s="2"/>
      <c r="E758" s="3"/>
      <c r="F758" s="2"/>
      <c r="G758" s="2"/>
      <c r="H758" s="2"/>
      <c r="I758" s="2"/>
      <c r="J758" s="2"/>
    </row>
    <row r="759" spans="1:10" ht="13" x14ac:dyDescent="0.15">
      <c r="A759" s="4"/>
      <c r="B759" s="2"/>
      <c r="C759" s="2"/>
      <c r="D759" s="2"/>
      <c r="E759" s="3"/>
      <c r="F759" s="2"/>
      <c r="G759" s="2"/>
      <c r="H759" s="2"/>
      <c r="I759" s="2"/>
      <c r="J759" s="2"/>
    </row>
    <row r="760" spans="1:10" ht="13" x14ac:dyDescent="0.15">
      <c r="A760" s="4"/>
      <c r="B760" s="2"/>
      <c r="C760" s="2"/>
      <c r="D760" s="2"/>
      <c r="E760" s="3"/>
      <c r="F760" s="2"/>
      <c r="G760" s="2"/>
      <c r="H760" s="2"/>
      <c r="I760" s="2"/>
      <c r="J760" s="2"/>
    </row>
    <row r="761" spans="1:10" ht="13" x14ac:dyDescent="0.15">
      <c r="A761" s="4"/>
      <c r="B761" s="2"/>
      <c r="C761" s="2"/>
      <c r="D761" s="2"/>
      <c r="E761" s="3"/>
      <c r="F761" s="2"/>
      <c r="G761" s="2"/>
      <c r="H761" s="2"/>
      <c r="I761" s="2"/>
      <c r="J761" s="2"/>
    </row>
    <row r="762" spans="1:10" ht="13" x14ac:dyDescent="0.15">
      <c r="A762" s="4"/>
      <c r="B762" s="2"/>
      <c r="C762" s="2"/>
      <c r="D762" s="2"/>
      <c r="E762" s="3"/>
      <c r="F762" s="2"/>
      <c r="G762" s="2"/>
      <c r="H762" s="2"/>
      <c r="I762" s="2"/>
      <c r="J762" s="2"/>
    </row>
    <row r="763" spans="1:10" ht="13" x14ac:dyDescent="0.15">
      <c r="A763" s="4"/>
      <c r="B763" s="2"/>
      <c r="C763" s="2"/>
      <c r="D763" s="2"/>
      <c r="E763" s="3"/>
      <c r="F763" s="2"/>
      <c r="G763" s="2"/>
      <c r="H763" s="2"/>
      <c r="I763" s="2"/>
      <c r="J763" s="2"/>
    </row>
    <row r="764" spans="1:10" ht="13" x14ac:dyDescent="0.15">
      <c r="A764" s="4"/>
      <c r="B764" s="2"/>
      <c r="C764" s="2"/>
      <c r="D764" s="2"/>
      <c r="E764" s="3"/>
      <c r="F764" s="2"/>
      <c r="G764" s="2"/>
      <c r="H764" s="2"/>
      <c r="I764" s="2"/>
      <c r="J764" s="2"/>
    </row>
    <row r="765" spans="1:10" ht="13" x14ac:dyDescent="0.15">
      <c r="A765" s="4"/>
      <c r="B765" s="2"/>
      <c r="C765" s="2"/>
      <c r="D765" s="2"/>
      <c r="E765" s="3"/>
      <c r="F765" s="2"/>
      <c r="G765" s="2"/>
      <c r="H765" s="2"/>
      <c r="I765" s="2"/>
      <c r="J765" s="2"/>
    </row>
    <row r="766" spans="1:10" ht="13" x14ac:dyDescent="0.15">
      <c r="A766" s="4"/>
      <c r="B766" s="2"/>
      <c r="C766" s="2"/>
      <c r="D766" s="2"/>
      <c r="E766" s="3"/>
      <c r="F766" s="2"/>
      <c r="G766" s="2"/>
      <c r="H766" s="2"/>
      <c r="I766" s="2"/>
      <c r="J766" s="2"/>
    </row>
    <row r="767" spans="1:10" ht="13" x14ac:dyDescent="0.15">
      <c r="A767" s="4"/>
      <c r="B767" s="2"/>
      <c r="C767" s="2"/>
      <c r="D767" s="2"/>
      <c r="E767" s="3"/>
      <c r="F767" s="2"/>
      <c r="G767" s="2"/>
      <c r="H767" s="2"/>
      <c r="I767" s="2"/>
      <c r="J767" s="2"/>
    </row>
    <row r="768" spans="1:10" ht="13" x14ac:dyDescent="0.15">
      <c r="A768" s="4"/>
      <c r="B768" s="2"/>
      <c r="C768" s="2"/>
      <c r="D768" s="2"/>
      <c r="E768" s="3"/>
      <c r="F768" s="2"/>
      <c r="G768" s="2"/>
      <c r="H768" s="2"/>
      <c r="I768" s="2"/>
      <c r="J768" s="2"/>
    </row>
    <row r="769" spans="1:10" ht="13" x14ac:dyDescent="0.15">
      <c r="A769" s="4"/>
      <c r="B769" s="2"/>
      <c r="C769" s="2"/>
      <c r="D769" s="2"/>
      <c r="E769" s="3"/>
      <c r="F769" s="2"/>
      <c r="G769" s="2"/>
      <c r="H769" s="2"/>
      <c r="I769" s="2"/>
      <c r="J769" s="2"/>
    </row>
    <row r="770" spans="1:10" ht="13" x14ac:dyDescent="0.15">
      <c r="A770" s="4"/>
      <c r="B770" s="2"/>
      <c r="C770" s="2"/>
      <c r="D770" s="2"/>
      <c r="E770" s="3"/>
      <c r="F770" s="2"/>
      <c r="G770" s="2"/>
      <c r="H770" s="2"/>
      <c r="I770" s="2"/>
      <c r="J770" s="2"/>
    </row>
    <row r="771" spans="1:10" ht="13" x14ac:dyDescent="0.15">
      <c r="A771" s="4"/>
      <c r="B771" s="2"/>
      <c r="C771" s="2"/>
      <c r="D771" s="2"/>
      <c r="E771" s="3"/>
      <c r="F771" s="2"/>
      <c r="G771" s="2"/>
      <c r="H771" s="2"/>
      <c r="I771" s="2"/>
      <c r="J771" s="2"/>
    </row>
    <row r="772" spans="1:10" ht="13" x14ac:dyDescent="0.15">
      <c r="A772" s="4"/>
      <c r="B772" s="2"/>
      <c r="C772" s="2"/>
      <c r="D772" s="2"/>
      <c r="E772" s="3"/>
      <c r="F772" s="2"/>
      <c r="G772" s="2"/>
      <c r="H772" s="2"/>
      <c r="I772" s="2"/>
      <c r="J772" s="2"/>
    </row>
    <row r="773" spans="1:10" ht="13" x14ac:dyDescent="0.15">
      <c r="A773" s="4"/>
      <c r="B773" s="2"/>
      <c r="C773" s="2"/>
      <c r="D773" s="2"/>
      <c r="E773" s="3"/>
      <c r="F773" s="2"/>
      <c r="G773" s="2"/>
      <c r="H773" s="2"/>
      <c r="I773" s="2"/>
      <c r="J773" s="2"/>
    </row>
    <row r="774" spans="1:10" ht="13" x14ac:dyDescent="0.15">
      <c r="A774" s="4"/>
      <c r="B774" s="2"/>
      <c r="C774" s="2"/>
      <c r="D774" s="2"/>
      <c r="E774" s="3"/>
      <c r="F774" s="2"/>
      <c r="G774" s="2"/>
      <c r="H774" s="2"/>
      <c r="I774" s="2"/>
      <c r="J774" s="2"/>
    </row>
    <row r="775" spans="1:10" ht="13" x14ac:dyDescent="0.15">
      <c r="A775" s="4"/>
      <c r="B775" s="2"/>
      <c r="C775" s="2"/>
      <c r="D775" s="2"/>
      <c r="E775" s="3"/>
      <c r="F775" s="2"/>
      <c r="G775" s="2"/>
      <c r="H775" s="2"/>
      <c r="I775" s="2"/>
      <c r="J775" s="2"/>
    </row>
    <row r="776" spans="1:10" ht="13" x14ac:dyDescent="0.15">
      <c r="A776" s="4"/>
      <c r="B776" s="2"/>
      <c r="C776" s="2"/>
      <c r="D776" s="2"/>
      <c r="E776" s="3"/>
      <c r="F776" s="2"/>
      <c r="G776" s="2"/>
      <c r="H776" s="2"/>
      <c r="I776" s="2"/>
      <c r="J776" s="2"/>
    </row>
    <row r="777" spans="1:10" ht="13" x14ac:dyDescent="0.15">
      <c r="A777" s="4"/>
      <c r="B777" s="2"/>
      <c r="C777" s="2"/>
      <c r="D777" s="2"/>
      <c r="E777" s="3"/>
      <c r="F777" s="2"/>
      <c r="G777" s="2"/>
      <c r="H777" s="2"/>
      <c r="I777" s="2"/>
      <c r="J777" s="2"/>
    </row>
    <row r="778" spans="1:10" ht="13" x14ac:dyDescent="0.15">
      <c r="A778" s="4"/>
      <c r="B778" s="2"/>
      <c r="C778" s="2"/>
      <c r="D778" s="2"/>
      <c r="E778" s="3"/>
      <c r="F778" s="2"/>
      <c r="G778" s="2"/>
      <c r="H778" s="2"/>
      <c r="I778" s="2"/>
      <c r="J778" s="2"/>
    </row>
    <row r="779" spans="1:10" ht="13" x14ac:dyDescent="0.15">
      <c r="A779" s="4"/>
      <c r="B779" s="2"/>
      <c r="C779" s="2"/>
      <c r="D779" s="2"/>
      <c r="E779" s="3"/>
      <c r="F779" s="2"/>
      <c r="G779" s="2"/>
      <c r="H779" s="2"/>
      <c r="I779" s="2"/>
      <c r="J779" s="2"/>
    </row>
    <row r="780" spans="1:10" ht="13" x14ac:dyDescent="0.15">
      <c r="A780" s="4"/>
      <c r="B780" s="2"/>
      <c r="C780" s="2"/>
      <c r="D780" s="2"/>
      <c r="E780" s="3"/>
      <c r="F780" s="2"/>
      <c r="G780" s="2"/>
      <c r="H780" s="2"/>
      <c r="I780" s="2"/>
      <c r="J780" s="2"/>
    </row>
    <row r="781" spans="1:10" ht="13" x14ac:dyDescent="0.15">
      <c r="A781" s="4"/>
      <c r="B781" s="2"/>
      <c r="C781" s="2"/>
      <c r="D781" s="2"/>
      <c r="E781" s="3"/>
      <c r="F781" s="2"/>
      <c r="G781" s="2"/>
      <c r="H781" s="2"/>
      <c r="I781" s="2"/>
      <c r="J781" s="2"/>
    </row>
    <row r="782" spans="1:10" ht="13" x14ac:dyDescent="0.15">
      <c r="A782" s="4"/>
      <c r="B782" s="2"/>
      <c r="C782" s="2"/>
      <c r="D782" s="2"/>
      <c r="E782" s="3"/>
      <c r="F782" s="2"/>
      <c r="G782" s="2"/>
      <c r="H782" s="2"/>
      <c r="I782" s="2"/>
      <c r="J782" s="2"/>
    </row>
    <row r="783" spans="1:10" ht="13" x14ac:dyDescent="0.15">
      <c r="A783" s="4"/>
      <c r="B783" s="2"/>
      <c r="C783" s="2"/>
      <c r="D783" s="2"/>
      <c r="E783" s="3"/>
      <c r="F783" s="2"/>
      <c r="G783" s="2"/>
      <c r="H783" s="2"/>
      <c r="I783" s="2"/>
      <c r="J783" s="2"/>
    </row>
    <row r="784" spans="1:10" ht="13" x14ac:dyDescent="0.15">
      <c r="A784" s="4"/>
      <c r="B784" s="2"/>
      <c r="C784" s="2"/>
      <c r="D784" s="2"/>
      <c r="E784" s="3"/>
      <c r="F784" s="2"/>
      <c r="G784" s="2"/>
      <c r="H784" s="2"/>
      <c r="I784" s="2"/>
      <c r="J784" s="2"/>
    </row>
    <row r="785" spans="1:10" ht="13" x14ac:dyDescent="0.15">
      <c r="A785" s="4"/>
      <c r="B785" s="2"/>
      <c r="C785" s="2"/>
      <c r="D785" s="2"/>
      <c r="E785" s="3"/>
      <c r="F785" s="2"/>
      <c r="G785" s="2"/>
      <c r="H785" s="2"/>
      <c r="I785" s="2"/>
      <c r="J785" s="2"/>
    </row>
    <row r="786" spans="1:10" ht="13" x14ac:dyDescent="0.15">
      <c r="A786" s="4"/>
      <c r="B786" s="2"/>
      <c r="C786" s="2"/>
      <c r="D786" s="2"/>
      <c r="E786" s="3"/>
      <c r="F786" s="2"/>
      <c r="G786" s="2"/>
      <c r="H786" s="2"/>
      <c r="I786" s="2"/>
      <c r="J786" s="2"/>
    </row>
    <row r="787" spans="1:10" ht="13" x14ac:dyDescent="0.15">
      <c r="A787" s="4"/>
      <c r="B787" s="2"/>
      <c r="C787" s="2"/>
      <c r="D787" s="2"/>
      <c r="E787" s="3"/>
      <c r="F787" s="2"/>
      <c r="G787" s="2"/>
      <c r="H787" s="2"/>
      <c r="I787" s="2"/>
      <c r="J787" s="2"/>
    </row>
    <row r="788" spans="1:10" ht="13" x14ac:dyDescent="0.15">
      <c r="A788" s="4"/>
      <c r="B788" s="2"/>
      <c r="C788" s="2"/>
      <c r="D788" s="2"/>
      <c r="E788" s="3"/>
      <c r="F788" s="2"/>
      <c r="G788" s="2"/>
      <c r="H788" s="2"/>
      <c r="I788" s="2"/>
      <c r="J788" s="2"/>
    </row>
    <row r="789" spans="1:10" ht="13" x14ac:dyDescent="0.15">
      <c r="A789" s="4"/>
      <c r="B789" s="2"/>
      <c r="C789" s="2"/>
      <c r="D789" s="2"/>
      <c r="E789" s="3"/>
      <c r="F789" s="2"/>
      <c r="G789" s="2"/>
      <c r="H789" s="2"/>
      <c r="I789" s="2"/>
      <c r="J789" s="2"/>
    </row>
    <row r="790" spans="1:10" ht="13" x14ac:dyDescent="0.15">
      <c r="A790" s="4"/>
      <c r="B790" s="2"/>
      <c r="C790" s="2"/>
      <c r="D790" s="2"/>
      <c r="E790" s="3"/>
      <c r="F790" s="2"/>
      <c r="G790" s="2"/>
      <c r="H790" s="2"/>
      <c r="I790" s="2"/>
      <c r="J790" s="2"/>
    </row>
    <row r="791" spans="1:10" ht="13" x14ac:dyDescent="0.15">
      <c r="A791" s="4"/>
      <c r="B791" s="2"/>
      <c r="C791" s="2"/>
      <c r="D791" s="2"/>
      <c r="E791" s="3"/>
      <c r="F791" s="2"/>
      <c r="G791" s="2"/>
      <c r="H791" s="2"/>
      <c r="I791" s="2"/>
      <c r="J791" s="2"/>
    </row>
    <row r="792" spans="1:10" ht="13" x14ac:dyDescent="0.15">
      <c r="A792" s="4"/>
      <c r="B792" s="2"/>
      <c r="C792" s="2"/>
      <c r="D792" s="2"/>
      <c r="E792" s="3"/>
      <c r="F792" s="2"/>
      <c r="G792" s="2"/>
      <c r="H792" s="2"/>
      <c r="I792" s="2"/>
      <c r="J792" s="2"/>
    </row>
    <row r="793" spans="1:10" ht="13" x14ac:dyDescent="0.15">
      <c r="A793" s="4"/>
      <c r="B793" s="2"/>
      <c r="C793" s="2"/>
      <c r="D793" s="2"/>
      <c r="E793" s="3"/>
      <c r="F793" s="2"/>
      <c r="G793" s="2"/>
      <c r="H793" s="2"/>
      <c r="I793" s="2"/>
      <c r="J793" s="2"/>
    </row>
    <row r="794" spans="1:10" ht="13" x14ac:dyDescent="0.15">
      <c r="A794" s="4"/>
      <c r="B794" s="2"/>
      <c r="C794" s="2"/>
      <c r="D794" s="2"/>
      <c r="E794" s="3"/>
      <c r="F794" s="2"/>
      <c r="G794" s="2"/>
      <c r="H794" s="2"/>
      <c r="I794" s="2"/>
      <c r="J794" s="2"/>
    </row>
    <row r="795" spans="1:10" ht="13" x14ac:dyDescent="0.15">
      <c r="A795" s="4"/>
      <c r="B795" s="2"/>
      <c r="C795" s="2"/>
      <c r="D795" s="2"/>
      <c r="E795" s="3"/>
      <c r="F795" s="2"/>
      <c r="G795" s="2"/>
      <c r="H795" s="2"/>
      <c r="I795" s="2"/>
      <c r="J795" s="2"/>
    </row>
    <row r="796" spans="1:10" ht="13" x14ac:dyDescent="0.15">
      <c r="A796" s="4"/>
      <c r="B796" s="2"/>
      <c r="C796" s="2"/>
      <c r="D796" s="2"/>
      <c r="E796" s="3"/>
      <c r="F796" s="2"/>
      <c r="G796" s="2"/>
      <c r="H796" s="2"/>
      <c r="I796" s="2"/>
      <c r="J796" s="2"/>
    </row>
    <row r="797" spans="1:10" ht="13" x14ac:dyDescent="0.15">
      <c r="A797" s="4"/>
      <c r="B797" s="2"/>
      <c r="C797" s="2"/>
      <c r="D797" s="2"/>
      <c r="E797" s="3"/>
      <c r="F797" s="2"/>
      <c r="G797" s="2"/>
      <c r="H797" s="2"/>
      <c r="I797" s="2"/>
      <c r="J797" s="2"/>
    </row>
    <row r="798" spans="1:10" ht="13" x14ac:dyDescent="0.15">
      <c r="A798" s="4"/>
      <c r="B798" s="2"/>
      <c r="C798" s="2"/>
      <c r="D798" s="2"/>
      <c r="E798" s="3"/>
      <c r="F798" s="2"/>
      <c r="G798" s="2"/>
      <c r="H798" s="2"/>
      <c r="I798" s="2"/>
      <c r="J798" s="2"/>
    </row>
    <row r="799" spans="1:10" ht="13" x14ac:dyDescent="0.15">
      <c r="A799" s="4"/>
      <c r="B799" s="2"/>
      <c r="C799" s="2"/>
      <c r="D799" s="2"/>
      <c r="E799" s="3"/>
      <c r="F799" s="2"/>
      <c r="G799" s="2"/>
      <c r="H799" s="2"/>
      <c r="I799" s="2"/>
      <c r="J799" s="2"/>
    </row>
    <row r="800" spans="1:10" ht="13" x14ac:dyDescent="0.15">
      <c r="A800" s="4"/>
      <c r="B800" s="2"/>
      <c r="C800" s="2"/>
      <c r="D800" s="2"/>
      <c r="E800" s="3"/>
      <c r="F800" s="2"/>
      <c r="G800" s="2"/>
      <c r="H800" s="2"/>
      <c r="I800" s="2"/>
      <c r="J800" s="2"/>
    </row>
    <row r="801" spans="1:10" ht="13" x14ac:dyDescent="0.15">
      <c r="A801" s="4"/>
      <c r="B801" s="2"/>
      <c r="C801" s="2"/>
      <c r="D801" s="2"/>
      <c r="E801" s="3"/>
      <c r="F801" s="2"/>
      <c r="G801" s="2"/>
      <c r="H801" s="2"/>
      <c r="I801" s="2"/>
      <c r="J801" s="2"/>
    </row>
    <row r="802" spans="1:10" ht="13" x14ac:dyDescent="0.15">
      <c r="A802" s="4"/>
      <c r="B802" s="2"/>
      <c r="C802" s="2"/>
      <c r="D802" s="2"/>
      <c r="E802" s="3"/>
      <c r="F802" s="2"/>
      <c r="G802" s="2"/>
      <c r="H802" s="2"/>
      <c r="I802" s="2"/>
      <c r="J802" s="2"/>
    </row>
    <row r="803" spans="1:10" ht="13" x14ac:dyDescent="0.15">
      <c r="A803" s="4"/>
      <c r="B803" s="2"/>
      <c r="C803" s="2"/>
      <c r="D803" s="2"/>
      <c r="E803" s="3"/>
      <c r="F803" s="2"/>
      <c r="G803" s="2"/>
      <c r="H803" s="2"/>
      <c r="I803" s="2"/>
      <c r="J803" s="2"/>
    </row>
    <row r="804" spans="1:10" ht="13" x14ac:dyDescent="0.15">
      <c r="A804" s="4"/>
      <c r="B804" s="2"/>
      <c r="C804" s="2"/>
      <c r="D804" s="2"/>
      <c r="E804" s="3"/>
      <c r="F804" s="2"/>
      <c r="G804" s="2"/>
      <c r="H804" s="2"/>
      <c r="I804" s="2"/>
      <c r="J804" s="2"/>
    </row>
    <row r="805" spans="1:10" ht="13" x14ac:dyDescent="0.15">
      <c r="A805" s="4"/>
      <c r="B805" s="2"/>
      <c r="C805" s="2"/>
      <c r="D805" s="2"/>
      <c r="E805" s="3"/>
      <c r="F805" s="2"/>
      <c r="G805" s="2"/>
      <c r="H805" s="2"/>
      <c r="I805" s="2"/>
      <c r="J805" s="2"/>
    </row>
    <row r="806" spans="1:10" ht="13" x14ac:dyDescent="0.15">
      <c r="A806" s="4"/>
      <c r="B806" s="2"/>
      <c r="C806" s="2"/>
      <c r="D806" s="2"/>
      <c r="E806" s="3"/>
      <c r="F806" s="2"/>
      <c r="G806" s="2"/>
      <c r="H806" s="2"/>
      <c r="I806" s="2"/>
      <c r="J806" s="2"/>
    </row>
    <row r="807" spans="1:10" ht="13" x14ac:dyDescent="0.15">
      <c r="A807" s="4"/>
      <c r="B807" s="2"/>
      <c r="C807" s="2"/>
      <c r="D807" s="2"/>
      <c r="E807" s="3"/>
      <c r="F807" s="2"/>
      <c r="G807" s="2"/>
      <c r="H807" s="2"/>
      <c r="I807" s="2"/>
      <c r="J807" s="2"/>
    </row>
    <row r="808" spans="1:10" ht="13" x14ac:dyDescent="0.15">
      <c r="A808" s="4"/>
      <c r="B808" s="2"/>
      <c r="C808" s="2"/>
      <c r="D808" s="2"/>
      <c r="E808" s="3"/>
      <c r="F808" s="2"/>
      <c r="G808" s="2"/>
      <c r="H808" s="2"/>
      <c r="I808" s="2"/>
      <c r="J808" s="2"/>
    </row>
    <row r="809" spans="1:10" ht="13" x14ac:dyDescent="0.15">
      <c r="A809" s="4"/>
      <c r="B809" s="2"/>
      <c r="C809" s="2"/>
      <c r="D809" s="2"/>
      <c r="E809" s="3"/>
      <c r="F809" s="2"/>
      <c r="G809" s="2"/>
      <c r="H809" s="2"/>
      <c r="I809" s="2"/>
      <c r="J809" s="2"/>
    </row>
    <row r="810" spans="1:10" ht="13" x14ac:dyDescent="0.15">
      <c r="A810" s="4"/>
      <c r="B810" s="2"/>
      <c r="C810" s="2"/>
      <c r="D810" s="2"/>
      <c r="E810" s="3"/>
      <c r="F810" s="2"/>
      <c r="G810" s="2"/>
      <c r="H810" s="2"/>
      <c r="I810" s="2"/>
      <c r="J810" s="2"/>
    </row>
    <row r="811" spans="1:10" ht="13" x14ac:dyDescent="0.15">
      <c r="A811" s="4"/>
      <c r="B811" s="2"/>
      <c r="C811" s="2"/>
      <c r="D811" s="2"/>
      <c r="E811" s="3"/>
      <c r="F811" s="2"/>
      <c r="G811" s="2"/>
      <c r="H811" s="2"/>
      <c r="I811" s="2"/>
      <c r="J811" s="2"/>
    </row>
    <row r="812" spans="1:10" ht="13" x14ac:dyDescent="0.15">
      <c r="A812" s="4"/>
      <c r="B812" s="2"/>
      <c r="C812" s="2"/>
      <c r="D812" s="2"/>
      <c r="E812" s="3"/>
      <c r="F812" s="2"/>
      <c r="G812" s="2"/>
      <c r="H812" s="2"/>
      <c r="I812" s="2"/>
      <c r="J812" s="2"/>
    </row>
    <row r="813" spans="1:10" ht="13" x14ac:dyDescent="0.15">
      <c r="A813" s="4"/>
      <c r="B813" s="2"/>
      <c r="C813" s="2"/>
      <c r="D813" s="2"/>
      <c r="E813" s="3"/>
      <c r="F813" s="2"/>
      <c r="G813" s="2"/>
      <c r="H813" s="2"/>
      <c r="I813" s="2"/>
      <c r="J813" s="2"/>
    </row>
    <row r="814" spans="1:10" ht="13" x14ac:dyDescent="0.15">
      <c r="A814" s="4"/>
      <c r="B814" s="2"/>
      <c r="C814" s="2"/>
      <c r="D814" s="2"/>
      <c r="E814" s="3"/>
      <c r="F814" s="2"/>
      <c r="G814" s="2"/>
      <c r="H814" s="2"/>
      <c r="I814" s="2"/>
      <c r="J814" s="2"/>
    </row>
    <row r="815" spans="1:10" ht="13" x14ac:dyDescent="0.15">
      <c r="A815" s="4"/>
      <c r="B815" s="2"/>
      <c r="C815" s="2"/>
      <c r="D815" s="2"/>
      <c r="E815" s="3"/>
      <c r="F815" s="2"/>
      <c r="G815" s="2"/>
      <c r="H815" s="2"/>
      <c r="I815" s="2"/>
      <c r="J815" s="2"/>
    </row>
    <row r="816" spans="1:10" ht="13" x14ac:dyDescent="0.15">
      <c r="A816" s="4"/>
      <c r="B816" s="2"/>
      <c r="C816" s="2"/>
      <c r="D816" s="2"/>
      <c r="E816" s="3"/>
      <c r="F816" s="2"/>
      <c r="G816" s="2"/>
      <c r="H816" s="2"/>
      <c r="I816" s="2"/>
      <c r="J816" s="2"/>
    </row>
    <row r="817" spans="1:10" ht="13" x14ac:dyDescent="0.15">
      <c r="A817" s="4"/>
      <c r="B817" s="2"/>
      <c r="C817" s="2"/>
      <c r="D817" s="2"/>
      <c r="E817" s="3"/>
      <c r="F817" s="2"/>
      <c r="G817" s="2"/>
      <c r="H817" s="2"/>
      <c r="I817" s="2"/>
      <c r="J817" s="2"/>
    </row>
    <row r="818" spans="1:10" ht="13" x14ac:dyDescent="0.15">
      <c r="A818" s="4"/>
      <c r="B818" s="2"/>
      <c r="C818" s="2"/>
      <c r="D818" s="2"/>
      <c r="E818" s="3"/>
      <c r="F818" s="2"/>
      <c r="G818" s="2"/>
      <c r="H818" s="2"/>
      <c r="I818" s="2"/>
      <c r="J818" s="2"/>
    </row>
    <row r="819" spans="1:10" ht="13" x14ac:dyDescent="0.15">
      <c r="A819" s="4"/>
      <c r="B819" s="2"/>
      <c r="C819" s="2"/>
      <c r="D819" s="2"/>
      <c r="E819" s="3"/>
      <c r="F819" s="2"/>
      <c r="G819" s="2"/>
      <c r="H819" s="2"/>
      <c r="I819" s="2"/>
      <c r="J819" s="2"/>
    </row>
    <row r="820" spans="1:10" ht="13" x14ac:dyDescent="0.15">
      <c r="A820" s="4"/>
      <c r="B820" s="2"/>
      <c r="C820" s="2"/>
      <c r="D820" s="2"/>
      <c r="E820" s="3"/>
      <c r="F820" s="2"/>
      <c r="G820" s="2"/>
      <c r="H820" s="2"/>
      <c r="I820" s="2"/>
      <c r="J820" s="2"/>
    </row>
    <row r="821" spans="1:10" ht="13" x14ac:dyDescent="0.15">
      <c r="A821" s="4"/>
      <c r="B821" s="2"/>
      <c r="C821" s="2"/>
      <c r="D821" s="2"/>
      <c r="E821" s="3"/>
      <c r="F821" s="2"/>
      <c r="G821" s="2"/>
      <c r="H821" s="2"/>
      <c r="I821" s="2"/>
      <c r="J821" s="2"/>
    </row>
    <row r="822" spans="1:10" ht="13" x14ac:dyDescent="0.15">
      <c r="A822" s="4"/>
      <c r="B822" s="2"/>
      <c r="C822" s="2"/>
      <c r="D822" s="2"/>
      <c r="E822" s="3"/>
      <c r="F822" s="2"/>
      <c r="G822" s="2"/>
      <c r="H822" s="2"/>
      <c r="I822" s="2"/>
      <c r="J822" s="2"/>
    </row>
    <row r="823" spans="1:10" ht="13" x14ac:dyDescent="0.15">
      <c r="A823" s="4"/>
      <c r="B823" s="2"/>
      <c r="C823" s="2"/>
      <c r="D823" s="2"/>
      <c r="E823" s="3"/>
      <c r="F823" s="2"/>
      <c r="G823" s="2"/>
      <c r="H823" s="2"/>
      <c r="I823" s="2"/>
      <c r="J823" s="2"/>
    </row>
    <row r="824" spans="1:10" ht="13" x14ac:dyDescent="0.15">
      <c r="A824" s="4"/>
      <c r="B824" s="2"/>
      <c r="C824" s="2"/>
      <c r="D824" s="2"/>
      <c r="E824" s="3"/>
      <c r="F824" s="2"/>
      <c r="G824" s="2"/>
      <c r="H824" s="2"/>
      <c r="I824" s="2"/>
      <c r="J824" s="2"/>
    </row>
    <row r="825" spans="1:10" ht="13" x14ac:dyDescent="0.15">
      <c r="A825" s="4"/>
      <c r="B825" s="2"/>
      <c r="C825" s="2"/>
      <c r="D825" s="2"/>
      <c r="E825" s="3"/>
      <c r="F825" s="2"/>
      <c r="G825" s="2"/>
      <c r="H825" s="2"/>
      <c r="I825" s="2"/>
      <c r="J825" s="2"/>
    </row>
    <row r="826" spans="1:10" ht="13" x14ac:dyDescent="0.15">
      <c r="A826" s="4"/>
      <c r="B826" s="2"/>
      <c r="C826" s="2"/>
      <c r="D826" s="2"/>
      <c r="E826" s="3"/>
      <c r="F826" s="2"/>
      <c r="G826" s="2"/>
      <c r="H826" s="2"/>
      <c r="I826" s="2"/>
      <c r="J826" s="2"/>
    </row>
    <row r="827" spans="1:10" ht="13" x14ac:dyDescent="0.15">
      <c r="A827" s="4"/>
      <c r="B827" s="2"/>
      <c r="C827" s="2"/>
      <c r="D827" s="2"/>
      <c r="E827" s="3"/>
      <c r="F827" s="2"/>
      <c r="G827" s="2"/>
      <c r="H827" s="2"/>
      <c r="I827" s="2"/>
      <c r="J827" s="2"/>
    </row>
    <row r="828" spans="1:10" ht="13" x14ac:dyDescent="0.15">
      <c r="A828" s="4"/>
      <c r="B828" s="2"/>
      <c r="C828" s="2"/>
      <c r="D828" s="2"/>
      <c r="E828" s="3"/>
      <c r="F828" s="2"/>
      <c r="G828" s="2"/>
      <c r="H828" s="2"/>
      <c r="I828" s="2"/>
      <c r="J828" s="2"/>
    </row>
    <row r="829" spans="1:10" ht="13" x14ac:dyDescent="0.15">
      <c r="A829" s="4"/>
      <c r="B829" s="2"/>
      <c r="C829" s="2"/>
      <c r="D829" s="2"/>
      <c r="E829" s="3"/>
      <c r="F829" s="2"/>
      <c r="G829" s="2"/>
      <c r="H829" s="2"/>
      <c r="I829" s="2"/>
      <c r="J829" s="2"/>
    </row>
    <row r="830" spans="1:10" ht="13" x14ac:dyDescent="0.15">
      <c r="A830" s="4"/>
      <c r="B830" s="2"/>
      <c r="C830" s="2"/>
      <c r="D830" s="2"/>
      <c r="E830" s="3"/>
      <c r="F830" s="2"/>
      <c r="G830" s="2"/>
      <c r="H830" s="2"/>
      <c r="I830" s="2"/>
      <c r="J830" s="2"/>
    </row>
    <row r="831" spans="1:10" ht="13" x14ac:dyDescent="0.15">
      <c r="A831" s="4"/>
      <c r="B831" s="2"/>
      <c r="C831" s="2"/>
      <c r="D831" s="2"/>
      <c r="E831" s="3"/>
      <c r="F831" s="2"/>
      <c r="G831" s="2"/>
      <c r="H831" s="2"/>
      <c r="I831" s="2"/>
      <c r="J831" s="2"/>
    </row>
    <row r="832" spans="1:10" ht="13" x14ac:dyDescent="0.15">
      <c r="A832" s="4"/>
      <c r="B832" s="2"/>
      <c r="C832" s="2"/>
      <c r="D832" s="2"/>
      <c r="E832" s="3"/>
      <c r="F832" s="2"/>
      <c r="G832" s="2"/>
      <c r="H832" s="2"/>
      <c r="I832" s="2"/>
      <c r="J832" s="2"/>
    </row>
    <row r="833" spans="1:10" ht="13" x14ac:dyDescent="0.15">
      <c r="A833" s="4"/>
      <c r="B833" s="2"/>
      <c r="C833" s="2"/>
      <c r="D833" s="2"/>
      <c r="E833" s="3"/>
      <c r="F833" s="2"/>
      <c r="G833" s="2"/>
      <c r="H833" s="2"/>
      <c r="I833" s="2"/>
      <c r="J833" s="2"/>
    </row>
    <row r="834" spans="1:10" ht="13" x14ac:dyDescent="0.15">
      <c r="A834" s="4"/>
      <c r="B834" s="2"/>
      <c r="C834" s="2"/>
      <c r="D834" s="2"/>
      <c r="E834" s="3"/>
      <c r="F834" s="2"/>
      <c r="G834" s="2"/>
      <c r="H834" s="2"/>
      <c r="I834" s="2"/>
      <c r="J834" s="2"/>
    </row>
    <row r="835" spans="1:10" ht="13" x14ac:dyDescent="0.15">
      <c r="A835" s="4"/>
      <c r="B835" s="2"/>
      <c r="C835" s="2"/>
      <c r="D835" s="2"/>
      <c r="E835" s="3"/>
      <c r="F835" s="2"/>
      <c r="G835" s="2"/>
      <c r="H835" s="2"/>
      <c r="I835" s="2"/>
      <c r="J835" s="2"/>
    </row>
    <row r="836" spans="1:10" ht="13" x14ac:dyDescent="0.15">
      <c r="A836" s="4"/>
      <c r="B836" s="2"/>
      <c r="C836" s="2"/>
      <c r="D836" s="2"/>
      <c r="E836" s="3"/>
      <c r="F836" s="2"/>
      <c r="G836" s="2"/>
      <c r="H836" s="2"/>
      <c r="I836" s="2"/>
      <c r="J836" s="2"/>
    </row>
    <row r="837" spans="1:10" ht="13" x14ac:dyDescent="0.15">
      <c r="A837" s="4"/>
      <c r="B837" s="2"/>
      <c r="C837" s="2"/>
      <c r="D837" s="2"/>
      <c r="E837" s="3"/>
      <c r="F837" s="2"/>
      <c r="G837" s="2"/>
      <c r="H837" s="2"/>
      <c r="I837" s="2"/>
      <c r="J837" s="2"/>
    </row>
    <row r="838" spans="1:10" ht="13" x14ac:dyDescent="0.15">
      <c r="A838" s="4"/>
      <c r="B838" s="2"/>
      <c r="C838" s="2"/>
      <c r="D838" s="2"/>
      <c r="E838" s="3"/>
      <c r="F838" s="2"/>
      <c r="G838" s="2"/>
      <c r="H838" s="2"/>
      <c r="I838" s="2"/>
      <c r="J838" s="2"/>
    </row>
    <row r="839" spans="1:10" ht="13" x14ac:dyDescent="0.15">
      <c r="A839" s="4"/>
      <c r="B839" s="2"/>
      <c r="C839" s="2"/>
      <c r="D839" s="2"/>
      <c r="E839" s="3"/>
      <c r="F839" s="2"/>
      <c r="G839" s="2"/>
      <c r="H839" s="2"/>
      <c r="I839" s="2"/>
      <c r="J839" s="2"/>
    </row>
    <row r="840" spans="1:10" ht="13" x14ac:dyDescent="0.15">
      <c r="A840" s="4"/>
      <c r="B840" s="2"/>
      <c r="C840" s="2"/>
      <c r="D840" s="2"/>
      <c r="E840" s="3"/>
      <c r="F840" s="2"/>
      <c r="G840" s="2"/>
      <c r="H840" s="2"/>
      <c r="I840" s="2"/>
      <c r="J840" s="2"/>
    </row>
    <row r="841" spans="1:10" ht="13" x14ac:dyDescent="0.15">
      <c r="A841" s="4"/>
      <c r="B841" s="2"/>
      <c r="C841" s="2"/>
      <c r="D841" s="2"/>
      <c r="E841" s="3"/>
      <c r="F841" s="2"/>
      <c r="G841" s="2"/>
      <c r="H841" s="2"/>
      <c r="I841" s="2"/>
      <c r="J841" s="2"/>
    </row>
    <row r="842" spans="1:10" ht="13" x14ac:dyDescent="0.15">
      <c r="A842" s="4"/>
      <c r="B842" s="2"/>
      <c r="C842" s="2"/>
      <c r="D842" s="2"/>
      <c r="E842" s="3"/>
      <c r="F842" s="2"/>
      <c r="G842" s="2"/>
      <c r="H842" s="2"/>
      <c r="I842" s="2"/>
      <c r="J842" s="2"/>
    </row>
    <row r="843" spans="1:10" ht="13" x14ac:dyDescent="0.15">
      <c r="A843" s="4"/>
      <c r="B843" s="2"/>
      <c r="C843" s="2"/>
      <c r="D843" s="2"/>
      <c r="E843" s="3"/>
      <c r="F843" s="2"/>
      <c r="G843" s="2"/>
      <c r="H843" s="2"/>
      <c r="I843" s="2"/>
      <c r="J843" s="2"/>
    </row>
    <row r="844" spans="1:10" ht="13" x14ac:dyDescent="0.15">
      <c r="A844" s="4"/>
      <c r="B844" s="2"/>
      <c r="C844" s="2"/>
      <c r="D844" s="2"/>
      <c r="E844" s="3"/>
      <c r="F844" s="2"/>
      <c r="G844" s="2"/>
      <c r="H844" s="2"/>
      <c r="I844" s="2"/>
      <c r="J844" s="2"/>
    </row>
    <row r="845" spans="1:10" ht="13" x14ac:dyDescent="0.15">
      <c r="A845" s="4"/>
      <c r="B845" s="2"/>
      <c r="C845" s="2"/>
      <c r="D845" s="2"/>
      <c r="E845" s="3"/>
      <c r="F845" s="2"/>
      <c r="G845" s="2"/>
      <c r="H845" s="2"/>
      <c r="I845" s="2"/>
      <c r="J845" s="2"/>
    </row>
    <row r="846" spans="1:10" ht="13" x14ac:dyDescent="0.15">
      <c r="A846" s="4"/>
      <c r="B846" s="2"/>
      <c r="C846" s="2"/>
      <c r="D846" s="2"/>
      <c r="E846" s="3"/>
      <c r="F846" s="2"/>
      <c r="G846" s="2"/>
      <c r="H846" s="2"/>
      <c r="I846" s="2"/>
      <c r="J846" s="2"/>
    </row>
    <row r="847" spans="1:10" ht="13" x14ac:dyDescent="0.15">
      <c r="A847" s="4"/>
      <c r="B847" s="2"/>
      <c r="C847" s="2"/>
      <c r="D847" s="2"/>
      <c r="E847" s="3"/>
      <c r="F847" s="2"/>
      <c r="G847" s="2"/>
      <c r="H847" s="2"/>
      <c r="I847" s="2"/>
      <c r="J847" s="2"/>
    </row>
    <row r="848" spans="1:10" ht="13" x14ac:dyDescent="0.15">
      <c r="A848" s="4"/>
      <c r="B848" s="2"/>
      <c r="C848" s="2"/>
      <c r="D848" s="2"/>
      <c r="E848" s="3"/>
      <c r="F848" s="2"/>
      <c r="G848" s="2"/>
      <c r="H848" s="2"/>
      <c r="I848" s="2"/>
      <c r="J848" s="2"/>
    </row>
    <row r="849" spans="1:10" ht="13" x14ac:dyDescent="0.15">
      <c r="A849" s="4"/>
      <c r="B849" s="2"/>
      <c r="C849" s="2"/>
      <c r="D849" s="2"/>
      <c r="E849" s="3"/>
      <c r="F849" s="2"/>
      <c r="G849" s="2"/>
      <c r="H849" s="2"/>
      <c r="I849" s="2"/>
      <c r="J849" s="2"/>
    </row>
    <row r="850" spans="1:10" ht="13" x14ac:dyDescent="0.15">
      <c r="A850" s="4"/>
      <c r="B850" s="2"/>
      <c r="C850" s="2"/>
      <c r="D850" s="2"/>
      <c r="E850" s="3"/>
      <c r="F850" s="2"/>
      <c r="G850" s="2"/>
      <c r="H850" s="2"/>
      <c r="I850" s="2"/>
      <c r="J850" s="2"/>
    </row>
    <row r="851" spans="1:10" ht="13" x14ac:dyDescent="0.15">
      <c r="A851" s="4"/>
      <c r="B851" s="2"/>
      <c r="C851" s="2"/>
      <c r="D851" s="2"/>
      <c r="E851" s="3"/>
      <c r="F851" s="2"/>
      <c r="G851" s="2"/>
      <c r="H851" s="2"/>
      <c r="I851" s="2"/>
      <c r="J851" s="2"/>
    </row>
    <row r="852" spans="1:10" ht="13" x14ac:dyDescent="0.15">
      <c r="A852" s="4"/>
      <c r="B852" s="2"/>
      <c r="C852" s="2"/>
      <c r="D852" s="2"/>
      <c r="E852" s="3"/>
      <c r="F852" s="2"/>
      <c r="G852" s="2"/>
      <c r="H852" s="2"/>
      <c r="I852" s="2"/>
      <c r="J852" s="2"/>
    </row>
    <row r="853" spans="1:10" ht="13" x14ac:dyDescent="0.15">
      <c r="A853" s="4"/>
      <c r="B853" s="2"/>
      <c r="C853" s="2"/>
      <c r="D853" s="2"/>
      <c r="E853" s="3"/>
      <c r="F853" s="2"/>
      <c r="G853" s="2"/>
      <c r="H853" s="2"/>
      <c r="I853" s="2"/>
      <c r="J853" s="2"/>
    </row>
    <row r="854" spans="1:10" ht="13" x14ac:dyDescent="0.15">
      <c r="A854" s="4"/>
      <c r="B854" s="2"/>
      <c r="C854" s="2"/>
      <c r="D854" s="2"/>
      <c r="E854" s="3"/>
      <c r="F854" s="2"/>
      <c r="G854" s="2"/>
      <c r="H854" s="2"/>
      <c r="I854" s="2"/>
      <c r="J854" s="2"/>
    </row>
    <row r="855" spans="1:10" ht="13" x14ac:dyDescent="0.15">
      <c r="A855" s="4"/>
      <c r="B855" s="2"/>
      <c r="C855" s="2"/>
      <c r="D855" s="2"/>
      <c r="E855" s="3"/>
      <c r="F855" s="2"/>
      <c r="G855" s="2"/>
      <c r="H855" s="2"/>
      <c r="I855" s="2"/>
      <c r="J855" s="2"/>
    </row>
    <row r="856" spans="1:10" ht="13" x14ac:dyDescent="0.15">
      <c r="A856" s="4"/>
      <c r="B856" s="2"/>
      <c r="C856" s="2"/>
      <c r="D856" s="2"/>
      <c r="E856" s="3"/>
      <c r="F856" s="2"/>
      <c r="G856" s="2"/>
      <c r="H856" s="2"/>
      <c r="I856" s="2"/>
      <c r="J856" s="2"/>
    </row>
    <row r="857" spans="1:10" ht="13" x14ac:dyDescent="0.15">
      <c r="A857" s="4"/>
      <c r="B857" s="2"/>
      <c r="C857" s="2"/>
      <c r="D857" s="2"/>
      <c r="E857" s="3"/>
      <c r="F857" s="2"/>
      <c r="G857" s="2"/>
      <c r="H857" s="2"/>
      <c r="I857" s="2"/>
      <c r="J857" s="2"/>
    </row>
    <row r="858" spans="1:10" ht="13" x14ac:dyDescent="0.15">
      <c r="A858" s="4"/>
      <c r="B858" s="2"/>
      <c r="C858" s="2"/>
      <c r="D858" s="2"/>
      <c r="E858" s="3"/>
      <c r="F858" s="2"/>
      <c r="G858" s="2"/>
      <c r="H858" s="2"/>
      <c r="I858" s="2"/>
      <c r="J858" s="2"/>
    </row>
    <row r="859" spans="1:10" ht="13" x14ac:dyDescent="0.15">
      <c r="A859" s="4"/>
      <c r="B859" s="2"/>
      <c r="C859" s="2"/>
      <c r="D859" s="2"/>
      <c r="E859" s="3"/>
      <c r="F859" s="2"/>
      <c r="G859" s="2"/>
      <c r="H859" s="2"/>
      <c r="I859" s="2"/>
      <c r="J859" s="2"/>
    </row>
    <row r="860" spans="1:10" ht="13" x14ac:dyDescent="0.15">
      <c r="A860" s="4"/>
      <c r="B860" s="2"/>
      <c r="C860" s="2"/>
      <c r="D860" s="2"/>
      <c r="E860" s="3"/>
      <c r="F860" s="2"/>
      <c r="G860" s="2"/>
      <c r="H860" s="2"/>
      <c r="I860" s="2"/>
      <c r="J860" s="2"/>
    </row>
    <row r="861" spans="1:10" ht="13" x14ac:dyDescent="0.15">
      <c r="A861" s="4"/>
      <c r="B861" s="2"/>
      <c r="C861" s="2"/>
      <c r="D861" s="2"/>
      <c r="E861" s="3"/>
      <c r="F861" s="2"/>
      <c r="G861" s="2"/>
      <c r="H861" s="2"/>
      <c r="I861" s="2"/>
      <c r="J861" s="2"/>
    </row>
    <row r="862" spans="1:10" ht="13" x14ac:dyDescent="0.15">
      <c r="A862" s="4"/>
      <c r="B862" s="2"/>
      <c r="C862" s="2"/>
      <c r="D862" s="2"/>
      <c r="E862" s="3"/>
      <c r="F862" s="2"/>
      <c r="G862" s="2"/>
      <c r="H862" s="2"/>
      <c r="I862" s="2"/>
      <c r="J862" s="2"/>
    </row>
    <row r="863" spans="1:10" ht="13" x14ac:dyDescent="0.15">
      <c r="A863" s="4"/>
      <c r="B863" s="2"/>
      <c r="C863" s="2"/>
      <c r="D863" s="2"/>
      <c r="E863" s="3"/>
      <c r="F863" s="2"/>
      <c r="G863" s="2"/>
      <c r="H863" s="2"/>
      <c r="I863" s="2"/>
      <c r="J863" s="2"/>
    </row>
    <row r="864" spans="1:10" ht="13" x14ac:dyDescent="0.15">
      <c r="A864" s="4"/>
      <c r="B864" s="2"/>
      <c r="C864" s="2"/>
      <c r="D864" s="2"/>
      <c r="E864" s="3"/>
      <c r="F864" s="2"/>
      <c r="G864" s="2"/>
      <c r="H864" s="2"/>
      <c r="I864" s="2"/>
      <c r="J864" s="2"/>
    </row>
    <row r="865" spans="1:10" ht="13" x14ac:dyDescent="0.15">
      <c r="A865" s="4"/>
      <c r="B865" s="2"/>
      <c r="C865" s="2"/>
      <c r="D865" s="2"/>
      <c r="E865" s="3"/>
      <c r="F865" s="2"/>
      <c r="G865" s="2"/>
      <c r="H865" s="2"/>
      <c r="I865" s="2"/>
      <c r="J865" s="2"/>
    </row>
    <row r="866" spans="1:10" ht="13" x14ac:dyDescent="0.15">
      <c r="A866" s="4"/>
      <c r="B866" s="2"/>
      <c r="C866" s="2"/>
      <c r="D866" s="2"/>
      <c r="E866" s="3"/>
      <c r="F866" s="2"/>
      <c r="G866" s="2"/>
      <c r="H866" s="2"/>
      <c r="I866" s="2"/>
      <c r="J866" s="2"/>
    </row>
    <row r="867" spans="1:10" ht="13" x14ac:dyDescent="0.15">
      <c r="A867" s="4"/>
      <c r="B867" s="2"/>
      <c r="C867" s="2"/>
      <c r="D867" s="2"/>
      <c r="E867" s="3"/>
      <c r="F867" s="2"/>
      <c r="G867" s="2"/>
      <c r="H867" s="2"/>
      <c r="I867" s="2"/>
      <c r="J867" s="2"/>
    </row>
    <row r="868" spans="1:10" ht="13" x14ac:dyDescent="0.15">
      <c r="A868" s="4"/>
      <c r="B868" s="2"/>
      <c r="C868" s="2"/>
      <c r="D868" s="2"/>
      <c r="E868" s="3"/>
      <c r="F868" s="2"/>
      <c r="G868" s="2"/>
      <c r="H868" s="2"/>
      <c r="I868" s="2"/>
      <c r="J868" s="2"/>
    </row>
    <row r="869" spans="1:10" ht="13" x14ac:dyDescent="0.15">
      <c r="A869" s="4"/>
      <c r="B869" s="2"/>
      <c r="C869" s="2"/>
      <c r="D869" s="2"/>
      <c r="E869" s="3"/>
      <c r="F869" s="2"/>
      <c r="G869" s="2"/>
      <c r="H869" s="2"/>
      <c r="I869" s="2"/>
      <c r="J869" s="2"/>
    </row>
    <row r="870" spans="1:10" ht="13" x14ac:dyDescent="0.15">
      <c r="A870" s="4"/>
      <c r="B870" s="2"/>
      <c r="C870" s="2"/>
      <c r="D870" s="2"/>
      <c r="E870" s="3"/>
      <c r="F870" s="2"/>
      <c r="G870" s="2"/>
      <c r="H870" s="2"/>
      <c r="I870" s="2"/>
      <c r="J870" s="2"/>
    </row>
    <row r="871" spans="1:10" ht="13" x14ac:dyDescent="0.15">
      <c r="A871" s="4"/>
      <c r="B871" s="2"/>
      <c r="C871" s="2"/>
      <c r="D871" s="2"/>
      <c r="E871" s="3"/>
      <c r="F871" s="2"/>
      <c r="G871" s="2"/>
      <c r="H871" s="2"/>
      <c r="I871" s="2"/>
      <c r="J871" s="2"/>
    </row>
    <row r="872" spans="1:10" ht="13" x14ac:dyDescent="0.15">
      <c r="A872" s="4"/>
      <c r="B872" s="2"/>
      <c r="C872" s="2"/>
      <c r="D872" s="2"/>
      <c r="E872" s="3"/>
      <c r="F872" s="2"/>
      <c r="G872" s="2"/>
      <c r="H872" s="2"/>
      <c r="I872" s="2"/>
      <c r="J872" s="2"/>
    </row>
    <row r="873" spans="1:10" ht="13" x14ac:dyDescent="0.15">
      <c r="A873" s="4"/>
      <c r="B873" s="2"/>
      <c r="C873" s="2"/>
      <c r="D873" s="2"/>
      <c r="E873" s="3"/>
      <c r="F873" s="2"/>
      <c r="G873" s="2"/>
      <c r="H873" s="2"/>
      <c r="I873" s="2"/>
      <c r="J873" s="2"/>
    </row>
    <row r="874" spans="1:10" ht="13" x14ac:dyDescent="0.15">
      <c r="A874" s="4"/>
      <c r="B874" s="2"/>
      <c r="C874" s="2"/>
      <c r="D874" s="2"/>
      <c r="E874" s="3"/>
      <c r="F874" s="2"/>
      <c r="G874" s="2"/>
      <c r="H874" s="2"/>
      <c r="I874" s="2"/>
      <c r="J874" s="2"/>
    </row>
    <row r="875" spans="1:10" ht="13" x14ac:dyDescent="0.15">
      <c r="A875" s="4"/>
      <c r="B875" s="2"/>
      <c r="C875" s="2"/>
      <c r="D875" s="2"/>
      <c r="E875" s="3"/>
      <c r="F875" s="2"/>
      <c r="G875" s="2"/>
      <c r="H875" s="2"/>
      <c r="I875" s="2"/>
      <c r="J875" s="2"/>
    </row>
    <row r="876" spans="1:10" ht="13" x14ac:dyDescent="0.15">
      <c r="A876" s="4"/>
      <c r="B876" s="2"/>
      <c r="C876" s="2"/>
      <c r="D876" s="2"/>
      <c r="E876" s="3"/>
      <c r="F876" s="2"/>
      <c r="G876" s="2"/>
      <c r="H876" s="2"/>
      <c r="I876" s="2"/>
      <c r="J876" s="2"/>
    </row>
    <row r="877" spans="1:10" ht="13" x14ac:dyDescent="0.15">
      <c r="A877" s="4"/>
      <c r="B877" s="2"/>
      <c r="C877" s="2"/>
      <c r="D877" s="2"/>
      <c r="E877" s="3"/>
      <c r="F877" s="2"/>
      <c r="G877" s="2"/>
      <c r="H877" s="2"/>
      <c r="I877" s="2"/>
      <c r="J877" s="2"/>
    </row>
    <row r="878" spans="1:10" ht="13" x14ac:dyDescent="0.15">
      <c r="A878" s="4"/>
      <c r="B878" s="2"/>
      <c r="C878" s="2"/>
      <c r="D878" s="2"/>
      <c r="E878" s="3"/>
      <c r="F878" s="2"/>
      <c r="G878" s="2"/>
      <c r="H878" s="2"/>
      <c r="I878" s="2"/>
      <c r="J878" s="2"/>
    </row>
    <row r="879" spans="1:10" ht="13" x14ac:dyDescent="0.15">
      <c r="A879" s="4"/>
      <c r="B879" s="2"/>
      <c r="C879" s="2"/>
      <c r="D879" s="2"/>
      <c r="E879" s="3"/>
      <c r="F879" s="2"/>
      <c r="G879" s="2"/>
      <c r="H879" s="2"/>
      <c r="I879" s="2"/>
      <c r="J879" s="2"/>
    </row>
    <row r="880" spans="1:10" ht="13" x14ac:dyDescent="0.15">
      <c r="A880" s="4"/>
      <c r="B880" s="2"/>
      <c r="C880" s="2"/>
      <c r="D880" s="2"/>
      <c r="E880" s="3"/>
      <c r="F880" s="2"/>
      <c r="G880" s="2"/>
      <c r="H880" s="2"/>
      <c r="I880" s="2"/>
      <c r="J880" s="2"/>
    </row>
    <row r="881" spans="1:10" ht="13" x14ac:dyDescent="0.15">
      <c r="A881" s="4"/>
      <c r="B881" s="2"/>
      <c r="C881" s="2"/>
      <c r="D881" s="2"/>
      <c r="E881" s="3"/>
      <c r="F881" s="2"/>
      <c r="G881" s="2"/>
      <c r="H881" s="2"/>
      <c r="I881" s="2"/>
      <c r="J881" s="2"/>
    </row>
    <row r="882" spans="1:10" ht="13" x14ac:dyDescent="0.15">
      <c r="A882" s="4"/>
      <c r="B882" s="2"/>
      <c r="C882" s="2"/>
      <c r="D882" s="2"/>
      <c r="E882" s="3"/>
      <c r="F882" s="2"/>
      <c r="G882" s="2"/>
      <c r="H882" s="2"/>
      <c r="I882" s="2"/>
      <c r="J882" s="2"/>
    </row>
    <row r="883" spans="1:10" ht="13" x14ac:dyDescent="0.15">
      <c r="A883" s="4"/>
      <c r="B883" s="2"/>
      <c r="C883" s="2"/>
      <c r="D883" s="2"/>
      <c r="E883" s="3"/>
      <c r="F883" s="2"/>
      <c r="G883" s="2"/>
      <c r="H883" s="2"/>
      <c r="I883" s="2"/>
      <c r="J883" s="2"/>
    </row>
    <row r="884" spans="1:10" ht="13" x14ac:dyDescent="0.15">
      <c r="A884" s="4"/>
      <c r="B884" s="2"/>
      <c r="C884" s="2"/>
      <c r="D884" s="2"/>
      <c r="E884" s="3"/>
      <c r="F884" s="2"/>
      <c r="G884" s="2"/>
      <c r="H884" s="2"/>
      <c r="I884" s="2"/>
      <c r="J884" s="2"/>
    </row>
    <row r="885" spans="1:10" ht="13" x14ac:dyDescent="0.15">
      <c r="A885" s="4"/>
      <c r="B885" s="2"/>
      <c r="C885" s="2"/>
      <c r="D885" s="2"/>
      <c r="E885" s="3"/>
      <c r="F885" s="2"/>
      <c r="G885" s="2"/>
      <c r="H885" s="2"/>
      <c r="I885" s="2"/>
      <c r="J885" s="2"/>
    </row>
    <row r="886" spans="1:10" ht="13" x14ac:dyDescent="0.15">
      <c r="A886" s="4"/>
      <c r="B886" s="2"/>
      <c r="C886" s="2"/>
      <c r="D886" s="2"/>
      <c r="E886" s="3"/>
      <c r="F886" s="2"/>
      <c r="G886" s="2"/>
      <c r="H886" s="2"/>
      <c r="I886" s="2"/>
      <c r="J886" s="2"/>
    </row>
    <row r="887" spans="1:10" ht="13" x14ac:dyDescent="0.15">
      <c r="A887" s="4"/>
      <c r="B887" s="2"/>
      <c r="C887" s="2"/>
      <c r="D887" s="2"/>
      <c r="E887" s="3"/>
      <c r="F887" s="2"/>
      <c r="G887" s="2"/>
      <c r="H887" s="2"/>
      <c r="I887" s="2"/>
      <c r="J887" s="2"/>
    </row>
    <row r="888" spans="1:10" ht="13" x14ac:dyDescent="0.15">
      <c r="A888" s="4"/>
      <c r="B888" s="2"/>
      <c r="C888" s="2"/>
      <c r="D888" s="2"/>
      <c r="E888" s="3"/>
      <c r="F888" s="2"/>
      <c r="G888" s="2"/>
      <c r="H888" s="2"/>
      <c r="I888" s="2"/>
      <c r="J888" s="2"/>
    </row>
    <row r="889" spans="1:10" ht="13" x14ac:dyDescent="0.15">
      <c r="A889" s="4"/>
      <c r="B889" s="2"/>
      <c r="C889" s="2"/>
      <c r="D889" s="2"/>
      <c r="E889" s="3"/>
      <c r="F889" s="2"/>
      <c r="G889" s="2"/>
      <c r="H889" s="2"/>
      <c r="I889" s="2"/>
      <c r="J889" s="2"/>
    </row>
    <row r="890" spans="1:10" ht="13" x14ac:dyDescent="0.15">
      <c r="A890" s="4"/>
      <c r="B890" s="2"/>
      <c r="C890" s="2"/>
      <c r="D890" s="2"/>
      <c r="E890" s="3"/>
      <c r="F890" s="2"/>
      <c r="G890" s="2"/>
      <c r="H890" s="2"/>
      <c r="I890" s="2"/>
      <c r="J890" s="2"/>
    </row>
    <row r="891" spans="1:10" ht="13" x14ac:dyDescent="0.15">
      <c r="A891" s="4"/>
      <c r="B891" s="2"/>
      <c r="C891" s="2"/>
      <c r="D891" s="2"/>
      <c r="E891" s="3"/>
      <c r="F891" s="2"/>
      <c r="G891" s="2"/>
      <c r="H891" s="2"/>
      <c r="I891" s="2"/>
      <c r="J891" s="2"/>
    </row>
    <row r="892" spans="1:10" ht="13" x14ac:dyDescent="0.15">
      <c r="A892" s="4"/>
      <c r="B892" s="2"/>
      <c r="C892" s="2"/>
      <c r="D892" s="2"/>
      <c r="E892" s="3"/>
      <c r="F892" s="2"/>
      <c r="G892" s="2"/>
      <c r="H892" s="2"/>
      <c r="I892" s="2"/>
      <c r="J892" s="2"/>
    </row>
    <row r="893" spans="1:10" ht="13" x14ac:dyDescent="0.15">
      <c r="A893" s="4"/>
      <c r="B893" s="2"/>
      <c r="C893" s="2"/>
      <c r="D893" s="2"/>
      <c r="E893" s="3"/>
      <c r="F893" s="2"/>
      <c r="G893" s="2"/>
      <c r="H893" s="2"/>
      <c r="I893" s="2"/>
      <c r="J893" s="2"/>
    </row>
    <row r="894" spans="1:10" ht="13" x14ac:dyDescent="0.15">
      <c r="A894" s="4"/>
      <c r="B894" s="2"/>
      <c r="C894" s="2"/>
      <c r="D894" s="2"/>
      <c r="E894" s="3"/>
      <c r="F894" s="2"/>
      <c r="G894" s="2"/>
      <c r="H894" s="2"/>
      <c r="I894" s="2"/>
      <c r="J894" s="2"/>
    </row>
    <row r="895" spans="1:10" ht="13" x14ac:dyDescent="0.15">
      <c r="A895" s="4"/>
      <c r="B895" s="2"/>
      <c r="C895" s="2"/>
      <c r="D895" s="2"/>
      <c r="E895" s="3"/>
      <c r="F895" s="2"/>
      <c r="G895" s="2"/>
      <c r="H895" s="2"/>
      <c r="I895" s="2"/>
      <c r="J895" s="2"/>
    </row>
    <row r="896" spans="1:10" ht="13" x14ac:dyDescent="0.15">
      <c r="A896" s="4"/>
      <c r="B896" s="2"/>
      <c r="C896" s="2"/>
      <c r="D896" s="2"/>
      <c r="E896" s="3"/>
      <c r="F896" s="2"/>
      <c r="G896" s="2"/>
      <c r="H896" s="2"/>
      <c r="I896" s="2"/>
      <c r="J896" s="2"/>
    </row>
    <row r="897" spans="1:10" ht="13" x14ac:dyDescent="0.15">
      <c r="A897" s="4"/>
      <c r="B897" s="2"/>
      <c r="C897" s="2"/>
      <c r="D897" s="2"/>
      <c r="E897" s="3"/>
      <c r="F897" s="2"/>
      <c r="G897" s="2"/>
      <c r="H897" s="2"/>
      <c r="I897" s="2"/>
      <c r="J897" s="2"/>
    </row>
    <row r="898" spans="1:10" ht="13" x14ac:dyDescent="0.15">
      <c r="A898" s="4"/>
      <c r="B898" s="2"/>
      <c r="C898" s="2"/>
      <c r="D898" s="2"/>
      <c r="E898" s="3"/>
      <c r="F898" s="2"/>
      <c r="G898" s="2"/>
      <c r="H898" s="2"/>
      <c r="I898" s="2"/>
      <c r="J898" s="2"/>
    </row>
    <row r="899" spans="1:10" ht="13" x14ac:dyDescent="0.15">
      <c r="A899" s="4"/>
      <c r="B899" s="2"/>
      <c r="C899" s="2"/>
      <c r="D899" s="2"/>
      <c r="E899" s="3"/>
      <c r="F899" s="2"/>
      <c r="G899" s="2"/>
      <c r="H899" s="2"/>
      <c r="I899" s="2"/>
      <c r="J899" s="2"/>
    </row>
    <row r="900" spans="1:10" ht="13" x14ac:dyDescent="0.15">
      <c r="A900" s="4"/>
      <c r="B900" s="2"/>
      <c r="C900" s="2"/>
      <c r="D900" s="2"/>
      <c r="E900" s="3"/>
      <c r="F900" s="2"/>
      <c r="G900" s="2"/>
      <c r="H900" s="2"/>
      <c r="I900" s="2"/>
      <c r="J900" s="2"/>
    </row>
    <row r="901" spans="1:10" ht="13" x14ac:dyDescent="0.15">
      <c r="A901" s="4"/>
      <c r="B901" s="2"/>
      <c r="C901" s="2"/>
      <c r="D901" s="2"/>
      <c r="E901" s="3"/>
      <c r="F901" s="2"/>
      <c r="G901" s="2"/>
      <c r="H901" s="2"/>
      <c r="I901" s="2"/>
      <c r="J901" s="2"/>
    </row>
    <row r="902" spans="1:10" ht="13" x14ac:dyDescent="0.15">
      <c r="A902" s="4"/>
      <c r="B902" s="2"/>
      <c r="C902" s="2"/>
      <c r="D902" s="2"/>
      <c r="E902" s="3"/>
      <c r="F902" s="2"/>
      <c r="G902" s="2"/>
      <c r="H902" s="2"/>
      <c r="I902" s="2"/>
      <c r="J902" s="2"/>
    </row>
    <row r="903" spans="1:10" ht="13" x14ac:dyDescent="0.15">
      <c r="A903" s="4"/>
      <c r="B903" s="2"/>
      <c r="C903" s="2"/>
      <c r="D903" s="2"/>
      <c r="E903" s="3"/>
      <c r="F903" s="2"/>
      <c r="G903" s="2"/>
      <c r="H903" s="2"/>
      <c r="I903" s="2"/>
      <c r="J903" s="2"/>
    </row>
    <row r="904" spans="1:10" ht="13" x14ac:dyDescent="0.15">
      <c r="A904" s="4"/>
      <c r="B904" s="2"/>
      <c r="C904" s="2"/>
      <c r="D904" s="2"/>
      <c r="E904" s="3"/>
      <c r="F904" s="2"/>
      <c r="G904" s="2"/>
      <c r="H904" s="2"/>
      <c r="I904" s="2"/>
      <c r="J904" s="2"/>
    </row>
    <row r="905" spans="1:10" ht="13" x14ac:dyDescent="0.15">
      <c r="A905" s="4"/>
      <c r="B905" s="2"/>
      <c r="C905" s="2"/>
      <c r="D905" s="2"/>
      <c r="E905" s="3"/>
      <c r="F905" s="2"/>
      <c r="G905" s="2"/>
      <c r="H905" s="2"/>
      <c r="I905" s="2"/>
      <c r="J905" s="2"/>
    </row>
    <row r="906" spans="1:10" ht="13" x14ac:dyDescent="0.15">
      <c r="A906" s="4"/>
      <c r="B906" s="2"/>
      <c r="C906" s="2"/>
      <c r="D906" s="2"/>
      <c r="E906" s="3"/>
      <c r="F906" s="2"/>
      <c r="G906" s="2"/>
      <c r="H906" s="2"/>
      <c r="I906" s="2"/>
      <c r="J906" s="2"/>
    </row>
    <row r="907" spans="1:10" ht="13" x14ac:dyDescent="0.15">
      <c r="A907" s="4"/>
      <c r="B907" s="2"/>
      <c r="C907" s="2"/>
      <c r="D907" s="2"/>
      <c r="E907" s="3"/>
      <c r="F907" s="2"/>
      <c r="G907" s="2"/>
      <c r="H907" s="2"/>
      <c r="I907" s="2"/>
      <c r="J907" s="2"/>
    </row>
    <row r="908" spans="1:10" ht="13" x14ac:dyDescent="0.15">
      <c r="A908" s="4"/>
      <c r="B908" s="2"/>
      <c r="C908" s="2"/>
      <c r="D908" s="2"/>
      <c r="E908" s="3"/>
      <c r="F908" s="2"/>
      <c r="G908" s="2"/>
      <c r="H908" s="2"/>
      <c r="I908" s="2"/>
      <c r="J908" s="2"/>
    </row>
    <row r="909" spans="1:10" ht="13" x14ac:dyDescent="0.15">
      <c r="A909" s="4"/>
      <c r="B909" s="2"/>
      <c r="C909" s="2"/>
      <c r="D909" s="2"/>
      <c r="E909" s="3"/>
      <c r="F909" s="2"/>
      <c r="G909" s="2"/>
      <c r="H909" s="2"/>
      <c r="I909" s="2"/>
      <c r="J909" s="2"/>
    </row>
    <row r="910" spans="1:10" ht="13" x14ac:dyDescent="0.15">
      <c r="A910" s="4"/>
      <c r="B910" s="2"/>
      <c r="C910" s="2"/>
      <c r="D910" s="2"/>
      <c r="E910" s="3"/>
      <c r="F910" s="2"/>
      <c r="G910" s="2"/>
      <c r="H910" s="2"/>
      <c r="I910" s="2"/>
      <c r="J910" s="2"/>
    </row>
    <row r="911" spans="1:10" ht="13" x14ac:dyDescent="0.15">
      <c r="A911" s="4"/>
      <c r="B911" s="2"/>
      <c r="C911" s="2"/>
      <c r="D911" s="2"/>
      <c r="E911" s="3"/>
      <c r="F911" s="2"/>
      <c r="G911" s="2"/>
      <c r="H911" s="2"/>
      <c r="I911" s="2"/>
      <c r="J911" s="2"/>
    </row>
    <row r="912" spans="1:10" ht="13" x14ac:dyDescent="0.15">
      <c r="A912" s="4"/>
      <c r="B912" s="2"/>
      <c r="C912" s="2"/>
      <c r="D912" s="2"/>
      <c r="E912" s="3"/>
      <c r="F912" s="2"/>
      <c r="G912" s="2"/>
      <c r="H912" s="2"/>
      <c r="I912" s="2"/>
      <c r="J912" s="2"/>
    </row>
    <row r="913" spans="1:10" ht="13" x14ac:dyDescent="0.15">
      <c r="A913" s="4"/>
      <c r="B913" s="2"/>
      <c r="C913" s="2"/>
      <c r="D913" s="2"/>
      <c r="E913" s="3"/>
      <c r="F913" s="2"/>
      <c r="G913" s="2"/>
      <c r="H913" s="2"/>
      <c r="I913" s="2"/>
      <c r="J913" s="2"/>
    </row>
    <row r="914" spans="1:10" ht="13" x14ac:dyDescent="0.15">
      <c r="A914" s="4"/>
      <c r="B914" s="2"/>
      <c r="C914" s="2"/>
      <c r="D914" s="2"/>
      <c r="E914" s="3"/>
      <c r="F914" s="2"/>
      <c r="G914" s="2"/>
      <c r="H914" s="2"/>
      <c r="I914" s="2"/>
      <c r="J914" s="2"/>
    </row>
    <row r="915" spans="1:10" ht="13" x14ac:dyDescent="0.15">
      <c r="A915" s="4"/>
      <c r="B915" s="2"/>
      <c r="C915" s="2"/>
      <c r="D915" s="2"/>
      <c r="E915" s="3"/>
      <c r="F915" s="2"/>
      <c r="G915" s="2"/>
      <c r="H915" s="2"/>
      <c r="I915" s="2"/>
      <c r="J915" s="2"/>
    </row>
    <row r="916" spans="1:10" ht="13" x14ac:dyDescent="0.15">
      <c r="A916" s="4"/>
      <c r="B916" s="2"/>
      <c r="C916" s="2"/>
      <c r="D916" s="2"/>
      <c r="E916" s="3"/>
      <c r="F916" s="2"/>
      <c r="G916" s="2"/>
      <c r="H916" s="2"/>
      <c r="I916" s="2"/>
      <c r="J916" s="2"/>
    </row>
    <row r="917" spans="1:10" ht="13" x14ac:dyDescent="0.15">
      <c r="A917" s="4"/>
      <c r="B917" s="2"/>
      <c r="C917" s="2"/>
      <c r="D917" s="2"/>
      <c r="E917" s="3"/>
      <c r="F917" s="2"/>
      <c r="G917" s="2"/>
      <c r="H917" s="2"/>
      <c r="I917" s="2"/>
      <c r="J917" s="2"/>
    </row>
    <row r="918" spans="1:10" ht="13" x14ac:dyDescent="0.15">
      <c r="A918" s="4"/>
      <c r="B918" s="2"/>
      <c r="C918" s="2"/>
      <c r="D918" s="2"/>
      <c r="E918" s="3"/>
      <c r="F918" s="2"/>
      <c r="G918" s="2"/>
      <c r="H918" s="2"/>
      <c r="I918" s="2"/>
      <c r="J918" s="2"/>
    </row>
    <row r="919" spans="1:10" ht="13" x14ac:dyDescent="0.15">
      <c r="A919" s="4"/>
      <c r="B919" s="2"/>
      <c r="C919" s="2"/>
      <c r="D919" s="2"/>
      <c r="E919" s="3"/>
      <c r="F919" s="2"/>
      <c r="G919" s="2"/>
      <c r="H919" s="2"/>
      <c r="I919" s="2"/>
      <c r="J919" s="2"/>
    </row>
    <row r="920" spans="1:10" ht="13" x14ac:dyDescent="0.15">
      <c r="A920" s="4"/>
      <c r="B920" s="2"/>
      <c r="C920" s="2"/>
      <c r="D920" s="2"/>
      <c r="E920" s="3"/>
      <c r="F920" s="2"/>
      <c r="G920" s="2"/>
      <c r="H920" s="2"/>
      <c r="I920" s="2"/>
      <c r="J920" s="2"/>
    </row>
    <row r="921" spans="1:10" ht="13" x14ac:dyDescent="0.15">
      <c r="A921" s="4"/>
      <c r="B921" s="2"/>
      <c r="C921" s="2"/>
      <c r="D921" s="2"/>
      <c r="E921" s="3"/>
      <c r="F921" s="2"/>
      <c r="G921" s="2"/>
      <c r="H921" s="2"/>
      <c r="I921" s="2"/>
      <c r="J921" s="2"/>
    </row>
    <row r="922" spans="1:10" ht="13" x14ac:dyDescent="0.15">
      <c r="A922" s="4"/>
      <c r="B922" s="2"/>
      <c r="C922" s="2"/>
      <c r="D922" s="2"/>
      <c r="E922" s="3"/>
      <c r="F922" s="2"/>
      <c r="G922" s="2"/>
      <c r="H922" s="2"/>
      <c r="I922" s="2"/>
      <c r="J922" s="2"/>
    </row>
    <row r="923" spans="1:10" ht="13" x14ac:dyDescent="0.15">
      <c r="A923" s="4"/>
      <c r="B923" s="2"/>
      <c r="C923" s="2"/>
      <c r="D923" s="2"/>
      <c r="E923" s="3"/>
      <c r="F923" s="2"/>
      <c r="G923" s="2"/>
      <c r="H923" s="2"/>
      <c r="I923" s="2"/>
      <c r="J923" s="2"/>
    </row>
    <row r="924" spans="1:10" ht="13" x14ac:dyDescent="0.15">
      <c r="A924" s="4"/>
      <c r="B924" s="2"/>
      <c r="C924" s="2"/>
      <c r="D924" s="2"/>
      <c r="E924" s="3"/>
      <c r="F924" s="2"/>
      <c r="G924" s="2"/>
      <c r="H924" s="2"/>
      <c r="I924" s="2"/>
      <c r="J924" s="2"/>
    </row>
    <row r="925" spans="1:10" ht="13" x14ac:dyDescent="0.15">
      <c r="A925" s="4"/>
      <c r="B925" s="2"/>
      <c r="C925" s="2"/>
      <c r="D925" s="2"/>
      <c r="E925" s="3"/>
      <c r="F925" s="2"/>
      <c r="G925" s="2"/>
      <c r="H925" s="2"/>
      <c r="I925" s="2"/>
      <c r="J925" s="2"/>
    </row>
    <row r="926" spans="1:10" ht="13" x14ac:dyDescent="0.15">
      <c r="A926" s="4"/>
      <c r="B926" s="2"/>
      <c r="C926" s="2"/>
      <c r="D926" s="2"/>
      <c r="E926" s="3"/>
      <c r="F926" s="2"/>
      <c r="G926" s="2"/>
      <c r="H926" s="2"/>
      <c r="I926" s="2"/>
      <c r="J926" s="2"/>
    </row>
    <row r="927" spans="1:10" ht="13" x14ac:dyDescent="0.15">
      <c r="A927" s="4"/>
      <c r="B927" s="2"/>
      <c r="C927" s="2"/>
      <c r="D927" s="2"/>
      <c r="E927" s="3"/>
      <c r="F927" s="2"/>
      <c r="G927" s="2"/>
      <c r="H927" s="2"/>
      <c r="I927" s="2"/>
      <c r="J927" s="2"/>
    </row>
    <row r="928" spans="1:10" ht="13" x14ac:dyDescent="0.15">
      <c r="A928" s="4"/>
      <c r="B928" s="2"/>
      <c r="C928" s="2"/>
      <c r="D928" s="2"/>
      <c r="E928" s="3"/>
      <c r="F928" s="2"/>
      <c r="G928" s="2"/>
      <c r="H928" s="2"/>
      <c r="I928" s="2"/>
      <c r="J928" s="2"/>
    </row>
    <row r="929" spans="1:10" ht="13" x14ac:dyDescent="0.15">
      <c r="A929" s="4"/>
      <c r="B929" s="2"/>
      <c r="C929" s="2"/>
      <c r="D929" s="2"/>
      <c r="E929" s="3"/>
      <c r="F929" s="2"/>
      <c r="G929" s="2"/>
      <c r="H929" s="2"/>
      <c r="I929" s="2"/>
      <c r="J929" s="2"/>
    </row>
    <row r="930" spans="1:10" ht="13" x14ac:dyDescent="0.15">
      <c r="A930" s="4"/>
      <c r="B930" s="2"/>
      <c r="C930" s="2"/>
      <c r="D930" s="2"/>
      <c r="E930" s="3"/>
      <c r="F930" s="2"/>
      <c r="G930" s="2"/>
      <c r="H930" s="2"/>
      <c r="I930" s="2"/>
      <c r="J930" s="2"/>
    </row>
    <row r="931" spans="1:10" ht="13" x14ac:dyDescent="0.15">
      <c r="A931" s="4"/>
      <c r="B931" s="2"/>
      <c r="C931" s="2"/>
      <c r="D931" s="2"/>
      <c r="E931" s="3"/>
      <c r="F931" s="2"/>
      <c r="G931" s="2"/>
      <c r="H931" s="2"/>
      <c r="I931" s="2"/>
      <c r="J931" s="2"/>
    </row>
    <row r="932" spans="1:10" ht="13" x14ac:dyDescent="0.15">
      <c r="A932" s="4"/>
      <c r="B932" s="2"/>
      <c r="C932" s="2"/>
      <c r="D932" s="2"/>
      <c r="E932" s="3"/>
      <c r="F932" s="2"/>
      <c r="G932" s="2"/>
      <c r="H932" s="2"/>
      <c r="I932" s="2"/>
      <c r="J932" s="2"/>
    </row>
    <row r="933" spans="1:10" ht="13" x14ac:dyDescent="0.15">
      <c r="A933" s="4"/>
      <c r="B933" s="2"/>
      <c r="C933" s="2"/>
      <c r="D933" s="2"/>
      <c r="E933" s="3"/>
      <c r="F933" s="2"/>
      <c r="G933" s="2"/>
      <c r="H933" s="2"/>
      <c r="I933" s="2"/>
      <c r="J933" s="2"/>
    </row>
    <row r="934" spans="1:10" ht="13" x14ac:dyDescent="0.15">
      <c r="A934" s="4"/>
      <c r="B934" s="2"/>
      <c r="C934" s="2"/>
      <c r="D934" s="2"/>
      <c r="E934" s="3"/>
      <c r="F934" s="2"/>
      <c r="G934" s="2"/>
      <c r="H934" s="2"/>
      <c r="I934" s="2"/>
      <c r="J934" s="2"/>
    </row>
    <row r="935" spans="1:10" ht="13" x14ac:dyDescent="0.15">
      <c r="A935" s="4"/>
      <c r="B935" s="2"/>
      <c r="C935" s="2"/>
      <c r="D935" s="2"/>
      <c r="E935" s="3"/>
      <c r="F935" s="2"/>
      <c r="G935" s="2"/>
      <c r="H935" s="2"/>
      <c r="I935" s="2"/>
      <c r="J935" s="2"/>
    </row>
    <row r="936" spans="1:10" ht="13" x14ac:dyDescent="0.15">
      <c r="A936" s="4"/>
      <c r="B936" s="2"/>
      <c r="C936" s="2"/>
      <c r="D936" s="2"/>
      <c r="E936" s="3"/>
      <c r="F936" s="2"/>
      <c r="G936" s="2"/>
      <c r="H936" s="2"/>
      <c r="I936" s="2"/>
      <c r="J936" s="2"/>
    </row>
    <row r="937" spans="1:10" ht="13" x14ac:dyDescent="0.15">
      <c r="A937" s="4"/>
      <c r="B937" s="2"/>
      <c r="C937" s="2"/>
      <c r="D937" s="2"/>
      <c r="E937" s="3"/>
      <c r="F937" s="2"/>
      <c r="G937" s="2"/>
      <c r="H937" s="2"/>
      <c r="I937" s="2"/>
      <c r="J937" s="2"/>
    </row>
    <row r="938" spans="1:10" ht="13" x14ac:dyDescent="0.15">
      <c r="A938" s="4"/>
      <c r="B938" s="2"/>
      <c r="C938" s="2"/>
      <c r="D938" s="2"/>
      <c r="E938" s="3"/>
      <c r="F938" s="2"/>
      <c r="G938" s="2"/>
      <c r="H938" s="2"/>
      <c r="I938" s="2"/>
      <c r="J938" s="2"/>
    </row>
    <row r="939" spans="1:10" ht="13" x14ac:dyDescent="0.15">
      <c r="A939" s="4"/>
      <c r="B939" s="2"/>
      <c r="C939" s="2"/>
      <c r="D939" s="2"/>
      <c r="E939" s="3"/>
      <c r="F939" s="2"/>
      <c r="G939" s="2"/>
      <c r="H939" s="2"/>
      <c r="I939" s="2"/>
      <c r="J939" s="2"/>
    </row>
    <row r="940" spans="1:10" ht="13" x14ac:dyDescent="0.15">
      <c r="A940" s="4"/>
      <c r="B940" s="2"/>
      <c r="C940" s="2"/>
      <c r="D940" s="2"/>
      <c r="E940" s="3"/>
      <c r="F940" s="2"/>
      <c r="G940" s="2"/>
      <c r="H940" s="2"/>
      <c r="I940" s="2"/>
      <c r="J940" s="2"/>
    </row>
    <row r="941" spans="1:10" ht="13" x14ac:dyDescent="0.15">
      <c r="A941" s="4"/>
      <c r="B941" s="2"/>
      <c r="C941" s="2"/>
      <c r="D941" s="2"/>
      <c r="E941" s="3"/>
      <c r="F941" s="2"/>
      <c r="G941" s="2"/>
      <c r="H941" s="2"/>
      <c r="I941" s="2"/>
      <c r="J941" s="2"/>
    </row>
    <row r="942" spans="1:10" ht="13" x14ac:dyDescent="0.15">
      <c r="A942" s="4"/>
      <c r="B942" s="2"/>
      <c r="C942" s="2"/>
      <c r="D942" s="2"/>
      <c r="E942" s="3"/>
      <c r="F942" s="2"/>
      <c r="G942" s="2"/>
      <c r="H942" s="2"/>
      <c r="I942" s="2"/>
      <c r="J942" s="2"/>
    </row>
    <row r="943" spans="1:10" ht="13" x14ac:dyDescent="0.15">
      <c r="A943" s="4"/>
      <c r="B943" s="2"/>
      <c r="C943" s="2"/>
      <c r="D943" s="2"/>
      <c r="E943" s="3"/>
      <c r="F943" s="2"/>
      <c r="G943" s="2"/>
      <c r="H943" s="2"/>
      <c r="I943" s="2"/>
      <c r="J943" s="2"/>
    </row>
    <row r="944" spans="1:10" ht="13" x14ac:dyDescent="0.15">
      <c r="A944" s="4"/>
      <c r="B944" s="2"/>
      <c r="C944" s="2"/>
      <c r="D944" s="2"/>
      <c r="E944" s="3"/>
      <c r="F944" s="2"/>
      <c r="G944" s="2"/>
      <c r="H944" s="2"/>
      <c r="I944" s="2"/>
      <c r="J944" s="2"/>
    </row>
    <row r="945" spans="1:10" ht="13" x14ac:dyDescent="0.15">
      <c r="A945" s="4"/>
      <c r="B945" s="2"/>
      <c r="C945" s="2"/>
      <c r="D945" s="2"/>
      <c r="E945" s="3"/>
      <c r="F945" s="2"/>
      <c r="G945" s="2"/>
      <c r="H945" s="2"/>
      <c r="I945" s="2"/>
      <c r="J945" s="2"/>
    </row>
    <row r="946" spans="1:10" ht="13" x14ac:dyDescent="0.15">
      <c r="A946" s="4"/>
      <c r="B946" s="2"/>
      <c r="C946" s="2"/>
      <c r="D946" s="2"/>
      <c r="E946" s="3"/>
      <c r="F946" s="2"/>
      <c r="G946" s="2"/>
      <c r="H946" s="2"/>
      <c r="I946" s="2"/>
      <c r="J946" s="2"/>
    </row>
    <row r="947" spans="1:10" ht="13" x14ac:dyDescent="0.15">
      <c r="A947" s="4"/>
      <c r="B947" s="2"/>
      <c r="C947" s="2"/>
      <c r="D947" s="2"/>
      <c r="E947" s="3"/>
      <c r="F947" s="2"/>
      <c r="G947" s="2"/>
      <c r="H947" s="2"/>
      <c r="I947" s="2"/>
      <c r="J947" s="2"/>
    </row>
    <row r="948" spans="1:10" ht="13" x14ac:dyDescent="0.15">
      <c r="A948" s="4"/>
      <c r="B948" s="2"/>
      <c r="C948" s="2"/>
      <c r="D948" s="2"/>
      <c r="E948" s="3"/>
      <c r="F948" s="2"/>
      <c r="G948" s="2"/>
      <c r="H948" s="2"/>
      <c r="I948" s="2"/>
      <c r="J948" s="2"/>
    </row>
    <row r="949" spans="1:10" ht="13" x14ac:dyDescent="0.15">
      <c r="A949" s="4"/>
      <c r="B949" s="2"/>
      <c r="C949" s="2"/>
      <c r="D949" s="2"/>
      <c r="E949" s="3"/>
      <c r="F949" s="2"/>
      <c r="G949" s="2"/>
      <c r="H949" s="2"/>
      <c r="I949" s="2"/>
      <c r="J949" s="2"/>
    </row>
    <row r="950" spans="1:10" ht="13" x14ac:dyDescent="0.15">
      <c r="A950" s="4"/>
      <c r="B950" s="2"/>
      <c r="C950" s="2"/>
      <c r="D950" s="2"/>
      <c r="E950" s="3"/>
      <c r="F950" s="2"/>
      <c r="G950" s="2"/>
      <c r="H950" s="2"/>
      <c r="I950" s="2"/>
      <c r="J950" s="2"/>
    </row>
    <row r="951" spans="1:10" ht="13" x14ac:dyDescent="0.15">
      <c r="A951" s="4"/>
      <c r="B951" s="2"/>
      <c r="C951" s="2"/>
      <c r="D951" s="2"/>
      <c r="E951" s="3"/>
      <c r="F951" s="2"/>
      <c r="G951" s="2"/>
      <c r="H951" s="2"/>
      <c r="I951" s="2"/>
      <c r="J951" s="2"/>
    </row>
    <row r="952" spans="1:10" ht="13" x14ac:dyDescent="0.15">
      <c r="A952" s="4"/>
      <c r="B952" s="2"/>
      <c r="C952" s="2"/>
      <c r="D952" s="2"/>
      <c r="E952" s="3"/>
      <c r="F952" s="2"/>
      <c r="G952" s="2"/>
      <c r="H952" s="2"/>
      <c r="I952" s="2"/>
      <c r="J952" s="2"/>
    </row>
    <row r="953" spans="1:10" ht="13" x14ac:dyDescent="0.15">
      <c r="A953" s="4"/>
      <c r="B953" s="2"/>
      <c r="C953" s="2"/>
      <c r="D953" s="2"/>
      <c r="E953" s="3"/>
      <c r="F953" s="2"/>
      <c r="G953" s="2"/>
      <c r="H953" s="2"/>
      <c r="I953" s="2"/>
      <c r="J953" s="2"/>
    </row>
    <row r="954" spans="1:10" ht="13" x14ac:dyDescent="0.15">
      <c r="A954" s="4"/>
      <c r="B954" s="2"/>
      <c r="C954" s="2"/>
      <c r="D954" s="2"/>
      <c r="E954" s="3"/>
      <c r="F954" s="2"/>
      <c r="G954" s="2"/>
      <c r="H954" s="2"/>
      <c r="I954" s="2"/>
      <c r="J954" s="2"/>
    </row>
    <row r="955" spans="1:10" ht="13" x14ac:dyDescent="0.15">
      <c r="A955" s="4"/>
      <c r="B955" s="2"/>
      <c r="C955" s="2"/>
      <c r="D955" s="2"/>
      <c r="E955" s="3"/>
      <c r="F955" s="2"/>
      <c r="G955" s="2"/>
      <c r="H955" s="2"/>
      <c r="I955" s="2"/>
      <c r="J955" s="2"/>
    </row>
    <row r="956" spans="1:10" ht="13" x14ac:dyDescent="0.15">
      <c r="A956" s="4"/>
      <c r="B956" s="2"/>
      <c r="C956" s="2"/>
      <c r="D956" s="2"/>
      <c r="E956" s="3"/>
      <c r="F956" s="2"/>
      <c r="G956" s="2"/>
      <c r="H956" s="2"/>
      <c r="I956" s="2"/>
      <c r="J956" s="2"/>
    </row>
    <row r="957" spans="1:10" ht="13" x14ac:dyDescent="0.15">
      <c r="A957" s="4"/>
      <c r="B957" s="2"/>
      <c r="C957" s="2"/>
      <c r="D957" s="2"/>
      <c r="E957" s="3"/>
      <c r="F957" s="2"/>
      <c r="G957" s="2"/>
      <c r="H957" s="2"/>
      <c r="I957" s="2"/>
      <c r="J957" s="2"/>
    </row>
    <row r="958" spans="1:10" ht="13" x14ac:dyDescent="0.15">
      <c r="A958" s="4"/>
      <c r="B958" s="2"/>
      <c r="C958" s="2"/>
      <c r="D958" s="2"/>
      <c r="E958" s="3"/>
      <c r="F958" s="2"/>
      <c r="G958" s="2"/>
      <c r="H958" s="2"/>
      <c r="I958" s="2"/>
      <c r="J958" s="2"/>
    </row>
    <row r="959" spans="1:10" ht="13" x14ac:dyDescent="0.15">
      <c r="A959" s="4"/>
      <c r="B959" s="2"/>
      <c r="C959" s="2"/>
      <c r="D959" s="2"/>
      <c r="E959" s="3"/>
      <c r="F959" s="2"/>
      <c r="G959" s="2"/>
      <c r="H959" s="2"/>
      <c r="I959" s="2"/>
      <c r="J959" s="2"/>
    </row>
    <row r="960" spans="1:10" ht="13" x14ac:dyDescent="0.15">
      <c r="A960" s="4"/>
      <c r="B960" s="2"/>
      <c r="C960" s="2"/>
      <c r="D960" s="2"/>
      <c r="E960" s="3"/>
      <c r="F960" s="2"/>
      <c r="G960" s="2"/>
      <c r="H960" s="2"/>
      <c r="I960" s="2"/>
      <c r="J960" s="2"/>
    </row>
    <row r="961" spans="1:10" ht="13" x14ac:dyDescent="0.15">
      <c r="A961" s="4"/>
      <c r="B961" s="2"/>
      <c r="C961" s="2"/>
      <c r="D961" s="2"/>
      <c r="E961" s="3"/>
      <c r="F961" s="2"/>
      <c r="G961" s="2"/>
      <c r="H961" s="2"/>
      <c r="I961" s="2"/>
      <c r="J961" s="2"/>
    </row>
    <row r="962" spans="1:10" ht="13" x14ac:dyDescent="0.15">
      <c r="A962" s="4"/>
      <c r="B962" s="2"/>
      <c r="C962" s="2"/>
      <c r="D962" s="2"/>
      <c r="E962" s="3"/>
      <c r="F962" s="2"/>
      <c r="G962" s="2"/>
      <c r="H962" s="2"/>
      <c r="I962" s="2"/>
      <c r="J962" s="2"/>
    </row>
    <row r="963" spans="1:10" ht="13" x14ac:dyDescent="0.15">
      <c r="A963" s="4"/>
      <c r="B963" s="2"/>
      <c r="C963" s="2"/>
      <c r="D963" s="2"/>
      <c r="E963" s="3"/>
      <c r="F963" s="2"/>
      <c r="G963" s="2"/>
      <c r="H963" s="2"/>
      <c r="I963" s="2"/>
      <c r="J963" s="2"/>
    </row>
    <row r="964" spans="1:10" ht="13" x14ac:dyDescent="0.15">
      <c r="A964" s="4"/>
      <c r="B964" s="2"/>
      <c r="C964" s="2"/>
      <c r="D964" s="2"/>
      <c r="E964" s="3"/>
      <c r="F964" s="2"/>
      <c r="G964" s="2"/>
      <c r="H964" s="2"/>
      <c r="I964" s="2"/>
      <c r="J964" s="2"/>
    </row>
    <row r="965" spans="1:10" ht="13" x14ac:dyDescent="0.15">
      <c r="A965" s="4"/>
      <c r="B965" s="2"/>
      <c r="C965" s="2"/>
      <c r="D965" s="2"/>
      <c r="E965" s="3"/>
      <c r="F965" s="2"/>
      <c r="G965" s="2"/>
      <c r="H965" s="2"/>
      <c r="I965" s="2"/>
      <c r="J965" s="2"/>
    </row>
    <row r="966" spans="1:10" ht="13" x14ac:dyDescent="0.15">
      <c r="A966" s="4"/>
      <c r="B966" s="2"/>
      <c r="C966" s="2"/>
      <c r="D966" s="2"/>
      <c r="E966" s="3"/>
      <c r="F966" s="2"/>
      <c r="G966" s="2"/>
      <c r="H966" s="2"/>
      <c r="I966" s="2"/>
      <c r="J966" s="2"/>
    </row>
    <row r="967" spans="1:10" ht="13" x14ac:dyDescent="0.15">
      <c r="A967" s="4"/>
      <c r="B967" s="2"/>
      <c r="C967" s="2"/>
      <c r="D967" s="2"/>
      <c r="E967" s="3"/>
      <c r="F967" s="2"/>
      <c r="G967" s="2"/>
      <c r="H967" s="2"/>
      <c r="I967" s="2"/>
      <c r="J967" s="2"/>
    </row>
    <row r="968" spans="1:10" ht="13" x14ac:dyDescent="0.15">
      <c r="A968" s="4"/>
      <c r="B968" s="2"/>
      <c r="C968" s="2"/>
      <c r="D968" s="2"/>
      <c r="E968" s="3"/>
      <c r="F968" s="2"/>
      <c r="G968" s="2"/>
      <c r="H968" s="2"/>
      <c r="I968" s="2"/>
      <c r="J968" s="2"/>
    </row>
    <row r="969" spans="1:10" ht="13" x14ac:dyDescent="0.15">
      <c r="A969" s="4"/>
      <c r="B969" s="2"/>
      <c r="C969" s="2"/>
      <c r="D969" s="2"/>
      <c r="E969" s="3"/>
      <c r="F969" s="2"/>
      <c r="G969" s="2"/>
      <c r="H969" s="2"/>
      <c r="I969" s="2"/>
      <c r="J969" s="2"/>
    </row>
    <row r="970" spans="1:10" ht="13" x14ac:dyDescent="0.15">
      <c r="A970" s="4"/>
      <c r="B970" s="2"/>
      <c r="C970" s="2"/>
      <c r="D970" s="2"/>
      <c r="E970" s="3"/>
      <c r="F970" s="2"/>
      <c r="G970" s="2"/>
      <c r="H970" s="2"/>
      <c r="I970" s="2"/>
      <c r="J970" s="2"/>
    </row>
    <row r="971" spans="1:10" ht="13" x14ac:dyDescent="0.15">
      <c r="A971" s="4"/>
      <c r="B971" s="2"/>
      <c r="C971" s="2"/>
      <c r="D971" s="2"/>
      <c r="E971" s="3"/>
      <c r="F971" s="2"/>
      <c r="G971" s="2"/>
      <c r="H971" s="2"/>
      <c r="I971" s="2"/>
      <c r="J971" s="2"/>
    </row>
    <row r="972" spans="1:10" ht="13" x14ac:dyDescent="0.15">
      <c r="A972" s="4"/>
      <c r="B972" s="2"/>
      <c r="C972" s="2"/>
      <c r="D972" s="2"/>
      <c r="E972" s="3"/>
      <c r="F972" s="2"/>
      <c r="G972" s="2"/>
      <c r="H972" s="2"/>
      <c r="I972" s="2"/>
      <c r="J972" s="2"/>
    </row>
    <row r="973" spans="1:10" ht="13" x14ac:dyDescent="0.15">
      <c r="A973" s="4"/>
      <c r="B973" s="2"/>
      <c r="C973" s="2"/>
      <c r="D973" s="2"/>
      <c r="E973" s="3"/>
      <c r="F973" s="2"/>
      <c r="G973" s="2"/>
      <c r="H973" s="2"/>
      <c r="I973" s="2"/>
      <c r="J973" s="2"/>
    </row>
    <row r="974" spans="1:10" ht="13" x14ac:dyDescent="0.15">
      <c r="A974" s="4"/>
      <c r="B974" s="2"/>
      <c r="C974" s="2"/>
      <c r="D974" s="2"/>
      <c r="E974" s="3"/>
      <c r="F974" s="2"/>
      <c r="G974" s="2"/>
      <c r="H974" s="2"/>
      <c r="I974" s="2"/>
      <c r="J974" s="2"/>
    </row>
    <row r="975" spans="1:10" ht="13" x14ac:dyDescent="0.15">
      <c r="A975" s="4"/>
      <c r="B975" s="2"/>
      <c r="C975" s="2"/>
      <c r="D975" s="2"/>
      <c r="E975" s="3"/>
      <c r="F975" s="2"/>
      <c r="G975" s="2"/>
      <c r="H975" s="2"/>
      <c r="I975" s="2"/>
      <c r="J975" s="2"/>
    </row>
    <row r="976" spans="1:10" ht="13" x14ac:dyDescent="0.15">
      <c r="A976" s="4"/>
      <c r="B976" s="2"/>
      <c r="C976" s="2"/>
      <c r="D976" s="2"/>
      <c r="E976" s="3"/>
      <c r="F976" s="2"/>
      <c r="G976" s="2"/>
      <c r="H976" s="2"/>
      <c r="I976" s="2"/>
      <c r="J976" s="2"/>
    </row>
    <row r="977" spans="1:10" ht="13" x14ac:dyDescent="0.15">
      <c r="A977" s="4"/>
      <c r="B977" s="2"/>
      <c r="C977" s="2"/>
      <c r="D977" s="2"/>
      <c r="E977" s="3"/>
      <c r="F977" s="2"/>
      <c r="G977" s="2"/>
      <c r="H977" s="2"/>
      <c r="I977" s="2"/>
      <c r="J977" s="2"/>
    </row>
    <row r="978" spans="1:10" ht="13" x14ac:dyDescent="0.15">
      <c r="A978" s="4"/>
      <c r="B978" s="2"/>
      <c r="C978" s="2"/>
      <c r="D978" s="2"/>
      <c r="E978" s="3"/>
      <c r="F978" s="2"/>
      <c r="G978" s="2"/>
      <c r="H978" s="2"/>
      <c r="I978" s="2"/>
      <c r="J978" s="2"/>
    </row>
    <row r="979" spans="1:10" ht="13" x14ac:dyDescent="0.15">
      <c r="A979" s="4"/>
      <c r="B979" s="2"/>
      <c r="C979" s="2"/>
      <c r="D979" s="2"/>
      <c r="E979" s="3"/>
      <c r="F979" s="2"/>
      <c r="G979" s="2"/>
      <c r="H979" s="2"/>
      <c r="I979" s="2"/>
      <c r="J979" s="2"/>
    </row>
    <row r="980" spans="1:10" ht="13" x14ac:dyDescent="0.15">
      <c r="A980" s="4"/>
      <c r="B980" s="2"/>
      <c r="C980" s="2"/>
      <c r="D980" s="2"/>
      <c r="E980" s="3"/>
      <c r="F980" s="2"/>
      <c r="G980" s="2"/>
      <c r="H980" s="2"/>
      <c r="I980" s="2"/>
      <c r="J980" s="2"/>
    </row>
    <row r="981" spans="1:10" ht="13" x14ac:dyDescent="0.15">
      <c r="A981" s="4"/>
      <c r="B981" s="2"/>
      <c r="C981" s="2"/>
      <c r="D981" s="2"/>
      <c r="E981" s="3"/>
      <c r="F981" s="2"/>
      <c r="G981" s="2"/>
      <c r="H981" s="2"/>
      <c r="I981" s="2"/>
      <c r="J981" s="2"/>
    </row>
    <row r="982" spans="1:10" ht="13" x14ac:dyDescent="0.15">
      <c r="A982" s="4"/>
      <c r="B982" s="2"/>
      <c r="C982" s="2"/>
      <c r="D982" s="2"/>
      <c r="E982" s="3"/>
      <c r="F982" s="2"/>
      <c r="G982" s="2"/>
      <c r="H982" s="2"/>
      <c r="I982" s="2"/>
      <c r="J982" s="2"/>
    </row>
    <row r="983" spans="1:10" ht="13" x14ac:dyDescent="0.15">
      <c r="A983" s="4"/>
      <c r="B983" s="2"/>
      <c r="C983" s="2"/>
      <c r="D983" s="2"/>
      <c r="E983" s="3"/>
      <c r="F983" s="2"/>
      <c r="G983" s="2"/>
      <c r="H983" s="2"/>
      <c r="I983" s="2"/>
      <c r="J983" s="2"/>
    </row>
    <row r="984" spans="1:10" ht="13" x14ac:dyDescent="0.15">
      <c r="A984" s="4"/>
      <c r="B984" s="2"/>
      <c r="C984" s="2"/>
      <c r="D984" s="2"/>
      <c r="E984" s="3"/>
      <c r="F984" s="2"/>
      <c r="G984" s="2"/>
      <c r="H984" s="2"/>
      <c r="I984" s="2"/>
      <c r="J984" s="2"/>
    </row>
    <row r="985" spans="1:10" ht="13" x14ac:dyDescent="0.15">
      <c r="A985" s="4"/>
      <c r="B985" s="2"/>
      <c r="C985" s="2"/>
      <c r="D985" s="2"/>
      <c r="E985" s="3"/>
      <c r="F985" s="2"/>
      <c r="G985" s="2"/>
      <c r="H985" s="2"/>
      <c r="I985" s="2"/>
      <c r="J985" s="2"/>
    </row>
    <row r="986" spans="1:10" ht="13" x14ac:dyDescent="0.15">
      <c r="A986" s="4"/>
      <c r="B986" s="2"/>
      <c r="C986" s="2"/>
      <c r="D986" s="2"/>
      <c r="E986" s="3"/>
      <c r="F986" s="2"/>
      <c r="G986" s="2"/>
      <c r="H986" s="2"/>
      <c r="I986" s="2"/>
      <c r="J986" s="2"/>
    </row>
    <row r="987" spans="1:10" ht="13" x14ac:dyDescent="0.15">
      <c r="A987" s="4"/>
      <c r="B987" s="2"/>
      <c r="C987" s="2"/>
      <c r="D987" s="2"/>
      <c r="E987" s="3"/>
      <c r="F987" s="2"/>
      <c r="G987" s="2"/>
      <c r="H987" s="2"/>
      <c r="I987" s="2"/>
      <c r="J987" s="2"/>
    </row>
    <row r="988" spans="1:10" ht="13" x14ac:dyDescent="0.15">
      <c r="A988" s="4"/>
      <c r="B988" s="2"/>
      <c r="C988" s="2"/>
      <c r="D988" s="2"/>
      <c r="E988" s="3"/>
      <c r="F988" s="2"/>
      <c r="G988" s="2"/>
      <c r="H988" s="2"/>
      <c r="I988" s="2"/>
      <c r="J988" s="2"/>
    </row>
    <row r="989" spans="1:10" ht="13" x14ac:dyDescent="0.15">
      <c r="A989" s="4"/>
      <c r="B989" s="2"/>
      <c r="C989" s="2"/>
      <c r="D989" s="2"/>
      <c r="E989" s="3"/>
      <c r="F989" s="2"/>
      <c r="G989" s="2"/>
      <c r="H989" s="2"/>
      <c r="I989" s="2"/>
      <c r="J989" s="2"/>
    </row>
    <row r="990" spans="1:10" ht="13" x14ac:dyDescent="0.15">
      <c r="A990" s="4"/>
      <c r="B990" s="2"/>
      <c r="C990" s="2"/>
      <c r="D990" s="2"/>
      <c r="E990" s="3"/>
      <c r="F990" s="2"/>
      <c r="G990" s="2"/>
      <c r="H990" s="2"/>
      <c r="I990" s="2"/>
      <c r="J990" s="2"/>
    </row>
    <row r="991" spans="1:10" ht="13" x14ac:dyDescent="0.15">
      <c r="A991" s="4"/>
      <c r="B991" s="2"/>
      <c r="C991" s="2"/>
      <c r="D991" s="2"/>
      <c r="E991" s="3"/>
      <c r="F991" s="2"/>
      <c r="G991" s="2"/>
      <c r="H991" s="2"/>
      <c r="I991" s="2"/>
      <c r="J991" s="2"/>
    </row>
    <row r="992" spans="1:10" ht="13" x14ac:dyDescent="0.15">
      <c r="A992" s="4"/>
      <c r="B992" s="2"/>
      <c r="C992" s="2"/>
      <c r="D992" s="2"/>
      <c r="E992" s="3"/>
      <c r="F992" s="2"/>
      <c r="G992" s="2"/>
      <c r="H992" s="2"/>
      <c r="I992" s="2"/>
      <c r="J992" s="2"/>
    </row>
    <row r="993" spans="1:10" ht="13" x14ac:dyDescent="0.15">
      <c r="A993" s="4"/>
      <c r="B993" s="2"/>
      <c r="C993" s="2"/>
      <c r="D993" s="2"/>
      <c r="E993" s="3"/>
      <c r="F993" s="2"/>
      <c r="G993" s="2"/>
      <c r="H993" s="2"/>
      <c r="I993" s="2"/>
      <c r="J993" s="2"/>
    </row>
    <row r="994" spans="1:10" ht="13" x14ac:dyDescent="0.15">
      <c r="A994" s="4"/>
      <c r="B994" s="2"/>
      <c r="C994" s="2"/>
      <c r="D994" s="2"/>
      <c r="E994" s="3"/>
      <c r="F994" s="2"/>
      <c r="G994" s="2"/>
      <c r="H994" s="2"/>
      <c r="I994" s="2"/>
      <c r="J994" s="2"/>
    </row>
    <row r="995" spans="1:10" ht="13" x14ac:dyDescent="0.15">
      <c r="A995" s="4"/>
      <c r="B995" s="2"/>
      <c r="C995" s="2"/>
      <c r="D995" s="2"/>
      <c r="E995" s="3"/>
      <c r="F995" s="2"/>
      <c r="G995" s="2"/>
      <c r="H995" s="2"/>
      <c r="I995" s="2"/>
      <c r="J995" s="2"/>
    </row>
    <row r="996" spans="1:10" ht="13" x14ac:dyDescent="0.15">
      <c r="A996" s="4"/>
      <c r="B996" s="2"/>
      <c r="C996" s="2"/>
      <c r="D996" s="2"/>
      <c r="E996" s="3"/>
      <c r="F996" s="2"/>
      <c r="G996" s="2"/>
      <c r="H996" s="2"/>
      <c r="I996" s="2"/>
      <c r="J996" s="2"/>
    </row>
  </sheetData>
  <mergeCells count="8">
    <mergeCell ref="A35:G35"/>
    <mergeCell ref="A37:G37"/>
    <mergeCell ref="A38:G38"/>
    <mergeCell ref="A5:G5"/>
    <mergeCell ref="A6:G6"/>
    <mergeCell ref="A8:B8"/>
    <mergeCell ref="A25:B25"/>
    <mergeCell ref="A27:B27"/>
  </mergeCells>
  <printOptions horizontalCentered="1"/>
  <pageMargins left="0.7" right="0.7" top="0.75" bottom="0.75" header="0" footer="0"/>
  <pageSetup paperSize="9" pageOrder="overThenDown" orientation="portrait" cellComments="atEnd"/>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7"/>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6640625" customWidth="1"/>
    <col min="2" max="2" width="20.5" customWidth="1"/>
    <col min="3" max="3" width="20.1640625" customWidth="1"/>
    <col min="4" max="4" width="22.5" customWidth="1"/>
    <col min="5" max="5" width="36.5" customWidth="1"/>
    <col min="6" max="6" width="37.6640625" customWidth="1"/>
    <col min="7" max="7" width="16.6640625" customWidth="1"/>
    <col min="8" max="8" width="14.33203125" customWidth="1"/>
    <col min="9" max="9" width="16.6640625" customWidth="1"/>
    <col min="10" max="10" width="19.83203125" customWidth="1"/>
  </cols>
  <sheetData>
    <row r="1" spans="1:10" ht="22.5" customHeight="1" x14ac:dyDescent="0.15">
      <c r="A1" s="6" t="s">
        <v>37</v>
      </c>
      <c r="B1" s="6" t="s">
        <v>38</v>
      </c>
      <c r="C1" s="6" t="s">
        <v>5</v>
      </c>
      <c r="D1" s="6" t="s">
        <v>39</v>
      </c>
      <c r="E1" s="6" t="s">
        <v>40</v>
      </c>
      <c r="F1" s="6" t="s">
        <v>41</v>
      </c>
      <c r="G1" s="6" t="s">
        <v>42</v>
      </c>
      <c r="H1" s="6" t="s">
        <v>43</v>
      </c>
      <c r="I1" s="6" t="s">
        <v>44</v>
      </c>
      <c r="J1" s="6" t="s">
        <v>45</v>
      </c>
    </row>
    <row r="2" spans="1:10" ht="22.5" customHeight="1" x14ac:dyDescent="0.15">
      <c r="A2" s="2" t="s">
        <v>46</v>
      </c>
      <c r="B2" s="34">
        <v>46126.441654155089</v>
      </c>
      <c r="C2" s="2" t="s">
        <v>47</v>
      </c>
      <c r="D2" s="2" t="s">
        <v>48</v>
      </c>
      <c r="E2" s="2" t="s">
        <v>49</v>
      </c>
      <c r="F2" s="2" t="s">
        <v>50</v>
      </c>
      <c r="G2" s="2">
        <v>30</v>
      </c>
      <c r="H2" s="2">
        <v>52000</v>
      </c>
      <c r="I2" s="2">
        <v>1560000</v>
      </c>
      <c r="J2" s="2">
        <v>2714000</v>
      </c>
    </row>
    <row r="3" spans="1:10" ht="22.5" customHeight="1" x14ac:dyDescent="0.15">
      <c r="A3" s="2" t="s">
        <v>46</v>
      </c>
      <c r="B3" s="34">
        <v>46126.441654155089</v>
      </c>
      <c r="C3" s="2" t="s">
        <v>47</v>
      </c>
      <c r="D3" s="2" t="s">
        <v>48</v>
      </c>
      <c r="E3" s="2" t="s">
        <v>51</v>
      </c>
      <c r="F3" s="2" t="s">
        <v>52</v>
      </c>
      <c r="G3" s="2">
        <v>5</v>
      </c>
      <c r="H3" s="2">
        <v>50000</v>
      </c>
      <c r="I3" s="2">
        <v>250000</v>
      </c>
      <c r="J3" s="2"/>
    </row>
    <row r="4" spans="1:10" ht="22.5" customHeight="1" x14ac:dyDescent="0.15">
      <c r="A4" s="2" t="s">
        <v>46</v>
      </c>
      <c r="B4" s="34">
        <v>46126.441654155089</v>
      </c>
      <c r="C4" s="2" t="s">
        <v>47</v>
      </c>
      <c r="D4" s="2" t="s">
        <v>48</v>
      </c>
      <c r="E4" s="2" t="s">
        <v>53</v>
      </c>
      <c r="F4" s="2" t="s">
        <v>54</v>
      </c>
      <c r="G4" s="2">
        <v>4</v>
      </c>
      <c r="H4" s="2">
        <v>226000</v>
      </c>
      <c r="I4" s="2">
        <v>904000</v>
      </c>
      <c r="J4" s="2"/>
    </row>
    <row r="5" spans="1:10" ht="22.5" customHeight="1" x14ac:dyDescent="0.15">
      <c r="A5" s="2" t="s">
        <v>55</v>
      </c>
      <c r="B5" s="34">
        <v>46126.665330995369</v>
      </c>
      <c r="C5" s="2" t="s">
        <v>56</v>
      </c>
      <c r="D5" s="2" t="s">
        <v>7</v>
      </c>
      <c r="E5" s="2" t="s">
        <v>57</v>
      </c>
      <c r="F5" s="2" t="s">
        <v>58</v>
      </c>
      <c r="G5" s="2">
        <v>2</v>
      </c>
      <c r="H5" s="2">
        <v>60000</v>
      </c>
      <c r="I5" s="2">
        <v>120000</v>
      </c>
      <c r="J5" s="2">
        <v>1274000</v>
      </c>
    </row>
    <row r="6" spans="1:10" ht="22.5" customHeight="1" x14ac:dyDescent="0.15">
      <c r="A6" s="2" t="s">
        <v>55</v>
      </c>
      <c r="B6" s="34">
        <v>46126.665330995369</v>
      </c>
      <c r="C6" s="2" t="s">
        <v>56</v>
      </c>
      <c r="D6" s="2" t="s">
        <v>7</v>
      </c>
      <c r="E6" s="2" t="s">
        <v>51</v>
      </c>
      <c r="F6" s="2" t="s">
        <v>52</v>
      </c>
      <c r="G6" s="2">
        <v>5</v>
      </c>
      <c r="H6" s="2">
        <v>50000</v>
      </c>
      <c r="I6" s="2">
        <v>250000</v>
      </c>
      <c r="J6" s="2"/>
    </row>
    <row r="7" spans="1:10" ht="22.5" customHeight="1" x14ac:dyDescent="0.15">
      <c r="A7" s="2" t="s">
        <v>55</v>
      </c>
      <c r="B7" s="34">
        <v>46126.665330995369</v>
      </c>
      <c r="C7" s="2" t="s">
        <v>56</v>
      </c>
      <c r="D7" s="2" t="s">
        <v>7</v>
      </c>
      <c r="E7" s="2" t="s">
        <v>53</v>
      </c>
      <c r="F7" s="2" t="s">
        <v>54</v>
      </c>
      <c r="G7" s="2">
        <v>4</v>
      </c>
      <c r="H7" s="2">
        <v>226000</v>
      </c>
      <c r="I7" s="2">
        <v>904000</v>
      </c>
      <c r="J7" s="2"/>
    </row>
  </sheetData>
  <dataValidations count="4">
    <dataValidation type="list" allowBlank="1" showDropDown="1" showErrorMessage="1" sqref="C2:C7" xr:uid="{00000000-0002-0000-0200-000000000000}">
      <formula1>"KH302775136,KH302775122,KH302775137"</formula1>
    </dataValidation>
    <dataValidation type="list" allowBlank="1" showDropDown="1" showErrorMessage="1" sqref="A2:A7" xr:uid="{00000000-0002-0000-0200-000001000000}">
      <formula1>"HD0005,HD0006,HD0007"</formula1>
    </dataValidation>
    <dataValidation type="custom" allowBlank="1" showDropDown="1" sqref="B2:B7" xr:uid="{00000000-0002-0000-0200-000002000000}">
      <formula1>OR(NOT(ISERROR(DATEVALUE(B2))), AND(ISNUMBER(B2), LEFT(CELL("format", B2))="D"))</formula1>
    </dataValidation>
    <dataValidation type="custom" allowBlank="1" showDropDown="1" sqref="G2:I7" xr:uid="{00000000-0002-0000-0200-000003000000}">
      <formula1>AND(ISNUMBER(G2),(NOT(OR(NOT(ISERROR(DATEVALUE(G2))), AND(ISNUMBER(G2), LEFT(CELL("format", G2))="D")))))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96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23.6640625" customWidth="1"/>
    <col min="2" max="2" width="17.1640625" customWidth="1"/>
    <col min="3" max="3" width="16.83203125" customWidth="1"/>
    <col min="4" max="4" width="24.6640625" customWidth="1"/>
    <col min="6" max="6" width="37.6640625" customWidth="1"/>
    <col min="7" max="7" width="23.6640625" customWidth="1"/>
    <col min="8" max="8" width="29" customWidth="1"/>
  </cols>
  <sheetData>
    <row r="1" spans="1:8" ht="22.5" customHeight="1" x14ac:dyDescent="0.15">
      <c r="A1" s="6" t="s">
        <v>59</v>
      </c>
      <c r="B1" s="6" t="s">
        <v>60</v>
      </c>
      <c r="C1" s="6" t="s">
        <v>5</v>
      </c>
      <c r="D1" s="6" t="s">
        <v>61</v>
      </c>
      <c r="E1" s="6" t="s">
        <v>62</v>
      </c>
      <c r="F1" s="6" t="s">
        <v>63</v>
      </c>
      <c r="G1" s="6" t="s">
        <v>64</v>
      </c>
      <c r="H1" s="6" t="s">
        <v>65</v>
      </c>
    </row>
    <row r="2" spans="1:8" ht="22.5" customHeight="1" x14ac:dyDescent="0.15">
      <c r="A2" s="2" t="s">
        <v>46</v>
      </c>
      <c r="B2" s="34">
        <v>46126.441654155089</v>
      </c>
      <c r="C2" s="2" t="s">
        <v>47</v>
      </c>
      <c r="D2" s="2" t="s">
        <v>48</v>
      </c>
      <c r="E2" s="2">
        <v>779309888</v>
      </c>
      <c r="F2" s="2" t="s">
        <v>66</v>
      </c>
      <c r="G2" s="2">
        <v>2714000</v>
      </c>
      <c r="H2" s="2">
        <v>0</v>
      </c>
    </row>
    <row r="3" spans="1:8" ht="22.5" customHeight="1" x14ac:dyDescent="0.15">
      <c r="A3" s="2" t="s">
        <v>55</v>
      </c>
      <c r="B3" s="34">
        <v>46126.665330995369</v>
      </c>
      <c r="C3" s="2" t="s">
        <v>56</v>
      </c>
      <c r="D3" s="2" t="s">
        <v>7</v>
      </c>
      <c r="E3" s="2">
        <v>984126238</v>
      </c>
      <c r="F3" s="2" t="s">
        <v>67</v>
      </c>
      <c r="G3" s="2">
        <v>1274000</v>
      </c>
      <c r="H3" s="2">
        <v>0</v>
      </c>
    </row>
    <row r="4" spans="1:8" ht="22.5" customHeight="1" x14ac:dyDescent="0.15"/>
    <row r="5" spans="1:8" ht="22.5" customHeight="1" x14ac:dyDescent="0.15"/>
    <row r="6" spans="1:8" ht="22.5" customHeight="1" x14ac:dyDescent="0.15"/>
    <row r="7" spans="1:8" ht="22.5" customHeight="1" x14ac:dyDescent="0.15"/>
    <row r="8" spans="1:8" ht="22.5" customHeight="1" x14ac:dyDescent="0.15"/>
    <row r="9" spans="1:8" ht="22.5" customHeight="1" x14ac:dyDescent="0.15"/>
    <row r="10" spans="1:8" ht="22.5" customHeight="1" x14ac:dyDescent="0.15"/>
    <row r="11" spans="1:8" ht="22.5" customHeight="1" x14ac:dyDescent="0.15"/>
    <row r="12" spans="1:8" ht="22.5" customHeight="1" x14ac:dyDescent="0.15"/>
    <row r="13" spans="1:8" ht="22.5" customHeight="1" x14ac:dyDescent="0.15"/>
    <row r="14" spans="1:8" ht="22.5" customHeight="1" x14ac:dyDescent="0.15"/>
    <row r="15" spans="1:8" ht="22.5" customHeight="1" x14ac:dyDescent="0.15"/>
    <row r="16" spans="1:8" ht="22.5" customHeight="1" x14ac:dyDescent="0.15"/>
    <row r="17" ht="22.5" customHeight="1" x14ac:dyDescent="0.15"/>
    <row r="18" ht="22.5" customHeight="1" x14ac:dyDescent="0.15"/>
    <row r="19" ht="22.5" customHeight="1" x14ac:dyDescent="0.15"/>
    <row r="20" ht="22.5" customHeight="1" x14ac:dyDescent="0.15"/>
    <row r="21" ht="22.5" customHeight="1" x14ac:dyDescent="0.15"/>
    <row r="22" ht="22.5" customHeight="1" x14ac:dyDescent="0.15"/>
    <row r="23" ht="22.5" customHeight="1" x14ac:dyDescent="0.15"/>
    <row r="24" ht="22.5" customHeight="1" x14ac:dyDescent="0.15"/>
    <row r="25" ht="22.5" customHeight="1" x14ac:dyDescent="0.15"/>
    <row r="26" ht="22.5" customHeight="1" x14ac:dyDescent="0.15"/>
    <row r="27" ht="22.5" customHeight="1" x14ac:dyDescent="0.15"/>
    <row r="28" ht="22.5" customHeight="1" x14ac:dyDescent="0.15"/>
    <row r="29" ht="22.5" customHeight="1" x14ac:dyDescent="0.15"/>
    <row r="30" ht="22.5" customHeight="1" x14ac:dyDescent="0.15"/>
    <row r="31" ht="22.5" customHeight="1" x14ac:dyDescent="0.15"/>
    <row r="32" ht="22.5" customHeight="1" x14ac:dyDescent="0.15"/>
    <row r="33" ht="22.5" customHeight="1" x14ac:dyDescent="0.15"/>
    <row r="34" ht="22.5" customHeight="1" x14ac:dyDescent="0.15"/>
    <row r="35" ht="22.5" customHeight="1" x14ac:dyDescent="0.15"/>
    <row r="36" ht="22.5" customHeight="1" x14ac:dyDescent="0.15"/>
    <row r="37" ht="22.5" customHeight="1" x14ac:dyDescent="0.15"/>
    <row r="38" ht="22.5" customHeight="1" x14ac:dyDescent="0.15"/>
    <row r="39" ht="22.5" customHeight="1" x14ac:dyDescent="0.15"/>
    <row r="40" ht="22.5" customHeight="1" x14ac:dyDescent="0.15"/>
    <row r="41" ht="22.5" customHeight="1" x14ac:dyDescent="0.15"/>
    <row r="42" ht="22.5" customHeight="1" x14ac:dyDescent="0.15"/>
    <row r="43" ht="22.5" customHeight="1" x14ac:dyDescent="0.15"/>
    <row r="44" ht="22.5" customHeight="1" x14ac:dyDescent="0.15"/>
    <row r="45" ht="22.5" customHeight="1" x14ac:dyDescent="0.15"/>
    <row r="46" ht="22.5" customHeight="1" x14ac:dyDescent="0.15"/>
    <row r="47" ht="22.5" customHeight="1" x14ac:dyDescent="0.15"/>
    <row r="48" ht="22.5" customHeight="1" x14ac:dyDescent="0.15"/>
    <row r="49" ht="22.5" customHeight="1" x14ac:dyDescent="0.15"/>
    <row r="50" ht="22.5" customHeight="1" x14ac:dyDescent="0.15"/>
    <row r="51" ht="22.5" customHeight="1" x14ac:dyDescent="0.15"/>
    <row r="52" ht="22.5" customHeight="1" x14ac:dyDescent="0.15"/>
    <row r="53" ht="22.5" customHeight="1" x14ac:dyDescent="0.15"/>
    <row r="54" ht="22.5" customHeight="1" x14ac:dyDescent="0.15"/>
    <row r="55" ht="22.5" customHeight="1" x14ac:dyDescent="0.15"/>
    <row r="56" ht="22.5" customHeight="1" x14ac:dyDescent="0.15"/>
    <row r="57" ht="22.5" customHeight="1" x14ac:dyDescent="0.15"/>
    <row r="58" ht="22.5" customHeight="1" x14ac:dyDescent="0.15"/>
    <row r="59" ht="22.5" customHeight="1" x14ac:dyDescent="0.15"/>
    <row r="60" ht="22.5" customHeight="1" x14ac:dyDescent="0.15"/>
    <row r="61" ht="22.5" customHeight="1" x14ac:dyDescent="0.15"/>
    <row r="62" ht="22.5" customHeight="1" x14ac:dyDescent="0.15"/>
    <row r="63" ht="22.5" customHeight="1" x14ac:dyDescent="0.15"/>
    <row r="64" ht="22.5" customHeight="1" x14ac:dyDescent="0.15"/>
    <row r="65" ht="22.5" customHeight="1" x14ac:dyDescent="0.15"/>
    <row r="66" ht="22.5" customHeight="1" x14ac:dyDescent="0.15"/>
    <row r="67" ht="22.5" customHeight="1" x14ac:dyDescent="0.15"/>
    <row r="68" ht="22.5" customHeight="1" x14ac:dyDescent="0.15"/>
    <row r="69" ht="22.5" customHeight="1" x14ac:dyDescent="0.15"/>
    <row r="70" ht="22.5" customHeight="1" x14ac:dyDescent="0.15"/>
    <row r="71" ht="22.5" customHeight="1" x14ac:dyDescent="0.15"/>
    <row r="72" ht="22.5" customHeight="1" x14ac:dyDescent="0.15"/>
    <row r="73" ht="22.5" customHeight="1" x14ac:dyDescent="0.15"/>
    <row r="74" ht="22.5" customHeight="1" x14ac:dyDescent="0.15"/>
    <row r="75" ht="22.5" customHeight="1" x14ac:dyDescent="0.15"/>
    <row r="76" ht="22.5" customHeight="1" x14ac:dyDescent="0.15"/>
    <row r="77" ht="22.5" customHeight="1" x14ac:dyDescent="0.15"/>
    <row r="78" ht="22.5" customHeight="1" x14ac:dyDescent="0.15"/>
    <row r="79" ht="22.5" customHeight="1" x14ac:dyDescent="0.15"/>
    <row r="80" ht="22.5" customHeight="1" x14ac:dyDescent="0.15"/>
    <row r="81" ht="22.5" customHeight="1" x14ac:dyDescent="0.15"/>
    <row r="82" ht="22.5" customHeight="1" x14ac:dyDescent="0.15"/>
    <row r="83" ht="22.5" customHeight="1" x14ac:dyDescent="0.15"/>
    <row r="84" ht="22.5" customHeight="1" x14ac:dyDescent="0.15"/>
    <row r="85" ht="22.5" customHeight="1" x14ac:dyDescent="0.15"/>
    <row r="86" ht="22.5" customHeight="1" x14ac:dyDescent="0.15"/>
    <row r="87" ht="22.5" customHeight="1" x14ac:dyDescent="0.15"/>
    <row r="88" ht="22.5" customHeight="1" x14ac:dyDescent="0.15"/>
    <row r="89" ht="22.5" customHeight="1" x14ac:dyDescent="0.15"/>
    <row r="90" ht="22.5" customHeight="1" x14ac:dyDescent="0.15"/>
    <row r="91" ht="22.5" customHeight="1" x14ac:dyDescent="0.15"/>
    <row r="92" ht="22.5" customHeight="1" x14ac:dyDescent="0.15"/>
    <row r="93" ht="22.5" customHeight="1" x14ac:dyDescent="0.15"/>
    <row r="94" ht="22.5" customHeight="1" x14ac:dyDescent="0.15"/>
    <row r="95" ht="22.5" customHeight="1" x14ac:dyDescent="0.15"/>
    <row r="96" ht="22.5" customHeight="1" x14ac:dyDescent="0.15"/>
    <row r="97" ht="22.5" customHeight="1" x14ac:dyDescent="0.15"/>
    <row r="98" ht="22.5" customHeight="1" x14ac:dyDescent="0.15"/>
    <row r="99" ht="22.5" customHeight="1" x14ac:dyDescent="0.15"/>
    <row r="100" ht="22.5" customHeight="1" x14ac:dyDescent="0.15"/>
    <row r="101" ht="22.5" customHeight="1" x14ac:dyDescent="0.15"/>
    <row r="102" ht="22.5" customHeight="1" x14ac:dyDescent="0.15"/>
    <row r="103" ht="22.5" customHeight="1" x14ac:dyDescent="0.15"/>
    <row r="104" ht="22.5" customHeight="1" x14ac:dyDescent="0.15"/>
    <row r="105" ht="22.5" customHeight="1" x14ac:dyDescent="0.15"/>
    <row r="106" ht="22.5" customHeight="1" x14ac:dyDescent="0.15"/>
    <row r="107" ht="22.5" customHeight="1" x14ac:dyDescent="0.15"/>
    <row r="108" ht="22.5" customHeight="1" x14ac:dyDescent="0.15"/>
    <row r="109" ht="22.5" customHeight="1" x14ac:dyDescent="0.15"/>
    <row r="110" ht="22.5" customHeight="1" x14ac:dyDescent="0.15"/>
    <row r="111" ht="22.5" customHeight="1" x14ac:dyDescent="0.15"/>
    <row r="112" ht="22.5" customHeight="1" x14ac:dyDescent="0.15"/>
    <row r="113" ht="22.5" customHeight="1" x14ac:dyDescent="0.15"/>
    <row r="114" ht="22.5" customHeight="1" x14ac:dyDescent="0.15"/>
    <row r="115" ht="22.5" customHeight="1" x14ac:dyDescent="0.15"/>
    <row r="116" ht="22.5" customHeight="1" x14ac:dyDescent="0.15"/>
    <row r="117" ht="22.5" customHeight="1" x14ac:dyDescent="0.15"/>
    <row r="118" ht="22.5" customHeight="1" x14ac:dyDescent="0.15"/>
    <row r="119" ht="22.5" customHeight="1" x14ac:dyDescent="0.15"/>
    <row r="120" ht="22.5" customHeight="1" x14ac:dyDescent="0.15"/>
    <row r="121" ht="22.5" customHeight="1" x14ac:dyDescent="0.15"/>
    <row r="122" ht="22.5" customHeight="1" x14ac:dyDescent="0.15"/>
    <row r="123" ht="22.5" customHeight="1" x14ac:dyDescent="0.15"/>
    <row r="124" ht="22.5" customHeight="1" x14ac:dyDescent="0.15"/>
    <row r="125" ht="22.5" customHeight="1" x14ac:dyDescent="0.15"/>
    <row r="126" ht="22.5" customHeight="1" x14ac:dyDescent="0.15"/>
    <row r="127" ht="22.5" customHeight="1" x14ac:dyDescent="0.15"/>
    <row r="128" ht="22.5" customHeight="1" x14ac:dyDescent="0.15"/>
    <row r="129" ht="22.5" customHeight="1" x14ac:dyDescent="0.15"/>
    <row r="130" ht="22.5" customHeight="1" x14ac:dyDescent="0.15"/>
    <row r="131" ht="22.5" customHeight="1" x14ac:dyDescent="0.15"/>
    <row r="132" ht="22.5" customHeight="1" x14ac:dyDescent="0.15"/>
    <row r="133" ht="22.5" customHeight="1" x14ac:dyDescent="0.15"/>
    <row r="134" ht="22.5" customHeight="1" x14ac:dyDescent="0.15"/>
    <row r="135" ht="22.5" customHeight="1" x14ac:dyDescent="0.15"/>
    <row r="136" ht="22.5" customHeight="1" x14ac:dyDescent="0.15"/>
    <row r="137" ht="22.5" customHeight="1" x14ac:dyDescent="0.15"/>
    <row r="138" ht="22.5" customHeight="1" x14ac:dyDescent="0.15"/>
    <row r="139" ht="22.5" customHeight="1" x14ac:dyDescent="0.15"/>
    <row r="140" ht="22.5" customHeight="1" x14ac:dyDescent="0.15"/>
    <row r="141" ht="22.5" customHeight="1" x14ac:dyDescent="0.15"/>
    <row r="142" ht="22.5" customHeight="1" x14ac:dyDescent="0.15"/>
    <row r="143" ht="22.5" customHeight="1" x14ac:dyDescent="0.15"/>
    <row r="144" ht="22.5" customHeight="1" x14ac:dyDescent="0.15"/>
    <row r="145" ht="22.5" customHeight="1" x14ac:dyDescent="0.15"/>
    <row r="146" ht="22.5" customHeight="1" x14ac:dyDescent="0.15"/>
    <row r="147" ht="22.5" customHeight="1" x14ac:dyDescent="0.15"/>
    <row r="148" ht="22.5" customHeight="1" x14ac:dyDescent="0.15"/>
    <row r="149" ht="22.5" customHeight="1" x14ac:dyDescent="0.15"/>
    <row r="150" ht="22.5" customHeight="1" x14ac:dyDescent="0.15"/>
    <row r="151" ht="22.5" customHeight="1" x14ac:dyDescent="0.15"/>
    <row r="152" ht="22.5" customHeight="1" x14ac:dyDescent="0.15"/>
    <row r="153" ht="22.5" customHeight="1" x14ac:dyDescent="0.15"/>
    <row r="154" ht="22.5" customHeight="1" x14ac:dyDescent="0.15"/>
    <row r="155" ht="22.5" customHeight="1" x14ac:dyDescent="0.15"/>
    <row r="156" ht="22.5" customHeight="1" x14ac:dyDescent="0.15"/>
    <row r="157" ht="22.5" customHeight="1" x14ac:dyDescent="0.15"/>
    <row r="158" ht="22.5" customHeight="1" x14ac:dyDescent="0.15"/>
    <row r="159" ht="22.5" customHeight="1" x14ac:dyDescent="0.15"/>
    <row r="160" ht="22.5" customHeight="1" x14ac:dyDescent="0.15"/>
    <row r="161" ht="22.5" customHeight="1" x14ac:dyDescent="0.15"/>
    <row r="162" ht="22.5" customHeight="1" x14ac:dyDescent="0.15"/>
    <row r="163" ht="22.5" customHeight="1" x14ac:dyDescent="0.15"/>
    <row r="164" ht="22.5" customHeight="1" x14ac:dyDescent="0.15"/>
    <row r="165" ht="22.5" customHeight="1" x14ac:dyDescent="0.15"/>
    <row r="166" ht="22.5" customHeight="1" x14ac:dyDescent="0.15"/>
    <row r="167" ht="22.5" customHeight="1" x14ac:dyDescent="0.15"/>
    <row r="168" ht="22.5" customHeight="1" x14ac:dyDescent="0.15"/>
    <row r="169" ht="22.5" customHeight="1" x14ac:dyDescent="0.15"/>
    <row r="170" ht="22.5" customHeight="1" x14ac:dyDescent="0.15"/>
    <row r="171" ht="22.5" customHeight="1" x14ac:dyDescent="0.15"/>
    <row r="172" ht="22.5" customHeight="1" x14ac:dyDescent="0.15"/>
    <row r="173" ht="22.5" customHeight="1" x14ac:dyDescent="0.15"/>
    <row r="174" ht="22.5" customHeight="1" x14ac:dyDescent="0.15"/>
    <row r="175" ht="22.5" customHeight="1" x14ac:dyDescent="0.15"/>
    <row r="176" ht="22.5" customHeight="1" x14ac:dyDescent="0.15"/>
    <row r="177" ht="22.5" customHeight="1" x14ac:dyDescent="0.15"/>
    <row r="178" ht="22.5" customHeight="1" x14ac:dyDescent="0.15"/>
    <row r="179" ht="22.5" customHeight="1" x14ac:dyDescent="0.15"/>
    <row r="180" ht="22.5" customHeight="1" x14ac:dyDescent="0.15"/>
    <row r="181" ht="22.5" customHeight="1" x14ac:dyDescent="0.15"/>
    <row r="182" ht="22.5" customHeight="1" x14ac:dyDescent="0.15"/>
    <row r="183" ht="22.5" customHeight="1" x14ac:dyDescent="0.15"/>
    <row r="184" ht="22.5" customHeight="1" x14ac:dyDescent="0.15"/>
    <row r="185" ht="22.5" customHeight="1" x14ac:dyDescent="0.15"/>
    <row r="186" ht="22.5" customHeight="1" x14ac:dyDescent="0.15"/>
    <row r="187" ht="22.5" customHeight="1" x14ac:dyDescent="0.15"/>
    <row r="188" ht="22.5" customHeight="1" x14ac:dyDescent="0.15"/>
    <row r="189" ht="22.5" customHeight="1" x14ac:dyDescent="0.15"/>
    <row r="190" ht="22.5" customHeight="1" x14ac:dyDescent="0.15"/>
    <row r="191" ht="22.5" customHeight="1" x14ac:dyDescent="0.15"/>
    <row r="192" ht="22.5" customHeight="1" x14ac:dyDescent="0.15"/>
    <row r="193" ht="22.5" customHeight="1" x14ac:dyDescent="0.15"/>
    <row r="194" ht="22.5" customHeight="1" x14ac:dyDescent="0.15"/>
    <row r="195" ht="22.5" customHeight="1" x14ac:dyDescent="0.15"/>
    <row r="196" ht="22.5" customHeight="1" x14ac:dyDescent="0.15"/>
    <row r="197" ht="22.5" customHeight="1" x14ac:dyDescent="0.15"/>
    <row r="198" ht="22.5" customHeight="1" x14ac:dyDescent="0.15"/>
    <row r="199" ht="22.5" customHeight="1" x14ac:dyDescent="0.15"/>
    <row r="200" ht="22.5" customHeight="1" x14ac:dyDescent="0.15"/>
    <row r="201" ht="22.5" customHeight="1" x14ac:dyDescent="0.15"/>
    <row r="202" ht="22.5" customHeight="1" x14ac:dyDescent="0.15"/>
    <row r="203" ht="22.5" customHeight="1" x14ac:dyDescent="0.15"/>
    <row r="204" ht="22.5" customHeight="1" x14ac:dyDescent="0.15"/>
    <row r="205" ht="22.5" customHeight="1" x14ac:dyDescent="0.15"/>
    <row r="206" ht="22.5" customHeight="1" x14ac:dyDescent="0.15"/>
    <row r="207" ht="22.5" customHeight="1" x14ac:dyDescent="0.15"/>
    <row r="208" ht="22.5" customHeight="1" x14ac:dyDescent="0.15"/>
    <row r="209" ht="22.5" customHeight="1" x14ac:dyDescent="0.15"/>
    <row r="210" ht="22.5" customHeight="1" x14ac:dyDescent="0.15"/>
    <row r="211" ht="22.5" customHeight="1" x14ac:dyDescent="0.15"/>
    <row r="212" ht="22.5" customHeight="1" x14ac:dyDescent="0.15"/>
    <row r="213" ht="22.5" customHeight="1" x14ac:dyDescent="0.15"/>
    <row r="214" ht="22.5" customHeight="1" x14ac:dyDescent="0.15"/>
    <row r="215" ht="22.5" customHeight="1" x14ac:dyDescent="0.15"/>
    <row r="216" ht="22.5" customHeight="1" x14ac:dyDescent="0.15"/>
    <row r="217" ht="22.5" customHeight="1" x14ac:dyDescent="0.15"/>
    <row r="218" ht="22.5" customHeight="1" x14ac:dyDescent="0.15"/>
    <row r="219" ht="22.5" customHeight="1" x14ac:dyDescent="0.15"/>
    <row r="220" ht="22.5" customHeight="1" x14ac:dyDescent="0.15"/>
    <row r="221" ht="22.5" customHeight="1" x14ac:dyDescent="0.15"/>
    <row r="222" ht="22.5" customHeight="1" x14ac:dyDescent="0.15"/>
    <row r="223" ht="22.5" customHeight="1" x14ac:dyDescent="0.15"/>
    <row r="224" ht="22.5" customHeight="1" x14ac:dyDescent="0.15"/>
    <row r="225" ht="22.5" customHeight="1" x14ac:dyDescent="0.15"/>
    <row r="226" ht="22.5" customHeight="1" x14ac:dyDescent="0.15"/>
    <row r="227" ht="22.5" customHeight="1" x14ac:dyDescent="0.15"/>
    <row r="228" ht="22.5" customHeight="1" x14ac:dyDescent="0.15"/>
    <row r="229" ht="22.5" customHeight="1" x14ac:dyDescent="0.15"/>
    <row r="230" ht="22.5" customHeight="1" x14ac:dyDescent="0.15"/>
    <row r="231" ht="22.5" customHeight="1" x14ac:dyDescent="0.15"/>
    <row r="232" ht="22.5" customHeight="1" x14ac:dyDescent="0.15"/>
    <row r="233" ht="22.5" customHeight="1" x14ac:dyDescent="0.15"/>
    <row r="234" ht="22.5" customHeight="1" x14ac:dyDescent="0.15"/>
    <row r="235" ht="22.5" customHeight="1" x14ac:dyDescent="0.15"/>
    <row r="236" ht="22.5" customHeight="1" x14ac:dyDescent="0.15"/>
    <row r="237" ht="22.5" customHeight="1" x14ac:dyDescent="0.15"/>
    <row r="238" ht="22.5" customHeight="1" x14ac:dyDescent="0.15"/>
    <row r="239" ht="22.5" customHeight="1" x14ac:dyDescent="0.15"/>
    <row r="240" ht="22.5" customHeight="1" x14ac:dyDescent="0.15"/>
    <row r="241" ht="22.5" customHeight="1" x14ac:dyDescent="0.15"/>
    <row r="242" ht="22.5" customHeight="1" x14ac:dyDescent="0.15"/>
    <row r="243" ht="22.5" customHeight="1" x14ac:dyDescent="0.15"/>
    <row r="244" ht="22.5" customHeight="1" x14ac:dyDescent="0.15"/>
    <row r="245" ht="22.5" customHeight="1" x14ac:dyDescent="0.15"/>
    <row r="246" ht="22.5" customHeight="1" x14ac:dyDescent="0.15"/>
    <row r="247" ht="22.5" customHeight="1" x14ac:dyDescent="0.15"/>
    <row r="248" ht="22.5" customHeight="1" x14ac:dyDescent="0.15"/>
    <row r="249" ht="22.5" customHeight="1" x14ac:dyDescent="0.15"/>
    <row r="250" ht="22.5" customHeight="1" x14ac:dyDescent="0.15"/>
    <row r="251" ht="22.5" customHeight="1" x14ac:dyDescent="0.15"/>
    <row r="252" ht="22.5" customHeight="1" x14ac:dyDescent="0.15"/>
    <row r="253" ht="22.5" customHeight="1" x14ac:dyDescent="0.15"/>
    <row r="254" ht="22.5" customHeight="1" x14ac:dyDescent="0.15"/>
    <row r="255" ht="22.5" customHeight="1" x14ac:dyDescent="0.15"/>
    <row r="256" ht="22.5" customHeight="1" x14ac:dyDescent="0.15"/>
    <row r="257" ht="22.5" customHeight="1" x14ac:dyDescent="0.15"/>
    <row r="258" ht="22.5" customHeight="1" x14ac:dyDescent="0.15"/>
    <row r="259" ht="22.5" customHeight="1" x14ac:dyDescent="0.15"/>
    <row r="260" ht="22.5" customHeight="1" x14ac:dyDescent="0.15"/>
    <row r="261" ht="22.5" customHeight="1" x14ac:dyDescent="0.15"/>
    <row r="262" ht="22.5" customHeight="1" x14ac:dyDescent="0.15"/>
    <row r="263" ht="22.5" customHeight="1" x14ac:dyDescent="0.15"/>
    <row r="264" ht="22.5" customHeight="1" x14ac:dyDescent="0.15"/>
    <row r="265" ht="22.5" customHeight="1" x14ac:dyDescent="0.15"/>
    <row r="266" ht="22.5" customHeight="1" x14ac:dyDescent="0.15"/>
    <row r="267" ht="22.5" customHeight="1" x14ac:dyDescent="0.15"/>
    <row r="268" ht="22.5" customHeight="1" x14ac:dyDescent="0.15"/>
    <row r="269" ht="22.5" customHeight="1" x14ac:dyDescent="0.15"/>
    <row r="270" ht="22.5" customHeight="1" x14ac:dyDescent="0.15"/>
    <row r="271" ht="22.5" customHeight="1" x14ac:dyDescent="0.15"/>
    <row r="272" ht="22.5" customHeight="1" x14ac:dyDescent="0.15"/>
    <row r="273" ht="22.5" customHeight="1" x14ac:dyDescent="0.15"/>
    <row r="274" ht="22.5" customHeight="1" x14ac:dyDescent="0.15"/>
    <row r="275" ht="22.5" customHeight="1" x14ac:dyDescent="0.15"/>
    <row r="276" ht="22.5" customHeight="1" x14ac:dyDescent="0.15"/>
    <row r="277" ht="22.5" customHeight="1" x14ac:dyDescent="0.15"/>
    <row r="278" ht="22.5" customHeight="1" x14ac:dyDescent="0.15"/>
    <row r="279" ht="22.5" customHeight="1" x14ac:dyDescent="0.15"/>
    <row r="280" ht="22.5" customHeight="1" x14ac:dyDescent="0.15"/>
    <row r="281" ht="22.5" customHeight="1" x14ac:dyDescent="0.15"/>
    <row r="282" ht="22.5" customHeight="1" x14ac:dyDescent="0.15"/>
    <row r="283" ht="22.5" customHeight="1" x14ac:dyDescent="0.15"/>
    <row r="284" ht="22.5" customHeight="1" x14ac:dyDescent="0.15"/>
    <row r="285" ht="22.5" customHeight="1" x14ac:dyDescent="0.15"/>
    <row r="286" ht="22.5" customHeight="1" x14ac:dyDescent="0.15"/>
    <row r="287" ht="22.5" customHeight="1" x14ac:dyDescent="0.15"/>
    <row r="288" ht="22.5" customHeight="1" x14ac:dyDescent="0.15"/>
    <row r="289" ht="22.5" customHeight="1" x14ac:dyDescent="0.15"/>
    <row r="290" ht="22.5" customHeight="1" x14ac:dyDescent="0.15"/>
    <row r="291" ht="22.5" customHeight="1" x14ac:dyDescent="0.15"/>
    <row r="292" ht="22.5" customHeight="1" x14ac:dyDescent="0.15"/>
    <row r="293" ht="22.5" customHeight="1" x14ac:dyDescent="0.15"/>
    <row r="294" ht="22.5" customHeight="1" x14ac:dyDescent="0.15"/>
    <row r="295" ht="22.5" customHeight="1" x14ac:dyDescent="0.15"/>
    <row r="296" ht="22.5" customHeight="1" x14ac:dyDescent="0.15"/>
    <row r="297" ht="22.5" customHeight="1" x14ac:dyDescent="0.15"/>
    <row r="298" ht="22.5" customHeight="1" x14ac:dyDescent="0.15"/>
    <row r="299" ht="22.5" customHeight="1" x14ac:dyDescent="0.15"/>
    <row r="300" ht="22.5" customHeight="1" x14ac:dyDescent="0.15"/>
    <row r="301" ht="22.5" customHeight="1" x14ac:dyDescent="0.15"/>
    <row r="302" ht="22.5" customHeight="1" x14ac:dyDescent="0.15"/>
    <row r="303" ht="22.5" customHeight="1" x14ac:dyDescent="0.15"/>
    <row r="304" ht="22.5" customHeight="1" x14ac:dyDescent="0.15"/>
    <row r="305" ht="22.5" customHeight="1" x14ac:dyDescent="0.15"/>
    <row r="306" ht="22.5" customHeight="1" x14ac:dyDescent="0.15"/>
    <row r="307" ht="22.5" customHeight="1" x14ac:dyDescent="0.15"/>
    <row r="308" ht="22.5" customHeight="1" x14ac:dyDescent="0.15"/>
    <row r="309" ht="22.5" customHeight="1" x14ac:dyDescent="0.15"/>
    <row r="310" ht="22.5" customHeight="1" x14ac:dyDescent="0.15"/>
    <row r="311" ht="22.5" customHeight="1" x14ac:dyDescent="0.15"/>
    <row r="312" ht="22.5" customHeight="1" x14ac:dyDescent="0.15"/>
    <row r="313" ht="22.5" customHeight="1" x14ac:dyDescent="0.15"/>
    <row r="314" ht="22.5" customHeight="1" x14ac:dyDescent="0.15"/>
    <row r="315" ht="22.5" customHeight="1" x14ac:dyDescent="0.15"/>
    <row r="316" ht="22.5" customHeight="1" x14ac:dyDescent="0.15"/>
    <row r="317" ht="22.5" customHeight="1" x14ac:dyDescent="0.15"/>
    <row r="318" ht="22.5" customHeight="1" x14ac:dyDescent="0.15"/>
    <row r="319" ht="22.5" customHeight="1" x14ac:dyDescent="0.15"/>
    <row r="320" ht="22.5" customHeight="1" x14ac:dyDescent="0.15"/>
    <row r="321" ht="22.5" customHeight="1" x14ac:dyDescent="0.15"/>
    <row r="322" ht="22.5" customHeight="1" x14ac:dyDescent="0.15"/>
    <row r="323" ht="22.5" customHeight="1" x14ac:dyDescent="0.15"/>
    <row r="324" ht="22.5" customHeight="1" x14ac:dyDescent="0.15"/>
    <row r="325" ht="22.5" customHeight="1" x14ac:dyDescent="0.15"/>
    <row r="326" ht="22.5" customHeight="1" x14ac:dyDescent="0.15"/>
    <row r="327" ht="22.5" customHeight="1" x14ac:dyDescent="0.15"/>
    <row r="328" ht="22.5" customHeight="1" x14ac:dyDescent="0.15"/>
    <row r="329" ht="22.5" customHeight="1" x14ac:dyDescent="0.15"/>
    <row r="330" ht="22.5" customHeight="1" x14ac:dyDescent="0.15"/>
    <row r="331" ht="22.5" customHeight="1" x14ac:dyDescent="0.15"/>
    <row r="332" ht="22.5" customHeight="1" x14ac:dyDescent="0.15"/>
    <row r="333" ht="22.5" customHeight="1" x14ac:dyDescent="0.15"/>
    <row r="334" ht="22.5" customHeight="1" x14ac:dyDescent="0.15"/>
    <row r="335" ht="22.5" customHeight="1" x14ac:dyDescent="0.15"/>
    <row r="336" ht="22.5" customHeight="1" x14ac:dyDescent="0.15"/>
    <row r="337" ht="22.5" customHeight="1" x14ac:dyDescent="0.15"/>
    <row r="338" ht="22.5" customHeight="1" x14ac:dyDescent="0.15"/>
    <row r="339" ht="22.5" customHeight="1" x14ac:dyDescent="0.15"/>
    <row r="340" ht="22.5" customHeight="1" x14ac:dyDescent="0.15"/>
    <row r="341" ht="22.5" customHeight="1" x14ac:dyDescent="0.15"/>
    <row r="342" ht="22.5" customHeight="1" x14ac:dyDescent="0.15"/>
    <row r="343" ht="22.5" customHeight="1" x14ac:dyDescent="0.15"/>
    <row r="344" ht="22.5" customHeight="1" x14ac:dyDescent="0.15"/>
    <row r="345" ht="22.5" customHeight="1" x14ac:dyDescent="0.15"/>
    <row r="346" ht="22.5" customHeight="1" x14ac:dyDescent="0.15"/>
    <row r="347" ht="22.5" customHeight="1" x14ac:dyDescent="0.15"/>
    <row r="348" ht="22.5" customHeight="1" x14ac:dyDescent="0.15"/>
    <row r="349" ht="22.5" customHeight="1" x14ac:dyDescent="0.15"/>
    <row r="350" ht="22.5" customHeight="1" x14ac:dyDescent="0.15"/>
    <row r="351" ht="22.5" customHeight="1" x14ac:dyDescent="0.15"/>
    <row r="352" ht="22.5" customHeight="1" x14ac:dyDescent="0.15"/>
    <row r="353" ht="22.5" customHeight="1" x14ac:dyDescent="0.15"/>
    <row r="354" ht="22.5" customHeight="1" x14ac:dyDescent="0.15"/>
    <row r="355" ht="22.5" customHeight="1" x14ac:dyDescent="0.15"/>
    <row r="356" ht="22.5" customHeight="1" x14ac:dyDescent="0.15"/>
    <row r="357" ht="22.5" customHeight="1" x14ac:dyDescent="0.15"/>
    <row r="358" ht="22.5" customHeight="1" x14ac:dyDescent="0.15"/>
    <row r="359" ht="22.5" customHeight="1" x14ac:dyDescent="0.15"/>
    <row r="360" ht="22.5" customHeight="1" x14ac:dyDescent="0.15"/>
    <row r="361" ht="22.5" customHeight="1" x14ac:dyDescent="0.15"/>
    <row r="362" ht="22.5" customHeight="1" x14ac:dyDescent="0.15"/>
    <row r="363" ht="22.5" customHeight="1" x14ac:dyDescent="0.15"/>
    <row r="364" ht="22.5" customHeight="1" x14ac:dyDescent="0.15"/>
    <row r="365" ht="22.5" customHeight="1" x14ac:dyDescent="0.15"/>
    <row r="366" ht="22.5" customHeight="1" x14ac:dyDescent="0.15"/>
    <row r="367" ht="22.5" customHeight="1" x14ac:dyDescent="0.15"/>
    <row r="368" ht="22.5" customHeight="1" x14ac:dyDescent="0.15"/>
    <row r="369" ht="22.5" customHeight="1" x14ac:dyDescent="0.15"/>
    <row r="370" ht="22.5" customHeight="1" x14ac:dyDescent="0.15"/>
    <row r="371" ht="22.5" customHeight="1" x14ac:dyDescent="0.15"/>
    <row r="372" ht="22.5" customHeight="1" x14ac:dyDescent="0.15"/>
    <row r="373" ht="22.5" customHeight="1" x14ac:dyDescent="0.15"/>
    <row r="374" ht="22.5" customHeight="1" x14ac:dyDescent="0.15"/>
    <row r="375" ht="22.5" customHeight="1" x14ac:dyDescent="0.15"/>
    <row r="376" ht="22.5" customHeight="1" x14ac:dyDescent="0.15"/>
    <row r="377" ht="22.5" customHeight="1" x14ac:dyDescent="0.15"/>
    <row r="378" ht="22.5" customHeight="1" x14ac:dyDescent="0.15"/>
    <row r="379" ht="22.5" customHeight="1" x14ac:dyDescent="0.15"/>
    <row r="380" ht="22.5" customHeight="1" x14ac:dyDescent="0.15"/>
    <row r="381" ht="22.5" customHeight="1" x14ac:dyDescent="0.15"/>
    <row r="382" ht="22.5" customHeight="1" x14ac:dyDescent="0.15"/>
    <row r="383" ht="22.5" customHeight="1" x14ac:dyDescent="0.15"/>
    <row r="384" ht="22.5" customHeight="1" x14ac:dyDescent="0.15"/>
    <row r="385" ht="22.5" customHeight="1" x14ac:dyDescent="0.15"/>
    <row r="386" ht="22.5" customHeight="1" x14ac:dyDescent="0.15"/>
    <row r="387" ht="22.5" customHeight="1" x14ac:dyDescent="0.15"/>
    <row r="388" ht="22.5" customHeight="1" x14ac:dyDescent="0.15"/>
    <row r="389" ht="22.5" customHeight="1" x14ac:dyDescent="0.15"/>
    <row r="390" ht="22.5" customHeight="1" x14ac:dyDescent="0.15"/>
    <row r="391" ht="22.5" customHeight="1" x14ac:dyDescent="0.15"/>
    <row r="392" ht="22.5" customHeight="1" x14ac:dyDescent="0.15"/>
    <row r="393" ht="22.5" customHeight="1" x14ac:dyDescent="0.15"/>
    <row r="394" ht="22.5" customHeight="1" x14ac:dyDescent="0.15"/>
    <row r="395" ht="22.5" customHeight="1" x14ac:dyDescent="0.15"/>
    <row r="396" ht="22.5" customHeight="1" x14ac:dyDescent="0.15"/>
    <row r="397" ht="22.5" customHeight="1" x14ac:dyDescent="0.15"/>
    <row r="398" ht="22.5" customHeight="1" x14ac:dyDescent="0.15"/>
    <row r="399" ht="22.5" customHeight="1" x14ac:dyDescent="0.15"/>
    <row r="400" ht="22.5" customHeight="1" x14ac:dyDescent="0.15"/>
    <row r="401" ht="22.5" customHeight="1" x14ac:dyDescent="0.15"/>
    <row r="402" ht="22.5" customHeight="1" x14ac:dyDescent="0.15"/>
    <row r="403" ht="22.5" customHeight="1" x14ac:dyDescent="0.15"/>
    <row r="404" ht="22.5" customHeight="1" x14ac:dyDescent="0.15"/>
    <row r="405" ht="22.5" customHeight="1" x14ac:dyDescent="0.15"/>
    <row r="406" ht="22.5" customHeight="1" x14ac:dyDescent="0.15"/>
    <row r="407" ht="22.5" customHeight="1" x14ac:dyDescent="0.15"/>
    <row r="408" ht="22.5" customHeight="1" x14ac:dyDescent="0.15"/>
    <row r="409" ht="22.5" customHeight="1" x14ac:dyDescent="0.15"/>
    <row r="410" ht="22.5" customHeight="1" x14ac:dyDescent="0.15"/>
    <row r="411" ht="22.5" customHeight="1" x14ac:dyDescent="0.15"/>
    <row r="412" ht="22.5" customHeight="1" x14ac:dyDescent="0.15"/>
    <row r="413" ht="22.5" customHeight="1" x14ac:dyDescent="0.15"/>
    <row r="414" ht="22.5" customHeight="1" x14ac:dyDescent="0.15"/>
    <row r="415" ht="22.5" customHeight="1" x14ac:dyDescent="0.15"/>
    <row r="416" ht="22.5" customHeight="1" x14ac:dyDescent="0.15"/>
    <row r="417" ht="22.5" customHeight="1" x14ac:dyDescent="0.15"/>
    <row r="418" ht="22.5" customHeight="1" x14ac:dyDescent="0.15"/>
    <row r="419" ht="22.5" customHeight="1" x14ac:dyDescent="0.15"/>
    <row r="420" ht="22.5" customHeight="1" x14ac:dyDescent="0.15"/>
    <row r="421" ht="22.5" customHeight="1" x14ac:dyDescent="0.15"/>
    <row r="422" ht="22.5" customHeight="1" x14ac:dyDescent="0.15"/>
    <row r="423" ht="22.5" customHeight="1" x14ac:dyDescent="0.15"/>
    <row r="424" ht="22.5" customHeight="1" x14ac:dyDescent="0.15"/>
    <row r="425" ht="22.5" customHeight="1" x14ac:dyDescent="0.15"/>
    <row r="426" ht="22.5" customHeight="1" x14ac:dyDescent="0.15"/>
    <row r="427" ht="22.5" customHeight="1" x14ac:dyDescent="0.15"/>
    <row r="428" ht="22.5" customHeight="1" x14ac:dyDescent="0.15"/>
    <row r="429" ht="22.5" customHeight="1" x14ac:dyDescent="0.15"/>
    <row r="430" ht="22.5" customHeight="1" x14ac:dyDescent="0.15"/>
    <row r="431" ht="22.5" customHeight="1" x14ac:dyDescent="0.15"/>
    <row r="432" ht="22.5" customHeight="1" x14ac:dyDescent="0.15"/>
    <row r="433" ht="22.5" customHeight="1" x14ac:dyDescent="0.15"/>
    <row r="434" ht="22.5" customHeight="1" x14ac:dyDescent="0.15"/>
    <row r="435" ht="22.5" customHeight="1" x14ac:dyDescent="0.15"/>
    <row r="436" ht="22.5" customHeight="1" x14ac:dyDescent="0.15"/>
    <row r="437" ht="22.5" customHeight="1" x14ac:dyDescent="0.15"/>
    <row r="438" ht="22.5" customHeight="1" x14ac:dyDescent="0.15"/>
    <row r="439" ht="22.5" customHeight="1" x14ac:dyDescent="0.15"/>
    <row r="440" ht="22.5" customHeight="1" x14ac:dyDescent="0.15"/>
    <row r="441" ht="22.5" customHeight="1" x14ac:dyDescent="0.15"/>
    <row r="442" ht="22.5" customHeight="1" x14ac:dyDescent="0.15"/>
    <row r="443" ht="22.5" customHeight="1" x14ac:dyDescent="0.15"/>
    <row r="444" ht="22.5" customHeight="1" x14ac:dyDescent="0.15"/>
    <row r="445" ht="22.5" customHeight="1" x14ac:dyDescent="0.15"/>
    <row r="446" ht="22.5" customHeight="1" x14ac:dyDescent="0.15"/>
    <row r="447" ht="22.5" customHeight="1" x14ac:dyDescent="0.15"/>
    <row r="448" ht="22.5" customHeight="1" x14ac:dyDescent="0.15"/>
    <row r="449" ht="22.5" customHeight="1" x14ac:dyDescent="0.15"/>
    <row r="450" ht="22.5" customHeight="1" x14ac:dyDescent="0.15"/>
    <row r="451" ht="22.5" customHeight="1" x14ac:dyDescent="0.15"/>
    <row r="452" ht="22.5" customHeight="1" x14ac:dyDescent="0.15"/>
    <row r="453" ht="22.5" customHeight="1" x14ac:dyDescent="0.15"/>
    <row r="454" ht="22.5" customHeight="1" x14ac:dyDescent="0.15"/>
    <row r="455" ht="22.5" customHeight="1" x14ac:dyDescent="0.15"/>
    <row r="456" ht="22.5" customHeight="1" x14ac:dyDescent="0.15"/>
    <row r="457" ht="22.5" customHeight="1" x14ac:dyDescent="0.15"/>
    <row r="458" ht="22.5" customHeight="1" x14ac:dyDescent="0.15"/>
    <row r="459" ht="22.5" customHeight="1" x14ac:dyDescent="0.15"/>
    <row r="460" ht="22.5" customHeight="1" x14ac:dyDescent="0.15"/>
    <row r="461" ht="22.5" customHeight="1" x14ac:dyDescent="0.15"/>
    <row r="462" ht="22.5" customHeight="1" x14ac:dyDescent="0.15"/>
    <row r="463" ht="22.5" customHeight="1" x14ac:dyDescent="0.15"/>
    <row r="464" ht="22.5" customHeight="1" x14ac:dyDescent="0.15"/>
    <row r="465" ht="22.5" customHeight="1" x14ac:dyDescent="0.15"/>
    <row r="466" ht="22.5" customHeight="1" x14ac:dyDescent="0.15"/>
    <row r="467" ht="22.5" customHeight="1" x14ac:dyDescent="0.15"/>
    <row r="468" ht="22.5" customHeight="1" x14ac:dyDescent="0.15"/>
    <row r="469" ht="22.5" customHeight="1" x14ac:dyDescent="0.15"/>
    <row r="470" ht="22.5" customHeight="1" x14ac:dyDescent="0.15"/>
    <row r="471" ht="22.5" customHeight="1" x14ac:dyDescent="0.15"/>
    <row r="472" ht="22.5" customHeight="1" x14ac:dyDescent="0.15"/>
    <row r="473" ht="22.5" customHeight="1" x14ac:dyDescent="0.15"/>
    <row r="474" ht="22.5" customHeight="1" x14ac:dyDescent="0.15"/>
    <row r="475" ht="22.5" customHeight="1" x14ac:dyDescent="0.15"/>
    <row r="476" ht="22.5" customHeight="1" x14ac:dyDescent="0.15"/>
    <row r="477" ht="22.5" customHeight="1" x14ac:dyDescent="0.15"/>
    <row r="478" ht="22.5" customHeight="1" x14ac:dyDescent="0.15"/>
    <row r="479" ht="22.5" customHeight="1" x14ac:dyDescent="0.15"/>
    <row r="480" ht="22.5" customHeight="1" x14ac:dyDescent="0.15"/>
    <row r="481" ht="22.5" customHeight="1" x14ac:dyDescent="0.15"/>
    <row r="482" ht="22.5" customHeight="1" x14ac:dyDescent="0.15"/>
    <row r="483" ht="22.5" customHeight="1" x14ac:dyDescent="0.15"/>
    <row r="484" ht="22.5" customHeight="1" x14ac:dyDescent="0.15"/>
    <row r="485" ht="22.5" customHeight="1" x14ac:dyDescent="0.15"/>
    <row r="486" ht="22.5" customHeight="1" x14ac:dyDescent="0.15"/>
    <row r="487" ht="22.5" customHeight="1" x14ac:dyDescent="0.15"/>
    <row r="488" ht="22.5" customHeight="1" x14ac:dyDescent="0.15"/>
    <row r="489" ht="22.5" customHeight="1" x14ac:dyDescent="0.15"/>
    <row r="490" ht="22.5" customHeight="1" x14ac:dyDescent="0.15"/>
    <row r="491" ht="22.5" customHeight="1" x14ac:dyDescent="0.15"/>
    <row r="492" ht="22.5" customHeight="1" x14ac:dyDescent="0.15"/>
    <row r="493" ht="22.5" customHeight="1" x14ac:dyDescent="0.15"/>
    <row r="494" ht="22.5" customHeight="1" x14ac:dyDescent="0.15"/>
    <row r="495" ht="22.5" customHeight="1" x14ac:dyDescent="0.15"/>
    <row r="496" ht="22.5" customHeight="1" x14ac:dyDescent="0.15"/>
    <row r="497" ht="22.5" customHeight="1" x14ac:dyDescent="0.15"/>
    <row r="498" ht="22.5" customHeight="1" x14ac:dyDescent="0.15"/>
    <row r="499" ht="22.5" customHeight="1" x14ac:dyDescent="0.15"/>
    <row r="500" ht="22.5" customHeight="1" x14ac:dyDescent="0.15"/>
    <row r="501" ht="22.5" customHeight="1" x14ac:dyDescent="0.15"/>
    <row r="502" ht="22.5" customHeight="1" x14ac:dyDescent="0.15"/>
    <row r="503" ht="22.5" customHeight="1" x14ac:dyDescent="0.15"/>
    <row r="504" ht="22.5" customHeight="1" x14ac:dyDescent="0.15"/>
    <row r="505" ht="22.5" customHeight="1" x14ac:dyDescent="0.15"/>
    <row r="506" ht="22.5" customHeight="1" x14ac:dyDescent="0.15"/>
    <row r="507" ht="22.5" customHeight="1" x14ac:dyDescent="0.15"/>
    <row r="508" ht="22.5" customHeight="1" x14ac:dyDescent="0.15"/>
    <row r="509" ht="22.5" customHeight="1" x14ac:dyDescent="0.15"/>
    <row r="510" ht="22.5" customHeight="1" x14ac:dyDescent="0.15"/>
    <row r="511" ht="22.5" customHeight="1" x14ac:dyDescent="0.15"/>
    <row r="512" ht="22.5" customHeight="1" x14ac:dyDescent="0.15"/>
    <row r="513" ht="22.5" customHeight="1" x14ac:dyDescent="0.15"/>
    <row r="514" ht="22.5" customHeight="1" x14ac:dyDescent="0.15"/>
    <row r="515" ht="22.5" customHeight="1" x14ac:dyDescent="0.15"/>
    <row r="516" ht="22.5" customHeight="1" x14ac:dyDescent="0.15"/>
    <row r="517" ht="22.5" customHeight="1" x14ac:dyDescent="0.15"/>
    <row r="518" ht="22.5" customHeight="1" x14ac:dyDescent="0.15"/>
    <row r="519" ht="22.5" customHeight="1" x14ac:dyDescent="0.15"/>
    <row r="520" ht="22.5" customHeight="1" x14ac:dyDescent="0.15"/>
    <row r="521" ht="22.5" customHeight="1" x14ac:dyDescent="0.15"/>
    <row r="522" ht="22.5" customHeight="1" x14ac:dyDescent="0.15"/>
    <row r="523" ht="22.5" customHeight="1" x14ac:dyDescent="0.15"/>
    <row r="524" ht="22.5" customHeight="1" x14ac:dyDescent="0.15"/>
    <row r="525" ht="22.5" customHeight="1" x14ac:dyDescent="0.15"/>
    <row r="526" ht="22.5" customHeight="1" x14ac:dyDescent="0.15"/>
    <row r="527" ht="22.5" customHeight="1" x14ac:dyDescent="0.15"/>
    <row r="528" ht="22.5" customHeight="1" x14ac:dyDescent="0.15"/>
    <row r="529" ht="22.5" customHeight="1" x14ac:dyDescent="0.15"/>
    <row r="530" ht="22.5" customHeight="1" x14ac:dyDescent="0.15"/>
    <row r="531" ht="22.5" customHeight="1" x14ac:dyDescent="0.15"/>
    <row r="532" ht="22.5" customHeight="1" x14ac:dyDescent="0.15"/>
    <row r="533" ht="22.5" customHeight="1" x14ac:dyDescent="0.15"/>
    <row r="534" ht="22.5" customHeight="1" x14ac:dyDescent="0.15"/>
    <row r="535" ht="22.5" customHeight="1" x14ac:dyDescent="0.15"/>
    <row r="536" ht="22.5" customHeight="1" x14ac:dyDescent="0.15"/>
    <row r="537" ht="22.5" customHeight="1" x14ac:dyDescent="0.15"/>
    <row r="538" ht="22.5" customHeight="1" x14ac:dyDescent="0.15"/>
    <row r="539" ht="22.5" customHeight="1" x14ac:dyDescent="0.15"/>
    <row r="540" ht="22.5" customHeight="1" x14ac:dyDescent="0.15"/>
    <row r="541" ht="22.5" customHeight="1" x14ac:dyDescent="0.15"/>
    <row r="542" ht="22.5" customHeight="1" x14ac:dyDescent="0.15"/>
    <row r="543" ht="22.5" customHeight="1" x14ac:dyDescent="0.15"/>
    <row r="544" ht="22.5" customHeight="1" x14ac:dyDescent="0.15"/>
    <row r="545" ht="22.5" customHeight="1" x14ac:dyDescent="0.15"/>
    <row r="546" ht="22.5" customHeight="1" x14ac:dyDescent="0.15"/>
    <row r="547" ht="22.5" customHeight="1" x14ac:dyDescent="0.15"/>
    <row r="548" ht="22.5" customHeight="1" x14ac:dyDescent="0.15"/>
    <row r="549" ht="22.5" customHeight="1" x14ac:dyDescent="0.15"/>
    <row r="550" ht="22.5" customHeight="1" x14ac:dyDescent="0.15"/>
    <row r="551" ht="22.5" customHeight="1" x14ac:dyDescent="0.15"/>
    <row r="552" ht="22.5" customHeight="1" x14ac:dyDescent="0.15"/>
    <row r="553" ht="22.5" customHeight="1" x14ac:dyDescent="0.15"/>
    <row r="554" ht="22.5" customHeight="1" x14ac:dyDescent="0.15"/>
    <row r="555" ht="22.5" customHeight="1" x14ac:dyDescent="0.15"/>
    <row r="556" ht="22.5" customHeight="1" x14ac:dyDescent="0.15"/>
    <row r="557" ht="22.5" customHeight="1" x14ac:dyDescent="0.15"/>
    <row r="558" ht="22.5" customHeight="1" x14ac:dyDescent="0.15"/>
    <row r="559" ht="22.5" customHeight="1" x14ac:dyDescent="0.15"/>
    <row r="560" ht="22.5" customHeight="1" x14ac:dyDescent="0.15"/>
    <row r="561" ht="22.5" customHeight="1" x14ac:dyDescent="0.15"/>
    <row r="562" ht="22.5" customHeight="1" x14ac:dyDescent="0.15"/>
    <row r="563" ht="22.5" customHeight="1" x14ac:dyDescent="0.15"/>
    <row r="564" ht="22.5" customHeight="1" x14ac:dyDescent="0.15"/>
    <row r="565" ht="22.5" customHeight="1" x14ac:dyDescent="0.15"/>
    <row r="566" ht="22.5" customHeight="1" x14ac:dyDescent="0.15"/>
    <row r="567" ht="22.5" customHeight="1" x14ac:dyDescent="0.15"/>
    <row r="568" ht="22.5" customHeight="1" x14ac:dyDescent="0.15"/>
    <row r="569" ht="22.5" customHeight="1" x14ac:dyDescent="0.15"/>
    <row r="570" ht="22.5" customHeight="1" x14ac:dyDescent="0.15"/>
    <row r="571" ht="22.5" customHeight="1" x14ac:dyDescent="0.15"/>
    <row r="572" ht="22.5" customHeight="1" x14ac:dyDescent="0.15"/>
    <row r="573" ht="22.5" customHeight="1" x14ac:dyDescent="0.15"/>
    <row r="574" ht="22.5" customHeight="1" x14ac:dyDescent="0.15"/>
    <row r="575" ht="22.5" customHeight="1" x14ac:dyDescent="0.15"/>
    <row r="576" ht="22.5" customHeight="1" x14ac:dyDescent="0.15"/>
    <row r="577" ht="22.5" customHeight="1" x14ac:dyDescent="0.15"/>
    <row r="578" ht="22.5" customHeight="1" x14ac:dyDescent="0.15"/>
    <row r="579" ht="22.5" customHeight="1" x14ac:dyDescent="0.15"/>
    <row r="580" ht="22.5" customHeight="1" x14ac:dyDescent="0.15"/>
    <row r="581" ht="22.5" customHeight="1" x14ac:dyDescent="0.15"/>
    <row r="582" ht="22.5" customHeight="1" x14ac:dyDescent="0.15"/>
    <row r="583" ht="22.5" customHeight="1" x14ac:dyDescent="0.15"/>
    <row r="584" ht="22.5" customHeight="1" x14ac:dyDescent="0.15"/>
    <row r="585" ht="22.5" customHeight="1" x14ac:dyDescent="0.15"/>
    <row r="586" ht="22.5" customHeight="1" x14ac:dyDescent="0.15"/>
    <row r="587" ht="22.5" customHeight="1" x14ac:dyDescent="0.15"/>
    <row r="588" ht="22.5" customHeight="1" x14ac:dyDescent="0.15"/>
    <row r="589" ht="22.5" customHeight="1" x14ac:dyDescent="0.15"/>
    <row r="590" ht="22.5" customHeight="1" x14ac:dyDescent="0.15"/>
    <row r="591" ht="22.5" customHeight="1" x14ac:dyDescent="0.15"/>
    <row r="592" ht="22.5" customHeight="1" x14ac:dyDescent="0.15"/>
    <row r="593" ht="22.5" customHeight="1" x14ac:dyDescent="0.15"/>
    <row r="594" ht="22.5" customHeight="1" x14ac:dyDescent="0.15"/>
    <row r="595" ht="22.5" customHeight="1" x14ac:dyDescent="0.15"/>
    <row r="596" ht="22.5" customHeight="1" x14ac:dyDescent="0.15"/>
    <row r="597" ht="22.5" customHeight="1" x14ac:dyDescent="0.15"/>
    <row r="598" ht="22.5" customHeight="1" x14ac:dyDescent="0.15"/>
    <row r="599" ht="22.5" customHeight="1" x14ac:dyDescent="0.15"/>
    <row r="600" ht="22.5" customHeight="1" x14ac:dyDescent="0.15"/>
    <row r="601" ht="22.5" customHeight="1" x14ac:dyDescent="0.15"/>
    <row r="602" ht="22.5" customHeight="1" x14ac:dyDescent="0.15"/>
    <row r="603" ht="22.5" customHeight="1" x14ac:dyDescent="0.15"/>
    <row r="604" ht="22.5" customHeight="1" x14ac:dyDescent="0.15"/>
    <row r="605" ht="22.5" customHeight="1" x14ac:dyDescent="0.15"/>
    <row r="606" ht="22.5" customHeight="1" x14ac:dyDescent="0.15"/>
    <row r="607" ht="22.5" customHeight="1" x14ac:dyDescent="0.15"/>
    <row r="608" ht="22.5" customHeight="1" x14ac:dyDescent="0.15"/>
    <row r="609" ht="22.5" customHeight="1" x14ac:dyDescent="0.15"/>
    <row r="610" ht="22.5" customHeight="1" x14ac:dyDescent="0.15"/>
    <row r="611" ht="22.5" customHeight="1" x14ac:dyDescent="0.15"/>
    <row r="612" ht="22.5" customHeight="1" x14ac:dyDescent="0.15"/>
    <row r="613" ht="22.5" customHeight="1" x14ac:dyDescent="0.15"/>
    <row r="614" ht="22.5" customHeight="1" x14ac:dyDescent="0.15"/>
    <row r="615" ht="22.5" customHeight="1" x14ac:dyDescent="0.15"/>
    <row r="616" ht="22.5" customHeight="1" x14ac:dyDescent="0.15"/>
    <row r="617" ht="22.5" customHeight="1" x14ac:dyDescent="0.15"/>
    <row r="618" ht="22.5" customHeight="1" x14ac:dyDescent="0.15"/>
    <row r="619" ht="22.5" customHeight="1" x14ac:dyDescent="0.15"/>
    <row r="620" ht="22.5" customHeight="1" x14ac:dyDescent="0.15"/>
    <row r="621" ht="22.5" customHeight="1" x14ac:dyDescent="0.15"/>
    <row r="622" ht="22.5" customHeight="1" x14ac:dyDescent="0.15"/>
    <row r="623" ht="22.5" customHeight="1" x14ac:dyDescent="0.15"/>
    <row r="624" ht="22.5" customHeight="1" x14ac:dyDescent="0.15"/>
    <row r="625" ht="22.5" customHeight="1" x14ac:dyDescent="0.15"/>
    <row r="626" ht="22.5" customHeight="1" x14ac:dyDescent="0.15"/>
    <row r="627" ht="22.5" customHeight="1" x14ac:dyDescent="0.15"/>
    <row r="628" ht="22.5" customHeight="1" x14ac:dyDescent="0.15"/>
    <row r="629" ht="22.5" customHeight="1" x14ac:dyDescent="0.15"/>
    <row r="630" ht="22.5" customHeight="1" x14ac:dyDescent="0.15"/>
    <row r="631" ht="22.5" customHeight="1" x14ac:dyDescent="0.15"/>
    <row r="632" ht="22.5" customHeight="1" x14ac:dyDescent="0.15"/>
    <row r="633" ht="22.5" customHeight="1" x14ac:dyDescent="0.15"/>
    <row r="634" ht="22.5" customHeight="1" x14ac:dyDescent="0.15"/>
    <row r="635" ht="22.5" customHeight="1" x14ac:dyDescent="0.15"/>
    <row r="636" ht="22.5" customHeight="1" x14ac:dyDescent="0.15"/>
    <row r="637" ht="22.5" customHeight="1" x14ac:dyDescent="0.15"/>
    <row r="638" ht="22.5" customHeight="1" x14ac:dyDescent="0.15"/>
    <row r="639" ht="22.5" customHeight="1" x14ac:dyDescent="0.15"/>
    <row r="640" ht="22.5" customHeight="1" x14ac:dyDescent="0.15"/>
    <row r="641" ht="22.5" customHeight="1" x14ac:dyDescent="0.15"/>
    <row r="642" ht="22.5" customHeight="1" x14ac:dyDescent="0.15"/>
    <row r="643" ht="22.5" customHeight="1" x14ac:dyDescent="0.15"/>
    <row r="644" ht="22.5" customHeight="1" x14ac:dyDescent="0.15"/>
    <row r="645" ht="22.5" customHeight="1" x14ac:dyDescent="0.15"/>
    <row r="646" ht="22.5" customHeight="1" x14ac:dyDescent="0.15"/>
    <row r="647" ht="22.5" customHeight="1" x14ac:dyDescent="0.15"/>
    <row r="648" ht="22.5" customHeight="1" x14ac:dyDescent="0.15"/>
    <row r="649" ht="22.5" customHeight="1" x14ac:dyDescent="0.15"/>
    <row r="650" ht="22.5" customHeight="1" x14ac:dyDescent="0.15"/>
    <row r="651" ht="22.5" customHeight="1" x14ac:dyDescent="0.15"/>
    <row r="652" ht="22.5" customHeight="1" x14ac:dyDescent="0.15"/>
    <row r="653" ht="22.5" customHeight="1" x14ac:dyDescent="0.15"/>
    <row r="654" ht="22.5" customHeight="1" x14ac:dyDescent="0.15"/>
    <row r="655" ht="22.5" customHeight="1" x14ac:dyDescent="0.15"/>
    <row r="656" ht="22.5" customHeight="1" x14ac:dyDescent="0.15"/>
    <row r="657" ht="22.5" customHeight="1" x14ac:dyDescent="0.15"/>
    <row r="658" ht="22.5" customHeight="1" x14ac:dyDescent="0.15"/>
    <row r="659" ht="22.5" customHeight="1" x14ac:dyDescent="0.15"/>
    <row r="660" ht="22.5" customHeight="1" x14ac:dyDescent="0.15"/>
    <row r="661" ht="22.5" customHeight="1" x14ac:dyDescent="0.15"/>
    <row r="662" ht="22.5" customHeight="1" x14ac:dyDescent="0.15"/>
    <row r="663" ht="22.5" customHeight="1" x14ac:dyDescent="0.15"/>
    <row r="664" ht="22.5" customHeight="1" x14ac:dyDescent="0.15"/>
    <row r="665" ht="22.5" customHeight="1" x14ac:dyDescent="0.15"/>
    <row r="666" ht="22.5" customHeight="1" x14ac:dyDescent="0.15"/>
    <row r="667" ht="22.5" customHeight="1" x14ac:dyDescent="0.15"/>
    <row r="668" ht="22.5" customHeight="1" x14ac:dyDescent="0.15"/>
    <row r="669" ht="22.5" customHeight="1" x14ac:dyDescent="0.15"/>
    <row r="670" ht="22.5" customHeight="1" x14ac:dyDescent="0.15"/>
    <row r="671" ht="22.5" customHeight="1" x14ac:dyDescent="0.15"/>
    <row r="672" ht="22.5" customHeight="1" x14ac:dyDescent="0.15"/>
    <row r="673" ht="22.5" customHeight="1" x14ac:dyDescent="0.15"/>
    <row r="674" ht="22.5" customHeight="1" x14ac:dyDescent="0.15"/>
    <row r="675" ht="22.5" customHeight="1" x14ac:dyDescent="0.15"/>
    <row r="676" ht="22.5" customHeight="1" x14ac:dyDescent="0.15"/>
    <row r="677" ht="22.5" customHeight="1" x14ac:dyDescent="0.15"/>
    <row r="678" ht="22.5" customHeight="1" x14ac:dyDescent="0.15"/>
    <row r="679" ht="22.5" customHeight="1" x14ac:dyDescent="0.15"/>
    <row r="680" ht="22.5" customHeight="1" x14ac:dyDescent="0.15"/>
    <row r="681" ht="22.5" customHeight="1" x14ac:dyDescent="0.15"/>
    <row r="682" ht="22.5" customHeight="1" x14ac:dyDescent="0.15"/>
    <row r="683" ht="22.5" customHeight="1" x14ac:dyDescent="0.15"/>
    <row r="684" ht="22.5" customHeight="1" x14ac:dyDescent="0.15"/>
    <row r="685" ht="22.5" customHeight="1" x14ac:dyDescent="0.15"/>
    <row r="686" ht="22.5" customHeight="1" x14ac:dyDescent="0.15"/>
    <row r="687" ht="22.5" customHeight="1" x14ac:dyDescent="0.15"/>
    <row r="688" ht="22.5" customHeight="1" x14ac:dyDescent="0.15"/>
    <row r="689" ht="22.5" customHeight="1" x14ac:dyDescent="0.15"/>
    <row r="690" ht="22.5" customHeight="1" x14ac:dyDescent="0.15"/>
    <row r="691" ht="22.5" customHeight="1" x14ac:dyDescent="0.15"/>
    <row r="692" ht="22.5" customHeight="1" x14ac:dyDescent="0.15"/>
    <row r="693" ht="22.5" customHeight="1" x14ac:dyDescent="0.15"/>
    <row r="694" ht="22.5" customHeight="1" x14ac:dyDescent="0.15"/>
    <row r="695" ht="22.5" customHeight="1" x14ac:dyDescent="0.15"/>
    <row r="696" ht="22.5" customHeight="1" x14ac:dyDescent="0.15"/>
    <row r="697" ht="22.5" customHeight="1" x14ac:dyDescent="0.15"/>
    <row r="698" ht="22.5" customHeight="1" x14ac:dyDescent="0.15"/>
    <row r="699" ht="22.5" customHeight="1" x14ac:dyDescent="0.15"/>
    <row r="700" ht="22.5" customHeight="1" x14ac:dyDescent="0.15"/>
    <row r="701" ht="22.5" customHeight="1" x14ac:dyDescent="0.15"/>
    <row r="702" ht="22.5" customHeight="1" x14ac:dyDescent="0.15"/>
    <row r="703" ht="22.5" customHeight="1" x14ac:dyDescent="0.15"/>
    <row r="704" ht="22.5" customHeight="1" x14ac:dyDescent="0.15"/>
    <row r="705" ht="22.5" customHeight="1" x14ac:dyDescent="0.15"/>
    <row r="706" ht="22.5" customHeight="1" x14ac:dyDescent="0.15"/>
    <row r="707" ht="22.5" customHeight="1" x14ac:dyDescent="0.15"/>
    <row r="708" ht="22.5" customHeight="1" x14ac:dyDescent="0.15"/>
    <row r="709" ht="22.5" customHeight="1" x14ac:dyDescent="0.15"/>
    <row r="710" ht="22.5" customHeight="1" x14ac:dyDescent="0.15"/>
    <row r="711" ht="22.5" customHeight="1" x14ac:dyDescent="0.15"/>
    <row r="712" ht="22.5" customHeight="1" x14ac:dyDescent="0.15"/>
    <row r="713" ht="22.5" customHeight="1" x14ac:dyDescent="0.15"/>
    <row r="714" ht="22.5" customHeight="1" x14ac:dyDescent="0.15"/>
    <row r="715" ht="22.5" customHeight="1" x14ac:dyDescent="0.15"/>
    <row r="716" ht="22.5" customHeight="1" x14ac:dyDescent="0.15"/>
    <row r="717" ht="22.5" customHeight="1" x14ac:dyDescent="0.15"/>
    <row r="718" ht="22.5" customHeight="1" x14ac:dyDescent="0.15"/>
    <row r="719" ht="22.5" customHeight="1" x14ac:dyDescent="0.15"/>
    <row r="720" ht="22.5" customHeight="1" x14ac:dyDescent="0.15"/>
    <row r="721" ht="22.5" customHeight="1" x14ac:dyDescent="0.15"/>
    <row r="722" ht="22.5" customHeight="1" x14ac:dyDescent="0.15"/>
    <row r="723" ht="22.5" customHeight="1" x14ac:dyDescent="0.15"/>
    <row r="724" ht="22.5" customHeight="1" x14ac:dyDescent="0.15"/>
    <row r="725" ht="22.5" customHeight="1" x14ac:dyDescent="0.15"/>
    <row r="726" ht="22.5" customHeight="1" x14ac:dyDescent="0.15"/>
    <row r="727" ht="22.5" customHeight="1" x14ac:dyDescent="0.15"/>
    <row r="728" ht="22.5" customHeight="1" x14ac:dyDescent="0.15"/>
    <row r="729" ht="22.5" customHeight="1" x14ac:dyDescent="0.15"/>
    <row r="730" ht="22.5" customHeight="1" x14ac:dyDescent="0.15"/>
    <row r="731" ht="22.5" customHeight="1" x14ac:dyDescent="0.15"/>
    <row r="732" ht="22.5" customHeight="1" x14ac:dyDescent="0.15"/>
    <row r="733" ht="22.5" customHeight="1" x14ac:dyDescent="0.15"/>
    <row r="734" ht="22.5" customHeight="1" x14ac:dyDescent="0.15"/>
    <row r="735" ht="22.5" customHeight="1" x14ac:dyDescent="0.15"/>
    <row r="736" ht="22.5" customHeight="1" x14ac:dyDescent="0.15"/>
    <row r="737" ht="22.5" customHeight="1" x14ac:dyDescent="0.15"/>
    <row r="738" ht="22.5" customHeight="1" x14ac:dyDescent="0.15"/>
    <row r="739" ht="22.5" customHeight="1" x14ac:dyDescent="0.15"/>
    <row r="740" ht="22.5" customHeight="1" x14ac:dyDescent="0.15"/>
    <row r="741" ht="22.5" customHeight="1" x14ac:dyDescent="0.15"/>
    <row r="742" ht="22.5" customHeight="1" x14ac:dyDescent="0.15"/>
    <row r="743" ht="22.5" customHeight="1" x14ac:dyDescent="0.15"/>
    <row r="744" ht="22.5" customHeight="1" x14ac:dyDescent="0.15"/>
    <row r="745" ht="22.5" customHeight="1" x14ac:dyDescent="0.15"/>
    <row r="746" ht="22.5" customHeight="1" x14ac:dyDescent="0.15"/>
    <row r="747" ht="22.5" customHeight="1" x14ac:dyDescent="0.15"/>
    <row r="748" ht="22.5" customHeight="1" x14ac:dyDescent="0.15"/>
    <row r="749" ht="22.5" customHeight="1" x14ac:dyDescent="0.15"/>
    <row r="750" ht="22.5" customHeight="1" x14ac:dyDescent="0.15"/>
    <row r="751" ht="22.5" customHeight="1" x14ac:dyDescent="0.15"/>
    <row r="752" ht="22.5" customHeight="1" x14ac:dyDescent="0.15"/>
    <row r="753" ht="22.5" customHeight="1" x14ac:dyDescent="0.15"/>
    <row r="754" ht="22.5" customHeight="1" x14ac:dyDescent="0.15"/>
    <row r="755" ht="22.5" customHeight="1" x14ac:dyDescent="0.15"/>
    <row r="756" ht="22.5" customHeight="1" x14ac:dyDescent="0.15"/>
    <row r="757" ht="22.5" customHeight="1" x14ac:dyDescent="0.15"/>
    <row r="758" ht="22.5" customHeight="1" x14ac:dyDescent="0.15"/>
    <row r="759" ht="22.5" customHeight="1" x14ac:dyDescent="0.15"/>
    <row r="760" ht="22.5" customHeight="1" x14ac:dyDescent="0.15"/>
    <row r="761" ht="22.5" customHeight="1" x14ac:dyDescent="0.15"/>
    <row r="762" ht="22.5" customHeight="1" x14ac:dyDescent="0.15"/>
    <row r="763" ht="22.5" customHeight="1" x14ac:dyDescent="0.15"/>
    <row r="764" ht="22.5" customHeight="1" x14ac:dyDescent="0.15"/>
    <row r="765" ht="22.5" customHeight="1" x14ac:dyDescent="0.15"/>
    <row r="766" ht="22.5" customHeight="1" x14ac:dyDescent="0.15"/>
    <row r="767" ht="22.5" customHeight="1" x14ac:dyDescent="0.15"/>
    <row r="768" ht="22.5" customHeight="1" x14ac:dyDescent="0.15"/>
    <row r="769" ht="22.5" customHeight="1" x14ac:dyDescent="0.15"/>
    <row r="770" ht="22.5" customHeight="1" x14ac:dyDescent="0.15"/>
    <row r="771" ht="22.5" customHeight="1" x14ac:dyDescent="0.15"/>
    <row r="772" ht="22.5" customHeight="1" x14ac:dyDescent="0.15"/>
    <row r="773" ht="22.5" customHeight="1" x14ac:dyDescent="0.15"/>
    <row r="774" ht="22.5" customHeight="1" x14ac:dyDescent="0.15"/>
    <row r="775" ht="22.5" customHeight="1" x14ac:dyDescent="0.15"/>
    <row r="776" ht="22.5" customHeight="1" x14ac:dyDescent="0.15"/>
    <row r="777" ht="22.5" customHeight="1" x14ac:dyDescent="0.15"/>
    <row r="778" ht="22.5" customHeight="1" x14ac:dyDescent="0.15"/>
    <row r="779" ht="22.5" customHeight="1" x14ac:dyDescent="0.15"/>
    <row r="780" ht="22.5" customHeight="1" x14ac:dyDescent="0.15"/>
    <row r="781" ht="22.5" customHeight="1" x14ac:dyDescent="0.15"/>
    <row r="782" ht="22.5" customHeight="1" x14ac:dyDescent="0.15"/>
    <row r="783" ht="22.5" customHeight="1" x14ac:dyDescent="0.15"/>
    <row r="784" ht="22.5" customHeight="1" x14ac:dyDescent="0.15"/>
    <row r="785" ht="22.5" customHeight="1" x14ac:dyDescent="0.15"/>
    <row r="786" ht="22.5" customHeight="1" x14ac:dyDescent="0.15"/>
    <row r="787" ht="22.5" customHeight="1" x14ac:dyDescent="0.15"/>
    <row r="788" ht="22.5" customHeight="1" x14ac:dyDescent="0.15"/>
    <row r="789" ht="22.5" customHeight="1" x14ac:dyDescent="0.15"/>
    <row r="790" ht="22.5" customHeight="1" x14ac:dyDescent="0.15"/>
    <row r="791" ht="22.5" customHeight="1" x14ac:dyDescent="0.15"/>
    <row r="792" ht="22.5" customHeight="1" x14ac:dyDescent="0.15"/>
    <row r="793" ht="22.5" customHeight="1" x14ac:dyDescent="0.15"/>
    <row r="794" ht="22.5" customHeight="1" x14ac:dyDescent="0.15"/>
    <row r="795" ht="22.5" customHeight="1" x14ac:dyDescent="0.15"/>
    <row r="796" ht="22.5" customHeight="1" x14ac:dyDescent="0.15"/>
    <row r="797" ht="22.5" customHeight="1" x14ac:dyDescent="0.15"/>
    <row r="798" ht="22.5" customHeight="1" x14ac:dyDescent="0.15"/>
    <row r="799" ht="22.5" customHeight="1" x14ac:dyDescent="0.15"/>
    <row r="800" ht="22.5" customHeight="1" x14ac:dyDescent="0.15"/>
    <row r="801" ht="22.5" customHeight="1" x14ac:dyDescent="0.15"/>
    <row r="802" ht="22.5" customHeight="1" x14ac:dyDescent="0.15"/>
    <row r="803" ht="22.5" customHeight="1" x14ac:dyDescent="0.15"/>
    <row r="804" ht="22.5" customHeight="1" x14ac:dyDescent="0.15"/>
    <row r="805" ht="22.5" customHeight="1" x14ac:dyDescent="0.15"/>
    <row r="806" ht="22.5" customHeight="1" x14ac:dyDescent="0.15"/>
    <row r="807" ht="22.5" customHeight="1" x14ac:dyDescent="0.15"/>
    <row r="808" ht="22.5" customHeight="1" x14ac:dyDescent="0.15"/>
    <row r="809" ht="22.5" customHeight="1" x14ac:dyDescent="0.15"/>
    <row r="810" ht="22.5" customHeight="1" x14ac:dyDescent="0.15"/>
    <row r="811" ht="22.5" customHeight="1" x14ac:dyDescent="0.15"/>
    <row r="812" ht="22.5" customHeight="1" x14ac:dyDescent="0.15"/>
    <row r="813" ht="22.5" customHeight="1" x14ac:dyDescent="0.15"/>
    <row r="814" ht="22.5" customHeight="1" x14ac:dyDescent="0.15"/>
    <row r="815" ht="22.5" customHeight="1" x14ac:dyDescent="0.15"/>
    <row r="816" ht="22.5" customHeight="1" x14ac:dyDescent="0.15"/>
    <row r="817" ht="22.5" customHeight="1" x14ac:dyDescent="0.15"/>
    <row r="818" ht="22.5" customHeight="1" x14ac:dyDescent="0.15"/>
    <row r="819" ht="22.5" customHeight="1" x14ac:dyDescent="0.15"/>
    <row r="820" ht="22.5" customHeight="1" x14ac:dyDescent="0.15"/>
    <row r="821" ht="22.5" customHeight="1" x14ac:dyDescent="0.15"/>
    <row r="822" ht="22.5" customHeight="1" x14ac:dyDescent="0.15"/>
    <row r="823" ht="22.5" customHeight="1" x14ac:dyDescent="0.15"/>
    <row r="824" ht="22.5" customHeight="1" x14ac:dyDescent="0.15"/>
    <row r="825" ht="22.5" customHeight="1" x14ac:dyDescent="0.15"/>
    <row r="826" ht="22.5" customHeight="1" x14ac:dyDescent="0.15"/>
    <row r="827" ht="22.5" customHeight="1" x14ac:dyDescent="0.15"/>
    <row r="828" ht="22.5" customHeight="1" x14ac:dyDescent="0.15"/>
    <row r="829" ht="22.5" customHeight="1" x14ac:dyDescent="0.15"/>
    <row r="830" ht="22.5" customHeight="1" x14ac:dyDescent="0.15"/>
    <row r="831" ht="22.5" customHeight="1" x14ac:dyDescent="0.15"/>
    <row r="832" ht="22.5" customHeight="1" x14ac:dyDescent="0.15"/>
    <row r="833" ht="22.5" customHeight="1" x14ac:dyDescent="0.15"/>
    <row r="834" ht="22.5" customHeight="1" x14ac:dyDescent="0.15"/>
    <row r="835" ht="22.5" customHeight="1" x14ac:dyDescent="0.15"/>
    <row r="836" ht="22.5" customHeight="1" x14ac:dyDescent="0.15"/>
    <row r="837" ht="22.5" customHeight="1" x14ac:dyDescent="0.15"/>
    <row r="838" ht="22.5" customHeight="1" x14ac:dyDescent="0.15"/>
    <row r="839" ht="22.5" customHeight="1" x14ac:dyDescent="0.15"/>
    <row r="840" ht="22.5" customHeight="1" x14ac:dyDescent="0.15"/>
    <row r="841" ht="22.5" customHeight="1" x14ac:dyDescent="0.15"/>
    <row r="842" ht="22.5" customHeight="1" x14ac:dyDescent="0.15"/>
    <row r="843" ht="22.5" customHeight="1" x14ac:dyDescent="0.15"/>
    <row r="844" ht="22.5" customHeight="1" x14ac:dyDescent="0.15"/>
    <row r="845" ht="22.5" customHeight="1" x14ac:dyDescent="0.15"/>
    <row r="846" ht="22.5" customHeight="1" x14ac:dyDescent="0.15"/>
    <row r="847" ht="22.5" customHeight="1" x14ac:dyDescent="0.15"/>
    <row r="848" ht="22.5" customHeight="1" x14ac:dyDescent="0.15"/>
    <row r="849" ht="22.5" customHeight="1" x14ac:dyDescent="0.15"/>
    <row r="850" ht="22.5" customHeight="1" x14ac:dyDescent="0.15"/>
    <row r="851" ht="22.5" customHeight="1" x14ac:dyDescent="0.15"/>
    <row r="852" ht="22.5" customHeight="1" x14ac:dyDescent="0.15"/>
    <row r="853" ht="22.5" customHeight="1" x14ac:dyDescent="0.15"/>
    <row r="854" ht="22.5" customHeight="1" x14ac:dyDescent="0.15"/>
    <row r="855" ht="22.5" customHeight="1" x14ac:dyDescent="0.15"/>
    <row r="856" ht="22.5" customHeight="1" x14ac:dyDescent="0.15"/>
    <row r="857" ht="22.5" customHeight="1" x14ac:dyDescent="0.15"/>
    <row r="858" ht="22.5" customHeight="1" x14ac:dyDescent="0.15"/>
    <row r="859" ht="22.5" customHeight="1" x14ac:dyDescent="0.15"/>
    <row r="860" ht="22.5" customHeight="1" x14ac:dyDescent="0.15"/>
    <row r="861" ht="22.5" customHeight="1" x14ac:dyDescent="0.15"/>
    <row r="862" ht="22.5" customHeight="1" x14ac:dyDescent="0.15"/>
    <row r="863" ht="22.5" customHeight="1" x14ac:dyDescent="0.15"/>
    <row r="864" ht="22.5" customHeight="1" x14ac:dyDescent="0.15"/>
    <row r="865" ht="22.5" customHeight="1" x14ac:dyDescent="0.15"/>
    <row r="866" ht="22.5" customHeight="1" x14ac:dyDescent="0.15"/>
    <row r="867" ht="22.5" customHeight="1" x14ac:dyDescent="0.15"/>
    <row r="868" ht="22.5" customHeight="1" x14ac:dyDescent="0.15"/>
    <row r="869" ht="22.5" customHeight="1" x14ac:dyDescent="0.15"/>
    <row r="870" ht="22.5" customHeight="1" x14ac:dyDescent="0.15"/>
    <row r="871" ht="22.5" customHeight="1" x14ac:dyDescent="0.15"/>
    <row r="872" ht="22.5" customHeight="1" x14ac:dyDescent="0.15"/>
    <row r="873" ht="22.5" customHeight="1" x14ac:dyDescent="0.15"/>
    <row r="874" ht="22.5" customHeight="1" x14ac:dyDescent="0.15"/>
    <row r="875" ht="22.5" customHeight="1" x14ac:dyDescent="0.15"/>
    <row r="876" ht="22.5" customHeight="1" x14ac:dyDescent="0.15"/>
    <row r="877" ht="22.5" customHeight="1" x14ac:dyDescent="0.15"/>
    <row r="878" ht="22.5" customHeight="1" x14ac:dyDescent="0.15"/>
    <row r="879" ht="22.5" customHeight="1" x14ac:dyDescent="0.15"/>
    <row r="880" ht="22.5" customHeight="1" x14ac:dyDescent="0.15"/>
    <row r="881" ht="22.5" customHeight="1" x14ac:dyDescent="0.15"/>
    <row r="882" ht="22.5" customHeight="1" x14ac:dyDescent="0.15"/>
    <row r="883" ht="22.5" customHeight="1" x14ac:dyDescent="0.15"/>
    <row r="884" ht="22.5" customHeight="1" x14ac:dyDescent="0.15"/>
    <row r="885" ht="22.5" customHeight="1" x14ac:dyDescent="0.15"/>
    <row r="886" ht="22.5" customHeight="1" x14ac:dyDescent="0.15"/>
    <row r="887" ht="22.5" customHeight="1" x14ac:dyDescent="0.15"/>
    <row r="888" ht="22.5" customHeight="1" x14ac:dyDescent="0.15"/>
    <row r="889" ht="22.5" customHeight="1" x14ac:dyDescent="0.15"/>
    <row r="890" ht="22.5" customHeight="1" x14ac:dyDescent="0.15"/>
    <row r="891" ht="22.5" customHeight="1" x14ac:dyDescent="0.15"/>
    <row r="892" ht="22.5" customHeight="1" x14ac:dyDescent="0.15"/>
    <row r="893" ht="22.5" customHeight="1" x14ac:dyDescent="0.15"/>
    <row r="894" ht="22.5" customHeight="1" x14ac:dyDescent="0.15"/>
    <row r="895" ht="22.5" customHeight="1" x14ac:dyDescent="0.15"/>
    <row r="896" ht="22.5" customHeight="1" x14ac:dyDescent="0.15"/>
    <row r="897" ht="22.5" customHeight="1" x14ac:dyDescent="0.15"/>
    <row r="898" ht="22.5" customHeight="1" x14ac:dyDescent="0.15"/>
    <row r="899" ht="22.5" customHeight="1" x14ac:dyDescent="0.15"/>
    <row r="900" ht="22.5" customHeight="1" x14ac:dyDescent="0.15"/>
    <row r="901" ht="22.5" customHeight="1" x14ac:dyDescent="0.15"/>
    <row r="902" ht="22.5" customHeight="1" x14ac:dyDescent="0.15"/>
    <row r="903" ht="22.5" customHeight="1" x14ac:dyDescent="0.15"/>
    <row r="904" ht="22.5" customHeight="1" x14ac:dyDescent="0.15"/>
    <row r="905" ht="22.5" customHeight="1" x14ac:dyDescent="0.15"/>
    <row r="906" ht="22.5" customHeight="1" x14ac:dyDescent="0.15"/>
    <row r="907" ht="22.5" customHeight="1" x14ac:dyDescent="0.15"/>
    <row r="908" ht="22.5" customHeight="1" x14ac:dyDescent="0.15"/>
    <row r="909" ht="22.5" customHeight="1" x14ac:dyDescent="0.15"/>
    <row r="910" ht="22.5" customHeight="1" x14ac:dyDescent="0.15"/>
    <row r="911" ht="22.5" customHeight="1" x14ac:dyDescent="0.15"/>
    <row r="912" ht="22.5" customHeight="1" x14ac:dyDescent="0.15"/>
    <row r="913" ht="22.5" customHeight="1" x14ac:dyDescent="0.15"/>
    <row r="914" ht="22.5" customHeight="1" x14ac:dyDescent="0.15"/>
    <row r="915" ht="22.5" customHeight="1" x14ac:dyDescent="0.15"/>
    <row r="916" ht="22.5" customHeight="1" x14ac:dyDescent="0.15"/>
    <row r="917" ht="22.5" customHeight="1" x14ac:dyDescent="0.15"/>
    <row r="918" ht="22.5" customHeight="1" x14ac:dyDescent="0.15"/>
    <row r="919" ht="22.5" customHeight="1" x14ac:dyDescent="0.15"/>
    <row r="920" ht="22.5" customHeight="1" x14ac:dyDescent="0.15"/>
    <row r="921" ht="22.5" customHeight="1" x14ac:dyDescent="0.15"/>
    <row r="922" ht="22.5" customHeight="1" x14ac:dyDescent="0.15"/>
    <row r="923" ht="22.5" customHeight="1" x14ac:dyDescent="0.15"/>
    <row r="924" ht="22.5" customHeight="1" x14ac:dyDescent="0.15"/>
    <row r="925" ht="22.5" customHeight="1" x14ac:dyDescent="0.15"/>
    <row r="926" ht="22.5" customHeight="1" x14ac:dyDescent="0.15"/>
    <row r="927" ht="22.5" customHeight="1" x14ac:dyDescent="0.15"/>
    <row r="928" ht="22.5" customHeight="1" x14ac:dyDescent="0.15"/>
    <row r="929" ht="22.5" customHeight="1" x14ac:dyDescent="0.15"/>
    <row r="930" ht="22.5" customHeight="1" x14ac:dyDescent="0.15"/>
    <row r="931" ht="22.5" customHeight="1" x14ac:dyDescent="0.15"/>
    <row r="932" ht="22.5" customHeight="1" x14ac:dyDescent="0.15"/>
    <row r="933" ht="22.5" customHeight="1" x14ac:dyDescent="0.15"/>
    <row r="934" ht="22.5" customHeight="1" x14ac:dyDescent="0.15"/>
    <row r="935" ht="22.5" customHeight="1" x14ac:dyDescent="0.15"/>
    <row r="936" ht="22.5" customHeight="1" x14ac:dyDescent="0.15"/>
    <row r="937" ht="22.5" customHeight="1" x14ac:dyDescent="0.15"/>
    <row r="938" ht="22.5" customHeight="1" x14ac:dyDescent="0.15"/>
    <row r="939" ht="22.5" customHeight="1" x14ac:dyDescent="0.15"/>
    <row r="940" ht="22.5" customHeight="1" x14ac:dyDescent="0.15"/>
    <row r="941" ht="22.5" customHeight="1" x14ac:dyDescent="0.15"/>
    <row r="942" ht="22.5" customHeight="1" x14ac:dyDescent="0.15"/>
    <row r="943" ht="22.5" customHeight="1" x14ac:dyDescent="0.15"/>
    <row r="944" ht="22.5" customHeight="1" x14ac:dyDescent="0.15"/>
    <row r="945" ht="22.5" customHeight="1" x14ac:dyDescent="0.15"/>
    <row r="946" ht="22.5" customHeight="1" x14ac:dyDescent="0.15"/>
    <row r="947" ht="22.5" customHeight="1" x14ac:dyDescent="0.15"/>
    <row r="948" ht="22.5" customHeight="1" x14ac:dyDescent="0.15"/>
    <row r="949" ht="22.5" customHeight="1" x14ac:dyDescent="0.15"/>
    <row r="950" ht="22.5" customHeight="1" x14ac:dyDescent="0.15"/>
    <row r="951" ht="22.5" customHeight="1" x14ac:dyDescent="0.15"/>
    <row r="952" ht="22.5" customHeight="1" x14ac:dyDescent="0.15"/>
    <row r="953" ht="22.5" customHeight="1" x14ac:dyDescent="0.15"/>
    <row r="954" ht="22.5" customHeight="1" x14ac:dyDescent="0.15"/>
    <row r="955" ht="22.5" customHeight="1" x14ac:dyDescent="0.15"/>
    <row r="956" ht="22.5" customHeight="1" x14ac:dyDescent="0.15"/>
    <row r="957" ht="22.5" customHeight="1" x14ac:dyDescent="0.15"/>
    <row r="958" ht="22.5" customHeight="1" x14ac:dyDescent="0.15"/>
    <row r="959" ht="22.5" customHeight="1" x14ac:dyDescent="0.15"/>
    <row r="960" ht="22.5" customHeight="1" x14ac:dyDescent="0.15"/>
    <row r="961" ht="22.5" customHeight="1" x14ac:dyDescent="0.15"/>
    <row r="962" ht="22.5" customHeight="1" x14ac:dyDescent="0.15"/>
    <row r="963" ht="22.5" customHeight="1" x14ac:dyDescent="0.15"/>
    <row r="964" ht="22.5" customHeight="1" x14ac:dyDescent="0.15"/>
    <row r="965" ht="22.5" customHeight="1" x14ac:dyDescent="0.15"/>
    <row r="966" ht="22.5" customHeight="1" x14ac:dyDescent="0.15"/>
    <row r="967" ht="22.5" customHeight="1" x14ac:dyDescent="0.15"/>
    <row r="968" ht="22.5" customHeight="1" x14ac:dyDescent="0.15"/>
    <row r="969" ht="22.5" customHeight="1" x14ac:dyDescent="0.15"/>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sheetPr>
  <dimension ref="A1:H954"/>
  <sheetViews>
    <sheetView workbookViewId="0"/>
  </sheetViews>
  <sheetFormatPr baseColWidth="10" defaultColWidth="12.6640625" defaultRowHeight="15.75" customHeight="1" x14ac:dyDescent="0.15"/>
  <cols>
    <col min="1" max="1" width="4.83203125" customWidth="1"/>
    <col min="2" max="2" width="21.5" customWidth="1"/>
    <col min="3" max="3" width="23.83203125" customWidth="1"/>
    <col min="4" max="4" width="12.6640625" customWidth="1"/>
    <col min="5" max="5" width="72.1640625" customWidth="1"/>
    <col min="6" max="6" width="37.1640625" customWidth="1"/>
    <col min="7" max="7" width="15.5" customWidth="1"/>
    <col min="8" max="8" width="26" customWidth="1"/>
  </cols>
  <sheetData>
    <row r="1" spans="1:8" ht="15" x14ac:dyDescent="0.2">
      <c r="A1" s="19" t="s">
        <v>10</v>
      </c>
      <c r="B1" s="35" t="s">
        <v>5</v>
      </c>
      <c r="C1" s="36" t="s">
        <v>68</v>
      </c>
      <c r="D1" s="35" t="s">
        <v>69</v>
      </c>
      <c r="E1" s="35" t="s">
        <v>70</v>
      </c>
      <c r="F1" s="35" t="s">
        <v>63</v>
      </c>
      <c r="G1" s="35" t="s">
        <v>71</v>
      </c>
      <c r="H1" s="35" t="s">
        <v>72</v>
      </c>
    </row>
    <row r="2" spans="1:8" ht="15" x14ac:dyDescent="0.2">
      <c r="A2" s="19">
        <v>1</v>
      </c>
      <c r="B2" s="37" t="s">
        <v>47</v>
      </c>
      <c r="C2" s="38" t="s">
        <v>48</v>
      </c>
      <c r="D2" s="37">
        <v>779309888</v>
      </c>
      <c r="E2" s="37" t="s">
        <v>73</v>
      </c>
      <c r="F2" s="37" t="s">
        <v>66</v>
      </c>
      <c r="G2" s="39">
        <v>4134000</v>
      </c>
      <c r="H2" s="39">
        <v>4134000</v>
      </c>
    </row>
    <row r="3" spans="1:8" ht="15" hidden="1" x14ac:dyDescent="0.2">
      <c r="A3" s="19">
        <v>2</v>
      </c>
      <c r="B3" s="22" t="s">
        <v>33</v>
      </c>
      <c r="C3" s="40" t="s">
        <v>74</v>
      </c>
      <c r="D3" s="22">
        <v>914530918</v>
      </c>
      <c r="E3" s="22" t="s">
        <v>75</v>
      </c>
      <c r="F3" s="22" t="s">
        <v>76</v>
      </c>
      <c r="G3" s="41">
        <v>0</v>
      </c>
      <c r="H3" s="41" t="s">
        <v>77</v>
      </c>
    </row>
    <row r="4" spans="1:8" ht="15" hidden="1" x14ac:dyDescent="0.2">
      <c r="A4" s="19">
        <v>3</v>
      </c>
      <c r="B4" s="37" t="s">
        <v>78</v>
      </c>
      <c r="C4" s="38" t="s">
        <v>79</v>
      </c>
      <c r="D4" s="37">
        <v>982004578</v>
      </c>
      <c r="E4" s="37" t="s">
        <v>80</v>
      </c>
      <c r="F4" s="42"/>
      <c r="G4" s="42"/>
      <c r="H4" s="39">
        <v>0</v>
      </c>
    </row>
    <row r="5" spans="1:8" ht="15" hidden="1" x14ac:dyDescent="0.2">
      <c r="A5" s="19">
        <v>4</v>
      </c>
      <c r="B5" s="22" t="s">
        <v>81</v>
      </c>
      <c r="C5" s="40" t="s">
        <v>82</v>
      </c>
      <c r="D5" s="123">
        <v>989334611</v>
      </c>
      <c r="E5" s="124"/>
      <c r="F5" s="22" t="s">
        <v>83</v>
      </c>
      <c r="G5" s="41">
        <v>0</v>
      </c>
      <c r="H5" s="41" t="s">
        <v>84</v>
      </c>
    </row>
    <row r="6" spans="1:8" ht="15" x14ac:dyDescent="0.2">
      <c r="A6" s="19">
        <v>5</v>
      </c>
      <c r="B6" s="37" t="s">
        <v>85</v>
      </c>
      <c r="C6" s="38" t="s">
        <v>86</v>
      </c>
      <c r="D6" s="37">
        <v>388653414</v>
      </c>
      <c r="E6" s="37" t="s">
        <v>87</v>
      </c>
      <c r="F6" s="42"/>
      <c r="G6" s="42">
        <v>7940000</v>
      </c>
      <c r="H6" s="39">
        <v>7940000</v>
      </c>
    </row>
    <row r="7" spans="1:8" ht="15" hidden="1" x14ac:dyDescent="0.2">
      <c r="A7" s="19">
        <v>6</v>
      </c>
      <c r="B7" s="22" t="s">
        <v>88</v>
      </c>
      <c r="C7" s="40" t="s">
        <v>89</v>
      </c>
      <c r="D7" s="22">
        <v>986140581</v>
      </c>
      <c r="E7" s="22" t="s">
        <v>90</v>
      </c>
      <c r="F7" s="43"/>
      <c r="G7" s="43"/>
      <c r="H7" s="41">
        <v>0</v>
      </c>
    </row>
    <row r="8" spans="1:8" ht="15" hidden="1" x14ac:dyDescent="0.2">
      <c r="A8" s="19">
        <v>7</v>
      </c>
      <c r="B8" s="37" t="s">
        <v>91</v>
      </c>
      <c r="C8" s="38" t="s">
        <v>92</v>
      </c>
      <c r="D8" s="37">
        <v>978794813</v>
      </c>
      <c r="E8" s="37" t="s">
        <v>93</v>
      </c>
      <c r="F8" s="42"/>
      <c r="G8" s="42"/>
      <c r="H8" s="39">
        <v>0</v>
      </c>
    </row>
    <row r="9" spans="1:8" ht="15" hidden="1" x14ac:dyDescent="0.2">
      <c r="A9" s="19">
        <v>8</v>
      </c>
      <c r="B9" s="22" t="s">
        <v>94</v>
      </c>
      <c r="C9" s="40" t="s">
        <v>95</v>
      </c>
      <c r="D9" s="22">
        <v>763396463</v>
      </c>
      <c r="E9" s="22" t="s">
        <v>96</v>
      </c>
      <c r="F9" s="43"/>
      <c r="G9" s="43"/>
      <c r="H9" s="41">
        <v>0</v>
      </c>
    </row>
    <row r="10" spans="1:8" ht="15" hidden="1" x14ac:dyDescent="0.2">
      <c r="A10" s="19">
        <v>9</v>
      </c>
      <c r="B10" s="37" t="s">
        <v>97</v>
      </c>
      <c r="C10" s="38" t="s">
        <v>98</v>
      </c>
      <c r="D10" s="37">
        <v>385424789</v>
      </c>
      <c r="E10" s="37" t="s">
        <v>99</v>
      </c>
      <c r="F10" s="42"/>
      <c r="G10" s="42"/>
      <c r="H10" s="39">
        <v>0</v>
      </c>
    </row>
    <row r="11" spans="1:8" ht="15" hidden="1" x14ac:dyDescent="0.2">
      <c r="A11" s="19">
        <v>10</v>
      </c>
      <c r="B11" s="22" t="s">
        <v>100</v>
      </c>
      <c r="C11" s="40" t="s">
        <v>101</v>
      </c>
      <c r="D11" s="22">
        <v>338531802</v>
      </c>
      <c r="E11" s="22" t="s">
        <v>102</v>
      </c>
      <c r="F11" s="43"/>
      <c r="G11" s="43"/>
      <c r="H11" s="41">
        <v>0</v>
      </c>
    </row>
    <row r="12" spans="1:8" ht="15" hidden="1" x14ac:dyDescent="0.2">
      <c r="A12" s="19">
        <v>11</v>
      </c>
      <c r="B12" s="37" t="s">
        <v>103</v>
      </c>
      <c r="C12" s="38" t="s">
        <v>104</v>
      </c>
      <c r="D12" s="42"/>
      <c r="E12" s="42"/>
      <c r="F12" s="42"/>
      <c r="G12" s="39">
        <v>0</v>
      </c>
      <c r="H12" s="39">
        <v>0</v>
      </c>
    </row>
    <row r="13" spans="1:8" ht="15" hidden="1" x14ac:dyDescent="0.2">
      <c r="A13" s="19">
        <v>12</v>
      </c>
      <c r="B13" s="22" t="s">
        <v>105</v>
      </c>
      <c r="C13" s="40" t="s">
        <v>106</v>
      </c>
      <c r="D13" s="22">
        <v>939388686</v>
      </c>
      <c r="E13" s="22" t="s">
        <v>107</v>
      </c>
      <c r="F13" s="43"/>
      <c r="G13" s="43"/>
      <c r="H13" s="41">
        <v>0</v>
      </c>
    </row>
    <row r="14" spans="1:8" ht="15" hidden="1" x14ac:dyDescent="0.2">
      <c r="A14" s="19">
        <v>13</v>
      </c>
      <c r="B14" s="37" t="s">
        <v>108</v>
      </c>
      <c r="C14" s="38" t="s">
        <v>109</v>
      </c>
      <c r="D14" s="42"/>
      <c r="E14" s="42"/>
      <c r="F14" s="42"/>
      <c r="G14" s="42"/>
      <c r="H14" s="39">
        <v>0</v>
      </c>
    </row>
    <row r="15" spans="1:8" ht="15" hidden="1" x14ac:dyDescent="0.2">
      <c r="A15" s="19">
        <v>14</v>
      </c>
      <c r="B15" s="22" t="s">
        <v>110</v>
      </c>
      <c r="C15" s="40" t="s">
        <v>111</v>
      </c>
      <c r="D15" s="22">
        <v>942787805</v>
      </c>
      <c r="E15" s="22" t="s">
        <v>112</v>
      </c>
      <c r="F15" s="43"/>
      <c r="G15" s="41">
        <v>0</v>
      </c>
      <c r="H15" s="41">
        <v>0</v>
      </c>
    </row>
    <row r="16" spans="1:8" ht="15" hidden="1" x14ac:dyDescent="0.2">
      <c r="A16" s="19">
        <v>15</v>
      </c>
      <c r="B16" s="37" t="s">
        <v>113</v>
      </c>
      <c r="C16" s="38" t="s">
        <v>114</v>
      </c>
      <c r="D16" s="37">
        <v>347850426</v>
      </c>
      <c r="E16" s="37" t="s">
        <v>115</v>
      </c>
      <c r="F16" s="42"/>
      <c r="G16" s="42"/>
      <c r="H16" s="39">
        <v>0</v>
      </c>
    </row>
    <row r="17" spans="1:8" ht="15" x14ac:dyDescent="0.2">
      <c r="A17" s="19">
        <v>16</v>
      </c>
      <c r="B17" s="22" t="s">
        <v>56</v>
      </c>
      <c r="C17" s="40" t="s">
        <v>7</v>
      </c>
      <c r="D17" s="22">
        <v>984126238</v>
      </c>
      <c r="E17" s="22" t="s">
        <v>116</v>
      </c>
      <c r="F17" s="22" t="s">
        <v>67</v>
      </c>
      <c r="G17" s="41">
        <v>1274000</v>
      </c>
      <c r="H17" s="41">
        <v>1274000</v>
      </c>
    </row>
    <row r="18" spans="1:8" ht="15" hidden="1" x14ac:dyDescent="0.2">
      <c r="A18" s="19">
        <v>17</v>
      </c>
      <c r="B18" s="37" t="s">
        <v>117</v>
      </c>
      <c r="C18" s="38" t="s">
        <v>118</v>
      </c>
      <c r="D18" s="37">
        <v>941252562</v>
      </c>
      <c r="E18" s="37" t="s">
        <v>119</v>
      </c>
      <c r="F18" s="42"/>
      <c r="G18" s="42"/>
      <c r="H18" s="39">
        <v>0</v>
      </c>
    </row>
    <row r="19" spans="1:8" ht="15" hidden="1" x14ac:dyDescent="0.2">
      <c r="A19" s="19">
        <v>18</v>
      </c>
      <c r="B19" s="22" t="s">
        <v>120</v>
      </c>
      <c r="C19" s="40" t="s">
        <v>121</v>
      </c>
      <c r="D19" s="22" t="s">
        <v>122</v>
      </c>
      <c r="E19" s="22" t="s">
        <v>123</v>
      </c>
      <c r="F19" s="22" t="s">
        <v>124</v>
      </c>
      <c r="G19" s="41">
        <v>0</v>
      </c>
      <c r="H19" s="41" t="s">
        <v>125</v>
      </c>
    </row>
    <row r="20" spans="1:8" ht="15" hidden="1" x14ac:dyDescent="0.2">
      <c r="A20" s="19">
        <v>19</v>
      </c>
      <c r="B20" s="37" t="s">
        <v>126</v>
      </c>
      <c r="C20" s="38" t="s">
        <v>127</v>
      </c>
      <c r="D20" s="37">
        <v>964405148</v>
      </c>
      <c r="E20" s="37" t="s">
        <v>128</v>
      </c>
      <c r="F20" s="42"/>
      <c r="G20" s="42"/>
      <c r="H20" s="39">
        <v>0</v>
      </c>
    </row>
    <row r="21" spans="1:8" ht="15" hidden="1" x14ac:dyDescent="0.2">
      <c r="A21" s="19">
        <v>20</v>
      </c>
      <c r="B21" s="22" t="s">
        <v>129</v>
      </c>
      <c r="C21" s="40" t="s">
        <v>130</v>
      </c>
      <c r="D21" s="22">
        <v>989809993</v>
      </c>
      <c r="E21" s="22" t="s">
        <v>131</v>
      </c>
      <c r="F21" s="43"/>
      <c r="G21" s="41">
        <v>0</v>
      </c>
      <c r="H21" s="41">
        <v>0</v>
      </c>
    </row>
    <row r="22" spans="1:8" ht="15" hidden="1" x14ac:dyDescent="0.2">
      <c r="A22" s="19">
        <v>21</v>
      </c>
      <c r="B22" s="37" t="s">
        <v>132</v>
      </c>
      <c r="C22" s="38" t="s">
        <v>133</v>
      </c>
      <c r="D22" s="37">
        <v>961895128</v>
      </c>
      <c r="E22" s="37" t="s">
        <v>134</v>
      </c>
      <c r="F22" s="42"/>
      <c r="G22" s="42"/>
      <c r="H22" s="39">
        <v>0</v>
      </c>
    </row>
    <row r="23" spans="1:8" ht="15" hidden="1" x14ac:dyDescent="0.2">
      <c r="A23" s="19">
        <v>22</v>
      </c>
      <c r="B23" s="22" t="s">
        <v>135</v>
      </c>
      <c r="C23" s="40" t="s">
        <v>136</v>
      </c>
      <c r="D23" s="22">
        <v>326792288</v>
      </c>
      <c r="E23" s="22" t="s">
        <v>137</v>
      </c>
      <c r="F23" s="43"/>
      <c r="G23" s="43"/>
      <c r="H23" s="41">
        <v>0</v>
      </c>
    </row>
    <row r="24" spans="1:8" ht="15" hidden="1" x14ac:dyDescent="0.2">
      <c r="A24" s="19">
        <v>23</v>
      </c>
      <c r="B24" s="37" t="s">
        <v>138</v>
      </c>
      <c r="C24" s="38" t="s">
        <v>139</v>
      </c>
      <c r="D24" s="37">
        <v>902750998</v>
      </c>
      <c r="E24" s="37" t="s">
        <v>140</v>
      </c>
      <c r="F24" s="42"/>
      <c r="G24" s="42"/>
      <c r="H24" s="39">
        <v>0</v>
      </c>
    </row>
    <row r="25" spans="1:8" ht="15" hidden="1" x14ac:dyDescent="0.2">
      <c r="A25" s="19">
        <v>24</v>
      </c>
      <c r="B25" s="22" t="s">
        <v>141</v>
      </c>
      <c r="C25" s="40" t="s">
        <v>142</v>
      </c>
      <c r="D25" s="22">
        <v>345366148</v>
      </c>
      <c r="E25" s="22" t="s">
        <v>143</v>
      </c>
      <c r="F25" s="22" t="s">
        <v>144</v>
      </c>
      <c r="G25" s="41">
        <v>0</v>
      </c>
      <c r="H25" s="41" t="s">
        <v>145</v>
      </c>
    </row>
    <row r="26" spans="1:8" ht="15" hidden="1" x14ac:dyDescent="0.2">
      <c r="A26" s="19">
        <v>25</v>
      </c>
      <c r="B26" s="37" t="s">
        <v>146</v>
      </c>
      <c r="C26" s="38" t="s">
        <v>147</v>
      </c>
      <c r="D26" s="37">
        <v>333048683</v>
      </c>
      <c r="E26" s="37" t="s">
        <v>148</v>
      </c>
      <c r="F26" s="42"/>
      <c r="G26" s="42"/>
      <c r="H26" s="39">
        <v>0</v>
      </c>
    </row>
    <row r="27" spans="1:8" ht="15" hidden="1" x14ac:dyDescent="0.2">
      <c r="A27" s="19">
        <v>26</v>
      </c>
      <c r="B27" s="22" t="s">
        <v>149</v>
      </c>
      <c r="C27" s="40" t="s">
        <v>150</v>
      </c>
      <c r="D27" s="22">
        <v>939600838</v>
      </c>
      <c r="E27" s="22" t="s">
        <v>151</v>
      </c>
      <c r="F27" s="43"/>
      <c r="G27" s="43"/>
      <c r="H27" s="41">
        <v>0</v>
      </c>
    </row>
    <row r="28" spans="1:8" ht="15" hidden="1" x14ac:dyDescent="0.2">
      <c r="A28" s="19">
        <v>27</v>
      </c>
      <c r="B28" s="37" t="s">
        <v>152</v>
      </c>
      <c r="C28" s="38" t="s">
        <v>153</v>
      </c>
      <c r="D28" s="37">
        <v>818888021</v>
      </c>
      <c r="E28" s="37" t="s">
        <v>154</v>
      </c>
      <c r="F28" s="42"/>
      <c r="G28" s="42"/>
      <c r="H28" s="39">
        <v>0</v>
      </c>
    </row>
    <row r="29" spans="1:8" ht="15" hidden="1" x14ac:dyDescent="0.2">
      <c r="A29" s="19">
        <v>28</v>
      </c>
      <c r="B29" s="22" t="s">
        <v>155</v>
      </c>
      <c r="C29" s="40" t="s">
        <v>156</v>
      </c>
      <c r="D29" s="22">
        <v>344231642</v>
      </c>
      <c r="E29" s="22" t="s">
        <v>157</v>
      </c>
      <c r="F29" s="43"/>
      <c r="G29" s="43"/>
      <c r="H29" s="41">
        <v>0</v>
      </c>
    </row>
    <row r="30" spans="1:8" ht="15" hidden="1" x14ac:dyDescent="0.2">
      <c r="A30" s="19">
        <v>29</v>
      </c>
      <c r="B30" s="37" t="s">
        <v>158</v>
      </c>
      <c r="C30" s="38" t="s">
        <v>159</v>
      </c>
      <c r="D30" s="37">
        <v>939467258</v>
      </c>
      <c r="E30" s="37" t="s">
        <v>160</v>
      </c>
      <c r="F30" s="42"/>
      <c r="G30" s="42"/>
      <c r="H30" s="39">
        <v>0</v>
      </c>
    </row>
    <row r="31" spans="1:8" ht="15" hidden="1" x14ac:dyDescent="0.2">
      <c r="A31" s="19">
        <v>30</v>
      </c>
      <c r="B31" s="22" t="s">
        <v>161</v>
      </c>
      <c r="C31" s="40" t="s">
        <v>162</v>
      </c>
      <c r="D31" s="22">
        <v>344757637</v>
      </c>
      <c r="E31" s="22" t="s">
        <v>163</v>
      </c>
      <c r="F31" s="22" t="s">
        <v>164</v>
      </c>
      <c r="G31" s="41">
        <v>0</v>
      </c>
      <c r="H31" s="41" t="s">
        <v>165</v>
      </c>
    </row>
    <row r="32" spans="1:8" ht="15" hidden="1" x14ac:dyDescent="0.2">
      <c r="A32" s="19">
        <v>31</v>
      </c>
      <c r="B32" s="37" t="s">
        <v>166</v>
      </c>
      <c r="C32" s="38" t="s">
        <v>167</v>
      </c>
      <c r="D32" s="37">
        <v>913656729</v>
      </c>
      <c r="E32" s="37" t="s">
        <v>168</v>
      </c>
      <c r="F32" s="42"/>
      <c r="G32" s="42"/>
      <c r="H32" s="39">
        <v>0</v>
      </c>
    </row>
    <row r="33" spans="1:8" ht="15" hidden="1" x14ac:dyDescent="0.2">
      <c r="A33" s="19">
        <v>32</v>
      </c>
      <c r="B33" s="22" t="s">
        <v>169</v>
      </c>
      <c r="C33" s="40" t="s">
        <v>170</v>
      </c>
      <c r="D33" s="22">
        <v>375513446</v>
      </c>
      <c r="E33" s="22" t="s">
        <v>171</v>
      </c>
      <c r="F33" s="43"/>
      <c r="G33" s="43"/>
      <c r="H33" s="41">
        <v>0</v>
      </c>
    </row>
    <row r="34" spans="1:8" ht="15" hidden="1" x14ac:dyDescent="0.2">
      <c r="A34" s="19">
        <v>33</v>
      </c>
      <c r="B34" s="37" t="s">
        <v>172</v>
      </c>
      <c r="C34" s="38" t="s">
        <v>173</v>
      </c>
      <c r="D34" s="37">
        <v>395665268</v>
      </c>
      <c r="E34" s="37" t="s">
        <v>174</v>
      </c>
      <c r="F34" s="37" t="s">
        <v>175</v>
      </c>
      <c r="G34" s="39">
        <v>0</v>
      </c>
      <c r="H34" s="39" t="s">
        <v>176</v>
      </c>
    </row>
    <row r="35" spans="1:8" ht="15" hidden="1" x14ac:dyDescent="0.2">
      <c r="A35" s="19">
        <v>34</v>
      </c>
      <c r="B35" s="22" t="s">
        <v>177</v>
      </c>
      <c r="C35" s="40" t="s">
        <v>178</v>
      </c>
      <c r="D35" s="22">
        <v>977509564</v>
      </c>
      <c r="E35" s="22" t="s">
        <v>179</v>
      </c>
      <c r="F35" s="22" t="s">
        <v>180</v>
      </c>
      <c r="G35" s="41">
        <v>0</v>
      </c>
      <c r="H35" s="41" t="s">
        <v>181</v>
      </c>
    </row>
    <row r="36" spans="1:8" ht="15" hidden="1" x14ac:dyDescent="0.2">
      <c r="A36" s="19">
        <v>35</v>
      </c>
      <c r="B36" s="37" t="s">
        <v>182</v>
      </c>
      <c r="C36" s="38" t="s">
        <v>183</v>
      </c>
      <c r="D36" s="37">
        <v>372178598</v>
      </c>
      <c r="E36" s="37" t="s">
        <v>184</v>
      </c>
      <c r="F36" s="42"/>
      <c r="G36" s="42"/>
      <c r="H36" s="39">
        <v>0</v>
      </c>
    </row>
    <row r="37" spans="1:8" ht="15" hidden="1" x14ac:dyDescent="0.2">
      <c r="A37" s="19">
        <v>36</v>
      </c>
      <c r="B37" s="22" t="s">
        <v>185</v>
      </c>
      <c r="C37" s="40" t="s">
        <v>186</v>
      </c>
      <c r="D37" s="22">
        <v>394251789</v>
      </c>
      <c r="E37" s="22" t="s">
        <v>187</v>
      </c>
      <c r="F37" s="22" t="s">
        <v>188</v>
      </c>
      <c r="G37" s="41">
        <v>0</v>
      </c>
      <c r="H37" s="41" t="s">
        <v>189</v>
      </c>
    </row>
    <row r="38" spans="1:8" ht="15" hidden="1" x14ac:dyDescent="0.2">
      <c r="A38" s="19">
        <v>37</v>
      </c>
      <c r="B38" s="37" t="s">
        <v>190</v>
      </c>
      <c r="C38" s="38" t="s">
        <v>191</v>
      </c>
      <c r="D38" s="37">
        <v>399274151</v>
      </c>
      <c r="E38" s="37" t="s">
        <v>192</v>
      </c>
      <c r="F38" s="37" t="s">
        <v>188</v>
      </c>
      <c r="G38" s="39">
        <v>0</v>
      </c>
      <c r="H38" s="39" t="s">
        <v>193</v>
      </c>
    </row>
    <row r="39" spans="1:8" ht="15" hidden="1" x14ac:dyDescent="0.2">
      <c r="A39" s="19">
        <v>38</v>
      </c>
      <c r="B39" s="22" t="s">
        <v>194</v>
      </c>
      <c r="C39" s="40" t="s">
        <v>195</v>
      </c>
      <c r="D39" s="22">
        <v>784228785</v>
      </c>
      <c r="E39" s="22" t="s">
        <v>196</v>
      </c>
      <c r="F39" s="43"/>
      <c r="G39" s="43"/>
      <c r="H39" s="41">
        <v>0</v>
      </c>
    </row>
    <row r="40" spans="1:8" ht="15" hidden="1" x14ac:dyDescent="0.2">
      <c r="A40" s="19">
        <v>39</v>
      </c>
      <c r="B40" s="37" t="s">
        <v>197</v>
      </c>
      <c r="C40" s="38" t="s">
        <v>198</v>
      </c>
      <c r="D40" s="37">
        <v>942561245</v>
      </c>
      <c r="E40" s="37" t="s">
        <v>199</v>
      </c>
      <c r="F40" s="42"/>
      <c r="G40" s="42"/>
      <c r="H40" s="39">
        <v>0</v>
      </c>
    </row>
    <row r="41" spans="1:8" ht="15" hidden="1" x14ac:dyDescent="0.2">
      <c r="A41" s="19">
        <v>40</v>
      </c>
      <c r="B41" s="22" t="s">
        <v>200</v>
      </c>
      <c r="C41" s="40" t="s">
        <v>201</v>
      </c>
      <c r="D41" s="22">
        <v>348623389</v>
      </c>
      <c r="E41" s="22" t="s">
        <v>202</v>
      </c>
      <c r="F41" s="43"/>
      <c r="G41" s="43"/>
      <c r="H41" s="41">
        <v>0</v>
      </c>
    </row>
    <row r="42" spans="1:8" ht="15" hidden="1" x14ac:dyDescent="0.2">
      <c r="A42" s="19">
        <v>41</v>
      </c>
      <c r="B42" s="37" t="s">
        <v>203</v>
      </c>
      <c r="C42" s="38" t="s">
        <v>204</v>
      </c>
      <c r="D42" s="37">
        <v>974248193</v>
      </c>
      <c r="E42" s="37" t="s">
        <v>205</v>
      </c>
      <c r="F42" s="42"/>
      <c r="G42" s="39">
        <v>0</v>
      </c>
      <c r="H42" s="39" t="s">
        <v>206</v>
      </c>
    </row>
    <row r="43" spans="1:8" ht="15" hidden="1" x14ac:dyDescent="0.2">
      <c r="A43" s="19">
        <v>42</v>
      </c>
      <c r="B43" s="22" t="s">
        <v>207</v>
      </c>
      <c r="C43" s="40" t="s">
        <v>208</v>
      </c>
      <c r="D43" s="22">
        <v>983858042</v>
      </c>
      <c r="E43" s="22" t="s">
        <v>209</v>
      </c>
      <c r="F43" s="43"/>
      <c r="G43" s="43"/>
      <c r="H43" s="41">
        <v>0</v>
      </c>
    </row>
    <row r="44" spans="1:8" ht="15" hidden="1" x14ac:dyDescent="0.2">
      <c r="A44" s="19">
        <v>43</v>
      </c>
      <c r="B44" s="37" t="s">
        <v>210</v>
      </c>
      <c r="C44" s="38" t="s">
        <v>211</v>
      </c>
      <c r="D44" s="37">
        <v>965157093</v>
      </c>
      <c r="E44" s="37" t="s">
        <v>212</v>
      </c>
      <c r="F44" s="37" t="s">
        <v>188</v>
      </c>
      <c r="G44" s="39">
        <v>0</v>
      </c>
      <c r="H44" s="39" t="s">
        <v>213</v>
      </c>
    </row>
    <row r="45" spans="1:8" ht="15" hidden="1" x14ac:dyDescent="0.2">
      <c r="A45" s="19">
        <v>44</v>
      </c>
      <c r="B45" s="22" t="s">
        <v>214</v>
      </c>
      <c r="C45" s="40" t="s">
        <v>215</v>
      </c>
      <c r="D45" s="22">
        <v>982235882</v>
      </c>
      <c r="E45" s="22" t="s">
        <v>216</v>
      </c>
      <c r="F45" s="43"/>
      <c r="G45" s="43"/>
      <c r="H45" s="41">
        <v>0</v>
      </c>
    </row>
    <row r="46" spans="1:8" ht="15" hidden="1" x14ac:dyDescent="0.2">
      <c r="A46" s="19">
        <v>45</v>
      </c>
      <c r="B46" s="37" t="s">
        <v>217</v>
      </c>
      <c r="C46" s="38" t="s">
        <v>218</v>
      </c>
      <c r="D46" s="37">
        <v>913077006</v>
      </c>
      <c r="E46" s="37" t="s">
        <v>219</v>
      </c>
      <c r="F46" s="42"/>
      <c r="G46" s="42"/>
      <c r="H46" s="39">
        <v>0</v>
      </c>
    </row>
    <row r="47" spans="1:8" ht="15" hidden="1" x14ac:dyDescent="0.2">
      <c r="A47" s="19">
        <v>46</v>
      </c>
      <c r="B47" s="22" t="s">
        <v>220</v>
      </c>
      <c r="C47" s="40" t="s">
        <v>221</v>
      </c>
      <c r="D47" s="22">
        <v>383371828</v>
      </c>
      <c r="E47" s="22" t="s">
        <v>222</v>
      </c>
      <c r="F47" s="22" t="s">
        <v>223</v>
      </c>
      <c r="G47" s="41">
        <v>0</v>
      </c>
      <c r="H47" s="41" t="s">
        <v>224</v>
      </c>
    </row>
    <row r="48" spans="1:8" ht="15" hidden="1" x14ac:dyDescent="0.2">
      <c r="A48" s="19">
        <v>47</v>
      </c>
      <c r="B48" s="37" t="s">
        <v>225</v>
      </c>
      <c r="C48" s="38" t="s">
        <v>226</v>
      </c>
      <c r="D48" s="37">
        <v>902950235</v>
      </c>
      <c r="E48" s="37" t="s">
        <v>227</v>
      </c>
      <c r="F48" s="42"/>
      <c r="G48" s="42"/>
      <c r="H48" s="39">
        <v>0</v>
      </c>
    </row>
    <row r="49" spans="1:8" ht="15" hidden="1" x14ac:dyDescent="0.2">
      <c r="A49" s="19">
        <v>48</v>
      </c>
      <c r="B49" s="22" t="s">
        <v>228</v>
      </c>
      <c r="C49" s="40" t="s">
        <v>229</v>
      </c>
      <c r="D49" s="22">
        <v>971623365</v>
      </c>
      <c r="E49" s="22" t="s">
        <v>230</v>
      </c>
      <c r="F49" s="43"/>
      <c r="G49" s="43"/>
      <c r="H49" s="41">
        <v>0</v>
      </c>
    </row>
    <row r="50" spans="1:8" ht="15" hidden="1" x14ac:dyDescent="0.2">
      <c r="A50" s="19">
        <v>49</v>
      </c>
      <c r="B50" s="37" t="s">
        <v>231</v>
      </c>
      <c r="C50" s="38" t="s">
        <v>232</v>
      </c>
      <c r="D50" s="37">
        <v>822444417</v>
      </c>
      <c r="E50" s="37" t="s">
        <v>233</v>
      </c>
      <c r="F50" s="37" t="s">
        <v>234</v>
      </c>
      <c r="G50" s="39">
        <v>0</v>
      </c>
      <c r="H50" s="39" t="s">
        <v>235</v>
      </c>
    </row>
    <row r="51" spans="1:8" ht="15" hidden="1" x14ac:dyDescent="0.2">
      <c r="A51" s="19">
        <v>50</v>
      </c>
      <c r="B51" s="22" t="s">
        <v>236</v>
      </c>
      <c r="C51" s="40" t="s">
        <v>237</v>
      </c>
      <c r="D51" s="22">
        <v>366081071</v>
      </c>
      <c r="E51" s="22" t="s">
        <v>238</v>
      </c>
      <c r="F51" s="43"/>
      <c r="G51" s="43"/>
      <c r="H51" s="41">
        <v>0</v>
      </c>
    </row>
    <row r="52" spans="1:8" ht="15" hidden="1" x14ac:dyDescent="0.2">
      <c r="A52" s="19">
        <v>51</v>
      </c>
      <c r="B52" s="37" t="s">
        <v>239</v>
      </c>
      <c r="C52" s="38" t="s">
        <v>240</v>
      </c>
      <c r="D52" s="37">
        <v>359247567</v>
      </c>
      <c r="E52" s="37" t="s">
        <v>241</v>
      </c>
      <c r="F52" s="37" t="s">
        <v>242</v>
      </c>
      <c r="G52" s="39">
        <v>0</v>
      </c>
      <c r="H52" s="39" t="s">
        <v>243</v>
      </c>
    </row>
    <row r="53" spans="1:8" ht="15" hidden="1" x14ac:dyDescent="0.2">
      <c r="A53" s="19">
        <v>52</v>
      </c>
      <c r="B53" s="22" t="s">
        <v>244</v>
      </c>
      <c r="C53" s="40" t="s">
        <v>245</v>
      </c>
      <c r="D53" s="22">
        <v>932522644</v>
      </c>
      <c r="E53" s="22" t="s">
        <v>246</v>
      </c>
      <c r="F53" s="43"/>
      <c r="G53" s="43"/>
      <c r="H53" s="41">
        <v>0</v>
      </c>
    </row>
    <row r="54" spans="1:8" ht="15" hidden="1" x14ac:dyDescent="0.2">
      <c r="A54" s="19">
        <v>53</v>
      </c>
      <c r="B54" s="37" t="s">
        <v>247</v>
      </c>
      <c r="C54" s="38" t="s">
        <v>248</v>
      </c>
      <c r="D54" s="44">
        <v>838801179</v>
      </c>
      <c r="E54" s="37" t="s">
        <v>249</v>
      </c>
      <c r="F54" s="37" t="s">
        <v>234</v>
      </c>
      <c r="G54" s="39">
        <v>0</v>
      </c>
      <c r="H54" s="39" t="s">
        <v>250</v>
      </c>
    </row>
    <row r="55" spans="1:8" ht="15" hidden="1" x14ac:dyDescent="0.2">
      <c r="A55" s="19">
        <v>54</v>
      </c>
      <c r="B55" s="22" t="s">
        <v>251</v>
      </c>
      <c r="C55" s="40" t="s">
        <v>252</v>
      </c>
      <c r="D55" s="22">
        <v>398883058</v>
      </c>
      <c r="E55" s="22" t="s">
        <v>253</v>
      </c>
      <c r="F55" s="43"/>
      <c r="G55" s="43"/>
      <c r="H55" s="41">
        <v>0</v>
      </c>
    </row>
    <row r="56" spans="1:8" ht="15" hidden="1" x14ac:dyDescent="0.2">
      <c r="A56" s="19">
        <v>55</v>
      </c>
      <c r="B56" s="37" t="s">
        <v>254</v>
      </c>
      <c r="C56" s="38" t="s">
        <v>255</v>
      </c>
      <c r="D56" s="37">
        <v>983105219</v>
      </c>
      <c r="E56" s="37" t="s">
        <v>256</v>
      </c>
      <c r="F56" s="42"/>
      <c r="G56" s="42"/>
      <c r="H56" s="39">
        <v>0</v>
      </c>
    </row>
    <row r="57" spans="1:8" ht="15" hidden="1" x14ac:dyDescent="0.2">
      <c r="A57" s="19">
        <v>56</v>
      </c>
      <c r="B57" s="22" t="s">
        <v>257</v>
      </c>
      <c r="C57" s="40" t="s">
        <v>258</v>
      </c>
      <c r="D57" s="22">
        <v>917338054</v>
      </c>
      <c r="E57" s="22" t="s">
        <v>259</v>
      </c>
      <c r="F57" s="22" t="s">
        <v>260</v>
      </c>
      <c r="G57" s="41">
        <v>0</v>
      </c>
      <c r="H57" s="41" t="s">
        <v>261</v>
      </c>
    </row>
    <row r="58" spans="1:8" ht="15" hidden="1" x14ac:dyDescent="0.2">
      <c r="A58" s="19">
        <v>57</v>
      </c>
      <c r="B58" s="37" t="s">
        <v>262</v>
      </c>
      <c r="C58" s="38" t="s">
        <v>263</v>
      </c>
      <c r="D58" s="37">
        <v>343843136</v>
      </c>
      <c r="E58" s="37" t="s">
        <v>264</v>
      </c>
      <c r="F58" s="37" t="s">
        <v>265</v>
      </c>
      <c r="G58" s="39">
        <v>0</v>
      </c>
      <c r="H58" s="39" t="s">
        <v>266</v>
      </c>
    </row>
    <row r="59" spans="1:8" ht="15" hidden="1" x14ac:dyDescent="0.2">
      <c r="A59" s="19">
        <v>58</v>
      </c>
      <c r="B59" s="22" t="s">
        <v>267</v>
      </c>
      <c r="C59" s="40" t="s">
        <v>268</v>
      </c>
      <c r="D59" s="22">
        <v>855955958</v>
      </c>
      <c r="E59" s="22" t="s">
        <v>269</v>
      </c>
      <c r="F59" s="22" t="s">
        <v>188</v>
      </c>
      <c r="G59" s="41">
        <v>0</v>
      </c>
      <c r="H59" s="41" t="s">
        <v>270</v>
      </c>
    </row>
    <row r="60" spans="1:8" ht="15" hidden="1" x14ac:dyDescent="0.2">
      <c r="A60" s="19">
        <v>59</v>
      </c>
      <c r="B60" s="37" t="s">
        <v>271</v>
      </c>
      <c r="C60" s="38" t="s">
        <v>272</v>
      </c>
      <c r="D60" s="37">
        <v>778805039</v>
      </c>
      <c r="E60" s="37" t="s">
        <v>273</v>
      </c>
      <c r="F60" s="37" t="s">
        <v>274</v>
      </c>
      <c r="G60" s="39">
        <v>0</v>
      </c>
      <c r="H60" s="39" t="s">
        <v>275</v>
      </c>
    </row>
    <row r="61" spans="1:8" ht="15" hidden="1" x14ac:dyDescent="0.2">
      <c r="A61" s="19">
        <v>60</v>
      </c>
      <c r="B61" s="22" t="s">
        <v>276</v>
      </c>
      <c r="C61" s="40" t="s">
        <v>277</v>
      </c>
      <c r="D61" s="22">
        <v>389210423</v>
      </c>
      <c r="E61" s="22" t="s">
        <v>278</v>
      </c>
      <c r="F61" s="22" t="s">
        <v>279</v>
      </c>
      <c r="G61" s="41">
        <v>0</v>
      </c>
      <c r="H61" s="41" t="s">
        <v>280</v>
      </c>
    </row>
    <row r="62" spans="1:8" ht="15" hidden="1" x14ac:dyDescent="0.2">
      <c r="A62" s="19">
        <v>61</v>
      </c>
      <c r="B62" s="37" t="s">
        <v>281</v>
      </c>
      <c r="C62" s="38" t="s">
        <v>282</v>
      </c>
      <c r="D62" s="37">
        <v>385843187</v>
      </c>
      <c r="E62" s="37" t="s">
        <v>283</v>
      </c>
      <c r="F62" s="37" t="s">
        <v>279</v>
      </c>
      <c r="G62" s="39">
        <v>0</v>
      </c>
      <c r="H62" s="39" t="s">
        <v>284</v>
      </c>
    </row>
    <row r="63" spans="1:8" ht="15" hidden="1" x14ac:dyDescent="0.2">
      <c r="A63" s="19">
        <v>62</v>
      </c>
      <c r="B63" s="22" t="s">
        <v>285</v>
      </c>
      <c r="C63" s="40" t="s">
        <v>286</v>
      </c>
      <c r="D63" s="22">
        <v>778779686</v>
      </c>
      <c r="E63" s="22" t="s">
        <v>287</v>
      </c>
      <c r="F63" s="22" t="s">
        <v>288</v>
      </c>
      <c r="G63" s="41">
        <v>0</v>
      </c>
      <c r="H63" s="41" t="s">
        <v>289</v>
      </c>
    </row>
    <row r="64" spans="1:8" ht="15" hidden="1" x14ac:dyDescent="0.2">
      <c r="A64" s="19">
        <v>63</v>
      </c>
      <c r="B64" s="37" t="s">
        <v>290</v>
      </c>
      <c r="C64" s="38" t="s">
        <v>291</v>
      </c>
      <c r="D64" s="37">
        <v>334508864</v>
      </c>
      <c r="E64" s="37" t="s">
        <v>292</v>
      </c>
      <c r="F64" s="37" t="s">
        <v>274</v>
      </c>
      <c r="G64" s="39">
        <v>0</v>
      </c>
      <c r="H64" s="39" t="s">
        <v>293</v>
      </c>
    </row>
    <row r="65" spans="1:8" ht="15" hidden="1" x14ac:dyDescent="0.2">
      <c r="A65" s="19">
        <v>64</v>
      </c>
      <c r="B65" s="22" t="s">
        <v>294</v>
      </c>
      <c r="C65" s="40" t="s">
        <v>295</v>
      </c>
      <c r="D65" s="22">
        <v>382844489</v>
      </c>
      <c r="E65" s="22" t="s">
        <v>296</v>
      </c>
      <c r="F65" s="22" t="s">
        <v>297</v>
      </c>
      <c r="G65" s="41">
        <v>0</v>
      </c>
      <c r="H65" s="41" t="s">
        <v>298</v>
      </c>
    </row>
    <row r="66" spans="1:8" ht="15" hidden="1" x14ac:dyDescent="0.2">
      <c r="A66" s="19">
        <v>65</v>
      </c>
      <c r="B66" s="37" t="s">
        <v>299</v>
      </c>
      <c r="C66" s="38" t="s">
        <v>300</v>
      </c>
      <c r="D66" s="37">
        <v>366193451</v>
      </c>
      <c r="E66" s="37" t="s">
        <v>301</v>
      </c>
      <c r="F66" s="37" t="s">
        <v>302</v>
      </c>
      <c r="G66" s="39">
        <v>0</v>
      </c>
      <c r="H66" s="39" t="s">
        <v>303</v>
      </c>
    </row>
    <row r="67" spans="1:8" ht="15" hidden="1" x14ac:dyDescent="0.2">
      <c r="A67" s="19">
        <v>66</v>
      </c>
      <c r="B67" s="22" t="s">
        <v>304</v>
      </c>
      <c r="C67" s="40" t="s">
        <v>305</v>
      </c>
      <c r="D67" s="22">
        <v>916549982</v>
      </c>
      <c r="E67" s="22" t="s">
        <v>306</v>
      </c>
      <c r="F67" s="22" t="s">
        <v>307</v>
      </c>
      <c r="G67" s="41">
        <v>0</v>
      </c>
      <c r="H67" s="41" t="s">
        <v>308</v>
      </c>
    </row>
    <row r="68" spans="1:8" ht="15" hidden="1" x14ac:dyDescent="0.2">
      <c r="A68" s="19">
        <v>67</v>
      </c>
      <c r="B68" s="37" t="s">
        <v>309</v>
      </c>
      <c r="C68" s="38" t="s">
        <v>310</v>
      </c>
      <c r="D68" s="37">
        <v>971131089</v>
      </c>
      <c r="E68" s="37" t="s">
        <v>311</v>
      </c>
      <c r="F68" s="37" t="s">
        <v>312</v>
      </c>
      <c r="G68" s="39">
        <v>0</v>
      </c>
      <c r="H68" s="39" t="s">
        <v>313</v>
      </c>
    </row>
    <row r="69" spans="1:8" ht="15" hidden="1" x14ac:dyDescent="0.2">
      <c r="A69" s="19">
        <v>68</v>
      </c>
      <c r="B69" s="22" t="s">
        <v>314</v>
      </c>
      <c r="C69" s="40" t="s">
        <v>315</v>
      </c>
      <c r="D69" s="123">
        <v>922337834</v>
      </c>
      <c r="E69" s="124"/>
      <c r="F69" s="43"/>
      <c r="G69" s="43"/>
      <c r="H69" s="41">
        <v>0</v>
      </c>
    </row>
    <row r="70" spans="1:8" ht="15" hidden="1" x14ac:dyDescent="0.2">
      <c r="A70" s="19">
        <v>69</v>
      </c>
      <c r="B70" s="37" t="s">
        <v>316</v>
      </c>
      <c r="C70" s="38" t="s">
        <v>317</v>
      </c>
      <c r="D70" s="37">
        <v>933020610</v>
      </c>
      <c r="E70" s="37" t="s">
        <v>318</v>
      </c>
      <c r="F70" s="37" t="s">
        <v>265</v>
      </c>
      <c r="G70" s="39">
        <v>0</v>
      </c>
      <c r="H70" s="39" t="s">
        <v>319</v>
      </c>
    </row>
    <row r="71" spans="1:8" ht="15" hidden="1" x14ac:dyDescent="0.2">
      <c r="A71" s="19">
        <v>70</v>
      </c>
      <c r="B71" s="22" t="s">
        <v>320</v>
      </c>
      <c r="C71" s="40" t="s">
        <v>321</v>
      </c>
      <c r="D71" s="22">
        <v>902242779</v>
      </c>
      <c r="E71" s="22" t="s">
        <v>322</v>
      </c>
      <c r="F71" s="22" t="s">
        <v>323</v>
      </c>
      <c r="G71" s="41">
        <v>0</v>
      </c>
      <c r="H71" s="41" t="s">
        <v>324</v>
      </c>
    </row>
    <row r="72" spans="1:8" ht="15" hidden="1" x14ac:dyDescent="0.2">
      <c r="A72" s="19">
        <v>71</v>
      </c>
      <c r="B72" s="37" t="s">
        <v>325</v>
      </c>
      <c r="C72" s="38" t="s">
        <v>326</v>
      </c>
      <c r="D72" s="37">
        <v>937898334</v>
      </c>
      <c r="E72" s="37" t="s">
        <v>327</v>
      </c>
      <c r="F72" s="37" t="s">
        <v>328</v>
      </c>
      <c r="G72" s="39">
        <v>0</v>
      </c>
      <c r="H72" s="39" t="s">
        <v>329</v>
      </c>
    </row>
    <row r="73" spans="1:8" ht="15" hidden="1" x14ac:dyDescent="0.2">
      <c r="A73" s="19">
        <v>72</v>
      </c>
      <c r="B73" s="22" t="s">
        <v>330</v>
      </c>
      <c r="C73" s="40" t="s">
        <v>331</v>
      </c>
      <c r="D73" s="22">
        <v>344334347</v>
      </c>
      <c r="E73" s="22" t="s">
        <v>332</v>
      </c>
      <c r="F73" s="22" t="s">
        <v>333</v>
      </c>
      <c r="G73" s="41">
        <v>0</v>
      </c>
      <c r="H73" s="41" t="s">
        <v>334</v>
      </c>
    </row>
    <row r="74" spans="1:8" ht="15" hidden="1" x14ac:dyDescent="0.2">
      <c r="A74" s="19">
        <v>73</v>
      </c>
      <c r="B74" s="37" t="s">
        <v>335</v>
      </c>
      <c r="C74" s="38" t="s">
        <v>336</v>
      </c>
      <c r="D74" s="37">
        <v>936538768</v>
      </c>
      <c r="E74" s="37" t="s">
        <v>337</v>
      </c>
      <c r="F74" s="37" t="s">
        <v>66</v>
      </c>
      <c r="G74" s="39">
        <v>0</v>
      </c>
      <c r="H74" s="39" t="s">
        <v>338</v>
      </c>
    </row>
    <row r="75" spans="1:8" ht="15" hidden="1" x14ac:dyDescent="0.2">
      <c r="A75" s="19">
        <v>74</v>
      </c>
      <c r="B75" s="22" t="s">
        <v>339</v>
      </c>
      <c r="C75" s="40" t="s">
        <v>340</v>
      </c>
      <c r="D75" s="22"/>
      <c r="E75" s="43"/>
      <c r="F75" s="22" t="s">
        <v>341</v>
      </c>
      <c r="G75" s="41">
        <v>0</v>
      </c>
      <c r="H75" s="41" t="s">
        <v>342</v>
      </c>
    </row>
    <row r="76" spans="1:8" ht="15" hidden="1" x14ac:dyDescent="0.2">
      <c r="A76" s="19">
        <v>75</v>
      </c>
      <c r="B76" s="37" t="s">
        <v>343</v>
      </c>
      <c r="C76" s="38" t="s">
        <v>344</v>
      </c>
      <c r="D76" s="37">
        <v>862402168</v>
      </c>
      <c r="E76" s="37" t="s">
        <v>345</v>
      </c>
      <c r="F76" s="37" t="s">
        <v>346</v>
      </c>
      <c r="G76" s="39">
        <v>0</v>
      </c>
      <c r="H76" s="39" t="s">
        <v>347</v>
      </c>
    </row>
    <row r="77" spans="1:8" ht="15" hidden="1" x14ac:dyDescent="0.2">
      <c r="A77" s="19">
        <v>76</v>
      </c>
      <c r="B77" s="22" t="s">
        <v>348</v>
      </c>
      <c r="C77" s="40" t="s">
        <v>349</v>
      </c>
      <c r="D77" s="22">
        <v>935049439</v>
      </c>
      <c r="E77" s="22" t="s">
        <v>350</v>
      </c>
      <c r="F77" s="22" t="s">
        <v>351</v>
      </c>
      <c r="G77" s="41">
        <v>0</v>
      </c>
      <c r="H77" s="41" t="s">
        <v>352</v>
      </c>
    </row>
    <row r="78" spans="1:8" ht="15" hidden="1" x14ac:dyDescent="0.2">
      <c r="A78" s="19">
        <v>77</v>
      </c>
      <c r="B78" s="37" t="s">
        <v>353</v>
      </c>
      <c r="C78" s="38" t="s">
        <v>114</v>
      </c>
      <c r="D78" s="37">
        <v>583182457</v>
      </c>
      <c r="E78" s="37" t="s">
        <v>115</v>
      </c>
      <c r="F78" s="42"/>
      <c r="G78" s="42"/>
      <c r="H78" s="39">
        <v>0</v>
      </c>
    </row>
    <row r="79" spans="1:8" ht="15" hidden="1" x14ac:dyDescent="0.2">
      <c r="A79" s="19">
        <v>78</v>
      </c>
      <c r="B79" s="22" t="s">
        <v>354</v>
      </c>
      <c r="C79" s="40" t="s">
        <v>355</v>
      </c>
      <c r="D79" s="22">
        <v>988855555</v>
      </c>
      <c r="E79" s="22" t="s">
        <v>356</v>
      </c>
      <c r="F79" s="43"/>
      <c r="G79" s="43"/>
      <c r="H79" s="41">
        <v>0</v>
      </c>
    </row>
    <row r="80" spans="1:8" ht="15" hidden="1" x14ac:dyDescent="0.2">
      <c r="A80" s="19">
        <v>79</v>
      </c>
      <c r="B80" s="37" t="s">
        <v>357</v>
      </c>
      <c r="C80" s="38" t="s">
        <v>358</v>
      </c>
      <c r="D80" s="37">
        <v>375601630</v>
      </c>
      <c r="E80" s="37" t="s">
        <v>359</v>
      </c>
      <c r="F80" s="37" t="s">
        <v>360</v>
      </c>
      <c r="G80" s="39">
        <v>0</v>
      </c>
      <c r="H80" s="39" t="s">
        <v>361</v>
      </c>
    </row>
    <row r="81" spans="1:8" ht="15" hidden="1" x14ac:dyDescent="0.2">
      <c r="A81" s="19">
        <v>80</v>
      </c>
      <c r="B81" s="22" t="s">
        <v>362</v>
      </c>
      <c r="C81" s="40" t="s">
        <v>363</v>
      </c>
      <c r="D81" s="22">
        <v>989144668</v>
      </c>
      <c r="E81" s="22" t="s">
        <v>363</v>
      </c>
      <c r="F81" s="43"/>
      <c r="G81" s="43"/>
      <c r="H81" s="41">
        <v>0</v>
      </c>
    </row>
    <row r="82" spans="1:8" ht="15" hidden="1" x14ac:dyDescent="0.2">
      <c r="A82" s="19">
        <v>81</v>
      </c>
      <c r="B82" s="37" t="s">
        <v>364</v>
      </c>
      <c r="C82" s="38" t="s">
        <v>365</v>
      </c>
      <c r="D82" s="37">
        <v>969202011</v>
      </c>
      <c r="E82" s="37" t="s">
        <v>366</v>
      </c>
      <c r="F82" s="37" t="s">
        <v>367</v>
      </c>
      <c r="G82" s="42"/>
      <c r="H82" s="39">
        <v>0</v>
      </c>
    </row>
    <row r="83" spans="1:8" ht="15" hidden="1" x14ac:dyDescent="0.2">
      <c r="A83" s="19">
        <v>82</v>
      </c>
      <c r="B83" s="22" t="s">
        <v>368</v>
      </c>
      <c r="C83" s="40" t="s">
        <v>369</v>
      </c>
      <c r="D83" s="22">
        <v>973823210</v>
      </c>
      <c r="E83" s="22" t="s">
        <v>370</v>
      </c>
      <c r="F83" s="22" t="s">
        <v>265</v>
      </c>
      <c r="G83" s="41">
        <v>0</v>
      </c>
      <c r="H83" s="41" t="s">
        <v>371</v>
      </c>
    </row>
    <row r="84" spans="1:8" ht="15" hidden="1" x14ac:dyDescent="0.2">
      <c r="A84" s="19">
        <v>83</v>
      </c>
      <c r="B84" s="37" t="s">
        <v>372</v>
      </c>
      <c r="C84" s="38" t="s">
        <v>373</v>
      </c>
      <c r="D84" s="37">
        <v>922225622</v>
      </c>
      <c r="E84" s="37" t="s">
        <v>374</v>
      </c>
      <c r="F84" s="37" t="s">
        <v>265</v>
      </c>
      <c r="G84" s="39">
        <v>0</v>
      </c>
      <c r="H84" s="39">
        <v>0</v>
      </c>
    </row>
    <row r="85" spans="1:8" ht="15" hidden="1" x14ac:dyDescent="0.2">
      <c r="A85" s="19">
        <v>84</v>
      </c>
      <c r="B85" s="22" t="s">
        <v>375</v>
      </c>
      <c r="C85" s="40" t="s">
        <v>376</v>
      </c>
      <c r="D85" s="22">
        <v>364561239</v>
      </c>
      <c r="E85" s="22" t="s">
        <v>377</v>
      </c>
      <c r="F85" s="22" t="s">
        <v>378</v>
      </c>
      <c r="G85" s="41">
        <v>0</v>
      </c>
      <c r="H85" s="41" t="s">
        <v>379</v>
      </c>
    </row>
    <row r="86" spans="1:8" ht="15" hidden="1" x14ac:dyDescent="0.2">
      <c r="A86" s="19">
        <v>85</v>
      </c>
      <c r="B86" s="37" t="s">
        <v>380</v>
      </c>
      <c r="C86" s="38" t="s">
        <v>381</v>
      </c>
      <c r="D86" s="37">
        <f>84344341586</f>
        <v>84344341586</v>
      </c>
      <c r="E86" s="37" t="s">
        <v>382</v>
      </c>
      <c r="F86" s="37" t="s">
        <v>383</v>
      </c>
      <c r="G86" s="39">
        <v>0</v>
      </c>
      <c r="H86" s="39">
        <v>0</v>
      </c>
    </row>
    <row r="87" spans="1:8" ht="15" hidden="1" x14ac:dyDescent="0.2">
      <c r="A87" s="19">
        <v>86</v>
      </c>
      <c r="B87" s="22" t="s">
        <v>384</v>
      </c>
      <c r="C87" s="40" t="s">
        <v>385</v>
      </c>
      <c r="D87" s="22">
        <v>944012494</v>
      </c>
      <c r="E87" s="22" t="s">
        <v>386</v>
      </c>
      <c r="F87" s="22" t="s">
        <v>66</v>
      </c>
      <c r="G87" s="41">
        <v>0</v>
      </c>
      <c r="H87" s="41">
        <v>0</v>
      </c>
    </row>
    <row r="88" spans="1:8" ht="15" hidden="1" x14ac:dyDescent="0.2">
      <c r="A88" s="19">
        <v>87</v>
      </c>
      <c r="B88" s="37" t="s">
        <v>387</v>
      </c>
      <c r="C88" s="38" t="s">
        <v>388</v>
      </c>
      <c r="D88" s="37"/>
      <c r="E88" s="37" t="s">
        <v>389</v>
      </c>
      <c r="F88" s="37" t="s">
        <v>390</v>
      </c>
      <c r="G88" s="39">
        <v>0</v>
      </c>
      <c r="H88" s="39">
        <v>0</v>
      </c>
    </row>
    <row r="89" spans="1:8" ht="15" hidden="1" x14ac:dyDescent="0.2">
      <c r="A89" s="19">
        <v>88</v>
      </c>
      <c r="B89" s="22" t="s">
        <v>391</v>
      </c>
      <c r="C89" s="40" t="s">
        <v>392</v>
      </c>
      <c r="D89" s="22">
        <v>903570580</v>
      </c>
      <c r="E89" s="22" t="s">
        <v>393</v>
      </c>
      <c r="F89" s="22" t="s">
        <v>394</v>
      </c>
      <c r="G89" s="41">
        <v>0</v>
      </c>
      <c r="H89" s="41" t="s">
        <v>395</v>
      </c>
    </row>
    <row r="90" spans="1:8" ht="15" hidden="1" x14ac:dyDescent="0.2">
      <c r="A90" s="19">
        <v>89</v>
      </c>
      <c r="B90" s="37" t="s">
        <v>396</v>
      </c>
      <c r="C90" s="38" t="s">
        <v>397</v>
      </c>
      <c r="D90" s="42"/>
      <c r="E90" s="42"/>
      <c r="F90" s="37" t="s">
        <v>398</v>
      </c>
      <c r="G90" s="39">
        <v>0</v>
      </c>
      <c r="H90" s="39" t="s">
        <v>399</v>
      </c>
    </row>
    <row r="91" spans="1:8" ht="15" hidden="1" x14ac:dyDescent="0.2">
      <c r="A91" s="19">
        <v>90</v>
      </c>
      <c r="B91" s="22" t="s">
        <v>400</v>
      </c>
      <c r="C91" s="40" t="s">
        <v>401</v>
      </c>
      <c r="D91" s="22"/>
      <c r="E91" s="43"/>
      <c r="F91" s="22" t="s">
        <v>402</v>
      </c>
      <c r="G91" s="41">
        <v>0</v>
      </c>
      <c r="H91" s="41">
        <v>0</v>
      </c>
    </row>
    <row r="92" spans="1:8" ht="15" hidden="1" x14ac:dyDescent="0.2">
      <c r="A92" s="19">
        <v>91</v>
      </c>
      <c r="B92" s="37" t="s">
        <v>403</v>
      </c>
      <c r="C92" s="38" t="s">
        <v>404</v>
      </c>
      <c r="D92" s="37">
        <v>367723787</v>
      </c>
      <c r="E92" s="37" t="s">
        <v>405</v>
      </c>
      <c r="F92" s="37" t="s">
        <v>406</v>
      </c>
      <c r="G92" s="39">
        <v>0</v>
      </c>
      <c r="H92" s="39">
        <v>0</v>
      </c>
    </row>
    <row r="93" spans="1:8" ht="15" hidden="1" x14ac:dyDescent="0.2">
      <c r="A93" s="19">
        <v>92</v>
      </c>
      <c r="B93" s="22" t="s">
        <v>407</v>
      </c>
      <c r="C93" s="40" t="s">
        <v>408</v>
      </c>
      <c r="D93" s="22">
        <v>966842369</v>
      </c>
      <c r="E93" s="22" t="s">
        <v>409</v>
      </c>
      <c r="F93" s="22" t="s">
        <v>360</v>
      </c>
      <c r="G93" s="41">
        <v>0</v>
      </c>
      <c r="H93" s="41">
        <v>0</v>
      </c>
    </row>
    <row r="94" spans="1:8" ht="15" hidden="1" x14ac:dyDescent="0.2">
      <c r="A94" s="19">
        <v>93</v>
      </c>
      <c r="B94" s="37" t="s">
        <v>410</v>
      </c>
      <c r="C94" s="38" t="s">
        <v>411</v>
      </c>
      <c r="D94" s="37">
        <v>356988350</v>
      </c>
      <c r="E94" s="37" t="s">
        <v>412</v>
      </c>
      <c r="F94" s="37" t="s">
        <v>413</v>
      </c>
      <c r="G94" s="39">
        <v>0</v>
      </c>
      <c r="H94" s="39" t="s">
        <v>414</v>
      </c>
    </row>
    <row r="95" spans="1:8" ht="15" hidden="1" x14ac:dyDescent="0.2">
      <c r="A95" s="19">
        <v>94</v>
      </c>
      <c r="B95" s="22" t="s">
        <v>415</v>
      </c>
      <c r="C95" s="40" t="s">
        <v>416</v>
      </c>
      <c r="D95" s="22">
        <v>352860935</v>
      </c>
      <c r="E95" s="22" t="s">
        <v>417</v>
      </c>
      <c r="F95" s="22" t="s">
        <v>265</v>
      </c>
      <c r="G95" s="41">
        <v>0</v>
      </c>
      <c r="H95" s="41">
        <v>0</v>
      </c>
    </row>
    <row r="96" spans="1:8" ht="15" hidden="1" x14ac:dyDescent="0.2">
      <c r="A96" s="19">
        <v>95</v>
      </c>
      <c r="B96" s="37" t="s">
        <v>418</v>
      </c>
      <c r="C96" s="38" t="s">
        <v>419</v>
      </c>
      <c r="D96" s="37">
        <v>968881867</v>
      </c>
      <c r="E96" s="37" t="s">
        <v>420</v>
      </c>
      <c r="F96" s="42"/>
      <c r="G96" s="42"/>
      <c r="H96" s="39">
        <v>0</v>
      </c>
    </row>
    <row r="97" spans="1:8" ht="15" hidden="1" x14ac:dyDescent="0.2">
      <c r="A97" s="19">
        <v>96</v>
      </c>
      <c r="B97" s="22" t="s">
        <v>421</v>
      </c>
      <c r="C97" s="40" t="s">
        <v>422</v>
      </c>
      <c r="D97" s="22">
        <v>976325358</v>
      </c>
      <c r="E97" s="22" t="s">
        <v>423</v>
      </c>
      <c r="F97" s="22" t="s">
        <v>265</v>
      </c>
      <c r="G97" s="41">
        <v>0</v>
      </c>
      <c r="H97" s="41" t="s">
        <v>424</v>
      </c>
    </row>
    <row r="98" spans="1:8" ht="15" hidden="1" x14ac:dyDescent="0.2">
      <c r="A98" s="19">
        <v>97</v>
      </c>
      <c r="B98" s="37" t="s">
        <v>425</v>
      </c>
      <c r="C98" s="38" t="s">
        <v>426</v>
      </c>
      <c r="D98" s="37">
        <v>865440203</v>
      </c>
      <c r="E98" s="37" t="s">
        <v>427</v>
      </c>
      <c r="F98" s="42"/>
      <c r="G98" s="42"/>
      <c r="H98" s="39">
        <v>0</v>
      </c>
    </row>
    <row r="99" spans="1:8" ht="15" hidden="1" x14ac:dyDescent="0.2">
      <c r="A99" s="19">
        <v>98</v>
      </c>
      <c r="B99" s="22" t="s">
        <v>428</v>
      </c>
      <c r="C99" s="40" t="s">
        <v>429</v>
      </c>
      <c r="D99" s="22">
        <v>986199689</v>
      </c>
      <c r="E99" s="22" t="s">
        <v>430</v>
      </c>
      <c r="F99" s="22" t="s">
        <v>431</v>
      </c>
      <c r="G99" s="41">
        <v>0</v>
      </c>
      <c r="H99" s="41">
        <v>800</v>
      </c>
    </row>
    <row r="100" spans="1:8" ht="15" hidden="1" x14ac:dyDescent="0.2">
      <c r="A100" s="19">
        <v>99</v>
      </c>
      <c r="B100" s="37" t="s">
        <v>432</v>
      </c>
      <c r="C100" s="38" t="s">
        <v>433</v>
      </c>
      <c r="D100" s="37">
        <v>986884585</v>
      </c>
      <c r="E100" s="37" t="s">
        <v>434</v>
      </c>
      <c r="F100" s="37" t="s">
        <v>435</v>
      </c>
      <c r="G100" s="39">
        <v>0</v>
      </c>
      <c r="H100" s="39">
        <v>0</v>
      </c>
    </row>
    <row r="101" spans="1:8" ht="15" x14ac:dyDescent="0.2">
      <c r="A101" s="19">
        <v>100</v>
      </c>
      <c r="B101" s="22" t="s">
        <v>436</v>
      </c>
      <c r="C101" s="40" t="s">
        <v>437</v>
      </c>
      <c r="D101" s="22">
        <v>963093698</v>
      </c>
      <c r="E101" s="22" t="s">
        <v>438</v>
      </c>
      <c r="F101" s="22" t="s">
        <v>439</v>
      </c>
      <c r="G101" s="41">
        <v>530000</v>
      </c>
      <c r="H101" s="41">
        <v>530000</v>
      </c>
    </row>
    <row r="102" spans="1:8" ht="15" hidden="1" x14ac:dyDescent="0.2">
      <c r="A102" s="19">
        <v>101</v>
      </c>
      <c r="B102" s="37" t="s">
        <v>440</v>
      </c>
      <c r="C102" s="38" t="s">
        <v>441</v>
      </c>
      <c r="D102" s="37">
        <v>946607618</v>
      </c>
      <c r="E102" s="37" t="s">
        <v>442</v>
      </c>
      <c r="F102" s="37" t="s">
        <v>443</v>
      </c>
      <c r="G102" s="39">
        <v>0</v>
      </c>
      <c r="H102" s="39" t="s">
        <v>444</v>
      </c>
    </row>
    <row r="103" spans="1:8" ht="15" hidden="1" x14ac:dyDescent="0.2">
      <c r="A103" s="19">
        <v>102</v>
      </c>
      <c r="B103" s="22" t="s">
        <v>445</v>
      </c>
      <c r="C103" s="40" t="s">
        <v>446</v>
      </c>
      <c r="D103" s="22">
        <v>925029678</v>
      </c>
      <c r="E103" s="22" t="s">
        <v>447</v>
      </c>
      <c r="F103" s="22" t="s">
        <v>175</v>
      </c>
      <c r="G103" s="41" t="s">
        <v>448</v>
      </c>
      <c r="H103" s="41" t="s">
        <v>449</v>
      </c>
    </row>
    <row r="104" spans="1:8" ht="15" hidden="1" x14ac:dyDescent="0.2">
      <c r="A104" s="19">
        <v>103</v>
      </c>
      <c r="B104" s="37" t="s">
        <v>450</v>
      </c>
      <c r="C104" s="38" t="s">
        <v>451</v>
      </c>
      <c r="D104" s="37">
        <v>868764686</v>
      </c>
      <c r="E104" s="37" t="s">
        <v>452</v>
      </c>
      <c r="F104" s="37" t="s">
        <v>453</v>
      </c>
      <c r="G104" s="39">
        <v>0</v>
      </c>
      <c r="H104" s="39">
        <v>0</v>
      </c>
    </row>
    <row r="105" spans="1:8" ht="15" hidden="1" x14ac:dyDescent="0.2">
      <c r="A105" s="19">
        <v>104</v>
      </c>
      <c r="B105" s="22" t="s">
        <v>454</v>
      </c>
      <c r="C105" s="40" t="s">
        <v>455</v>
      </c>
      <c r="D105" s="22">
        <v>332101344</v>
      </c>
      <c r="E105" s="22" t="s">
        <v>456</v>
      </c>
      <c r="F105" s="22" t="s">
        <v>457</v>
      </c>
      <c r="G105" s="41">
        <v>0</v>
      </c>
      <c r="H105" s="41" t="s">
        <v>458</v>
      </c>
    </row>
    <row r="106" spans="1:8" ht="15" hidden="1" x14ac:dyDescent="0.2">
      <c r="A106" s="19">
        <v>105</v>
      </c>
      <c r="B106" s="37" t="s">
        <v>459</v>
      </c>
      <c r="C106" s="38" t="s">
        <v>460</v>
      </c>
      <c r="D106" s="37">
        <v>983700107</v>
      </c>
      <c r="E106" s="37" t="s">
        <v>461</v>
      </c>
      <c r="F106" s="37" t="s">
        <v>323</v>
      </c>
      <c r="G106" s="39" t="s">
        <v>462</v>
      </c>
      <c r="H106" s="39">
        <v>0</v>
      </c>
    </row>
    <row r="107" spans="1:8" ht="15" hidden="1" x14ac:dyDescent="0.2">
      <c r="A107" s="19">
        <v>106</v>
      </c>
      <c r="B107" s="22" t="s">
        <v>463</v>
      </c>
      <c r="C107" s="40" t="s">
        <v>464</v>
      </c>
      <c r="D107" s="123">
        <v>915089061</v>
      </c>
      <c r="E107" s="124"/>
      <c r="F107" s="43"/>
      <c r="G107" s="41">
        <v>0</v>
      </c>
      <c r="H107" s="41">
        <v>190</v>
      </c>
    </row>
    <row r="108" spans="1:8" ht="15" hidden="1" x14ac:dyDescent="0.2">
      <c r="A108" s="19">
        <v>107</v>
      </c>
      <c r="B108" s="37" t="s">
        <v>465</v>
      </c>
      <c r="C108" s="38" t="s">
        <v>466</v>
      </c>
      <c r="D108" s="37">
        <v>912233342</v>
      </c>
      <c r="E108" s="37" t="s">
        <v>467</v>
      </c>
      <c r="F108" s="37" t="s">
        <v>468</v>
      </c>
      <c r="G108" s="39" t="s">
        <v>469</v>
      </c>
      <c r="H108" s="39" t="s">
        <v>470</v>
      </c>
    </row>
    <row r="109" spans="1:8" ht="15" hidden="1" x14ac:dyDescent="0.2">
      <c r="A109" s="19">
        <v>108</v>
      </c>
      <c r="B109" s="22" t="s">
        <v>471</v>
      </c>
      <c r="C109" s="40" t="s">
        <v>472</v>
      </c>
      <c r="D109" s="22">
        <v>569871456</v>
      </c>
      <c r="E109" s="22" t="s">
        <v>473</v>
      </c>
      <c r="F109" s="43"/>
      <c r="G109" s="41">
        <v>0</v>
      </c>
      <c r="H109" s="41">
        <v>0</v>
      </c>
    </row>
    <row r="110" spans="1:8" ht="15" hidden="1" x14ac:dyDescent="0.2">
      <c r="A110" s="19">
        <v>109</v>
      </c>
      <c r="B110" s="37" t="s">
        <v>474</v>
      </c>
      <c r="C110" s="38" t="s">
        <v>475</v>
      </c>
      <c r="D110" s="37">
        <v>961704205</v>
      </c>
      <c r="E110" s="37" t="s">
        <v>476</v>
      </c>
      <c r="F110" s="37" t="s">
        <v>477</v>
      </c>
      <c r="G110" s="39">
        <v>0</v>
      </c>
      <c r="H110" s="39">
        <v>0</v>
      </c>
    </row>
    <row r="111" spans="1:8" ht="15" hidden="1" x14ac:dyDescent="0.2">
      <c r="A111" s="19">
        <v>110</v>
      </c>
      <c r="B111" s="22" t="s">
        <v>478</v>
      </c>
      <c r="C111" s="40" t="s">
        <v>479</v>
      </c>
      <c r="D111" s="22">
        <v>988310595</v>
      </c>
      <c r="E111" s="22" t="s">
        <v>480</v>
      </c>
      <c r="F111" s="43"/>
      <c r="G111" s="43"/>
      <c r="H111" s="41">
        <v>0</v>
      </c>
    </row>
    <row r="112" spans="1:8" ht="15" hidden="1" x14ac:dyDescent="0.2">
      <c r="A112" s="19">
        <v>111</v>
      </c>
      <c r="B112" s="37" t="s">
        <v>481</v>
      </c>
      <c r="C112" s="38" t="s">
        <v>479</v>
      </c>
      <c r="D112" s="37">
        <v>988310595</v>
      </c>
      <c r="E112" s="37" t="s">
        <v>480</v>
      </c>
      <c r="F112" s="42"/>
      <c r="G112" s="39">
        <v>0</v>
      </c>
      <c r="H112" s="39">
        <v>0</v>
      </c>
    </row>
    <row r="113" spans="1:8" ht="15" hidden="1" x14ac:dyDescent="0.2">
      <c r="A113" s="19">
        <v>112</v>
      </c>
      <c r="B113" s="22" t="s">
        <v>482</v>
      </c>
      <c r="C113" s="40" t="s">
        <v>483</v>
      </c>
      <c r="D113" s="22">
        <v>932318628</v>
      </c>
      <c r="E113" s="22" t="s">
        <v>484</v>
      </c>
      <c r="F113" s="22" t="s">
        <v>485</v>
      </c>
      <c r="G113" s="41">
        <v>0</v>
      </c>
      <c r="H113" s="41">
        <v>0</v>
      </c>
    </row>
    <row r="114" spans="1:8" ht="15" hidden="1" x14ac:dyDescent="0.2">
      <c r="A114" s="19">
        <v>113</v>
      </c>
      <c r="B114" s="37" t="s">
        <v>486</v>
      </c>
      <c r="C114" s="38" t="s">
        <v>487</v>
      </c>
      <c r="D114" s="37">
        <v>377427550</v>
      </c>
      <c r="E114" s="37" t="s">
        <v>488</v>
      </c>
      <c r="F114" s="37" t="s">
        <v>265</v>
      </c>
      <c r="G114" s="39">
        <v>0</v>
      </c>
      <c r="H114" s="39" t="s">
        <v>489</v>
      </c>
    </row>
    <row r="115" spans="1:8" ht="15" hidden="1" x14ac:dyDescent="0.2">
      <c r="A115" s="19">
        <v>114</v>
      </c>
      <c r="B115" s="22" t="s">
        <v>490</v>
      </c>
      <c r="C115" s="40" t="s">
        <v>491</v>
      </c>
      <c r="D115" s="123">
        <v>365946456</v>
      </c>
      <c r="E115" s="124"/>
      <c r="F115" s="43"/>
      <c r="G115" s="41">
        <v>0</v>
      </c>
      <c r="H115" s="41">
        <v>0</v>
      </c>
    </row>
    <row r="116" spans="1:8" ht="15" hidden="1" x14ac:dyDescent="0.2">
      <c r="A116" s="19">
        <v>115</v>
      </c>
      <c r="B116" s="37" t="s">
        <v>492</v>
      </c>
      <c r="C116" s="38" t="s">
        <v>493</v>
      </c>
      <c r="D116" s="37">
        <v>945182994</v>
      </c>
      <c r="E116" s="37" t="s">
        <v>494</v>
      </c>
      <c r="F116" s="37" t="s">
        <v>495</v>
      </c>
      <c r="G116" s="39">
        <v>0</v>
      </c>
      <c r="H116" s="39">
        <v>0</v>
      </c>
    </row>
    <row r="117" spans="1:8" ht="15" hidden="1" x14ac:dyDescent="0.2">
      <c r="A117" s="19">
        <v>116</v>
      </c>
      <c r="B117" s="22" t="s">
        <v>496</v>
      </c>
      <c r="C117" s="40" t="s">
        <v>497</v>
      </c>
      <c r="D117" s="22">
        <v>943141191</v>
      </c>
      <c r="E117" s="22" t="s">
        <v>498</v>
      </c>
      <c r="F117" s="43"/>
      <c r="G117" s="43"/>
      <c r="H117" s="41">
        <v>0</v>
      </c>
    </row>
    <row r="118" spans="1:8" ht="15" hidden="1" x14ac:dyDescent="0.2">
      <c r="A118" s="19">
        <v>117</v>
      </c>
      <c r="B118" s="37" t="s">
        <v>499</v>
      </c>
      <c r="C118" s="38" t="s">
        <v>500</v>
      </c>
      <c r="D118" s="37">
        <v>819157065</v>
      </c>
      <c r="E118" s="37" t="s">
        <v>501</v>
      </c>
      <c r="F118" s="42"/>
      <c r="G118" s="42"/>
      <c r="H118" s="39">
        <v>0</v>
      </c>
    </row>
    <row r="119" spans="1:8" ht="15" hidden="1" x14ac:dyDescent="0.2">
      <c r="A119" s="19">
        <v>118</v>
      </c>
      <c r="B119" s="22" t="s">
        <v>502</v>
      </c>
      <c r="C119" s="40" t="s">
        <v>503</v>
      </c>
      <c r="D119" s="22">
        <v>913876888</v>
      </c>
      <c r="E119" s="22" t="s">
        <v>504</v>
      </c>
      <c r="F119" s="22" t="s">
        <v>505</v>
      </c>
      <c r="G119" s="41">
        <v>0</v>
      </c>
      <c r="H119" s="41">
        <v>0</v>
      </c>
    </row>
    <row r="120" spans="1:8" ht="15" hidden="1" x14ac:dyDescent="0.2">
      <c r="A120" s="19">
        <v>119</v>
      </c>
      <c r="B120" s="37" t="s">
        <v>506</v>
      </c>
      <c r="C120" s="38" t="s">
        <v>507</v>
      </c>
      <c r="D120" s="37">
        <v>359636458</v>
      </c>
      <c r="E120" s="37" t="s">
        <v>508</v>
      </c>
      <c r="F120" s="37" t="s">
        <v>265</v>
      </c>
      <c r="G120" s="39">
        <v>0</v>
      </c>
      <c r="H120" s="39" t="s">
        <v>509</v>
      </c>
    </row>
    <row r="121" spans="1:8" ht="15" hidden="1" x14ac:dyDescent="0.2">
      <c r="A121" s="19">
        <v>120</v>
      </c>
      <c r="B121" s="22" t="s">
        <v>510</v>
      </c>
      <c r="C121" s="40" t="s">
        <v>511</v>
      </c>
      <c r="D121" s="22">
        <v>976355909</v>
      </c>
      <c r="E121" s="22" t="s">
        <v>512</v>
      </c>
      <c r="F121" s="22" t="s">
        <v>513</v>
      </c>
      <c r="G121" s="41">
        <v>0</v>
      </c>
      <c r="H121" s="41">
        <v>0</v>
      </c>
    </row>
    <row r="122" spans="1:8" ht="15" hidden="1" x14ac:dyDescent="0.2">
      <c r="A122" s="19">
        <v>121</v>
      </c>
      <c r="B122" s="37" t="s">
        <v>514</v>
      </c>
      <c r="C122" s="38" t="s">
        <v>515</v>
      </c>
      <c r="D122" s="37">
        <v>328006699</v>
      </c>
      <c r="E122" s="37" t="s">
        <v>516</v>
      </c>
      <c r="F122" s="37" t="s">
        <v>517</v>
      </c>
      <c r="G122" s="39">
        <v>0</v>
      </c>
      <c r="H122" s="39">
        <v>0</v>
      </c>
    </row>
    <row r="123" spans="1:8" ht="15" hidden="1" x14ac:dyDescent="0.2">
      <c r="A123" s="19">
        <v>122</v>
      </c>
      <c r="B123" s="22" t="s">
        <v>518</v>
      </c>
      <c r="C123" s="40" t="s">
        <v>519</v>
      </c>
      <c r="D123" s="22">
        <v>388232885</v>
      </c>
      <c r="E123" s="22" t="s">
        <v>520</v>
      </c>
      <c r="F123" s="22" t="s">
        <v>521</v>
      </c>
      <c r="G123" s="41">
        <v>0</v>
      </c>
      <c r="H123" s="41">
        <v>0</v>
      </c>
    </row>
    <row r="124" spans="1:8" ht="15" hidden="1" x14ac:dyDescent="0.2">
      <c r="A124" s="19">
        <v>123</v>
      </c>
      <c r="B124" s="37" t="s">
        <v>522</v>
      </c>
      <c r="C124" s="38" t="s">
        <v>523</v>
      </c>
      <c r="D124" s="37">
        <v>979872983</v>
      </c>
      <c r="E124" s="37" t="s">
        <v>524</v>
      </c>
      <c r="F124" s="37" t="s">
        <v>505</v>
      </c>
      <c r="G124" s="39">
        <v>0</v>
      </c>
      <c r="H124" s="39" t="s">
        <v>525</v>
      </c>
    </row>
    <row r="125" spans="1:8" ht="15" hidden="1" x14ac:dyDescent="0.2">
      <c r="A125" s="19">
        <v>124</v>
      </c>
      <c r="B125" s="22" t="s">
        <v>526</v>
      </c>
      <c r="C125" s="40" t="s">
        <v>527</v>
      </c>
      <c r="D125" s="22">
        <v>902311866</v>
      </c>
      <c r="E125" s="22" t="s">
        <v>528</v>
      </c>
      <c r="F125" s="22" t="s">
        <v>529</v>
      </c>
      <c r="G125" s="41">
        <v>0</v>
      </c>
      <c r="H125" s="41">
        <v>0</v>
      </c>
    </row>
    <row r="126" spans="1:8" ht="15" hidden="1" x14ac:dyDescent="0.2">
      <c r="A126" s="19">
        <v>125</v>
      </c>
      <c r="B126" s="37" t="s">
        <v>530</v>
      </c>
      <c r="C126" s="38" t="s">
        <v>531</v>
      </c>
      <c r="D126" s="37">
        <v>978965650</v>
      </c>
      <c r="E126" s="37" t="s">
        <v>532</v>
      </c>
      <c r="F126" s="37" t="s">
        <v>533</v>
      </c>
      <c r="G126" s="39">
        <v>0</v>
      </c>
      <c r="H126" s="39">
        <v>0</v>
      </c>
    </row>
    <row r="127" spans="1:8" ht="15" hidden="1" x14ac:dyDescent="0.2">
      <c r="A127" s="19">
        <v>126</v>
      </c>
      <c r="B127" s="22" t="s">
        <v>534</v>
      </c>
      <c r="C127" s="40" t="s">
        <v>535</v>
      </c>
      <c r="D127" s="22">
        <v>987673235</v>
      </c>
      <c r="E127" s="22" t="s">
        <v>536</v>
      </c>
      <c r="F127" s="22" t="s">
        <v>505</v>
      </c>
      <c r="G127" s="41">
        <v>0</v>
      </c>
      <c r="H127" s="41">
        <v>0</v>
      </c>
    </row>
    <row r="128" spans="1:8" ht="15" hidden="1" x14ac:dyDescent="0.2">
      <c r="A128" s="19">
        <v>127</v>
      </c>
      <c r="B128" s="37" t="s">
        <v>537</v>
      </c>
      <c r="C128" s="38" t="s">
        <v>538</v>
      </c>
      <c r="D128" s="37">
        <v>986018321</v>
      </c>
      <c r="E128" s="37" t="s">
        <v>539</v>
      </c>
      <c r="F128" s="37" t="s">
        <v>540</v>
      </c>
      <c r="G128" s="39">
        <v>0</v>
      </c>
      <c r="H128" s="39">
        <v>0</v>
      </c>
    </row>
    <row r="129" spans="1:8" ht="15" hidden="1" x14ac:dyDescent="0.2">
      <c r="A129" s="19">
        <v>128</v>
      </c>
      <c r="B129" s="22" t="s">
        <v>541</v>
      </c>
      <c r="C129" s="40" t="s">
        <v>542</v>
      </c>
      <c r="D129" s="22">
        <v>933528994</v>
      </c>
      <c r="E129" s="22" t="s">
        <v>543</v>
      </c>
      <c r="F129" s="22" t="s">
        <v>544</v>
      </c>
      <c r="G129" s="41">
        <v>0</v>
      </c>
      <c r="H129" s="41">
        <v>0</v>
      </c>
    </row>
    <row r="130" spans="1:8" ht="15" hidden="1" x14ac:dyDescent="0.2">
      <c r="A130" s="19">
        <v>129</v>
      </c>
      <c r="B130" s="37" t="s">
        <v>545</v>
      </c>
      <c r="C130" s="38" t="s">
        <v>546</v>
      </c>
      <c r="D130" s="37">
        <v>988022527</v>
      </c>
      <c r="E130" s="37" t="s">
        <v>547</v>
      </c>
      <c r="F130" s="37" t="s">
        <v>548</v>
      </c>
      <c r="G130" s="39">
        <v>0</v>
      </c>
      <c r="H130" s="39">
        <v>0</v>
      </c>
    </row>
    <row r="131" spans="1:8" ht="15" hidden="1" x14ac:dyDescent="0.2">
      <c r="A131" s="19">
        <v>130</v>
      </c>
      <c r="B131" s="22" t="s">
        <v>549</v>
      </c>
      <c r="C131" s="40" t="s">
        <v>550</v>
      </c>
      <c r="D131" s="22">
        <v>906141019</v>
      </c>
      <c r="E131" s="22" t="s">
        <v>551</v>
      </c>
      <c r="F131" s="22" t="s">
        <v>552</v>
      </c>
      <c r="G131" s="41">
        <v>0</v>
      </c>
      <c r="H131" s="41">
        <v>0</v>
      </c>
    </row>
    <row r="132" spans="1:8" ht="15" hidden="1" x14ac:dyDescent="0.2">
      <c r="A132" s="19">
        <v>131</v>
      </c>
      <c r="B132" s="37" t="s">
        <v>553</v>
      </c>
      <c r="C132" s="38" t="s">
        <v>554</v>
      </c>
      <c r="D132" s="37"/>
      <c r="E132" s="37" t="s">
        <v>551</v>
      </c>
      <c r="F132" s="42"/>
      <c r="G132" s="42"/>
      <c r="H132" s="39">
        <v>0</v>
      </c>
    </row>
    <row r="133" spans="1:8" ht="15" hidden="1" x14ac:dyDescent="0.2">
      <c r="A133" s="19">
        <v>132</v>
      </c>
      <c r="B133" s="22" t="s">
        <v>555</v>
      </c>
      <c r="C133" s="40" t="s">
        <v>556</v>
      </c>
      <c r="D133" s="22">
        <v>966682415</v>
      </c>
      <c r="E133" s="22" t="s">
        <v>557</v>
      </c>
      <c r="F133" s="22" t="s">
        <v>558</v>
      </c>
      <c r="G133" s="41">
        <v>0</v>
      </c>
      <c r="H133" s="41">
        <v>0</v>
      </c>
    </row>
    <row r="134" spans="1:8" ht="15" hidden="1" x14ac:dyDescent="0.2">
      <c r="A134" s="19">
        <v>133</v>
      </c>
      <c r="B134" s="37" t="s">
        <v>559</v>
      </c>
      <c r="C134" s="38" t="s">
        <v>560</v>
      </c>
      <c r="D134" s="42"/>
      <c r="E134" s="42"/>
      <c r="F134" s="37" t="s">
        <v>561</v>
      </c>
      <c r="G134" s="39">
        <v>0</v>
      </c>
      <c r="H134" s="39">
        <v>0</v>
      </c>
    </row>
    <row r="135" spans="1:8" ht="15" hidden="1" x14ac:dyDescent="0.2">
      <c r="A135" s="19">
        <v>134</v>
      </c>
      <c r="B135" s="22" t="s">
        <v>562</v>
      </c>
      <c r="C135" s="40" t="s">
        <v>563</v>
      </c>
      <c r="D135" s="22" t="s">
        <v>564</v>
      </c>
      <c r="E135" s="22" t="s">
        <v>565</v>
      </c>
      <c r="F135" s="22" t="s">
        <v>566</v>
      </c>
      <c r="G135" s="41">
        <v>0</v>
      </c>
      <c r="H135" s="41">
        <v>0</v>
      </c>
    </row>
    <row r="136" spans="1:8" ht="15" hidden="1" x14ac:dyDescent="0.2">
      <c r="A136" s="19">
        <v>135</v>
      </c>
      <c r="B136" s="37" t="s">
        <v>567</v>
      </c>
      <c r="C136" s="38" t="s">
        <v>568</v>
      </c>
      <c r="D136" s="37">
        <v>918285289</v>
      </c>
      <c r="E136" s="37" t="s">
        <v>569</v>
      </c>
      <c r="F136" s="37" t="s">
        <v>570</v>
      </c>
      <c r="G136" s="42"/>
      <c r="H136" s="39">
        <v>0</v>
      </c>
    </row>
    <row r="137" spans="1:8" ht="15" hidden="1" x14ac:dyDescent="0.2">
      <c r="A137" s="19">
        <v>136</v>
      </c>
      <c r="B137" s="22" t="s">
        <v>571</v>
      </c>
      <c r="C137" s="40" t="s">
        <v>572</v>
      </c>
      <c r="D137" s="22">
        <v>977233879</v>
      </c>
      <c r="E137" s="22" t="s">
        <v>573</v>
      </c>
      <c r="F137" s="22" t="s">
        <v>574</v>
      </c>
      <c r="G137" s="41">
        <v>0</v>
      </c>
      <c r="H137" s="41">
        <v>0</v>
      </c>
    </row>
    <row r="138" spans="1:8" ht="15" hidden="1" x14ac:dyDescent="0.2">
      <c r="A138" s="19">
        <v>137</v>
      </c>
      <c r="B138" s="37" t="s">
        <v>575</v>
      </c>
      <c r="C138" s="38" t="s">
        <v>576</v>
      </c>
      <c r="D138" s="37">
        <v>934254195</v>
      </c>
      <c r="E138" s="37" t="s">
        <v>577</v>
      </c>
      <c r="F138" s="37" t="s">
        <v>578</v>
      </c>
      <c r="G138" s="39">
        <v>0</v>
      </c>
      <c r="H138" s="39" t="s">
        <v>579</v>
      </c>
    </row>
    <row r="139" spans="1:8" ht="15" hidden="1" x14ac:dyDescent="0.2">
      <c r="A139" s="19">
        <v>138</v>
      </c>
      <c r="B139" s="22" t="s">
        <v>580</v>
      </c>
      <c r="C139" s="40" t="s">
        <v>581</v>
      </c>
      <c r="D139" s="22">
        <v>979969242</v>
      </c>
      <c r="E139" s="22" t="s">
        <v>582</v>
      </c>
      <c r="F139" s="22" t="s">
        <v>583</v>
      </c>
      <c r="G139" s="41">
        <v>0</v>
      </c>
      <c r="H139" s="41">
        <v>0</v>
      </c>
    </row>
    <row r="140" spans="1:8" ht="15" hidden="1" x14ac:dyDescent="0.2">
      <c r="A140" s="19">
        <v>139</v>
      </c>
      <c r="B140" s="37" t="s">
        <v>584</v>
      </c>
      <c r="C140" s="38" t="s">
        <v>585</v>
      </c>
      <c r="D140" s="37">
        <v>379405880</v>
      </c>
      <c r="E140" s="37" t="s">
        <v>586</v>
      </c>
      <c r="F140" s="37" t="s">
        <v>505</v>
      </c>
      <c r="G140" s="39">
        <v>0</v>
      </c>
      <c r="H140" s="39">
        <v>0</v>
      </c>
    </row>
    <row r="141" spans="1:8" ht="15" hidden="1" x14ac:dyDescent="0.2">
      <c r="A141" s="19">
        <v>140</v>
      </c>
      <c r="B141" s="22" t="s">
        <v>587</v>
      </c>
      <c r="C141" s="40" t="s">
        <v>588</v>
      </c>
      <c r="D141" s="22">
        <v>973113555</v>
      </c>
      <c r="E141" s="22" t="s">
        <v>589</v>
      </c>
      <c r="F141" s="22" t="s">
        <v>279</v>
      </c>
      <c r="G141" s="41">
        <v>0</v>
      </c>
      <c r="H141" s="41">
        <v>0</v>
      </c>
    </row>
    <row r="142" spans="1:8" ht="15" hidden="1" x14ac:dyDescent="0.2">
      <c r="A142" s="19">
        <v>141</v>
      </c>
      <c r="B142" s="37" t="s">
        <v>590</v>
      </c>
      <c r="C142" s="38" t="s">
        <v>591</v>
      </c>
      <c r="D142" s="37">
        <v>978224081</v>
      </c>
      <c r="E142" s="37" t="s">
        <v>592</v>
      </c>
      <c r="F142" s="37" t="s">
        <v>593</v>
      </c>
      <c r="G142" s="39">
        <v>0</v>
      </c>
      <c r="H142" s="39">
        <v>0</v>
      </c>
    </row>
    <row r="143" spans="1:8" ht="15" hidden="1" x14ac:dyDescent="0.2">
      <c r="A143" s="19">
        <v>142</v>
      </c>
      <c r="B143" s="22" t="s">
        <v>594</v>
      </c>
      <c r="C143" s="40" t="s">
        <v>595</v>
      </c>
      <c r="D143" s="22">
        <v>985036603</v>
      </c>
      <c r="E143" s="22" t="s">
        <v>596</v>
      </c>
      <c r="F143" s="22" t="s">
        <v>597</v>
      </c>
      <c r="G143" s="41">
        <v>0</v>
      </c>
      <c r="H143" s="41">
        <v>0</v>
      </c>
    </row>
    <row r="144" spans="1:8" ht="15" hidden="1" x14ac:dyDescent="0.2">
      <c r="A144" s="19">
        <v>143</v>
      </c>
      <c r="B144" s="37" t="s">
        <v>598</v>
      </c>
      <c r="C144" s="38" t="s">
        <v>599</v>
      </c>
      <c r="D144" s="125"/>
      <c r="E144" s="124"/>
      <c r="F144" s="37" t="s">
        <v>600</v>
      </c>
      <c r="G144" s="39">
        <v>0</v>
      </c>
      <c r="H144" s="39">
        <v>0</v>
      </c>
    </row>
    <row r="145" spans="1:8" ht="15" hidden="1" x14ac:dyDescent="0.2">
      <c r="A145" s="19">
        <v>144</v>
      </c>
      <c r="B145" s="22" t="s">
        <v>601</v>
      </c>
      <c r="C145" s="40" t="s">
        <v>602</v>
      </c>
      <c r="D145" s="22">
        <v>975197521</v>
      </c>
      <c r="E145" s="22" t="s">
        <v>603</v>
      </c>
      <c r="F145" s="22" t="s">
        <v>274</v>
      </c>
      <c r="G145" s="41">
        <v>0</v>
      </c>
      <c r="H145" s="41" t="s">
        <v>604</v>
      </c>
    </row>
    <row r="146" spans="1:8" ht="15" hidden="1" x14ac:dyDescent="0.2">
      <c r="A146" s="19">
        <v>145</v>
      </c>
      <c r="B146" s="37" t="s">
        <v>605</v>
      </c>
      <c r="C146" s="38" t="s">
        <v>606</v>
      </c>
      <c r="D146" s="37">
        <v>963602872</v>
      </c>
      <c r="E146" s="37" t="s">
        <v>607</v>
      </c>
      <c r="F146" s="37" t="s">
        <v>608</v>
      </c>
      <c r="G146" s="39">
        <v>0</v>
      </c>
      <c r="H146" s="39">
        <v>0</v>
      </c>
    </row>
    <row r="147" spans="1:8" ht="15" hidden="1" x14ac:dyDescent="0.2">
      <c r="A147" s="19">
        <v>146</v>
      </c>
      <c r="B147" s="22" t="s">
        <v>609</v>
      </c>
      <c r="C147" s="40" t="s">
        <v>610</v>
      </c>
      <c r="D147" s="22">
        <v>964743437</v>
      </c>
      <c r="E147" s="22" t="s">
        <v>611</v>
      </c>
      <c r="F147" s="22" t="s">
        <v>570</v>
      </c>
      <c r="G147" s="41">
        <v>0</v>
      </c>
      <c r="H147" s="41">
        <v>0</v>
      </c>
    </row>
    <row r="148" spans="1:8" ht="15" hidden="1" x14ac:dyDescent="0.2">
      <c r="A148" s="19">
        <v>147</v>
      </c>
      <c r="B148" s="37" t="s">
        <v>612</v>
      </c>
      <c r="C148" s="38" t="s">
        <v>613</v>
      </c>
      <c r="D148" s="37">
        <v>39988880</v>
      </c>
      <c r="E148" s="37" t="s">
        <v>614</v>
      </c>
      <c r="F148" s="42"/>
      <c r="G148" s="42"/>
      <c r="H148" s="39">
        <v>0</v>
      </c>
    </row>
    <row r="149" spans="1:8" ht="15" hidden="1" x14ac:dyDescent="0.2">
      <c r="A149" s="19">
        <v>148</v>
      </c>
      <c r="B149" s="22" t="s">
        <v>615</v>
      </c>
      <c r="C149" s="40" t="s">
        <v>616</v>
      </c>
      <c r="D149" s="22">
        <v>983585333</v>
      </c>
      <c r="E149" s="22" t="s">
        <v>617</v>
      </c>
      <c r="F149" s="22" t="s">
        <v>618</v>
      </c>
      <c r="G149" s="43"/>
      <c r="H149" s="41">
        <v>0</v>
      </c>
    </row>
    <row r="150" spans="1:8" ht="15" hidden="1" x14ac:dyDescent="0.2">
      <c r="A150" s="19">
        <v>149</v>
      </c>
      <c r="B150" s="37" t="s">
        <v>619</v>
      </c>
      <c r="C150" s="38" t="s">
        <v>620</v>
      </c>
      <c r="D150" s="37"/>
      <c r="E150" s="37" t="s">
        <v>621</v>
      </c>
      <c r="F150" s="42"/>
      <c r="G150" s="39">
        <v>0</v>
      </c>
      <c r="H150" s="39">
        <v>0</v>
      </c>
    </row>
    <row r="151" spans="1:8" ht="15" hidden="1" x14ac:dyDescent="0.2">
      <c r="A151" s="19">
        <v>150</v>
      </c>
      <c r="B151" s="22" t="s">
        <v>622</v>
      </c>
      <c r="C151" s="40" t="s">
        <v>623</v>
      </c>
      <c r="D151" s="22">
        <v>975575994</v>
      </c>
      <c r="E151" s="22" t="s">
        <v>624</v>
      </c>
      <c r="F151" s="22" t="s">
        <v>625</v>
      </c>
      <c r="G151" s="41">
        <v>0</v>
      </c>
      <c r="H151" s="41">
        <v>742</v>
      </c>
    </row>
    <row r="152" spans="1:8" ht="15" hidden="1" x14ac:dyDescent="0.2">
      <c r="A152" s="19">
        <v>151</v>
      </c>
      <c r="B152" s="37" t="s">
        <v>626</v>
      </c>
      <c r="C152" s="38" t="s">
        <v>627</v>
      </c>
      <c r="D152" s="37"/>
      <c r="E152" s="37" t="s">
        <v>628</v>
      </c>
      <c r="F152" s="37" t="s">
        <v>629</v>
      </c>
      <c r="G152" s="39">
        <v>0</v>
      </c>
      <c r="H152" s="39">
        <v>0</v>
      </c>
    </row>
    <row r="153" spans="1:8" ht="15" hidden="1" x14ac:dyDescent="0.2">
      <c r="A153" s="19">
        <v>152</v>
      </c>
      <c r="B153" s="22" t="s">
        <v>630</v>
      </c>
      <c r="C153" s="40" t="s">
        <v>631</v>
      </c>
      <c r="D153" s="22">
        <v>976265067</v>
      </c>
      <c r="E153" s="22" t="s">
        <v>632</v>
      </c>
      <c r="F153" s="22" t="s">
        <v>633</v>
      </c>
      <c r="G153" s="41">
        <v>0</v>
      </c>
      <c r="H153" s="41">
        <v>0</v>
      </c>
    </row>
    <row r="154" spans="1:8" ht="15" hidden="1" x14ac:dyDescent="0.2">
      <c r="A154" s="19">
        <v>153</v>
      </c>
      <c r="B154" s="37" t="s">
        <v>634</v>
      </c>
      <c r="C154" s="38" t="s">
        <v>635</v>
      </c>
      <c r="D154" s="37">
        <v>396894255</v>
      </c>
      <c r="E154" s="37" t="s">
        <v>636</v>
      </c>
      <c r="F154" s="42"/>
      <c r="G154" s="39">
        <v>0</v>
      </c>
      <c r="H154" s="39">
        <v>0</v>
      </c>
    </row>
    <row r="155" spans="1:8" ht="15" hidden="1" x14ac:dyDescent="0.2">
      <c r="A155" s="19">
        <v>154</v>
      </c>
      <c r="B155" s="22" t="s">
        <v>637</v>
      </c>
      <c r="C155" s="40" t="s">
        <v>638</v>
      </c>
      <c r="D155" s="22">
        <v>964690794</v>
      </c>
      <c r="E155" s="22" t="s">
        <v>639</v>
      </c>
      <c r="F155" s="22" t="s">
        <v>640</v>
      </c>
      <c r="G155" s="41">
        <v>0</v>
      </c>
      <c r="H155" s="41">
        <v>0</v>
      </c>
    </row>
    <row r="156" spans="1:8" ht="15" hidden="1" x14ac:dyDescent="0.2">
      <c r="A156" s="19">
        <v>155</v>
      </c>
      <c r="B156" s="37" t="s">
        <v>641</v>
      </c>
      <c r="C156" s="38" t="s">
        <v>642</v>
      </c>
      <c r="D156" s="37"/>
      <c r="E156" s="42"/>
      <c r="F156" s="37" t="s">
        <v>643</v>
      </c>
      <c r="G156" s="39">
        <v>0</v>
      </c>
      <c r="H156" s="39">
        <v>0</v>
      </c>
    </row>
    <row r="157" spans="1:8" ht="15" hidden="1" x14ac:dyDescent="0.2">
      <c r="A157" s="19">
        <v>156</v>
      </c>
      <c r="B157" s="22" t="s">
        <v>644</v>
      </c>
      <c r="C157" s="40" t="s">
        <v>645</v>
      </c>
      <c r="D157" s="22">
        <v>973815269</v>
      </c>
      <c r="E157" s="22" t="s">
        <v>646</v>
      </c>
      <c r="F157" s="22" t="s">
        <v>647</v>
      </c>
      <c r="G157" s="41">
        <v>0</v>
      </c>
      <c r="H157" s="41">
        <v>0</v>
      </c>
    </row>
    <row r="158" spans="1:8" ht="15" hidden="1" x14ac:dyDescent="0.2">
      <c r="A158" s="19">
        <v>157</v>
      </c>
      <c r="B158" s="37" t="s">
        <v>648</v>
      </c>
      <c r="C158" s="38" t="s">
        <v>649</v>
      </c>
      <c r="D158" s="37">
        <v>968178368</v>
      </c>
      <c r="E158" s="37" t="s">
        <v>650</v>
      </c>
      <c r="F158" s="42"/>
      <c r="G158" s="42"/>
      <c r="H158" s="39">
        <v>0</v>
      </c>
    </row>
    <row r="159" spans="1:8" ht="15" hidden="1" x14ac:dyDescent="0.2">
      <c r="A159" s="19">
        <v>158</v>
      </c>
      <c r="B159" s="22" t="s">
        <v>651</v>
      </c>
      <c r="C159" s="40" t="s">
        <v>652</v>
      </c>
      <c r="D159" s="22">
        <v>376458936</v>
      </c>
      <c r="E159" s="22" t="s">
        <v>653</v>
      </c>
      <c r="F159" s="43"/>
      <c r="G159" s="43"/>
      <c r="H159" s="41">
        <v>0</v>
      </c>
    </row>
    <row r="160" spans="1:8" ht="15" hidden="1" x14ac:dyDescent="0.2">
      <c r="A160" s="19">
        <v>159</v>
      </c>
      <c r="B160" s="37" t="s">
        <v>654</v>
      </c>
      <c r="C160" s="38" t="s">
        <v>655</v>
      </c>
      <c r="D160" s="37">
        <v>832686333</v>
      </c>
      <c r="E160" s="37" t="s">
        <v>656</v>
      </c>
      <c r="F160" s="37" t="s">
        <v>570</v>
      </c>
      <c r="G160" s="39">
        <v>0</v>
      </c>
      <c r="H160" s="39">
        <v>0</v>
      </c>
    </row>
    <row r="161" spans="1:8" ht="15" hidden="1" x14ac:dyDescent="0.2">
      <c r="A161" s="19">
        <v>160</v>
      </c>
      <c r="B161" s="22" t="s">
        <v>657</v>
      </c>
      <c r="C161" s="40" t="s">
        <v>658</v>
      </c>
      <c r="D161" s="22">
        <v>986133414</v>
      </c>
      <c r="E161" s="22" t="s">
        <v>659</v>
      </c>
      <c r="F161" s="43"/>
      <c r="G161" s="41">
        <v>0</v>
      </c>
      <c r="H161" s="41">
        <v>0</v>
      </c>
    </row>
    <row r="162" spans="1:8" ht="15" hidden="1" x14ac:dyDescent="0.2">
      <c r="A162" s="19">
        <v>161</v>
      </c>
      <c r="B162" s="37" t="s">
        <v>660</v>
      </c>
      <c r="C162" s="38" t="s">
        <v>661</v>
      </c>
      <c r="D162" s="37">
        <v>975794560</v>
      </c>
      <c r="E162" s="37" t="s">
        <v>662</v>
      </c>
      <c r="F162" s="37" t="s">
        <v>378</v>
      </c>
      <c r="G162" s="39">
        <v>0</v>
      </c>
      <c r="H162" s="39" t="s">
        <v>663</v>
      </c>
    </row>
    <row r="163" spans="1:8" ht="15" hidden="1" x14ac:dyDescent="0.2">
      <c r="A163" s="19">
        <v>162</v>
      </c>
      <c r="B163" s="22" t="s">
        <v>664</v>
      </c>
      <c r="C163" s="40" t="s">
        <v>665</v>
      </c>
      <c r="D163" s="22">
        <v>972171166</v>
      </c>
      <c r="E163" s="22" t="s">
        <v>666</v>
      </c>
      <c r="F163" s="43"/>
      <c r="G163" s="43"/>
      <c r="H163" s="41">
        <v>0</v>
      </c>
    </row>
    <row r="164" spans="1:8" ht="15" hidden="1" x14ac:dyDescent="0.2">
      <c r="A164" s="19">
        <v>163</v>
      </c>
      <c r="B164" s="37" t="s">
        <v>667</v>
      </c>
      <c r="C164" s="38" t="s">
        <v>668</v>
      </c>
      <c r="D164" s="37">
        <v>963861822</v>
      </c>
      <c r="E164" s="37" t="s">
        <v>669</v>
      </c>
      <c r="F164" s="42"/>
      <c r="G164" s="39">
        <v>0</v>
      </c>
      <c r="H164" s="39">
        <v>0</v>
      </c>
    </row>
    <row r="165" spans="1:8" ht="15" hidden="1" x14ac:dyDescent="0.2">
      <c r="A165" s="19">
        <v>164</v>
      </c>
      <c r="B165" s="22" t="s">
        <v>670</v>
      </c>
      <c r="C165" s="40" t="s">
        <v>671</v>
      </c>
      <c r="D165" s="123">
        <v>915319229</v>
      </c>
      <c r="E165" s="124"/>
      <c r="F165" s="43"/>
      <c r="G165" s="43"/>
      <c r="H165" s="41">
        <v>0</v>
      </c>
    </row>
    <row r="166" spans="1:8" ht="15" hidden="1" x14ac:dyDescent="0.2">
      <c r="A166" s="19">
        <v>165</v>
      </c>
      <c r="B166" s="37" t="s">
        <v>672</v>
      </c>
      <c r="C166" s="38" t="s">
        <v>673</v>
      </c>
      <c r="D166" s="37">
        <v>84968881867</v>
      </c>
      <c r="E166" s="37" t="s">
        <v>674</v>
      </c>
      <c r="F166" s="37" t="s">
        <v>675</v>
      </c>
      <c r="G166" s="39">
        <v>0</v>
      </c>
      <c r="H166" s="39">
        <v>0</v>
      </c>
    </row>
    <row r="167" spans="1:8" ht="15" hidden="1" x14ac:dyDescent="0.2">
      <c r="A167" s="19">
        <v>166</v>
      </c>
      <c r="B167" s="22" t="s">
        <v>676</v>
      </c>
      <c r="C167" s="40" t="s">
        <v>677</v>
      </c>
      <c r="D167" s="22">
        <v>973249402</v>
      </c>
      <c r="E167" s="22" t="s">
        <v>678</v>
      </c>
      <c r="F167" s="22" t="s">
        <v>274</v>
      </c>
      <c r="G167" s="41">
        <v>0</v>
      </c>
      <c r="H167" s="41" t="s">
        <v>679</v>
      </c>
    </row>
    <row r="168" spans="1:8" ht="15" hidden="1" x14ac:dyDescent="0.2">
      <c r="A168" s="19">
        <v>167</v>
      </c>
      <c r="B168" s="37" t="s">
        <v>680</v>
      </c>
      <c r="C168" s="38" t="s">
        <v>681</v>
      </c>
      <c r="D168" s="37">
        <v>969247590</v>
      </c>
      <c r="E168" s="37" t="s">
        <v>682</v>
      </c>
      <c r="F168" s="37" t="s">
        <v>683</v>
      </c>
      <c r="G168" s="39">
        <v>0</v>
      </c>
      <c r="H168" s="39" t="s">
        <v>684</v>
      </c>
    </row>
    <row r="169" spans="1:8" ht="15" hidden="1" x14ac:dyDescent="0.2">
      <c r="A169" s="19">
        <v>168</v>
      </c>
      <c r="B169" s="22" t="s">
        <v>685</v>
      </c>
      <c r="C169" s="40" t="s">
        <v>686</v>
      </c>
      <c r="D169" s="22">
        <v>965560519</v>
      </c>
      <c r="E169" s="22" t="s">
        <v>687</v>
      </c>
      <c r="F169" s="22" t="s">
        <v>688</v>
      </c>
      <c r="G169" s="41">
        <v>0</v>
      </c>
      <c r="H169" s="41">
        <v>0</v>
      </c>
    </row>
    <row r="170" spans="1:8" ht="15" hidden="1" x14ac:dyDescent="0.2">
      <c r="A170" s="19">
        <v>169</v>
      </c>
      <c r="B170" s="37" t="s">
        <v>689</v>
      </c>
      <c r="C170" s="38" t="s">
        <v>690</v>
      </c>
      <c r="D170" s="37">
        <v>987165992</v>
      </c>
      <c r="E170" s="37" t="s">
        <v>691</v>
      </c>
      <c r="F170" s="42"/>
      <c r="G170" s="39">
        <v>0</v>
      </c>
      <c r="H170" s="39">
        <v>0</v>
      </c>
    </row>
    <row r="171" spans="1:8" ht="15" hidden="1" x14ac:dyDescent="0.2">
      <c r="A171" s="19">
        <v>170</v>
      </c>
      <c r="B171" s="22" t="s">
        <v>692</v>
      </c>
      <c r="C171" s="40" t="s">
        <v>627</v>
      </c>
      <c r="D171" s="22">
        <v>84353045317</v>
      </c>
      <c r="E171" s="22" t="s">
        <v>693</v>
      </c>
      <c r="F171" s="22" t="s">
        <v>629</v>
      </c>
      <c r="G171" s="41">
        <v>0</v>
      </c>
      <c r="H171" s="41">
        <v>0</v>
      </c>
    </row>
    <row r="172" spans="1:8" ht="15" hidden="1" x14ac:dyDescent="0.2">
      <c r="A172" s="19">
        <v>171</v>
      </c>
      <c r="B172" s="37" t="s">
        <v>694</v>
      </c>
      <c r="C172" s="38" t="s">
        <v>695</v>
      </c>
      <c r="D172" s="37">
        <v>376692855</v>
      </c>
      <c r="E172" s="37" t="s">
        <v>696</v>
      </c>
      <c r="F172" s="37" t="s">
        <v>697</v>
      </c>
      <c r="G172" s="39">
        <v>0</v>
      </c>
      <c r="H172" s="39">
        <v>0</v>
      </c>
    </row>
    <row r="173" spans="1:8" ht="15" hidden="1" x14ac:dyDescent="0.2">
      <c r="A173" s="19">
        <v>172</v>
      </c>
      <c r="B173" s="22" t="s">
        <v>698</v>
      </c>
      <c r="C173" s="40" t="s">
        <v>699</v>
      </c>
      <c r="D173" s="22">
        <v>767971578</v>
      </c>
      <c r="E173" s="22" t="s">
        <v>700</v>
      </c>
      <c r="F173" s="22" t="s">
        <v>701</v>
      </c>
      <c r="G173" s="41">
        <v>0</v>
      </c>
      <c r="H173" s="41">
        <v>0</v>
      </c>
    </row>
    <row r="174" spans="1:8" ht="15" hidden="1" x14ac:dyDescent="0.2">
      <c r="A174" s="19">
        <v>173</v>
      </c>
      <c r="B174" s="37" t="s">
        <v>702</v>
      </c>
      <c r="C174" s="38" t="s">
        <v>703</v>
      </c>
      <c r="D174" s="42"/>
      <c r="E174" s="42"/>
      <c r="F174" s="42"/>
      <c r="G174" s="39">
        <v>0</v>
      </c>
      <c r="H174" s="39">
        <v>0</v>
      </c>
    </row>
    <row r="175" spans="1:8" ht="15" hidden="1" x14ac:dyDescent="0.2">
      <c r="A175" s="19">
        <v>174</v>
      </c>
      <c r="B175" s="22" t="s">
        <v>704</v>
      </c>
      <c r="C175" s="40" t="s">
        <v>705</v>
      </c>
      <c r="D175" s="22">
        <v>963124916</v>
      </c>
      <c r="E175" s="22" t="s">
        <v>706</v>
      </c>
      <c r="F175" s="43"/>
      <c r="G175" s="41">
        <v>0</v>
      </c>
      <c r="H175" s="41">
        <v>0</v>
      </c>
    </row>
    <row r="176" spans="1:8" ht="15" hidden="1" x14ac:dyDescent="0.2">
      <c r="A176" s="19">
        <v>175</v>
      </c>
      <c r="B176" s="37" t="s">
        <v>707</v>
      </c>
      <c r="C176" s="38" t="s">
        <v>708</v>
      </c>
      <c r="D176" s="37">
        <v>362033118</v>
      </c>
      <c r="E176" s="37" t="s">
        <v>709</v>
      </c>
      <c r="F176" s="42"/>
      <c r="G176" s="39">
        <v>0</v>
      </c>
      <c r="H176" s="39">
        <v>0</v>
      </c>
    </row>
    <row r="177" spans="1:8" ht="15" hidden="1" x14ac:dyDescent="0.2">
      <c r="A177" s="19">
        <v>176</v>
      </c>
      <c r="B177" s="22" t="s">
        <v>710</v>
      </c>
      <c r="C177" s="40" t="s">
        <v>711</v>
      </c>
      <c r="D177" s="22">
        <v>777277378</v>
      </c>
      <c r="E177" s="22" t="s">
        <v>712</v>
      </c>
      <c r="F177" s="22" t="s">
        <v>713</v>
      </c>
      <c r="G177" s="41">
        <v>0</v>
      </c>
      <c r="H177" s="41" t="s">
        <v>714</v>
      </c>
    </row>
    <row r="178" spans="1:8" ht="15" hidden="1" x14ac:dyDescent="0.2">
      <c r="A178" s="19">
        <v>177</v>
      </c>
      <c r="B178" s="37" t="s">
        <v>715</v>
      </c>
      <c r="C178" s="38" t="s">
        <v>716</v>
      </c>
      <c r="D178" s="37">
        <v>983379268</v>
      </c>
      <c r="E178" s="37" t="s">
        <v>717</v>
      </c>
      <c r="F178" s="37" t="s">
        <v>718</v>
      </c>
      <c r="G178" s="39">
        <v>0</v>
      </c>
      <c r="H178" s="39">
        <v>0</v>
      </c>
    </row>
    <row r="179" spans="1:8" ht="15" hidden="1" x14ac:dyDescent="0.2">
      <c r="A179" s="19">
        <v>178</v>
      </c>
      <c r="B179" s="22" t="s">
        <v>719</v>
      </c>
      <c r="C179" s="40" t="s">
        <v>720</v>
      </c>
      <c r="D179" s="22">
        <v>969860422</v>
      </c>
      <c r="E179" s="22" t="s">
        <v>721</v>
      </c>
      <c r="F179" s="22" t="s">
        <v>718</v>
      </c>
      <c r="G179" s="41">
        <v>0</v>
      </c>
      <c r="H179" s="41">
        <v>0</v>
      </c>
    </row>
    <row r="180" spans="1:8" ht="15" hidden="1" x14ac:dyDescent="0.2">
      <c r="A180" s="19">
        <v>179</v>
      </c>
      <c r="B180" s="37" t="s">
        <v>722</v>
      </c>
      <c r="C180" s="38" t="s">
        <v>723</v>
      </c>
      <c r="D180" s="37">
        <v>788044237</v>
      </c>
      <c r="E180" s="37" t="s">
        <v>724</v>
      </c>
      <c r="F180" s="37" t="s">
        <v>570</v>
      </c>
      <c r="G180" s="39">
        <v>0</v>
      </c>
      <c r="H180" s="39">
        <v>0</v>
      </c>
    </row>
    <row r="181" spans="1:8" ht="15" hidden="1" x14ac:dyDescent="0.2">
      <c r="A181" s="19">
        <v>180</v>
      </c>
      <c r="B181" s="22" t="s">
        <v>725</v>
      </c>
      <c r="C181" s="40" t="s">
        <v>726</v>
      </c>
      <c r="D181" s="22">
        <v>981618699</v>
      </c>
      <c r="E181" s="22" t="s">
        <v>727</v>
      </c>
      <c r="F181" s="22" t="s">
        <v>728</v>
      </c>
      <c r="G181" s="41" t="s">
        <v>729</v>
      </c>
      <c r="H181" s="41">
        <v>0</v>
      </c>
    </row>
    <row r="182" spans="1:8" ht="15" hidden="1" x14ac:dyDescent="0.2">
      <c r="A182" s="19">
        <v>181</v>
      </c>
      <c r="B182" s="37" t="s">
        <v>730</v>
      </c>
      <c r="C182" s="38" t="s">
        <v>731</v>
      </c>
      <c r="D182" s="37">
        <v>961653758</v>
      </c>
      <c r="E182" s="37" t="s">
        <v>732</v>
      </c>
      <c r="F182" s="37" t="s">
        <v>733</v>
      </c>
      <c r="G182" s="39">
        <v>0</v>
      </c>
      <c r="H182" s="39" t="s">
        <v>734</v>
      </c>
    </row>
    <row r="183" spans="1:8" ht="15" hidden="1" x14ac:dyDescent="0.2">
      <c r="A183" s="19">
        <v>182</v>
      </c>
      <c r="B183" s="22" t="s">
        <v>735</v>
      </c>
      <c r="C183" s="40" t="s">
        <v>736</v>
      </c>
      <c r="D183" s="22">
        <v>943107070</v>
      </c>
      <c r="E183" s="22" t="s">
        <v>737</v>
      </c>
      <c r="F183" s="22" t="s">
        <v>738</v>
      </c>
      <c r="G183" s="41" t="s">
        <v>739</v>
      </c>
      <c r="H183" s="41" t="s">
        <v>740</v>
      </c>
    </row>
    <row r="184" spans="1:8" ht="15" hidden="1" x14ac:dyDescent="0.2">
      <c r="A184" s="19">
        <v>183</v>
      </c>
      <c r="B184" s="37" t="s">
        <v>741</v>
      </c>
      <c r="C184" s="38" t="s">
        <v>742</v>
      </c>
      <c r="D184" s="37">
        <v>834259859</v>
      </c>
      <c r="E184" s="37" t="s">
        <v>743</v>
      </c>
      <c r="F184" s="37" t="s">
        <v>744</v>
      </c>
      <c r="G184" s="39">
        <v>0</v>
      </c>
      <c r="H184" s="39">
        <v>0</v>
      </c>
    </row>
    <row r="185" spans="1:8" ht="15" hidden="1" x14ac:dyDescent="0.2">
      <c r="A185" s="19">
        <v>184</v>
      </c>
      <c r="B185" s="22" t="s">
        <v>745</v>
      </c>
      <c r="C185" s="40" t="s">
        <v>746</v>
      </c>
      <c r="D185" s="22">
        <v>984796546</v>
      </c>
      <c r="E185" s="22" t="s">
        <v>747</v>
      </c>
      <c r="F185" s="22" t="s">
        <v>748</v>
      </c>
      <c r="G185" s="41">
        <v>0</v>
      </c>
      <c r="H185" s="41">
        <v>0</v>
      </c>
    </row>
    <row r="186" spans="1:8" ht="15" hidden="1" x14ac:dyDescent="0.2">
      <c r="A186" s="19">
        <v>185</v>
      </c>
      <c r="B186" s="37" t="s">
        <v>749</v>
      </c>
      <c r="C186" s="38" t="s">
        <v>750</v>
      </c>
      <c r="D186" s="37">
        <v>975010296</v>
      </c>
      <c r="E186" s="37" t="s">
        <v>751</v>
      </c>
      <c r="F186" s="37" t="s">
        <v>752</v>
      </c>
      <c r="G186" s="39">
        <v>0</v>
      </c>
      <c r="H186" s="39">
        <v>0</v>
      </c>
    </row>
    <row r="187" spans="1:8" ht="15" hidden="1" x14ac:dyDescent="0.2">
      <c r="A187" s="19">
        <v>186</v>
      </c>
      <c r="B187" s="22" t="s">
        <v>753</v>
      </c>
      <c r="C187" s="40" t="s">
        <v>754</v>
      </c>
      <c r="D187" s="22">
        <v>367018104</v>
      </c>
      <c r="E187" s="22" t="s">
        <v>755</v>
      </c>
      <c r="F187" s="22" t="s">
        <v>570</v>
      </c>
      <c r="G187" s="41">
        <v>0</v>
      </c>
      <c r="H187" s="41">
        <v>0</v>
      </c>
    </row>
    <row r="188" spans="1:8" ht="15" hidden="1" x14ac:dyDescent="0.2">
      <c r="A188" s="19">
        <v>187</v>
      </c>
      <c r="B188" s="37" t="s">
        <v>756</v>
      </c>
      <c r="C188" s="38" t="s">
        <v>757</v>
      </c>
      <c r="D188" s="125" t="s">
        <v>758</v>
      </c>
      <c r="E188" s="124"/>
      <c r="F188" s="37" t="s">
        <v>759</v>
      </c>
      <c r="G188" s="39">
        <v>0</v>
      </c>
      <c r="H188" s="39">
        <v>0</v>
      </c>
    </row>
    <row r="189" spans="1:8" ht="15" hidden="1" x14ac:dyDescent="0.2">
      <c r="A189" s="19">
        <v>188</v>
      </c>
      <c r="B189" s="22" t="s">
        <v>760</v>
      </c>
      <c r="C189" s="40" t="s">
        <v>761</v>
      </c>
      <c r="D189" s="22">
        <v>978545619</v>
      </c>
      <c r="E189" s="22" t="s">
        <v>762</v>
      </c>
      <c r="F189" s="22" t="s">
        <v>763</v>
      </c>
      <c r="G189" s="41">
        <v>0</v>
      </c>
      <c r="H189" s="41">
        <v>0</v>
      </c>
    </row>
    <row r="190" spans="1:8" ht="15" hidden="1" x14ac:dyDescent="0.2">
      <c r="A190" s="19">
        <v>189</v>
      </c>
      <c r="B190" s="37" t="s">
        <v>764</v>
      </c>
      <c r="C190" s="38" t="s">
        <v>765</v>
      </c>
      <c r="D190" s="37">
        <v>985691166</v>
      </c>
      <c r="E190" s="37" t="s">
        <v>766</v>
      </c>
      <c r="F190" s="37" t="s">
        <v>767</v>
      </c>
      <c r="G190" s="39">
        <v>0</v>
      </c>
      <c r="H190" s="39">
        <v>0</v>
      </c>
    </row>
    <row r="191" spans="1:8" ht="15" hidden="1" x14ac:dyDescent="0.2">
      <c r="A191" s="19">
        <v>190</v>
      </c>
      <c r="B191" s="22" t="s">
        <v>768</v>
      </c>
      <c r="C191" s="40" t="s">
        <v>769</v>
      </c>
      <c r="D191" s="22">
        <v>963411514</v>
      </c>
      <c r="E191" s="22" t="s">
        <v>770</v>
      </c>
      <c r="F191" s="22" t="s">
        <v>570</v>
      </c>
      <c r="G191" s="41">
        <v>0</v>
      </c>
      <c r="H191" s="41">
        <v>0</v>
      </c>
    </row>
    <row r="192" spans="1:8" ht="15" hidden="1" x14ac:dyDescent="0.2">
      <c r="A192" s="19">
        <v>191</v>
      </c>
      <c r="B192" s="37" t="s">
        <v>771</v>
      </c>
      <c r="C192" s="38" t="s">
        <v>772</v>
      </c>
      <c r="D192" s="37" t="s">
        <v>773</v>
      </c>
      <c r="E192" s="37" t="s">
        <v>774</v>
      </c>
      <c r="F192" s="37" t="s">
        <v>775</v>
      </c>
      <c r="G192" s="39">
        <v>0</v>
      </c>
      <c r="H192" s="39" t="s">
        <v>776</v>
      </c>
    </row>
    <row r="193" spans="1:8" ht="15" hidden="1" x14ac:dyDescent="0.2">
      <c r="A193" s="19">
        <v>192</v>
      </c>
      <c r="B193" s="22" t="s">
        <v>777</v>
      </c>
      <c r="C193" s="40" t="s">
        <v>778</v>
      </c>
      <c r="D193" s="22">
        <v>982117784</v>
      </c>
      <c r="E193" s="22" t="s">
        <v>779</v>
      </c>
      <c r="F193" s="22" t="s">
        <v>780</v>
      </c>
      <c r="G193" s="41">
        <v>0</v>
      </c>
      <c r="H193" s="41">
        <v>0</v>
      </c>
    </row>
    <row r="194" spans="1:8" ht="15" hidden="1" x14ac:dyDescent="0.2">
      <c r="A194" s="19">
        <v>193</v>
      </c>
      <c r="B194" s="37" t="s">
        <v>781</v>
      </c>
      <c r="C194" s="38" t="s">
        <v>782</v>
      </c>
      <c r="D194" s="37">
        <v>378378289</v>
      </c>
      <c r="E194" s="37" t="s">
        <v>783</v>
      </c>
      <c r="F194" s="37" t="s">
        <v>784</v>
      </c>
      <c r="G194" s="39">
        <v>0</v>
      </c>
      <c r="H194" s="39">
        <v>0</v>
      </c>
    </row>
    <row r="195" spans="1:8" ht="15" hidden="1" x14ac:dyDescent="0.2">
      <c r="A195" s="19">
        <v>194</v>
      </c>
      <c r="B195" s="22" t="s">
        <v>785</v>
      </c>
      <c r="C195" s="40" t="s">
        <v>786</v>
      </c>
      <c r="D195" s="22">
        <v>348204258</v>
      </c>
      <c r="E195" s="22" t="s">
        <v>787</v>
      </c>
      <c r="F195" s="22" t="s">
        <v>788</v>
      </c>
      <c r="G195" s="41">
        <v>0</v>
      </c>
      <c r="H195" s="41">
        <v>0</v>
      </c>
    </row>
    <row r="196" spans="1:8" ht="15" hidden="1" x14ac:dyDescent="0.2">
      <c r="A196" s="19">
        <v>195</v>
      </c>
      <c r="B196" s="37" t="s">
        <v>789</v>
      </c>
      <c r="C196" s="38" t="s">
        <v>790</v>
      </c>
      <c r="D196" s="37">
        <v>978352334</v>
      </c>
      <c r="E196" s="37" t="s">
        <v>791</v>
      </c>
      <c r="F196" s="42"/>
      <c r="G196" s="42"/>
      <c r="H196" s="39">
        <v>0</v>
      </c>
    </row>
    <row r="197" spans="1:8" ht="15" hidden="1" x14ac:dyDescent="0.2">
      <c r="A197" s="19">
        <v>196</v>
      </c>
      <c r="B197" s="22" t="s">
        <v>792</v>
      </c>
      <c r="C197" s="40" t="s">
        <v>793</v>
      </c>
      <c r="D197" s="22">
        <v>971786900</v>
      </c>
      <c r="E197" s="22" t="s">
        <v>794</v>
      </c>
      <c r="F197" s="43"/>
      <c r="G197" s="41">
        <v>0</v>
      </c>
      <c r="H197" s="41">
        <v>0</v>
      </c>
    </row>
    <row r="198" spans="1:8" ht="15" hidden="1" x14ac:dyDescent="0.2">
      <c r="A198" s="19">
        <v>197</v>
      </c>
      <c r="B198" s="37" t="s">
        <v>795</v>
      </c>
      <c r="C198" s="38" t="s">
        <v>796</v>
      </c>
      <c r="D198" s="37">
        <v>977850106</v>
      </c>
      <c r="E198" s="37" t="s">
        <v>797</v>
      </c>
      <c r="F198" s="37" t="s">
        <v>485</v>
      </c>
      <c r="G198" s="39">
        <v>0</v>
      </c>
      <c r="H198" s="39">
        <v>0</v>
      </c>
    </row>
    <row r="199" spans="1:8" ht="15" hidden="1" x14ac:dyDescent="0.2">
      <c r="A199" s="19">
        <v>198</v>
      </c>
      <c r="B199" s="22" t="s">
        <v>798</v>
      </c>
      <c r="C199" s="40" t="s">
        <v>799</v>
      </c>
      <c r="D199" s="22">
        <v>342687492</v>
      </c>
      <c r="E199" s="22" t="s">
        <v>800</v>
      </c>
      <c r="F199" s="22" t="s">
        <v>265</v>
      </c>
      <c r="G199" s="41">
        <v>0</v>
      </c>
      <c r="H199" s="41" t="s">
        <v>801</v>
      </c>
    </row>
    <row r="200" spans="1:8" ht="15" hidden="1" x14ac:dyDescent="0.2">
      <c r="A200" s="19">
        <v>199</v>
      </c>
      <c r="B200" s="37" t="s">
        <v>802</v>
      </c>
      <c r="C200" s="38" t="s">
        <v>803</v>
      </c>
      <c r="D200" s="37">
        <v>984943728</v>
      </c>
      <c r="E200" s="37" t="s">
        <v>804</v>
      </c>
      <c r="F200" s="42"/>
      <c r="G200" s="39">
        <v>0</v>
      </c>
      <c r="H200" s="39">
        <v>0</v>
      </c>
    </row>
    <row r="201" spans="1:8" ht="15" hidden="1" x14ac:dyDescent="0.2">
      <c r="A201" s="19">
        <v>200</v>
      </c>
      <c r="B201" s="22" t="s">
        <v>805</v>
      </c>
      <c r="C201" s="40" t="s">
        <v>806</v>
      </c>
      <c r="D201" s="22">
        <v>392440876</v>
      </c>
      <c r="E201" s="22" t="s">
        <v>807</v>
      </c>
      <c r="F201" s="22" t="s">
        <v>188</v>
      </c>
      <c r="G201" s="41">
        <v>0</v>
      </c>
      <c r="H201" s="41">
        <v>0</v>
      </c>
    </row>
    <row r="202" spans="1:8" ht="15" hidden="1" x14ac:dyDescent="0.2">
      <c r="A202" s="19">
        <v>201</v>
      </c>
      <c r="B202" s="37" t="s">
        <v>808</v>
      </c>
      <c r="C202" s="38" t="s">
        <v>809</v>
      </c>
      <c r="D202" s="37">
        <v>984740684</v>
      </c>
      <c r="E202" s="37" t="s">
        <v>810</v>
      </c>
      <c r="F202" s="37" t="s">
        <v>811</v>
      </c>
      <c r="G202" s="39">
        <v>0</v>
      </c>
      <c r="H202" s="39" t="s">
        <v>812</v>
      </c>
    </row>
    <row r="203" spans="1:8" ht="15" hidden="1" x14ac:dyDescent="0.2">
      <c r="A203" s="19">
        <v>202</v>
      </c>
      <c r="B203" s="22" t="s">
        <v>813</v>
      </c>
      <c r="C203" s="40" t="s">
        <v>814</v>
      </c>
      <c r="D203" s="22">
        <v>843391983</v>
      </c>
      <c r="E203" s="22" t="s">
        <v>815</v>
      </c>
      <c r="F203" s="22" t="s">
        <v>816</v>
      </c>
      <c r="G203" s="41" t="s">
        <v>817</v>
      </c>
      <c r="H203" s="41">
        <v>0</v>
      </c>
    </row>
    <row r="204" spans="1:8" ht="15" hidden="1" x14ac:dyDescent="0.2">
      <c r="A204" s="19">
        <v>203</v>
      </c>
      <c r="B204" s="37" t="s">
        <v>818</v>
      </c>
      <c r="C204" s="38" t="s">
        <v>819</v>
      </c>
      <c r="D204" s="37">
        <v>931993088</v>
      </c>
      <c r="E204" s="37" t="s">
        <v>820</v>
      </c>
      <c r="F204" s="37" t="s">
        <v>821</v>
      </c>
      <c r="G204" s="39">
        <v>0</v>
      </c>
      <c r="H204" s="39">
        <v>675</v>
      </c>
    </row>
    <row r="205" spans="1:8" ht="15" hidden="1" x14ac:dyDescent="0.2">
      <c r="A205" s="19">
        <v>204</v>
      </c>
      <c r="B205" s="22" t="s">
        <v>822</v>
      </c>
      <c r="C205" s="40" t="s">
        <v>823</v>
      </c>
      <c r="D205" s="22">
        <v>915464811</v>
      </c>
      <c r="E205" s="22" t="s">
        <v>824</v>
      </c>
      <c r="F205" s="43"/>
      <c r="G205" s="43"/>
      <c r="H205" s="41">
        <v>0</v>
      </c>
    </row>
    <row r="206" spans="1:8" ht="15" hidden="1" x14ac:dyDescent="0.2">
      <c r="A206" s="19">
        <v>205</v>
      </c>
      <c r="B206" s="37" t="s">
        <v>825</v>
      </c>
      <c r="C206" s="38" t="s">
        <v>826</v>
      </c>
      <c r="D206" s="37">
        <v>989826519</v>
      </c>
      <c r="E206" s="37" t="s">
        <v>827</v>
      </c>
      <c r="F206" s="37" t="s">
        <v>485</v>
      </c>
      <c r="G206" s="39">
        <v>0</v>
      </c>
      <c r="H206" s="39">
        <v>0</v>
      </c>
    </row>
    <row r="207" spans="1:8" ht="15" hidden="1" x14ac:dyDescent="0.2">
      <c r="A207" s="19">
        <v>206</v>
      </c>
      <c r="B207" s="22" t="s">
        <v>828</v>
      </c>
      <c r="C207" s="40" t="s">
        <v>829</v>
      </c>
      <c r="D207" s="123"/>
      <c r="E207" s="124"/>
      <c r="F207" s="22" t="s">
        <v>830</v>
      </c>
      <c r="G207" s="41">
        <v>0</v>
      </c>
      <c r="H207" s="41">
        <v>0</v>
      </c>
    </row>
    <row r="208" spans="1:8" ht="15" hidden="1" x14ac:dyDescent="0.2">
      <c r="A208" s="19">
        <v>207</v>
      </c>
      <c r="B208" s="37" t="s">
        <v>831</v>
      </c>
      <c r="C208" s="38" t="s">
        <v>832</v>
      </c>
      <c r="D208" s="37"/>
      <c r="E208" s="42"/>
      <c r="F208" s="37" t="s">
        <v>833</v>
      </c>
      <c r="G208" s="39">
        <v>0</v>
      </c>
      <c r="H208" s="39">
        <v>0</v>
      </c>
    </row>
    <row r="209" spans="1:8" ht="15" hidden="1" x14ac:dyDescent="0.2">
      <c r="A209" s="19">
        <v>208</v>
      </c>
      <c r="B209" s="22" t="s">
        <v>834</v>
      </c>
      <c r="C209" s="40" t="s">
        <v>835</v>
      </c>
      <c r="D209" s="22">
        <v>961954988</v>
      </c>
      <c r="E209" s="22" t="s">
        <v>836</v>
      </c>
      <c r="F209" s="43"/>
      <c r="G209" s="41">
        <v>0</v>
      </c>
      <c r="H209" s="41">
        <v>0</v>
      </c>
    </row>
    <row r="210" spans="1:8" ht="15" hidden="1" x14ac:dyDescent="0.2">
      <c r="A210" s="19">
        <v>209</v>
      </c>
      <c r="B210" s="37" t="s">
        <v>837</v>
      </c>
      <c r="C210" s="38" t="s">
        <v>838</v>
      </c>
      <c r="D210" s="37">
        <v>978170183</v>
      </c>
      <c r="E210" s="37" t="s">
        <v>839</v>
      </c>
      <c r="F210" s="42"/>
      <c r="G210" s="39">
        <v>0</v>
      </c>
      <c r="H210" s="39">
        <v>0</v>
      </c>
    </row>
    <row r="211" spans="1:8" ht="15" hidden="1" x14ac:dyDescent="0.2">
      <c r="A211" s="19">
        <v>210</v>
      </c>
      <c r="B211" s="22" t="s">
        <v>840</v>
      </c>
      <c r="C211" s="40" t="s">
        <v>841</v>
      </c>
      <c r="D211" s="22" t="s">
        <v>842</v>
      </c>
      <c r="E211" s="22" t="s">
        <v>843</v>
      </c>
      <c r="F211" s="22" t="s">
        <v>844</v>
      </c>
      <c r="G211" s="41">
        <v>0</v>
      </c>
      <c r="H211" s="41">
        <v>0</v>
      </c>
    </row>
    <row r="212" spans="1:8" ht="15" hidden="1" x14ac:dyDescent="0.2">
      <c r="A212" s="19">
        <v>211</v>
      </c>
      <c r="B212" s="37" t="s">
        <v>845</v>
      </c>
      <c r="C212" s="38" t="s">
        <v>846</v>
      </c>
      <c r="D212" s="37">
        <v>964806687</v>
      </c>
      <c r="E212" s="37" t="s">
        <v>847</v>
      </c>
      <c r="F212" s="37" t="s">
        <v>848</v>
      </c>
      <c r="G212" s="39">
        <v>0</v>
      </c>
      <c r="H212" s="39">
        <v>0</v>
      </c>
    </row>
    <row r="213" spans="1:8" ht="15" hidden="1" x14ac:dyDescent="0.2">
      <c r="A213" s="19">
        <v>212</v>
      </c>
      <c r="B213" s="22" t="s">
        <v>849</v>
      </c>
      <c r="C213" s="40" t="s">
        <v>850</v>
      </c>
      <c r="D213" s="22" t="s">
        <v>851</v>
      </c>
      <c r="E213" s="22" t="s">
        <v>852</v>
      </c>
      <c r="F213" s="22" t="s">
        <v>853</v>
      </c>
      <c r="G213" s="41">
        <v>-56</v>
      </c>
      <c r="H213" s="41" t="s">
        <v>854</v>
      </c>
    </row>
    <row r="214" spans="1:8" ht="15" hidden="1" x14ac:dyDescent="0.2">
      <c r="A214" s="19">
        <v>213</v>
      </c>
      <c r="B214" s="37" t="s">
        <v>855</v>
      </c>
      <c r="C214" s="38" t="s">
        <v>856</v>
      </c>
      <c r="D214" s="37">
        <v>359179547</v>
      </c>
      <c r="E214" s="37" t="s">
        <v>857</v>
      </c>
      <c r="F214" s="37" t="s">
        <v>858</v>
      </c>
      <c r="G214" s="39">
        <v>0</v>
      </c>
      <c r="H214" s="39">
        <v>675</v>
      </c>
    </row>
    <row r="215" spans="1:8" ht="15" hidden="1" x14ac:dyDescent="0.2">
      <c r="A215" s="19">
        <v>214</v>
      </c>
      <c r="B215" s="22" t="s">
        <v>859</v>
      </c>
      <c r="C215" s="40" t="s">
        <v>860</v>
      </c>
      <c r="D215" s="22">
        <v>349697598</v>
      </c>
      <c r="E215" s="22" t="s">
        <v>861</v>
      </c>
      <c r="F215" s="22" t="s">
        <v>862</v>
      </c>
      <c r="G215" s="41">
        <v>0</v>
      </c>
      <c r="H215" s="41">
        <v>0</v>
      </c>
    </row>
    <row r="216" spans="1:8" ht="15" hidden="1" x14ac:dyDescent="0.2">
      <c r="A216" s="19">
        <v>215</v>
      </c>
      <c r="B216" s="37" t="s">
        <v>863</v>
      </c>
      <c r="C216" s="38" t="s">
        <v>864</v>
      </c>
      <c r="D216" s="37">
        <v>977983398</v>
      </c>
      <c r="E216" s="37" t="s">
        <v>865</v>
      </c>
      <c r="F216" s="42"/>
      <c r="G216" s="39">
        <v>0</v>
      </c>
      <c r="H216" s="39">
        <v>0</v>
      </c>
    </row>
    <row r="217" spans="1:8" ht="15" hidden="1" x14ac:dyDescent="0.2">
      <c r="A217" s="19">
        <v>216</v>
      </c>
      <c r="B217" s="22" t="s">
        <v>866</v>
      </c>
      <c r="C217" s="40" t="s">
        <v>867</v>
      </c>
      <c r="D217" s="22">
        <v>382299425</v>
      </c>
      <c r="E217" s="22" t="s">
        <v>868</v>
      </c>
      <c r="F217" s="43"/>
      <c r="G217" s="41">
        <v>0</v>
      </c>
      <c r="H217" s="41">
        <v>0</v>
      </c>
    </row>
    <row r="218" spans="1:8" ht="15" hidden="1" x14ac:dyDescent="0.2">
      <c r="A218" s="19">
        <v>217</v>
      </c>
      <c r="B218" s="37" t="s">
        <v>869</v>
      </c>
      <c r="C218" s="38" t="s">
        <v>870</v>
      </c>
      <c r="D218" s="37">
        <v>975206820</v>
      </c>
      <c r="E218" s="37" t="s">
        <v>871</v>
      </c>
      <c r="F218" s="37" t="s">
        <v>872</v>
      </c>
      <c r="G218" s="39">
        <v>0</v>
      </c>
      <c r="H218" s="39">
        <v>0</v>
      </c>
    </row>
    <row r="219" spans="1:8" ht="15" hidden="1" x14ac:dyDescent="0.2">
      <c r="A219" s="19">
        <v>218</v>
      </c>
      <c r="B219" s="22" t="s">
        <v>873</v>
      </c>
      <c r="C219" s="40" t="s">
        <v>874</v>
      </c>
      <c r="D219" s="22">
        <v>972096660</v>
      </c>
      <c r="E219" s="22" t="s">
        <v>875</v>
      </c>
      <c r="F219" s="22" t="s">
        <v>876</v>
      </c>
      <c r="G219" s="41">
        <v>0</v>
      </c>
      <c r="H219" s="41" t="s">
        <v>877</v>
      </c>
    </row>
    <row r="220" spans="1:8" ht="15" hidden="1" x14ac:dyDescent="0.2">
      <c r="A220" s="19">
        <v>219</v>
      </c>
      <c r="B220" s="37" t="s">
        <v>878</v>
      </c>
      <c r="C220" s="38" t="s">
        <v>879</v>
      </c>
      <c r="D220" s="37">
        <v>386453972</v>
      </c>
      <c r="E220" s="37" t="s">
        <v>880</v>
      </c>
      <c r="F220" s="37" t="s">
        <v>265</v>
      </c>
      <c r="G220" s="39">
        <v>0</v>
      </c>
      <c r="H220" s="39" t="s">
        <v>881</v>
      </c>
    </row>
    <row r="221" spans="1:8" ht="15" hidden="1" x14ac:dyDescent="0.2">
      <c r="A221" s="19">
        <v>220</v>
      </c>
      <c r="B221" s="22" t="s">
        <v>882</v>
      </c>
      <c r="C221" s="40" t="s">
        <v>883</v>
      </c>
      <c r="D221" s="123">
        <v>868881867</v>
      </c>
      <c r="E221" s="124"/>
      <c r="F221" s="43"/>
      <c r="G221" s="41">
        <v>0</v>
      </c>
      <c r="H221" s="41">
        <v>0</v>
      </c>
    </row>
    <row r="222" spans="1:8" ht="15" hidden="1" x14ac:dyDescent="0.2">
      <c r="A222" s="19">
        <v>221</v>
      </c>
      <c r="B222" s="37" t="s">
        <v>884</v>
      </c>
      <c r="C222" s="38" t="s">
        <v>885</v>
      </c>
      <c r="D222" s="37">
        <v>337227420</v>
      </c>
      <c r="E222" s="37" t="s">
        <v>886</v>
      </c>
      <c r="F222" s="42"/>
      <c r="G222" s="39">
        <v>0</v>
      </c>
      <c r="H222" s="39">
        <v>0</v>
      </c>
    </row>
    <row r="223" spans="1:8" ht="15" hidden="1" x14ac:dyDescent="0.2">
      <c r="A223" s="19">
        <v>222</v>
      </c>
      <c r="B223" s="22" t="s">
        <v>887</v>
      </c>
      <c r="C223" s="40" t="s">
        <v>888</v>
      </c>
      <c r="D223" s="123"/>
      <c r="E223" s="124"/>
      <c r="F223" s="22" t="s">
        <v>889</v>
      </c>
      <c r="G223" s="41">
        <v>0</v>
      </c>
      <c r="H223" s="41">
        <v>0</v>
      </c>
    </row>
    <row r="224" spans="1:8" ht="15" hidden="1" x14ac:dyDescent="0.2">
      <c r="A224" s="19">
        <v>223</v>
      </c>
      <c r="B224" s="37" t="s">
        <v>890</v>
      </c>
      <c r="C224" s="38" t="s">
        <v>891</v>
      </c>
      <c r="D224" s="44">
        <v>982435943</v>
      </c>
      <c r="E224" s="37" t="s">
        <v>892</v>
      </c>
      <c r="F224" s="37" t="s">
        <v>893</v>
      </c>
      <c r="G224" s="39">
        <v>0</v>
      </c>
      <c r="H224" s="39">
        <v>0</v>
      </c>
    </row>
    <row r="225" spans="1:8" ht="15" hidden="1" x14ac:dyDescent="0.2">
      <c r="A225" s="19">
        <v>224</v>
      </c>
      <c r="B225" s="22" t="s">
        <v>894</v>
      </c>
      <c r="C225" s="40" t="s">
        <v>895</v>
      </c>
      <c r="D225" s="22">
        <v>936738839</v>
      </c>
      <c r="E225" s="22" t="s">
        <v>896</v>
      </c>
      <c r="F225" s="22" t="s">
        <v>897</v>
      </c>
      <c r="G225" s="41">
        <v>0</v>
      </c>
      <c r="H225" s="41">
        <v>0</v>
      </c>
    </row>
    <row r="226" spans="1:8" ht="15" hidden="1" x14ac:dyDescent="0.2">
      <c r="A226" s="19">
        <v>225</v>
      </c>
      <c r="B226" s="37" t="s">
        <v>898</v>
      </c>
      <c r="C226" s="38" t="s">
        <v>899</v>
      </c>
      <c r="D226" s="125">
        <v>964386199</v>
      </c>
      <c r="E226" s="124"/>
      <c r="F226" s="42"/>
      <c r="G226" s="39">
        <v>0</v>
      </c>
      <c r="H226" s="39">
        <v>0</v>
      </c>
    </row>
    <row r="227" spans="1:8" ht="15" hidden="1" x14ac:dyDescent="0.2">
      <c r="A227" s="19">
        <v>226</v>
      </c>
      <c r="B227" s="22" t="s">
        <v>900</v>
      </c>
      <c r="C227" s="40" t="s">
        <v>901</v>
      </c>
      <c r="D227" s="22">
        <v>948036881</v>
      </c>
      <c r="E227" s="22" t="s">
        <v>902</v>
      </c>
      <c r="F227" s="22" t="s">
        <v>903</v>
      </c>
      <c r="G227" s="41">
        <v>0</v>
      </c>
      <c r="H227" s="41">
        <v>0</v>
      </c>
    </row>
    <row r="228" spans="1:8" ht="15" hidden="1" x14ac:dyDescent="0.2">
      <c r="A228" s="19">
        <v>227</v>
      </c>
      <c r="B228" s="37" t="s">
        <v>904</v>
      </c>
      <c r="C228" s="38" t="s">
        <v>905</v>
      </c>
      <c r="D228" s="37" t="s">
        <v>906</v>
      </c>
      <c r="E228" s="37" t="s">
        <v>907</v>
      </c>
      <c r="F228" s="37" t="s">
        <v>908</v>
      </c>
      <c r="G228" s="39">
        <v>0</v>
      </c>
      <c r="H228" s="39">
        <v>0</v>
      </c>
    </row>
    <row r="229" spans="1:8" ht="15" hidden="1" x14ac:dyDescent="0.2">
      <c r="A229" s="19">
        <v>228</v>
      </c>
      <c r="B229" s="22" t="s">
        <v>909</v>
      </c>
      <c r="C229" s="40" t="s">
        <v>910</v>
      </c>
      <c r="D229" s="22">
        <v>911886665</v>
      </c>
      <c r="E229" s="22" t="s">
        <v>911</v>
      </c>
      <c r="F229" s="22" t="s">
        <v>912</v>
      </c>
      <c r="G229" s="41">
        <v>0</v>
      </c>
      <c r="H229" s="41">
        <v>0</v>
      </c>
    </row>
    <row r="230" spans="1:8" ht="15" hidden="1" x14ac:dyDescent="0.2">
      <c r="A230" s="19">
        <v>229</v>
      </c>
      <c r="B230" s="37" t="s">
        <v>913</v>
      </c>
      <c r="C230" s="38" t="s">
        <v>914</v>
      </c>
      <c r="D230" s="37">
        <v>937440478</v>
      </c>
      <c r="E230" s="37" t="s">
        <v>915</v>
      </c>
      <c r="F230" s="42"/>
      <c r="G230" s="39">
        <v>0</v>
      </c>
      <c r="H230" s="39">
        <v>0</v>
      </c>
    </row>
    <row r="231" spans="1:8" ht="15" hidden="1" x14ac:dyDescent="0.2">
      <c r="A231" s="19">
        <v>230</v>
      </c>
      <c r="B231" s="22" t="s">
        <v>916</v>
      </c>
      <c r="C231" s="40" t="s">
        <v>917</v>
      </c>
      <c r="D231" s="22">
        <v>989399343</v>
      </c>
      <c r="E231" s="22" t="s">
        <v>918</v>
      </c>
      <c r="F231" s="22" t="s">
        <v>570</v>
      </c>
      <c r="G231" s="41">
        <v>0</v>
      </c>
      <c r="H231" s="41">
        <v>0</v>
      </c>
    </row>
    <row r="232" spans="1:8" ht="15" hidden="1" x14ac:dyDescent="0.2">
      <c r="A232" s="19">
        <v>231</v>
      </c>
      <c r="B232" s="37" t="s">
        <v>919</v>
      </c>
      <c r="C232" s="38" t="s">
        <v>920</v>
      </c>
      <c r="D232" s="37">
        <v>911602182</v>
      </c>
      <c r="E232" s="37" t="s">
        <v>921</v>
      </c>
      <c r="F232" s="37" t="s">
        <v>922</v>
      </c>
      <c r="G232" s="39">
        <v>0</v>
      </c>
      <c r="H232" s="39">
        <v>0</v>
      </c>
    </row>
    <row r="233" spans="1:8" ht="15" hidden="1" x14ac:dyDescent="0.2">
      <c r="A233" s="19">
        <v>232</v>
      </c>
      <c r="B233" s="22" t="s">
        <v>923</v>
      </c>
      <c r="C233" s="40" t="s">
        <v>924</v>
      </c>
      <c r="D233" s="22">
        <v>904851004</v>
      </c>
      <c r="E233" s="22" t="s">
        <v>925</v>
      </c>
      <c r="F233" s="43"/>
      <c r="G233" s="41">
        <v>0</v>
      </c>
      <c r="H233" s="41">
        <v>0</v>
      </c>
    </row>
    <row r="234" spans="1:8" ht="15" hidden="1" x14ac:dyDescent="0.2">
      <c r="A234" s="19">
        <v>233</v>
      </c>
      <c r="B234" s="37" t="s">
        <v>926</v>
      </c>
      <c r="C234" s="38" t="s">
        <v>927</v>
      </c>
      <c r="D234" s="125"/>
      <c r="E234" s="124"/>
      <c r="F234" s="42"/>
      <c r="G234" s="39">
        <v>0</v>
      </c>
      <c r="H234" s="39">
        <v>0</v>
      </c>
    </row>
    <row r="235" spans="1:8" ht="15" hidden="1" x14ac:dyDescent="0.2">
      <c r="A235" s="19">
        <v>234</v>
      </c>
      <c r="B235" s="22" t="s">
        <v>928</v>
      </c>
      <c r="C235" s="40" t="s">
        <v>929</v>
      </c>
      <c r="D235" s="22">
        <v>979027139</v>
      </c>
      <c r="E235" s="22" t="s">
        <v>930</v>
      </c>
      <c r="F235" s="22" t="s">
        <v>931</v>
      </c>
      <c r="G235" s="41">
        <v>0</v>
      </c>
      <c r="H235" s="41">
        <v>322</v>
      </c>
    </row>
    <row r="236" spans="1:8" ht="15" hidden="1" x14ac:dyDescent="0.2">
      <c r="A236" s="19">
        <v>235</v>
      </c>
      <c r="B236" s="37" t="s">
        <v>932</v>
      </c>
      <c r="C236" s="38" t="s">
        <v>933</v>
      </c>
      <c r="D236" s="37">
        <v>933167999</v>
      </c>
      <c r="E236" s="37" t="s">
        <v>934</v>
      </c>
      <c r="F236" s="37" t="s">
        <v>935</v>
      </c>
      <c r="G236" s="39">
        <v>0</v>
      </c>
      <c r="H236" s="39">
        <v>0</v>
      </c>
    </row>
    <row r="237" spans="1:8" ht="15" hidden="1" x14ac:dyDescent="0.2">
      <c r="A237" s="19">
        <v>236</v>
      </c>
      <c r="B237" s="22" t="s">
        <v>936</v>
      </c>
      <c r="C237" s="40" t="s">
        <v>937</v>
      </c>
      <c r="D237" s="123">
        <v>384888700</v>
      </c>
      <c r="E237" s="124"/>
      <c r="F237" s="43"/>
      <c r="G237" s="41">
        <v>0</v>
      </c>
      <c r="H237" s="41">
        <v>0</v>
      </c>
    </row>
    <row r="238" spans="1:8" ht="15" hidden="1" x14ac:dyDescent="0.2">
      <c r="A238" s="19">
        <v>237</v>
      </c>
      <c r="B238" s="37" t="s">
        <v>938</v>
      </c>
      <c r="C238" s="38" t="s">
        <v>939</v>
      </c>
      <c r="D238" s="37">
        <v>904473553</v>
      </c>
      <c r="E238" s="37" t="s">
        <v>940</v>
      </c>
      <c r="F238" s="42"/>
      <c r="G238" s="39">
        <v>0</v>
      </c>
      <c r="H238" s="39">
        <v>0</v>
      </c>
    </row>
    <row r="239" spans="1:8" ht="15" hidden="1" x14ac:dyDescent="0.2">
      <c r="A239" s="19">
        <v>238</v>
      </c>
      <c r="B239" s="22" t="s">
        <v>941</v>
      </c>
      <c r="C239" s="40" t="s">
        <v>942</v>
      </c>
      <c r="D239" s="22">
        <v>326034280</v>
      </c>
      <c r="E239" s="22" t="s">
        <v>943</v>
      </c>
      <c r="F239" s="22" t="s">
        <v>570</v>
      </c>
      <c r="G239" s="41">
        <v>0</v>
      </c>
      <c r="H239" s="41" t="s">
        <v>944</v>
      </c>
    </row>
    <row r="240" spans="1:8" ht="15" hidden="1" x14ac:dyDescent="0.2">
      <c r="A240" s="19">
        <v>239</v>
      </c>
      <c r="B240" s="37" t="s">
        <v>945</v>
      </c>
      <c r="C240" s="38" t="s">
        <v>946</v>
      </c>
      <c r="D240" s="37"/>
      <c r="E240" s="42"/>
      <c r="F240" s="42"/>
      <c r="G240" s="39">
        <v>0</v>
      </c>
      <c r="H240" s="39">
        <v>0</v>
      </c>
    </row>
    <row r="241" spans="1:8" ht="15" hidden="1" x14ac:dyDescent="0.2">
      <c r="A241" s="19">
        <v>240</v>
      </c>
      <c r="B241" s="22" t="s">
        <v>947</v>
      </c>
      <c r="C241" s="40" t="s">
        <v>948</v>
      </c>
      <c r="D241" s="22">
        <v>382046336</v>
      </c>
      <c r="E241" s="22" t="s">
        <v>949</v>
      </c>
      <c r="F241" s="43"/>
      <c r="G241" s="41">
        <v>0</v>
      </c>
      <c r="H241" s="41">
        <v>0</v>
      </c>
    </row>
    <row r="242" spans="1:8" ht="15" hidden="1" x14ac:dyDescent="0.2">
      <c r="A242" s="19">
        <v>241</v>
      </c>
      <c r="B242" s="37" t="s">
        <v>950</v>
      </c>
      <c r="C242" s="38" t="s">
        <v>951</v>
      </c>
      <c r="D242" s="125">
        <v>905743545</v>
      </c>
      <c r="E242" s="124"/>
      <c r="F242" s="42"/>
      <c r="G242" s="39">
        <v>0</v>
      </c>
      <c r="H242" s="39">
        <v>0</v>
      </c>
    </row>
    <row r="243" spans="1:8" ht="15" hidden="1" x14ac:dyDescent="0.2">
      <c r="A243" s="19">
        <v>242</v>
      </c>
      <c r="B243" s="22" t="s">
        <v>952</v>
      </c>
      <c r="C243" s="40" t="s">
        <v>953</v>
      </c>
      <c r="D243" s="22">
        <v>336949932</v>
      </c>
      <c r="E243" s="22" t="s">
        <v>954</v>
      </c>
      <c r="F243" s="43"/>
      <c r="G243" s="41">
        <v>0</v>
      </c>
      <c r="H243" s="41">
        <v>0</v>
      </c>
    </row>
    <row r="244" spans="1:8" ht="15" hidden="1" x14ac:dyDescent="0.2">
      <c r="A244" s="19">
        <v>243</v>
      </c>
      <c r="B244" s="37" t="s">
        <v>955</v>
      </c>
      <c r="C244" s="38" t="s">
        <v>956</v>
      </c>
      <c r="D244" s="37">
        <v>869654345</v>
      </c>
      <c r="E244" s="37" t="s">
        <v>957</v>
      </c>
      <c r="F244" s="37" t="s">
        <v>958</v>
      </c>
      <c r="G244" s="39">
        <v>0</v>
      </c>
      <c r="H244" s="39" t="s">
        <v>959</v>
      </c>
    </row>
    <row r="245" spans="1:8" ht="15" hidden="1" x14ac:dyDescent="0.2">
      <c r="A245" s="19">
        <v>244</v>
      </c>
      <c r="B245" s="22" t="s">
        <v>960</v>
      </c>
      <c r="C245" s="40" t="s">
        <v>961</v>
      </c>
      <c r="D245" s="22">
        <v>379789153</v>
      </c>
      <c r="E245" s="22" t="s">
        <v>962</v>
      </c>
      <c r="F245" s="22" t="s">
        <v>963</v>
      </c>
      <c r="G245" s="41">
        <v>0</v>
      </c>
      <c r="H245" s="41">
        <v>0</v>
      </c>
    </row>
    <row r="246" spans="1:8" ht="15" hidden="1" x14ac:dyDescent="0.2">
      <c r="A246" s="19">
        <v>245</v>
      </c>
      <c r="B246" s="37" t="s">
        <v>964</v>
      </c>
      <c r="C246" s="38" t="s">
        <v>965</v>
      </c>
      <c r="D246" s="37">
        <v>935178586</v>
      </c>
      <c r="E246" s="37" t="s">
        <v>966</v>
      </c>
      <c r="F246" s="42"/>
      <c r="G246" s="39">
        <v>0</v>
      </c>
      <c r="H246" s="39">
        <v>0</v>
      </c>
    </row>
    <row r="247" spans="1:8" ht="15" hidden="1" x14ac:dyDescent="0.2">
      <c r="A247" s="19">
        <v>246</v>
      </c>
      <c r="B247" s="22" t="s">
        <v>967</v>
      </c>
      <c r="C247" s="40" t="s">
        <v>968</v>
      </c>
      <c r="D247" s="22">
        <v>9132874112</v>
      </c>
      <c r="E247" s="22" t="s">
        <v>969</v>
      </c>
      <c r="F247" s="43"/>
      <c r="G247" s="41">
        <v>0</v>
      </c>
      <c r="H247" s="41">
        <v>0</v>
      </c>
    </row>
    <row r="248" spans="1:8" ht="15" hidden="1" x14ac:dyDescent="0.2">
      <c r="A248" s="19">
        <v>247</v>
      </c>
      <c r="B248" s="37" t="s">
        <v>970</v>
      </c>
      <c r="C248" s="38" t="s">
        <v>971</v>
      </c>
      <c r="D248" s="44">
        <v>334702941</v>
      </c>
      <c r="E248" s="37" t="s">
        <v>972</v>
      </c>
      <c r="F248" s="37" t="s">
        <v>973</v>
      </c>
      <c r="G248" s="39">
        <v>0</v>
      </c>
      <c r="H248" s="39">
        <v>0</v>
      </c>
    </row>
    <row r="249" spans="1:8" ht="15" hidden="1" x14ac:dyDescent="0.2">
      <c r="A249" s="19">
        <v>248</v>
      </c>
      <c r="B249" s="22" t="s">
        <v>974</v>
      </c>
      <c r="C249" s="40" t="s">
        <v>975</v>
      </c>
      <c r="D249" s="22"/>
      <c r="E249" s="43"/>
      <c r="F249" s="43"/>
      <c r="G249" s="41" t="s">
        <v>976</v>
      </c>
      <c r="H249" s="41" t="s">
        <v>977</v>
      </c>
    </row>
    <row r="250" spans="1:8" ht="15" hidden="1" x14ac:dyDescent="0.2">
      <c r="A250" s="19">
        <v>249</v>
      </c>
      <c r="B250" s="37" t="s">
        <v>978</v>
      </c>
      <c r="C250" s="38" t="s">
        <v>979</v>
      </c>
      <c r="D250" s="37">
        <v>913248127</v>
      </c>
      <c r="E250" s="37" t="s">
        <v>980</v>
      </c>
      <c r="F250" s="37" t="s">
        <v>688</v>
      </c>
      <c r="G250" s="39">
        <v>0</v>
      </c>
      <c r="H250" s="39">
        <v>0</v>
      </c>
    </row>
    <row r="251" spans="1:8" ht="15" hidden="1" x14ac:dyDescent="0.2">
      <c r="A251" s="19">
        <v>250</v>
      </c>
      <c r="B251" s="22" t="s">
        <v>981</v>
      </c>
      <c r="C251" s="40" t="s">
        <v>982</v>
      </c>
      <c r="D251" s="22">
        <v>377874466</v>
      </c>
      <c r="E251" s="22" t="s">
        <v>983</v>
      </c>
      <c r="F251" s="43"/>
      <c r="G251" s="41">
        <v>0</v>
      </c>
      <c r="H251" s="41">
        <v>0</v>
      </c>
    </row>
    <row r="252" spans="1:8" ht="15" hidden="1" x14ac:dyDescent="0.2">
      <c r="A252" s="19">
        <v>251</v>
      </c>
      <c r="B252" s="37" t="s">
        <v>984</v>
      </c>
      <c r="C252" s="38" t="s">
        <v>985</v>
      </c>
      <c r="D252" s="37">
        <v>913427200</v>
      </c>
      <c r="E252" s="37" t="s">
        <v>986</v>
      </c>
      <c r="F252" s="37" t="s">
        <v>987</v>
      </c>
      <c r="G252" s="39">
        <v>0</v>
      </c>
      <c r="H252" s="39">
        <v>0</v>
      </c>
    </row>
    <row r="253" spans="1:8" ht="15" hidden="1" x14ac:dyDescent="0.2">
      <c r="A253" s="19">
        <v>252</v>
      </c>
      <c r="B253" s="22" t="s">
        <v>988</v>
      </c>
      <c r="C253" s="40" t="s">
        <v>989</v>
      </c>
      <c r="D253" s="22">
        <v>348599525</v>
      </c>
      <c r="E253" s="22" t="s">
        <v>990</v>
      </c>
      <c r="F253" s="22" t="s">
        <v>991</v>
      </c>
      <c r="G253" s="41">
        <v>0</v>
      </c>
      <c r="H253" s="41">
        <v>0</v>
      </c>
    </row>
    <row r="254" spans="1:8" ht="15" hidden="1" x14ac:dyDescent="0.2">
      <c r="A254" s="19">
        <v>253</v>
      </c>
      <c r="B254" s="37" t="s">
        <v>992</v>
      </c>
      <c r="C254" s="38" t="s">
        <v>993</v>
      </c>
      <c r="D254" s="37">
        <v>977844011</v>
      </c>
      <c r="E254" s="37" t="s">
        <v>994</v>
      </c>
      <c r="F254" s="37" t="s">
        <v>995</v>
      </c>
      <c r="G254" s="39">
        <v>0</v>
      </c>
      <c r="H254" s="39">
        <v>0</v>
      </c>
    </row>
    <row r="255" spans="1:8" ht="15" hidden="1" x14ac:dyDescent="0.2">
      <c r="A255" s="19">
        <v>254</v>
      </c>
      <c r="B255" s="22" t="s">
        <v>996</v>
      </c>
      <c r="C255" s="40" t="s">
        <v>997</v>
      </c>
      <c r="D255" s="22">
        <v>384842163</v>
      </c>
      <c r="E255" s="22" t="s">
        <v>998</v>
      </c>
      <c r="F255" s="43"/>
      <c r="G255" s="41">
        <v>0</v>
      </c>
      <c r="H255" s="41">
        <v>0</v>
      </c>
    </row>
    <row r="256" spans="1:8" ht="15" hidden="1" x14ac:dyDescent="0.2">
      <c r="A256" s="19">
        <v>255</v>
      </c>
      <c r="B256" s="37" t="s">
        <v>999</v>
      </c>
      <c r="C256" s="38" t="s">
        <v>1000</v>
      </c>
      <c r="D256" s="37">
        <v>383536119</v>
      </c>
      <c r="E256" s="37" t="s">
        <v>1001</v>
      </c>
      <c r="F256" s="42"/>
      <c r="G256" s="39">
        <v>0</v>
      </c>
      <c r="H256" s="39">
        <v>0</v>
      </c>
    </row>
    <row r="257" spans="1:8" ht="15" hidden="1" x14ac:dyDescent="0.2">
      <c r="A257" s="19">
        <v>256</v>
      </c>
      <c r="B257" s="22" t="s">
        <v>1002</v>
      </c>
      <c r="C257" s="40" t="s">
        <v>1003</v>
      </c>
      <c r="D257" s="22">
        <v>366771611</v>
      </c>
      <c r="E257" s="22">
        <v>52</v>
      </c>
      <c r="F257" s="43"/>
      <c r="G257" s="41">
        <v>0</v>
      </c>
      <c r="H257" s="41">
        <v>0</v>
      </c>
    </row>
    <row r="258" spans="1:8" ht="15" hidden="1" x14ac:dyDescent="0.2">
      <c r="A258" s="19">
        <v>257</v>
      </c>
      <c r="B258" s="37" t="s">
        <v>1004</v>
      </c>
      <c r="C258" s="38" t="s">
        <v>1005</v>
      </c>
      <c r="D258" s="37">
        <v>928470590</v>
      </c>
      <c r="E258" s="37" t="s">
        <v>1006</v>
      </c>
      <c r="F258" s="42"/>
      <c r="G258" s="39">
        <v>0</v>
      </c>
      <c r="H258" s="39">
        <v>0</v>
      </c>
    </row>
    <row r="259" spans="1:8" ht="15" hidden="1" x14ac:dyDescent="0.2">
      <c r="A259" s="19">
        <v>258</v>
      </c>
      <c r="B259" s="22" t="s">
        <v>1007</v>
      </c>
      <c r="C259" s="40" t="s">
        <v>1008</v>
      </c>
      <c r="D259" s="22">
        <v>903995957</v>
      </c>
      <c r="E259" s="22" t="s">
        <v>1009</v>
      </c>
      <c r="F259" s="43"/>
      <c r="G259" s="41">
        <v>0</v>
      </c>
      <c r="H259" s="41">
        <v>0</v>
      </c>
    </row>
    <row r="260" spans="1:8" ht="15" hidden="1" x14ac:dyDescent="0.2">
      <c r="A260" s="19">
        <v>259</v>
      </c>
      <c r="B260" s="37" t="s">
        <v>1010</v>
      </c>
      <c r="C260" s="38" t="s">
        <v>1011</v>
      </c>
      <c r="D260" s="37">
        <v>334308145</v>
      </c>
      <c r="E260" s="37" t="s">
        <v>1012</v>
      </c>
      <c r="F260" s="42"/>
      <c r="G260" s="39">
        <v>0</v>
      </c>
      <c r="H260" s="39">
        <v>0</v>
      </c>
    </row>
    <row r="261" spans="1:8" ht="15" hidden="1" x14ac:dyDescent="0.2">
      <c r="A261" s="19">
        <v>260</v>
      </c>
      <c r="B261" s="22" t="s">
        <v>1013</v>
      </c>
      <c r="C261" s="40" t="s">
        <v>1014</v>
      </c>
      <c r="D261" s="123">
        <v>9681111326</v>
      </c>
      <c r="E261" s="124"/>
      <c r="F261" s="22" t="s">
        <v>1015</v>
      </c>
      <c r="G261" s="41">
        <v>0</v>
      </c>
      <c r="H261" s="41">
        <v>0</v>
      </c>
    </row>
    <row r="262" spans="1:8" ht="15" hidden="1" x14ac:dyDescent="0.2">
      <c r="A262" s="19">
        <v>261</v>
      </c>
      <c r="B262" s="37" t="s">
        <v>1016</v>
      </c>
      <c r="C262" s="38" t="s">
        <v>1017</v>
      </c>
      <c r="D262" s="125">
        <v>979117525</v>
      </c>
      <c r="E262" s="124"/>
      <c r="F262" s="42"/>
      <c r="G262" s="39">
        <v>0</v>
      </c>
      <c r="H262" s="39">
        <v>0</v>
      </c>
    </row>
    <row r="263" spans="1:8" ht="15" hidden="1" x14ac:dyDescent="0.2">
      <c r="A263" s="19">
        <v>262</v>
      </c>
      <c r="B263" s="22" t="s">
        <v>1018</v>
      </c>
      <c r="C263" s="40" t="s">
        <v>1019</v>
      </c>
      <c r="D263" s="22">
        <v>904973717</v>
      </c>
      <c r="E263" s="22" t="s">
        <v>1020</v>
      </c>
      <c r="F263" s="22" t="s">
        <v>1021</v>
      </c>
      <c r="G263" s="41">
        <v>0</v>
      </c>
      <c r="H263" s="41">
        <v>0</v>
      </c>
    </row>
    <row r="264" spans="1:8" ht="15" x14ac:dyDescent="0.2">
      <c r="A264" s="19">
        <v>263</v>
      </c>
      <c r="B264" s="37" t="s">
        <v>1022</v>
      </c>
      <c r="C264" s="38" t="s">
        <v>1023</v>
      </c>
      <c r="D264" s="37">
        <v>352366076</v>
      </c>
      <c r="E264" s="37" t="s">
        <v>1024</v>
      </c>
      <c r="F264" s="37" t="s">
        <v>1025</v>
      </c>
      <c r="G264" s="39">
        <v>9</v>
      </c>
      <c r="H264" s="39" t="s">
        <v>1026</v>
      </c>
    </row>
    <row r="265" spans="1:8" ht="15" hidden="1" x14ac:dyDescent="0.2">
      <c r="A265" s="19">
        <v>264</v>
      </c>
      <c r="B265" s="22" t="s">
        <v>1027</v>
      </c>
      <c r="C265" s="40" t="s">
        <v>1028</v>
      </c>
      <c r="D265" s="22">
        <v>934968989</v>
      </c>
      <c r="E265" s="22" t="s">
        <v>1029</v>
      </c>
      <c r="F265" s="43"/>
      <c r="G265" s="41">
        <v>0</v>
      </c>
      <c r="H265" s="41">
        <v>0</v>
      </c>
    </row>
    <row r="266" spans="1:8" ht="15" hidden="1" x14ac:dyDescent="0.2">
      <c r="A266" s="19">
        <v>265</v>
      </c>
      <c r="B266" s="37" t="s">
        <v>1030</v>
      </c>
      <c r="C266" s="38" t="s">
        <v>1031</v>
      </c>
      <c r="D266" s="37">
        <v>962929487</v>
      </c>
      <c r="E266" s="37" t="s">
        <v>1032</v>
      </c>
      <c r="F266" s="37" t="s">
        <v>1033</v>
      </c>
      <c r="G266" s="39">
        <v>0</v>
      </c>
      <c r="H266" s="39">
        <v>0</v>
      </c>
    </row>
    <row r="267" spans="1:8" ht="15" hidden="1" x14ac:dyDescent="0.2">
      <c r="A267" s="19">
        <v>266</v>
      </c>
      <c r="B267" s="22" t="s">
        <v>1034</v>
      </c>
      <c r="C267" s="40" t="s">
        <v>786</v>
      </c>
      <c r="D267" s="22">
        <v>352900285</v>
      </c>
      <c r="E267" s="22" t="s">
        <v>1035</v>
      </c>
      <c r="F267" s="22" t="s">
        <v>788</v>
      </c>
      <c r="G267" s="41">
        <v>0</v>
      </c>
      <c r="H267" s="41">
        <v>0</v>
      </c>
    </row>
    <row r="268" spans="1:8" ht="15" hidden="1" x14ac:dyDescent="0.2">
      <c r="A268" s="19">
        <v>267</v>
      </c>
      <c r="B268" s="37" t="s">
        <v>1036</v>
      </c>
      <c r="C268" s="38" t="s">
        <v>464</v>
      </c>
      <c r="D268" s="37">
        <v>334128998</v>
      </c>
      <c r="E268" s="37" t="s">
        <v>1037</v>
      </c>
      <c r="F268" s="37" t="s">
        <v>1038</v>
      </c>
      <c r="G268" s="39">
        <v>0</v>
      </c>
      <c r="H268" s="39">
        <v>0</v>
      </c>
    </row>
    <row r="269" spans="1:8" ht="15" hidden="1" x14ac:dyDescent="0.2">
      <c r="A269" s="19">
        <v>268</v>
      </c>
      <c r="B269" s="22" t="s">
        <v>1039</v>
      </c>
      <c r="C269" s="40" t="s">
        <v>1040</v>
      </c>
      <c r="D269" s="22">
        <v>344957892</v>
      </c>
      <c r="E269" s="22" t="s">
        <v>1041</v>
      </c>
      <c r="F269" s="43"/>
      <c r="G269" s="41">
        <v>0</v>
      </c>
      <c r="H269" s="41">
        <v>0</v>
      </c>
    </row>
    <row r="270" spans="1:8" ht="15" hidden="1" x14ac:dyDescent="0.2">
      <c r="A270" s="19">
        <v>269</v>
      </c>
      <c r="B270" s="37" t="s">
        <v>1042</v>
      </c>
      <c r="C270" s="38" t="s">
        <v>1043</v>
      </c>
      <c r="D270" s="37">
        <v>968429027</v>
      </c>
      <c r="E270" s="37" t="s">
        <v>1044</v>
      </c>
      <c r="F270" s="42"/>
      <c r="G270" s="39">
        <v>0</v>
      </c>
      <c r="H270" s="39">
        <v>0</v>
      </c>
    </row>
    <row r="271" spans="1:8" ht="15" hidden="1" x14ac:dyDescent="0.2">
      <c r="A271" s="19">
        <v>270</v>
      </c>
      <c r="B271" s="22" t="s">
        <v>1045</v>
      </c>
      <c r="C271" s="40" t="s">
        <v>1046</v>
      </c>
      <c r="D271" s="22">
        <v>369144232</v>
      </c>
      <c r="E271" s="22" t="s">
        <v>1047</v>
      </c>
      <c r="F271" s="43"/>
      <c r="G271" s="41">
        <v>0</v>
      </c>
      <c r="H271" s="41">
        <v>0</v>
      </c>
    </row>
    <row r="272" spans="1:8" ht="15" hidden="1" x14ac:dyDescent="0.2">
      <c r="A272" s="19">
        <v>271</v>
      </c>
      <c r="B272" s="37" t="s">
        <v>1048</v>
      </c>
      <c r="C272" s="38" t="s">
        <v>1049</v>
      </c>
      <c r="D272" s="37">
        <v>366869198</v>
      </c>
      <c r="E272" s="37" t="s">
        <v>1050</v>
      </c>
      <c r="F272" s="37" t="s">
        <v>1051</v>
      </c>
      <c r="G272" s="39">
        <v>0</v>
      </c>
      <c r="H272" s="39" t="s">
        <v>1052</v>
      </c>
    </row>
    <row r="273" spans="1:8" ht="15" hidden="1" x14ac:dyDescent="0.2">
      <c r="A273" s="19">
        <v>272</v>
      </c>
      <c r="B273" s="22" t="s">
        <v>1053</v>
      </c>
      <c r="C273" s="40" t="s">
        <v>1054</v>
      </c>
      <c r="D273" s="22">
        <v>969018529</v>
      </c>
      <c r="E273" s="22" t="s">
        <v>1055</v>
      </c>
      <c r="F273" s="43"/>
      <c r="G273" s="41">
        <v>0</v>
      </c>
      <c r="H273" s="41">
        <v>0</v>
      </c>
    </row>
    <row r="274" spans="1:8" ht="15" hidden="1" x14ac:dyDescent="0.2">
      <c r="A274" s="19">
        <v>273</v>
      </c>
      <c r="B274" s="37" t="s">
        <v>1056</v>
      </c>
      <c r="C274" s="38" t="s">
        <v>1057</v>
      </c>
      <c r="D274" s="37">
        <v>983036484</v>
      </c>
      <c r="E274" s="37" t="s">
        <v>1058</v>
      </c>
      <c r="F274" s="42"/>
      <c r="G274" s="39">
        <v>0</v>
      </c>
      <c r="H274" s="39">
        <v>0</v>
      </c>
    </row>
    <row r="275" spans="1:8" ht="15" x14ac:dyDescent="0.2">
      <c r="A275" s="19">
        <v>274</v>
      </c>
      <c r="B275" s="22" t="s">
        <v>1059</v>
      </c>
      <c r="C275" s="40" t="s">
        <v>1060</v>
      </c>
      <c r="D275" s="22" t="s">
        <v>1061</v>
      </c>
      <c r="E275" s="22" t="s">
        <v>1062</v>
      </c>
      <c r="F275" s="22" t="s">
        <v>485</v>
      </c>
      <c r="G275" s="41">
        <v>12394000</v>
      </c>
      <c r="H275" s="41">
        <v>12394000</v>
      </c>
    </row>
    <row r="276" spans="1:8" ht="15" hidden="1" x14ac:dyDescent="0.2">
      <c r="A276" s="19">
        <v>275</v>
      </c>
      <c r="B276" s="37" t="s">
        <v>1063</v>
      </c>
      <c r="C276" s="38" t="s">
        <v>1064</v>
      </c>
      <c r="D276" s="37">
        <v>779556886</v>
      </c>
      <c r="E276" s="37" t="s">
        <v>1065</v>
      </c>
      <c r="F276" s="42"/>
      <c r="G276" s="39">
        <v>0</v>
      </c>
      <c r="H276" s="39">
        <v>0</v>
      </c>
    </row>
    <row r="277" spans="1:8" ht="15" hidden="1" x14ac:dyDescent="0.2">
      <c r="A277" s="19">
        <v>276</v>
      </c>
      <c r="B277" s="22" t="s">
        <v>1066</v>
      </c>
      <c r="C277" s="40" t="s">
        <v>1067</v>
      </c>
      <c r="D277" s="22">
        <v>917190991</v>
      </c>
      <c r="E277" s="22" t="s">
        <v>1068</v>
      </c>
      <c r="F277" s="43"/>
      <c r="G277" s="41">
        <v>0</v>
      </c>
      <c r="H277" s="41">
        <v>0</v>
      </c>
    </row>
    <row r="278" spans="1:8" ht="15" hidden="1" x14ac:dyDescent="0.2">
      <c r="A278" s="19">
        <v>277</v>
      </c>
      <c r="B278" s="37" t="s">
        <v>1069</v>
      </c>
      <c r="C278" s="38" t="s">
        <v>1070</v>
      </c>
      <c r="D278" s="37">
        <v>987673597</v>
      </c>
      <c r="E278" s="37" t="s">
        <v>1071</v>
      </c>
      <c r="F278" s="37" t="s">
        <v>485</v>
      </c>
      <c r="G278" s="39">
        <v>0</v>
      </c>
      <c r="H278" s="39">
        <v>0</v>
      </c>
    </row>
    <row r="279" spans="1:8" ht="15" hidden="1" x14ac:dyDescent="0.2">
      <c r="A279" s="19">
        <v>278</v>
      </c>
      <c r="B279" s="22" t="s">
        <v>1072</v>
      </c>
      <c r="C279" s="40" t="s">
        <v>1073</v>
      </c>
      <c r="D279" s="22">
        <v>355996990</v>
      </c>
      <c r="E279" s="22" t="s">
        <v>1074</v>
      </c>
      <c r="F279" s="22" t="s">
        <v>570</v>
      </c>
      <c r="G279" s="41">
        <v>0</v>
      </c>
      <c r="H279" s="41">
        <v>0</v>
      </c>
    </row>
    <row r="280" spans="1:8" ht="15" hidden="1" x14ac:dyDescent="0.2">
      <c r="A280" s="19">
        <v>279</v>
      </c>
      <c r="B280" s="37" t="s">
        <v>1075</v>
      </c>
      <c r="C280" s="38" t="s">
        <v>1076</v>
      </c>
      <c r="D280" s="37">
        <v>988126133</v>
      </c>
      <c r="E280" s="37" t="s">
        <v>1077</v>
      </c>
      <c r="F280" s="37" t="s">
        <v>1078</v>
      </c>
      <c r="G280" s="39">
        <v>0</v>
      </c>
      <c r="H280" s="39">
        <v>0</v>
      </c>
    </row>
    <row r="281" spans="1:8" ht="15" hidden="1" x14ac:dyDescent="0.2">
      <c r="A281" s="19">
        <v>280</v>
      </c>
      <c r="B281" s="22" t="s">
        <v>1079</v>
      </c>
      <c r="C281" s="40" t="s">
        <v>1080</v>
      </c>
      <c r="D281" s="22">
        <v>976009737</v>
      </c>
      <c r="E281" s="22" t="s">
        <v>1081</v>
      </c>
      <c r="F281" s="22" t="s">
        <v>1082</v>
      </c>
      <c r="G281" s="41">
        <v>0</v>
      </c>
      <c r="H281" s="41">
        <v>0</v>
      </c>
    </row>
    <row r="282" spans="1:8" ht="15" hidden="1" x14ac:dyDescent="0.2">
      <c r="A282" s="19">
        <v>281</v>
      </c>
      <c r="B282" s="37" t="s">
        <v>1083</v>
      </c>
      <c r="C282" s="38" t="s">
        <v>1084</v>
      </c>
      <c r="D282" s="37">
        <v>357899988</v>
      </c>
      <c r="E282" s="37" t="s">
        <v>1085</v>
      </c>
      <c r="F282" s="37" t="s">
        <v>1086</v>
      </c>
      <c r="G282" s="39">
        <v>0</v>
      </c>
      <c r="H282" s="39">
        <v>0</v>
      </c>
    </row>
    <row r="283" spans="1:8" ht="15" hidden="1" x14ac:dyDescent="0.2">
      <c r="A283" s="19">
        <v>282</v>
      </c>
      <c r="B283" s="22" t="s">
        <v>1087</v>
      </c>
      <c r="C283" s="40" t="s">
        <v>1088</v>
      </c>
      <c r="D283" s="22">
        <v>965037667</v>
      </c>
      <c r="E283" s="22" t="s">
        <v>1089</v>
      </c>
      <c r="F283" s="22" t="s">
        <v>1090</v>
      </c>
      <c r="G283" s="41">
        <v>0</v>
      </c>
      <c r="H283" s="41">
        <v>0</v>
      </c>
    </row>
    <row r="284" spans="1:8" ht="15" hidden="1" x14ac:dyDescent="0.2">
      <c r="A284" s="19">
        <v>283</v>
      </c>
      <c r="B284" s="37" t="s">
        <v>1091</v>
      </c>
      <c r="C284" s="38" t="s">
        <v>1092</v>
      </c>
      <c r="D284" s="37">
        <v>328931161</v>
      </c>
      <c r="E284" s="37" t="s">
        <v>1093</v>
      </c>
      <c r="F284" s="42"/>
      <c r="G284" s="39">
        <v>0</v>
      </c>
      <c r="H284" s="39">
        <v>0</v>
      </c>
    </row>
    <row r="285" spans="1:8" ht="15" hidden="1" x14ac:dyDescent="0.2">
      <c r="A285" s="19">
        <v>284</v>
      </c>
      <c r="B285" s="22" t="s">
        <v>1094</v>
      </c>
      <c r="C285" s="40" t="s">
        <v>1095</v>
      </c>
      <c r="D285" s="22">
        <v>366225986</v>
      </c>
      <c r="E285" s="22" t="s">
        <v>1096</v>
      </c>
      <c r="F285" s="43"/>
      <c r="G285" s="41">
        <v>0</v>
      </c>
      <c r="H285" s="41">
        <v>0</v>
      </c>
    </row>
    <row r="286" spans="1:8" ht="15" hidden="1" x14ac:dyDescent="0.2">
      <c r="A286" s="19">
        <v>285</v>
      </c>
      <c r="B286" s="37" t="s">
        <v>1097</v>
      </c>
      <c r="C286" s="38" t="s">
        <v>1098</v>
      </c>
      <c r="D286" s="37">
        <v>934404142</v>
      </c>
      <c r="E286" s="37" t="s">
        <v>1099</v>
      </c>
      <c r="F286" s="42"/>
      <c r="G286" s="39">
        <v>0</v>
      </c>
      <c r="H286" s="39">
        <v>0</v>
      </c>
    </row>
    <row r="287" spans="1:8" ht="15" hidden="1" x14ac:dyDescent="0.2">
      <c r="A287" s="19">
        <v>286</v>
      </c>
      <c r="B287" s="22" t="s">
        <v>1100</v>
      </c>
      <c r="C287" s="40" t="s">
        <v>1101</v>
      </c>
      <c r="D287" s="22">
        <v>395783287</v>
      </c>
      <c r="E287" s="22" t="s">
        <v>1102</v>
      </c>
      <c r="F287" s="22" t="s">
        <v>1103</v>
      </c>
      <c r="G287" s="41">
        <v>0</v>
      </c>
      <c r="H287" s="41">
        <v>0</v>
      </c>
    </row>
    <row r="288" spans="1:8" ht="15" hidden="1" x14ac:dyDescent="0.2">
      <c r="A288" s="19">
        <v>287</v>
      </c>
      <c r="B288" s="37" t="s">
        <v>1104</v>
      </c>
      <c r="C288" s="38" t="s">
        <v>1105</v>
      </c>
      <c r="D288" s="37">
        <v>905905815</v>
      </c>
      <c r="E288" s="37" t="s">
        <v>1106</v>
      </c>
      <c r="F288" s="42"/>
      <c r="G288" s="39">
        <v>0</v>
      </c>
      <c r="H288" s="39">
        <v>0</v>
      </c>
    </row>
    <row r="289" spans="1:8" ht="15" hidden="1" x14ac:dyDescent="0.2">
      <c r="A289" s="19">
        <v>288</v>
      </c>
      <c r="B289" s="22" t="s">
        <v>1107</v>
      </c>
      <c r="C289" s="40" t="s">
        <v>1108</v>
      </c>
      <c r="D289" s="22">
        <v>333144206</v>
      </c>
      <c r="E289" s="22" t="s">
        <v>1109</v>
      </c>
      <c r="F289" s="22" t="s">
        <v>1086</v>
      </c>
      <c r="G289" s="41">
        <v>0</v>
      </c>
      <c r="H289" s="41">
        <v>0</v>
      </c>
    </row>
    <row r="290" spans="1:8" ht="15" hidden="1" x14ac:dyDescent="0.2">
      <c r="A290" s="19">
        <v>289</v>
      </c>
      <c r="B290" s="37" t="s">
        <v>1110</v>
      </c>
      <c r="C290" s="38" t="s">
        <v>1111</v>
      </c>
      <c r="D290" s="37">
        <v>792348474</v>
      </c>
      <c r="E290" s="37" t="s">
        <v>1112</v>
      </c>
      <c r="F290" s="42"/>
      <c r="G290" s="39">
        <v>0</v>
      </c>
      <c r="H290" s="39">
        <v>0</v>
      </c>
    </row>
    <row r="291" spans="1:8" ht="15" x14ac:dyDescent="0.2">
      <c r="A291" s="19">
        <v>290</v>
      </c>
      <c r="B291" s="22" t="s">
        <v>1113</v>
      </c>
      <c r="C291" s="40" t="s">
        <v>1114</v>
      </c>
      <c r="D291" s="22">
        <v>704546447</v>
      </c>
      <c r="E291" s="22" t="s">
        <v>1115</v>
      </c>
      <c r="F291" s="22" t="s">
        <v>378</v>
      </c>
      <c r="G291" s="41">
        <v>42</v>
      </c>
      <c r="H291" s="41" t="s">
        <v>1116</v>
      </c>
    </row>
    <row r="292" spans="1:8" ht="15" hidden="1" x14ac:dyDescent="0.2">
      <c r="A292" s="19">
        <v>291</v>
      </c>
      <c r="B292" s="37" t="s">
        <v>1117</v>
      </c>
      <c r="C292" s="38" t="s">
        <v>1118</v>
      </c>
      <c r="D292" s="37">
        <v>972832605</v>
      </c>
      <c r="E292" s="37" t="s">
        <v>1119</v>
      </c>
      <c r="F292" s="37" t="s">
        <v>1120</v>
      </c>
      <c r="G292" s="39">
        <v>0</v>
      </c>
      <c r="H292" s="39">
        <v>0</v>
      </c>
    </row>
    <row r="293" spans="1:8" ht="15" hidden="1" x14ac:dyDescent="0.2">
      <c r="A293" s="19">
        <v>292</v>
      </c>
      <c r="B293" s="22" t="s">
        <v>1121</v>
      </c>
      <c r="C293" s="40" t="s">
        <v>1122</v>
      </c>
      <c r="D293" s="22">
        <v>363678000</v>
      </c>
      <c r="E293" s="22" t="s">
        <v>1123</v>
      </c>
      <c r="F293" s="22" t="s">
        <v>1124</v>
      </c>
      <c r="G293" s="41">
        <v>0</v>
      </c>
      <c r="H293" s="41">
        <v>0</v>
      </c>
    </row>
    <row r="294" spans="1:8" ht="15" hidden="1" x14ac:dyDescent="0.2">
      <c r="A294" s="19">
        <v>293</v>
      </c>
      <c r="B294" s="37" t="s">
        <v>1125</v>
      </c>
      <c r="C294" s="38" t="s">
        <v>1126</v>
      </c>
      <c r="D294" s="37">
        <v>934305345</v>
      </c>
      <c r="E294" s="37" t="s">
        <v>1127</v>
      </c>
      <c r="F294" s="42"/>
      <c r="G294" s="39">
        <v>0</v>
      </c>
      <c r="H294" s="39">
        <v>0</v>
      </c>
    </row>
    <row r="295" spans="1:8" ht="15" hidden="1" x14ac:dyDescent="0.2">
      <c r="A295" s="19">
        <v>294</v>
      </c>
      <c r="B295" s="22" t="s">
        <v>1128</v>
      </c>
      <c r="C295" s="40" t="s">
        <v>1129</v>
      </c>
      <c r="D295" s="22">
        <v>975436164</v>
      </c>
      <c r="E295" s="22" t="s">
        <v>1130</v>
      </c>
      <c r="F295" s="22" t="s">
        <v>1131</v>
      </c>
      <c r="G295" s="41">
        <v>0</v>
      </c>
      <c r="H295" s="41">
        <v>0</v>
      </c>
    </row>
    <row r="296" spans="1:8" ht="15" hidden="1" x14ac:dyDescent="0.2">
      <c r="A296" s="19">
        <v>295</v>
      </c>
      <c r="B296" s="37" t="s">
        <v>1132</v>
      </c>
      <c r="C296" s="38" t="s">
        <v>1133</v>
      </c>
      <c r="D296" s="37">
        <v>972414573</v>
      </c>
      <c r="E296" s="37" t="s">
        <v>1134</v>
      </c>
      <c r="F296" s="42"/>
      <c r="G296" s="39">
        <v>0</v>
      </c>
      <c r="H296" s="39">
        <v>0</v>
      </c>
    </row>
    <row r="297" spans="1:8" ht="15" hidden="1" x14ac:dyDescent="0.2">
      <c r="A297" s="19">
        <v>296</v>
      </c>
      <c r="B297" s="22" t="s">
        <v>1135</v>
      </c>
      <c r="C297" s="40" t="s">
        <v>1136</v>
      </c>
      <c r="D297" s="22">
        <v>942682342</v>
      </c>
      <c r="E297" s="22" t="s">
        <v>1137</v>
      </c>
      <c r="F297" s="43"/>
      <c r="G297" s="41">
        <v>0</v>
      </c>
      <c r="H297" s="41">
        <v>0</v>
      </c>
    </row>
    <row r="298" spans="1:8" ht="15" hidden="1" x14ac:dyDescent="0.2">
      <c r="A298" s="19">
        <v>297</v>
      </c>
      <c r="B298" s="37" t="s">
        <v>1138</v>
      </c>
      <c r="C298" s="38" t="s">
        <v>1139</v>
      </c>
      <c r="D298" s="37">
        <v>332020087</v>
      </c>
      <c r="E298" s="37" t="s">
        <v>1140</v>
      </c>
      <c r="F298" s="37" t="s">
        <v>485</v>
      </c>
      <c r="G298" s="39">
        <v>0</v>
      </c>
      <c r="H298" s="39">
        <v>0</v>
      </c>
    </row>
    <row r="299" spans="1:8" ht="15" hidden="1" x14ac:dyDescent="0.2">
      <c r="A299" s="19">
        <v>298</v>
      </c>
      <c r="B299" s="22" t="s">
        <v>1141</v>
      </c>
      <c r="C299" s="40" t="s">
        <v>1142</v>
      </c>
      <c r="D299" s="22">
        <v>345711388</v>
      </c>
      <c r="E299" s="22" t="s">
        <v>1143</v>
      </c>
      <c r="F299" s="43"/>
      <c r="G299" s="41">
        <v>0</v>
      </c>
      <c r="H299" s="41">
        <v>0</v>
      </c>
    </row>
    <row r="300" spans="1:8" ht="15" hidden="1" x14ac:dyDescent="0.2">
      <c r="A300" s="19">
        <v>299</v>
      </c>
      <c r="B300" s="37" t="s">
        <v>1144</v>
      </c>
      <c r="C300" s="38" t="s">
        <v>1145</v>
      </c>
      <c r="D300" s="37">
        <v>983304436</v>
      </c>
      <c r="E300" s="37" t="s">
        <v>1146</v>
      </c>
      <c r="F300" s="42"/>
      <c r="G300" s="39">
        <v>0</v>
      </c>
      <c r="H300" s="39">
        <v>0</v>
      </c>
    </row>
    <row r="301" spans="1:8" ht="15" hidden="1" x14ac:dyDescent="0.2">
      <c r="A301" s="19">
        <v>300</v>
      </c>
      <c r="B301" s="22" t="s">
        <v>1147</v>
      </c>
      <c r="C301" s="40" t="s">
        <v>1148</v>
      </c>
      <c r="D301" s="22" t="s">
        <v>1149</v>
      </c>
      <c r="E301" s="22" t="s">
        <v>1150</v>
      </c>
      <c r="F301" s="22" t="s">
        <v>1151</v>
      </c>
      <c r="G301" s="41">
        <v>0</v>
      </c>
      <c r="H301" s="41">
        <v>0</v>
      </c>
    </row>
    <row r="302" spans="1:8" ht="15" hidden="1" x14ac:dyDescent="0.2">
      <c r="A302" s="19">
        <v>301</v>
      </c>
      <c r="B302" s="37" t="s">
        <v>1152</v>
      </c>
      <c r="C302" s="38" t="s">
        <v>1153</v>
      </c>
      <c r="D302" s="37">
        <v>888653666</v>
      </c>
      <c r="E302" s="37" t="s">
        <v>1154</v>
      </c>
      <c r="F302" s="37" t="s">
        <v>1155</v>
      </c>
      <c r="G302" s="39">
        <v>0</v>
      </c>
      <c r="H302" s="39">
        <v>0</v>
      </c>
    </row>
    <row r="303" spans="1:8" ht="15" hidden="1" x14ac:dyDescent="0.2">
      <c r="A303" s="19">
        <v>302</v>
      </c>
      <c r="B303" s="22" t="s">
        <v>1156</v>
      </c>
      <c r="C303" s="40" t="s">
        <v>1157</v>
      </c>
      <c r="D303" s="22">
        <v>384315221</v>
      </c>
      <c r="E303" s="22" t="s">
        <v>1158</v>
      </c>
      <c r="F303" s="43"/>
      <c r="G303" s="41">
        <v>0</v>
      </c>
      <c r="H303" s="41">
        <v>0</v>
      </c>
    </row>
    <row r="304" spans="1:8" ht="15" hidden="1" x14ac:dyDescent="0.2">
      <c r="A304" s="19">
        <v>303</v>
      </c>
      <c r="B304" s="37" t="s">
        <v>1159</v>
      </c>
      <c r="C304" s="38" t="s">
        <v>1160</v>
      </c>
      <c r="D304" s="37">
        <v>865334897</v>
      </c>
      <c r="E304" s="37" t="s">
        <v>1161</v>
      </c>
      <c r="F304" s="37" t="s">
        <v>1162</v>
      </c>
      <c r="G304" s="39">
        <v>0</v>
      </c>
      <c r="H304" s="39">
        <v>0</v>
      </c>
    </row>
    <row r="305" spans="1:8" ht="15" hidden="1" x14ac:dyDescent="0.2">
      <c r="A305" s="19">
        <v>304</v>
      </c>
      <c r="B305" s="22" t="s">
        <v>1163</v>
      </c>
      <c r="C305" s="40" t="s">
        <v>1164</v>
      </c>
      <c r="D305" s="22">
        <v>326712052</v>
      </c>
      <c r="E305" s="22" t="s">
        <v>1165</v>
      </c>
      <c r="F305" s="43"/>
      <c r="G305" s="41">
        <v>0</v>
      </c>
      <c r="H305" s="41">
        <v>0</v>
      </c>
    </row>
    <row r="306" spans="1:8" ht="15" hidden="1" x14ac:dyDescent="0.2">
      <c r="A306" s="19">
        <v>305</v>
      </c>
      <c r="B306" s="37" t="s">
        <v>1166</v>
      </c>
      <c r="C306" s="38" t="s">
        <v>1167</v>
      </c>
      <c r="D306" s="37">
        <v>988722328</v>
      </c>
      <c r="E306" s="37" t="s">
        <v>1168</v>
      </c>
      <c r="F306" s="42"/>
      <c r="G306" s="39">
        <v>0</v>
      </c>
      <c r="H306" s="39">
        <v>0</v>
      </c>
    </row>
    <row r="307" spans="1:8" ht="15" hidden="1" x14ac:dyDescent="0.2">
      <c r="A307" s="19">
        <v>306</v>
      </c>
      <c r="B307" s="22" t="s">
        <v>1169</v>
      </c>
      <c r="C307" s="40" t="s">
        <v>1170</v>
      </c>
      <c r="D307" s="123">
        <v>915155655</v>
      </c>
      <c r="E307" s="124"/>
      <c r="F307" s="22" t="s">
        <v>1171</v>
      </c>
      <c r="G307" s="41">
        <v>0</v>
      </c>
      <c r="H307" s="41">
        <v>0</v>
      </c>
    </row>
    <row r="308" spans="1:8" ht="15" hidden="1" x14ac:dyDescent="0.2">
      <c r="A308" s="19">
        <v>307</v>
      </c>
      <c r="B308" s="37" t="s">
        <v>1172</v>
      </c>
      <c r="C308" s="38" t="s">
        <v>1173</v>
      </c>
      <c r="D308" s="37">
        <v>907805608</v>
      </c>
      <c r="E308" s="37" t="s">
        <v>1174</v>
      </c>
      <c r="F308" s="42"/>
      <c r="G308" s="39">
        <v>0</v>
      </c>
      <c r="H308" s="39">
        <v>0</v>
      </c>
    </row>
    <row r="309" spans="1:8" ht="15" hidden="1" x14ac:dyDescent="0.2">
      <c r="A309" s="19">
        <v>308</v>
      </c>
      <c r="B309" s="22" t="s">
        <v>1175</v>
      </c>
      <c r="C309" s="40" t="s">
        <v>1176</v>
      </c>
      <c r="D309" s="22">
        <v>375566211</v>
      </c>
      <c r="E309" s="22" t="s">
        <v>1177</v>
      </c>
      <c r="F309" s="22" t="s">
        <v>1178</v>
      </c>
      <c r="G309" s="41">
        <v>0</v>
      </c>
      <c r="H309" s="41">
        <v>0</v>
      </c>
    </row>
    <row r="310" spans="1:8" ht="15" hidden="1" x14ac:dyDescent="0.2">
      <c r="A310" s="19">
        <v>309</v>
      </c>
      <c r="B310" s="37" t="s">
        <v>1179</v>
      </c>
      <c r="C310" s="38" t="s">
        <v>1180</v>
      </c>
      <c r="D310" s="37">
        <v>357580494</v>
      </c>
      <c r="E310" s="37" t="s">
        <v>1181</v>
      </c>
      <c r="F310" s="37" t="s">
        <v>188</v>
      </c>
      <c r="G310" s="39">
        <v>0</v>
      </c>
      <c r="H310" s="39">
        <v>0</v>
      </c>
    </row>
    <row r="311" spans="1:8" ht="15" hidden="1" x14ac:dyDescent="0.2">
      <c r="A311" s="19">
        <v>310</v>
      </c>
      <c r="B311" s="22" t="s">
        <v>1182</v>
      </c>
      <c r="C311" s="40" t="s">
        <v>1183</v>
      </c>
      <c r="D311" s="22">
        <v>392983251</v>
      </c>
      <c r="E311" s="22" t="s">
        <v>1184</v>
      </c>
      <c r="F311" s="22" t="s">
        <v>1185</v>
      </c>
      <c r="G311" s="41">
        <v>0</v>
      </c>
      <c r="H311" s="41" t="s">
        <v>1186</v>
      </c>
    </row>
    <row r="312" spans="1:8" ht="15" hidden="1" x14ac:dyDescent="0.2">
      <c r="A312" s="19">
        <v>311</v>
      </c>
      <c r="B312" s="37" t="s">
        <v>1187</v>
      </c>
      <c r="C312" s="38" t="s">
        <v>1014</v>
      </c>
      <c r="D312" s="37">
        <v>968111326</v>
      </c>
      <c r="E312" s="37" t="s">
        <v>1188</v>
      </c>
      <c r="F312" s="37" t="s">
        <v>1189</v>
      </c>
      <c r="G312" s="39">
        <v>0</v>
      </c>
      <c r="H312" s="39">
        <v>620</v>
      </c>
    </row>
    <row r="313" spans="1:8" ht="15" hidden="1" x14ac:dyDescent="0.2">
      <c r="A313" s="19">
        <v>312</v>
      </c>
      <c r="B313" s="22" t="s">
        <v>1190</v>
      </c>
      <c r="C313" s="40" t="s">
        <v>1191</v>
      </c>
      <c r="D313" s="22">
        <v>762123457</v>
      </c>
      <c r="E313" s="22" t="s">
        <v>1192</v>
      </c>
      <c r="F313" s="22" t="s">
        <v>1193</v>
      </c>
      <c r="G313" s="41">
        <v>0</v>
      </c>
      <c r="H313" s="41">
        <v>0</v>
      </c>
    </row>
    <row r="314" spans="1:8" ht="15" x14ac:dyDescent="0.2">
      <c r="A314" s="19">
        <v>313</v>
      </c>
      <c r="B314" s="37" t="s">
        <v>1194</v>
      </c>
      <c r="C314" s="38" t="s">
        <v>1195</v>
      </c>
      <c r="D314" s="37">
        <v>343355378</v>
      </c>
      <c r="E314" s="37" t="s">
        <v>1196</v>
      </c>
      <c r="F314" s="37" t="s">
        <v>1197</v>
      </c>
      <c r="G314" s="39">
        <v>9</v>
      </c>
      <c r="H314" s="39" t="s">
        <v>1198</v>
      </c>
    </row>
    <row r="315" spans="1:8" ht="15" hidden="1" x14ac:dyDescent="0.2">
      <c r="A315" s="19">
        <v>314</v>
      </c>
      <c r="B315" s="22" t="s">
        <v>1199</v>
      </c>
      <c r="C315" s="40" t="s">
        <v>1200</v>
      </c>
      <c r="D315" s="22">
        <v>985358786</v>
      </c>
      <c r="E315" s="22" t="s">
        <v>1201</v>
      </c>
      <c r="F315" s="22" t="s">
        <v>1202</v>
      </c>
      <c r="G315" s="41">
        <v>0</v>
      </c>
      <c r="H315" s="41">
        <v>0</v>
      </c>
    </row>
    <row r="316" spans="1:8" ht="15" hidden="1" x14ac:dyDescent="0.2">
      <c r="A316" s="19">
        <v>315</v>
      </c>
      <c r="B316" s="37" t="s">
        <v>1203</v>
      </c>
      <c r="C316" s="38" t="s">
        <v>1204</v>
      </c>
      <c r="D316" s="37">
        <v>981262993</v>
      </c>
      <c r="E316" s="37" t="s">
        <v>1205</v>
      </c>
      <c r="F316" s="37" t="s">
        <v>188</v>
      </c>
      <c r="G316" s="39">
        <v>0</v>
      </c>
      <c r="H316" s="39">
        <v>0</v>
      </c>
    </row>
    <row r="317" spans="1:8" ht="15" hidden="1" x14ac:dyDescent="0.2">
      <c r="A317" s="19">
        <v>316</v>
      </c>
      <c r="B317" s="22" t="s">
        <v>1206</v>
      </c>
      <c r="C317" s="40" t="s">
        <v>1207</v>
      </c>
      <c r="D317" s="22" t="s">
        <v>1208</v>
      </c>
      <c r="E317" s="22" t="s">
        <v>1209</v>
      </c>
      <c r="F317" s="22" t="s">
        <v>1210</v>
      </c>
      <c r="G317" s="41">
        <v>0</v>
      </c>
      <c r="H317" s="41">
        <v>0</v>
      </c>
    </row>
    <row r="318" spans="1:8" ht="15" hidden="1" x14ac:dyDescent="0.2">
      <c r="A318" s="19">
        <v>317</v>
      </c>
      <c r="B318" s="37" t="s">
        <v>1211</v>
      </c>
      <c r="C318" s="38" t="s">
        <v>1212</v>
      </c>
      <c r="D318" s="37">
        <v>372621992</v>
      </c>
      <c r="E318" s="37" t="s">
        <v>1213</v>
      </c>
      <c r="F318" s="42"/>
      <c r="G318" s="39">
        <v>0</v>
      </c>
      <c r="H318" s="39">
        <v>0</v>
      </c>
    </row>
    <row r="319" spans="1:8" ht="15" hidden="1" x14ac:dyDescent="0.2">
      <c r="A319" s="19">
        <v>318</v>
      </c>
      <c r="B319" s="22" t="s">
        <v>1214</v>
      </c>
      <c r="C319" s="40" t="s">
        <v>1215</v>
      </c>
      <c r="D319" s="123">
        <v>339989268</v>
      </c>
      <c r="E319" s="124"/>
      <c r="F319" s="43"/>
      <c r="G319" s="41">
        <v>0</v>
      </c>
      <c r="H319" s="41">
        <v>0</v>
      </c>
    </row>
    <row r="320" spans="1:8" ht="15" hidden="1" x14ac:dyDescent="0.2">
      <c r="A320" s="19">
        <v>319</v>
      </c>
      <c r="B320" s="37" t="s">
        <v>1216</v>
      </c>
      <c r="C320" s="38" t="s">
        <v>1217</v>
      </c>
      <c r="D320" s="37">
        <v>982835196</v>
      </c>
      <c r="E320" s="37" t="s">
        <v>1218</v>
      </c>
      <c r="F320" s="37" t="s">
        <v>1219</v>
      </c>
      <c r="G320" s="39">
        <v>0</v>
      </c>
      <c r="H320" s="39">
        <v>0</v>
      </c>
    </row>
    <row r="321" spans="1:8" ht="15" hidden="1" x14ac:dyDescent="0.2">
      <c r="A321" s="19">
        <v>320</v>
      </c>
      <c r="B321" s="22" t="s">
        <v>1220</v>
      </c>
      <c r="C321" s="40" t="s">
        <v>1221</v>
      </c>
      <c r="D321" s="22">
        <v>969466685</v>
      </c>
      <c r="E321" s="22" t="s">
        <v>1222</v>
      </c>
      <c r="F321" s="22" t="s">
        <v>1223</v>
      </c>
      <c r="G321" s="41">
        <v>0</v>
      </c>
      <c r="H321" s="41">
        <v>0</v>
      </c>
    </row>
    <row r="322" spans="1:8" ht="15" hidden="1" x14ac:dyDescent="0.2">
      <c r="A322" s="19">
        <v>321</v>
      </c>
      <c r="B322" s="37" t="s">
        <v>1224</v>
      </c>
      <c r="C322" s="38" t="s">
        <v>1225</v>
      </c>
      <c r="D322" s="37">
        <v>968278337</v>
      </c>
      <c r="E322" s="37" t="s">
        <v>1226</v>
      </c>
      <c r="F322" s="42"/>
      <c r="G322" s="39">
        <v>0</v>
      </c>
      <c r="H322" s="39">
        <v>0</v>
      </c>
    </row>
    <row r="323" spans="1:8" ht="15" hidden="1" x14ac:dyDescent="0.2">
      <c r="A323" s="19">
        <v>322</v>
      </c>
      <c r="B323" s="22" t="s">
        <v>1227</v>
      </c>
      <c r="C323" s="40" t="s">
        <v>1228</v>
      </c>
      <c r="D323" s="22">
        <v>918318584</v>
      </c>
      <c r="E323" s="22" t="s">
        <v>1229</v>
      </c>
      <c r="F323" s="22" t="s">
        <v>1230</v>
      </c>
      <c r="G323" s="41">
        <v>0</v>
      </c>
      <c r="H323" s="41">
        <v>0</v>
      </c>
    </row>
    <row r="324" spans="1:8" ht="15" hidden="1" x14ac:dyDescent="0.2">
      <c r="A324" s="19">
        <v>323</v>
      </c>
      <c r="B324" s="37" t="s">
        <v>1231</v>
      </c>
      <c r="C324" s="38" t="s">
        <v>1232</v>
      </c>
      <c r="D324" s="37">
        <v>977170558</v>
      </c>
      <c r="E324" s="37" t="s">
        <v>1233</v>
      </c>
      <c r="F324" s="42"/>
      <c r="G324" s="39">
        <v>0</v>
      </c>
      <c r="H324" s="39">
        <v>0</v>
      </c>
    </row>
    <row r="325" spans="1:8" ht="15" hidden="1" x14ac:dyDescent="0.2">
      <c r="A325" s="19">
        <v>324</v>
      </c>
      <c r="B325" s="22" t="s">
        <v>1234</v>
      </c>
      <c r="C325" s="40" t="s">
        <v>1235</v>
      </c>
      <c r="D325" s="22">
        <v>971214193</v>
      </c>
      <c r="E325" s="22" t="s">
        <v>1236</v>
      </c>
      <c r="F325" s="43"/>
      <c r="G325" s="41">
        <v>0</v>
      </c>
      <c r="H325" s="41">
        <v>0</v>
      </c>
    </row>
    <row r="326" spans="1:8" ht="15" hidden="1" x14ac:dyDescent="0.2">
      <c r="A326" s="19">
        <v>325</v>
      </c>
      <c r="B326" s="37" t="s">
        <v>1237</v>
      </c>
      <c r="C326" s="38" t="s">
        <v>1238</v>
      </c>
      <c r="D326" s="37">
        <v>366394233</v>
      </c>
      <c r="E326" s="37" t="s">
        <v>1239</v>
      </c>
      <c r="F326" s="37" t="s">
        <v>1240</v>
      </c>
      <c r="G326" s="39">
        <v>0</v>
      </c>
      <c r="H326" s="39">
        <v>0</v>
      </c>
    </row>
    <row r="327" spans="1:8" ht="15" hidden="1" x14ac:dyDescent="0.2">
      <c r="A327" s="19">
        <v>326</v>
      </c>
      <c r="B327" s="22" t="s">
        <v>1241</v>
      </c>
      <c r="C327" s="40" t="s">
        <v>1242</v>
      </c>
      <c r="D327" s="22">
        <v>362945997</v>
      </c>
      <c r="E327" s="22" t="s">
        <v>1243</v>
      </c>
      <c r="F327" s="22" t="s">
        <v>1162</v>
      </c>
      <c r="G327" s="41">
        <v>0</v>
      </c>
      <c r="H327" s="41">
        <v>0</v>
      </c>
    </row>
    <row r="328" spans="1:8" ht="15" hidden="1" x14ac:dyDescent="0.2">
      <c r="A328" s="19">
        <v>327</v>
      </c>
      <c r="B328" s="37" t="s">
        <v>1244</v>
      </c>
      <c r="C328" s="38" t="s">
        <v>1245</v>
      </c>
      <c r="D328" s="37">
        <v>978929241</v>
      </c>
      <c r="E328" s="37" t="s">
        <v>1246</v>
      </c>
      <c r="F328" s="37" t="s">
        <v>188</v>
      </c>
      <c r="G328" s="39">
        <v>0</v>
      </c>
      <c r="H328" s="39">
        <v>0</v>
      </c>
    </row>
    <row r="329" spans="1:8" ht="15" hidden="1" x14ac:dyDescent="0.2">
      <c r="A329" s="19">
        <v>328</v>
      </c>
      <c r="B329" s="22" t="s">
        <v>1247</v>
      </c>
      <c r="C329" s="40" t="s">
        <v>1248</v>
      </c>
      <c r="D329" s="22">
        <v>385709702</v>
      </c>
      <c r="E329" s="22" t="s">
        <v>1249</v>
      </c>
      <c r="F329" s="43"/>
      <c r="G329" s="41">
        <v>0</v>
      </c>
      <c r="H329" s="41">
        <v>0</v>
      </c>
    </row>
    <row r="330" spans="1:8" ht="15" hidden="1" x14ac:dyDescent="0.2">
      <c r="A330" s="19">
        <v>329</v>
      </c>
      <c r="B330" s="37" t="s">
        <v>1250</v>
      </c>
      <c r="C330" s="38" t="s">
        <v>1251</v>
      </c>
      <c r="D330" s="37">
        <v>987261012</v>
      </c>
      <c r="E330" s="37" t="s">
        <v>1252</v>
      </c>
      <c r="F330" s="37" t="s">
        <v>274</v>
      </c>
      <c r="G330" s="39">
        <v>0</v>
      </c>
      <c r="H330" s="39">
        <v>0</v>
      </c>
    </row>
    <row r="331" spans="1:8" ht="15" hidden="1" x14ac:dyDescent="0.2">
      <c r="A331" s="19">
        <v>330</v>
      </c>
      <c r="B331" s="22" t="s">
        <v>1253</v>
      </c>
      <c r="C331" s="40" t="s">
        <v>1254</v>
      </c>
      <c r="D331" s="22">
        <v>901142825</v>
      </c>
      <c r="E331" s="22" t="s">
        <v>1255</v>
      </c>
      <c r="F331" s="43"/>
      <c r="G331" s="41">
        <v>0</v>
      </c>
      <c r="H331" s="41">
        <v>0</v>
      </c>
    </row>
    <row r="332" spans="1:8" ht="15" hidden="1" x14ac:dyDescent="0.2">
      <c r="A332" s="19">
        <v>331</v>
      </c>
      <c r="B332" s="37" t="s">
        <v>1256</v>
      </c>
      <c r="C332" s="38" t="s">
        <v>1257</v>
      </c>
      <c r="D332" s="37">
        <v>985511606</v>
      </c>
      <c r="E332" s="37" t="s">
        <v>1258</v>
      </c>
      <c r="F332" s="42"/>
      <c r="G332" s="39">
        <v>0</v>
      </c>
      <c r="H332" s="39">
        <v>0</v>
      </c>
    </row>
    <row r="333" spans="1:8" ht="15" hidden="1" x14ac:dyDescent="0.2">
      <c r="A333" s="19">
        <v>332</v>
      </c>
      <c r="B333" s="22" t="s">
        <v>1259</v>
      </c>
      <c r="C333" s="40" t="s">
        <v>1260</v>
      </c>
      <c r="D333" s="22">
        <v>934212954</v>
      </c>
      <c r="E333" s="22" t="s">
        <v>1261</v>
      </c>
      <c r="F333" s="22" t="s">
        <v>378</v>
      </c>
      <c r="G333" s="41">
        <v>0</v>
      </c>
      <c r="H333" s="41" t="s">
        <v>1262</v>
      </c>
    </row>
    <row r="334" spans="1:8" ht="15" hidden="1" x14ac:dyDescent="0.2">
      <c r="A334" s="19">
        <v>333</v>
      </c>
      <c r="B334" s="37" t="s">
        <v>1263</v>
      </c>
      <c r="C334" s="38" t="s">
        <v>1264</v>
      </c>
      <c r="D334" s="37">
        <v>395310750</v>
      </c>
      <c r="E334" s="37" t="s">
        <v>1265</v>
      </c>
      <c r="F334" s="42"/>
      <c r="G334" s="39">
        <v>0</v>
      </c>
      <c r="H334" s="39">
        <v>0</v>
      </c>
    </row>
    <row r="335" spans="1:8" ht="15" hidden="1" x14ac:dyDescent="0.2">
      <c r="A335" s="19">
        <v>334</v>
      </c>
      <c r="B335" s="22" t="s">
        <v>1266</v>
      </c>
      <c r="C335" s="40" t="s">
        <v>1267</v>
      </c>
      <c r="D335" s="22">
        <v>948374402</v>
      </c>
      <c r="E335" s="22" t="s">
        <v>1268</v>
      </c>
      <c r="F335" s="22" t="s">
        <v>1269</v>
      </c>
      <c r="G335" s="41">
        <v>0</v>
      </c>
      <c r="H335" s="41" t="s">
        <v>1270</v>
      </c>
    </row>
    <row r="336" spans="1:8" ht="15" hidden="1" x14ac:dyDescent="0.2">
      <c r="A336" s="19">
        <v>335</v>
      </c>
      <c r="B336" s="37" t="s">
        <v>1271</v>
      </c>
      <c r="C336" s="38" t="s">
        <v>1272</v>
      </c>
      <c r="D336" s="37">
        <v>912969879</v>
      </c>
      <c r="E336" s="37" t="s">
        <v>1273</v>
      </c>
      <c r="F336" s="37" t="s">
        <v>1274</v>
      </c>
      <c r="G336" s="39">
        <v>0</v>
      </c>
      <c r="H336" s="39">
        <v>0</v>
      </c>
    </row>
    <row r="337" spans="1:8" ht="15" hidden="1" x14ac:dyDescent="0.2">
      <c r="A337" s="19">
        <v>336</v>
      </c>
      <c r="B337" s="22" t="s">
        <v>1275</v>
      </c>
      <c r="C337" s="40" t="s">
        <v>1276</v>
      </c>
      <c r="D337" s="22">
        <v>843062068</v>
      </c>
      <c r="E337" s="22" t="s">
        <v>1277</v>
      </c>
      <c r="F337" s="43"/>
      <c r="G337" s="41">
        <v>0</v>
      </c>
      <c r="H337" s="41">
        <v>0</v>
      </c>
    </row>
    <row r="338" spans="1:8" ht="15" hidden="1" x14ac:dyDescent="0.2">
      <c r="A338" s="19">
        <v>337</v>
      </c>
      <c r="B338" s="37" t="s">
        <v>1278</v>
      </c>
      <c r="C338" s="38" t="s">
        <v>1279</v>
      </c>
      <c r="D338" s="37">
        <v>989396037</v>
      </c>
      <c r="E338" s="37" t="s">
        <v>1280</v>
      </c>
      <c r="F338" s="37" t="s">
        <v>1281</v>
      </c>
      <c r="G338" s="39">
        <v>0</v>
      </c>
      <c r="H338" s="39" t="s">
        <v>1282</v>
      </c>
    </row>
    <row r="339" spans="1:8" ht="15" hidden="1" x14ac:dyDescent="0.2">
      <c r="A339" s="19">
        <v>338</v>
      </c>
      <c r="B339" s="22" t="s">
        <v>1283</v>
      </c>
      <c r="C339" s="40" t="s">
        <v>1284</v>
      </c>
      <c r="D339" s="22">
        <v>387383932</v>
      </c>
      <c r="E339" s="22" t="s">
        <v>1285</v>
      </c>
      <c r="F339" s="22" t="s">
        <v>1151</v>
      </c>
      <c r="G339" s="41">
        <v>0</v>
      </c>
      <c r="H339" s="41">
        <v>0</v>
      </c>
    </row>
    <row r="340" spans="1:8" ht="15" hidden="1" x14ac:dyDescent="0.2">
      <c r="A340" s="19">
        <v>339</v>
      </c>
      <c r="B340" s="37" t="s">
        <v>1286</v>
      </c>
      <c r="C340" s="38" t="s">
        <v>1287</v>
      </c>
      <c r="D340" s="37">
        <v>941470296</v>
      </c>
      <c r="E340" s="37" t="s">
        <v>1288</v>
      </c>
      <c r="F340" s="37" t="s">
        <v>1289</v>
      </c>
      <c r="G340" s="39">
        <v>0</v>
      </c>
      <c r="H340" s="39">
        <v>0</v>
      </c>
    </row>
    <row r="341" spans="1:8" ht="15" hidden="1" x14ac:dyDescent="0.2">
      <c r="A341" s="19">
        <v>340</v>
      </c>
      <c r="B341" s="22" t="s">
        <v>1290</v>
      </c>
      <c r="C341" s="40" t="s">
        <v>1291</v>
      </c>
      <c r="D341" s="22">
        <v>376419946</v>
      </c>
      <c r="E341" s="22" t="s">
        <v>1292</v>
      </c>
      <c r="F341" s="43"/>
      <c r="G341" s="41">
        <v>0</v>
      </c>
      <c r="H341" s="41">
        <v>0</v>
      </c>
    </row>
    <row r="342" spans="1:8" ht="15" hidden="1" x14ac:dyDescent="0.2">
      <c r="A342" s="19">
        <v>341</v>
      </c>
      <c r="B342" s="37" t="s">
        <v>1293</v>
      </c>
      <c r="C342" s="38" t="s">
        <v>1294</v>
      </c>
      <c r="D342" s="37">
        <v>358468020</v>
      </c>
      <c r="E342" s="37" t="s">
        <v>1295</v>
      </c>
      <c r="F342" s="42"/>
      <c r="G342" s="39">
        <v>0</v>
      </c>
      <c r="H342" s="39">
        <v>0</v>
      </c>
    </row>
    <row r="343" spans="1:8" ht="15" hidden="1" x14ac:dyDescent="0.2">
      <c r="A343" s="19">
        <v>342</v>
      </c>
      <c r="B343" s="22" t="s">
        <v>1296</v>
      </c>
      <c r="C343" s="40" t="s">
        <v>1297</v>
      </c>
      <c r="D343" s="22">
        <v>932387210</v>
      </c>
      <c r="E343" s="22" t="s">
        <v>1298</v>
      </c>
      <c r="F343" s="43"/>
      <c r="G343" s="41">
        <v>0</v>
      </c>
      <c r="H343" s="41">
        <v>0</v>
      </c>
    </row>
    <row r="344" spans="1:8" ht="15" hidden="1" x14ac:dyDescent="0.2">
      <c r="A344" s="19">
        <v>343</v>
      </c>
      <c r="B344" s="37" t="s">
        <v>1299</v>
      </c>
      <c r="C344" s="38" t="s">
        <v>1300</v>
      </c>
      <c r="D344" s="37">
        <v>989794813</v>
      </c>
      <c r="E344" s="37" t="s">
        <v>1301</v>
      </c>
      <c r="F344" s="37" t="s">
        <v>378</v>
      </c>
      <c r="G344" s="39">
        <v>0</v>
      </c>
      <c r="H344" s="39" t="s">
        <v>1302</v>
      </c>
    </row>
    <row r="345" spans="1:8" ht="15" hidden="1" x14ac:dyDescent="0.2">
      <c r="A345" s="19">
        <v>344</v>
      </c>
      <c r="B345" s="22" t="s">
        <v>1303</v>
      </c>
      <c r="C345" s="40" t="s">
        <v>1304</v>
      </c>
      <c r="D345" s="22">
        <v>907527169</v>
      </c>
      <c r="E345" s="22" t="s">
        <v>1305</v>
      </c>
      <c r="F345" s="22" t="s">
        <v>1306</v>
      </c>
      <c r="G345" s="41">
        <v>0</v>
      </c>
      <c r="H345" s="41">
        <v>0</v>
      </c>
    </row>
    <row r="346" spans="1:8" ht="15" hidden="1" x14ac:dyDescent="0.2">
      <c r="A346" s="19">
        <v>345</v>
      </c>
      <c r="B346" s="37" t="s">
        <v>1307</v>
      </c>
      <c r="C346" s="38" t="s">
        <v>1308</v>
      </c>
      <c r="D346" s="42"/>
      <c r="E346" s="42"/>
      <c r="F346" s="37" t="s">
        <v>1309</v>
      </c>
      <c r="G346" s="39">
        <v>0</v>
      </c>
      <c r="H346" s="39">
        <v>0</v>
      </c>
    </row>
    <row r="347" spans="1:8" ht="15" hidden="1" x14ac:dyDescent="0.2">
      <c r="A347" s="19">
        <v>346</v>
      </c>
      <c r="B347" s="22" t="s">
        <v>1310</v>
      </c>
      <c r="C347" s="40" t="s">
        <v>1311</v>
      </c>
      <c r="D347" s="22">
        <v>973949753</v>
      </c>
      <c r="E347" s="22" t="s">
        <v>1312</v>
      </c>
      <c r="F347" s="22" t="s">
        <v>1313</v>
      </c>
      <c r="G347" s="41">
        <v>0</v>
      </c>
      <c r="H347" s="41">
        <v>0</v>
      </c>
    </row>
    <row r="348" spans="1:8" ht="15" hidden="1" x14ac:dyDescent="0.2">
      <c r="A348" s="19">
        <v>347</v>
      </c>
      <c r="B348" s="37" t="s">
        <v>1314</v>
      </c>
      <c r="C348" s="38" t="s">
        <v>1315</v>
      </c>
      <c r="D348" s="37" t="s">
        <v>1316</v>
      </c>
      <c r="E348" s="37" t="s">
        <v>1317</v>
      </c>
      <c r="F348" s="37" t="s">
        <v>1318</v>
      </c>
      <c r="G348" s="39">
        <v>0</v>
      </c>
      <c r="H348" s="39">
        <v>0</v>
      </c>
    </row>
    <row r="349" spans="1:8" ht="15" hidden="1" x14ac:dyDescent="0.2">
      <c r="A349" s="19">
        <v>348</v>
      </c>
      <c r="B349" s="22" t="s">
        <v>1319</v>
      </c>
      <c r="C349" s="40" t="s">
        <v>1320</v>
      </c>
      <c r="D349" s="22">
        <v>983198330</v>
      </c>
      <c r="E349" s="22" t="s">
        <v>1321</v>
      </c>
      <c r="F349" s="22" t="s">
        <v>1322</v>
      </c>
      <c r="G349" s="41">
        <v>0</v>
      </c>
      <c r="H349" s="41">
        <v>0</v>
      </c>
    </row>
    <row r="350" spans="1:8" ht="15" hidden="1" x14ac:dyDescent="0.2">
      <c r="A350" s="19">
        <v>349</v>
      </c>
      <c r="B350" s="37" t="s">
        <v>1323</v>
      </c>
      <c r="C350" s="38" t="s">
        <v>1324</v>
      </c>
      <c r="D350" s="37">
        <v>855558886</v>
      </c>
      <c r="E350" s="37" t="s">
        <v>1325</v>
      </c>
      <c r="F350" s="42"/>
      <c r="G350" s="39">
        <v>0</v>
      </c>
      <c r="H350" s="39">
        <v>0</v>
      </c>
    </row>
    <row r="351" spans="1:8" ht="15" hidden="1" x14ac:dyDescent="0.2">
      <c r="A351" s="19">
        <v>350</v>
      </c>
      <c r="B351" s="22" t="s">
        <v>1326</v>
      </c>
      <c r="C351" s="40" t="s">
        <v>1327</v>
      </c>
      <c r="D351" s="22">
        <v>778246013</v>
      </c>
      <c r="E351" s="22" t="s">
        <v>1328</v>
      </c>
      <c r="F351" s="22" t="s">
        <v>1329</v>
      </c>
      <c r="G351" s="41">
        <v>0</v>
      </c>
      <c r="H351" s="41">
        <v>0</v>
      </c>
    </row>
    <row r="352" spans="1:8" ht="15" hidden="1" x14ac:dyDescent="0.2">
      <c r="A352" s="19">
        <v>351</v>
      </c>
      <c r="B352" s="37" t="s">
        <v>1330</v>
      </c>
      <c r="C352" s="38" t="s">
        <v>1331</v>
      </c>
      <c r="D352" s="125">
        <v>368631689</v>
      </c>
      <c r="E352" s="124"/>
      <c r="F352" s="42"/>
      <c r="G352" s="39">
        <v>0</v>
      </c>
      <c r="H352" s="39">
        <v>0</v>
      </c>
    </row>
    <row r="353" spans="1:8" ht="15" hidden="1" x14ac:dyDescent="0.2">
      <c r="A353" s="19">
        <v>352</v>
      </c>
      <c r="B353" s="22" t="s">
        <v>1332</v>
      </c>
      <c r="C353" s="40" t="s">
        <v>1333</v>
      </c>
      <c r="D353" s="22" t="s">
        <v>1334</v>
      </c>
      <c r="E353" s="22" t="s">
        <v>1335</v>
      </c>
      <c r="F353" s="22" t="s">
        <v>188</v>
      </c>
      <c r="G353" s="41">
        <v>0</v>
      </c>
      <c r="H353" s="41">
        <v>0</v>
      </c>
    </row>
    <row r="354" spans="1:8" ht="15" hidden="1" x14ac:dyDescent="0.2">
      <c r="A354" s="19">
        <v>353</v>
      </c>
      <c r="B354" s="37" t="s">
        <v>1336</v>
      </c>
      <c r="C354" s="38" t="s">
        <v>1337</v>
      </c>
      <c r="D354" s="37">
        <v>978947237</v>
      </c>
      <c r="E354" s="37" t="s">
        <v>1338</v>
      </c>
      <c r="F354" s="37" t="s">
        <v>1339</v>
      </c>
      <c r="G354" s="39">
        <v>0</v>
      </c>
      <c r="H354" s="39">
        <v>0</v>
      </c>
    </row>
    <row r="355" spans="1:8" ht="15" hidden="1" x14ac:dyDescent="0.2">
      <c r="A355" s="19">
        <v>354</v>
      </c>
      <c r="B355" s="22" t="s">
        <v>1340</v>
      </c>
      <c r="C355" s="40" t="s">
        <v>1341</v>
      </c>
      <c r="D355" s="22">
        <v>916101969</v>
      </c>
      <c r="E355" s="22" t="s">
        <v>1342</v>
      </c>
      <c r="F355" s="22" t="s">
        <v>1343</v>
      </c>
      <c r="G355" s="41">
        <v>0</v>
      </c>
      <c r="H355" s="41">
        <v>0</v>
      </c>
    </row>
    <row r="356" spans="1:8" ht="15" hidden="1" x14ac:dyDescent="0.2">
      <c r="A356" s="19">
        <v>355</v>
      </c>
      <c r="B356" s="37" t="s">
        <v>1344</v>
      </c>
      <c r="C356" s="38" t="s">
        <v>1345</v>
      </c>
      <c r="D356" s="125">
        <v>352691064</v>
      </c>
      <c r="E356" s="124"/>
      <c r="F356" s="42"/>
      <c r="G356" s="39">
        <v>0</v>
      </c>
      <c r="H356" s="39">
        <v>0</v>
      </c>
    </row>
    <row r="357" spans="1:8" ht="15" hidden="1" x14ac:dyDescent="0.2">
      <c r="A357" s="19">
        <v>356</v>
      </c>
      <c r="B357" s="22" t="s">
        <v>1346</v>
      </c>
      <c r="C357" s="40" t="s">
        <v>1347</v>
      </c>
      <c r="D357" s="22">
        <v>355360552</v>
      </c>
      <c r="E357" s="22" t="s">
        <v>1348</v>
      </c>
      <c r="F357" s="22" t="s">
        <v>1349</v>
      </c>
      <c r="G357" s="41">
        <v>0</v>
      </c>
      <c r="H357" s="41">
        <v>0</v>
      </c>
    </row>
    <row r="358" spans="1:8" ht="15" hidden="1" x14ac:dyDescent="0.2">
      <c r="A358" s="19">
        <v>357</v>
      </c>
      <c r="B358" s="37" t="s">
        <v>1350</v>
      </c>
      <c r="C358" s="38" t="s">
        <v>1351</v>
      </c>
      <c r="D358" s="37">
        <v>912555429</v>
      </c>
      <c r="E358" s="37" t="s">
        <v>1352</v>
      </c>
      <c r="F358" s="37" t="s">
        <v>1353</v>
      </c>
      <c r="G358" s="39">
        <v>0</v>
      </c>
      <c r="H358" s="39">
        <v>0</v>
      </c>
    </row>
    <row r="359" spans="1:8" ht="15" hidden="1" x14ac:dyDescent="0.2">
      <c r="A359" s="19">
        <v>358</v>
      </c>
      <c r="B359" s="22" t="s">
        <v>1354</v>
      </c>
      <c r="C359" s="40" t="s">
        <v>1355</v>
      </c>
      <c r="D359" s="22">
        <v>989317640</v>
      </c>
      <c r="E359" s="22" t="s">
        <v>1356</v>
      </c>
      <c r="F359" s="22" t="s">
        <v>718</v>
      </c>
      <c r="G359" s="41">
        <v>0</v>
      </c>
      <c r="H359" s="41" t="s">
        <v>1357</v>
      </c>
    </row>
    <row r="360" spans="1:8" ht="15" hidden="1" x14ac:dyDescent="0.2">
      <c r="A360" s="19">
        <v>359</v>
      </c>
      <c r="B360" s="37" t="s">
        <v>1358</v>
      </c>
      <c r="C360" s="38" t="s">
        <v>1359</v>
      </c>
      <c r="D360" s="125">
        <v>8353045317</v>
      </c>
      <c r="E360" s="124"/>
      <c r="F360" s="42"/>
      <c r="G360" s="39">
        <v>0</v>
      </c>
      <c r="H360" s="39">
        <v>0</v>
      </c>
    </row>
    <row r="361" spans="1:8" ht="15" hidden="1" x14ac:dyDescent="0.2">
      <c r="A361" s="19">
        <v>360</v>
      </c>
      <c r="B361" s="22" t="s">
        <v>1360</v>
      </c>
      <c r="C361" s="40" t="s">
        <v>1361</v>
      </c>
      <c r="D361" s="22">
        <v>981518101</v>
      </c>
      <c r="E361" s="22" t="s">
        <v>1362</v>
      </c>
      <c r="F361" s="22" t="s">
        <v>1363</v>
      </c>
      <c r="G361" s="41">
        <v>0</v>
      </c>
      <c r="H361" s="41">
        <v>0</v>
      </c>
    </row>
    <row r="362" spans="1:8" ht="15" hidden="1" x14ac:dyDescent="0.2">
      <c r="A362" s="19">
        <v>361</v>
      </c>
      <c r="B362" s="37" t="s">
        <v>1364</v>
      </c>
      <c r="C362" s="38" t="s">
        <v>1365</v>
      </c>
      <c r="D362" s="37">
        <v>988136605</v>
      </c>
      <c r="E362" s="37" t="s">
        <v>1366</v>
      </c>
      <c r="F362" s="37" t="s">
        <v>1367</v>
      </c>
      <c r="G362" s="39">
        <v>0</v>
      </c>
      <c r="H362" s="39">
        <v>0</v>
      </c>
    </row>
    <row r="363" spans="1:8" ht="15" hidden="1" x14ac:dyDescent="0.2">
      <c r="A363" s="19">
        <v>362</v>
      </c>
      <c r="B363" s="22" t="s">
        <v>1368</v>
      </c>
      <c r="C363" s="40" t="s">
        <v>1369</v>
      </c>
      <c r="D363" s="22">
        <v>73588468</v>
      </c>
      <c r="E363" s="22" t="s">
        <v>1370</v>
      </c>
      <c r="F363" s="43"/>
      <c r="G363" s="41">
        <v>0</v>
      </c>
      <c r="H363" s="41">
        <v>0</v>
      </c>
    </row>
    <row r="364" spans="1:8" ht="15" hidden="1" x14ac:dyDescent="0.2">
      <c r="A364" s="19">
        <v>363</v>
      </c>
      <c r="B364" s="37" t="s">
        <v>1371</v>
      </c>
      <c r="C364" s="38" t="s">
        <v>1372</v>
      </c>
      <c r="D364" s="37">
        <v>904993286</v>
      </c>
      <c r="E364" s="37" t="s">
        <v>1373</v>
      </c>
      <c r="F364" s="37" t="s">
        <v>1374</v>
      </c>
      <c r="G364" s="39">
        <v>0</v>
      </c>
      <c r="H364" s="39">
        <v>0</v>
      </c>
    </row>
    <row r="365" spans="1:8" ht="15" hidden="1" x14ac:dyDescent="0.2">
      <c r="A365" s="19">
        <v>364</v>
      </c>
      <c r="B365" s="22" t="s">
        <v>1375</v>
      </c>
      <c r="C365" s="40" t="s">
        <v>1376</v>
      </c>
      <c r="D365" s="123">
        <v>399888808</v>
      </c>
      <c r="E365" s="124"/>
      <c r="F365" s="43"/>
      <c r="G365" s="41">
        <v>0</v>
      </c>
      <c r="H365" s="41">
        <v>0</v>
      </c>
    </row>
    <row r="366" spans="1:8" ht="15" hidden="1" x14ac:dyDescent="0.2">
      <c r="A366" s="19">
        <v>365</v>
      </c>
      <c r="B366" s="37" t="s">
        <v>1377</v>
      </c>
      <c r="C366" s="38" t="s">
        <v>1378</v>
      </c>
      <c r="D366" s="37">
        <v>977138123</v>
      </c>
      <c r="E366" s="37" t="s">
        <v>1379</v>
      </c>
      <c r="F366" s="42"/>
      <c r="G366" s="39">
        <v>0</v>
      </c>
      <c r="H366" s="39">
        <v>0</v>
      </c>
    </row>
    <row r="367" spans="1:8" ht="15" hidden="1" x14ac:dyDescent="0.2">
      <c r="A367" s="19">
        <v>366</v>
      </c>
      <c r="B367" s="22" t="s">
        <v>1380</v>
      </c>
      <c r="C367" s="40" t="s">
        <v>1381</v>
      </c>
      <c r="D367" s="22">
        <v>329322169</v>
      </c>
      <c r="E367" s="22" t="s">
        <v>1382</v>
      </c>
      <c r="F367" s="22" t="s">
        <v>1383</v>
      </c>
      <c r="G367" s="41">
        <v>0</v>
      </c>
      <c r="H367" s="41">
        <v>0</v>
      </c>
    </row>
    <row r="368" spans="1:8" ht="15" hidden="1" x14ac:dyDescent="0.2">
      <c r="A368" s="19">
        <v>367</v>
      </c>
      <c r="B368" s="37" t="s">
        <v>1384</v>
      </c>
      <c r="C368" s="38" t="s">
        <v>1385</v>
      </c>
      <c r="D368" s="37">
        <v>938335608</v>
      </c>
      <c r="E368" s="37" t="s">
        <v>1386</v>
      </c>
      <c r="F368" s="37" t="s">
        <v>1387</v>
      </c>
      <c r="G368" s="39">
        <v>0</v>
      </c>
      <c r="H368" s="39">
        <v>0</v>
      </c>
    </row>
    <row r="369" spans="1:8" ht="15" hidden="1" x14ac:dyDescent="0.2">
      <c r="A369" s="19">
        <v>368</v>
      </c>
      <c r="B369" s="22" t="s">
        <v>1388</v>
      </c>
      <c r="C369" s="40" t="s">
        <v>1389</v>
      </c>
      <c r="D369" s="22">
        <v>966501832</v>
      </c>
      <c r="E369" s="22" t="s">
        <v>1390</v>
      </c>
      <c r="F369" s="22" t="s">
        <v>1374</v>
      </c>
      <c r="G369" s="41">
        <v>0</v>
      </c>
      <c r="H369" s="41">
        <v>0</v>
      </c>
    </row>
    <row r="370" spans="1:8" ht="15" hidden="1" x14ac:dyDescent="0.2">
      <c r="A370" s="19">
        <v>369</v>
      </c>
      <c r="B370" s="37" t="s">
        <v>1391</v>
      </c>
      <c r="C370" s="38" t="s">
        <v>1392</v>
      </c>
      <c r="D370" s="37">
        <v>397369874</v>
      </c>
      <c r="E370" s="37" t="s">
        <v>1393</v>
      </c>
      <c r="F370" s="37" t="s">
        <v>1394</v>
      </c>
      <c r="G370" s="39">
        <v>0</v>
      </c>
      <c r="H370" s="39">
        <v>0</v>
      </c>
    </row>
    <row r="371" spans="1:8" ht="15" x14ac:dyDescent="0.2">
      <c r="A371" s="19">
        <v>370</v>
      </c>
      <c r="B371" s="22" t="s">
        <v>1395</v>
      </c>
      <c r="C371" s="40" t="s">
        <v>1396</v>
      </c>
      <c r="D371" s="22">
        <v>812182882</v>
      </c>
      <c r="E371" s="22" t="s">
        <v>1397</v>
      </c>
      <c r="F371" s="22" t="s">
        <v>1398</v>
      </c>
      <c r="G371" s="41">
        <v>8</v>
      </c>
      <c r="H371" s="41" t="s">
        <v>1399</v>
      </c>
    </row>
    <row r="372" spans="1:8" ht="15" hidden="1" x14ac:dyDescent="0.2">
      <c r="A372" s="19">
        <v>371</v>
      </c>
      <c r="B372" s="37" t="s">
        <v>1400</v>
      </c>
      <c r="C372" s="38" t="s">
        <v>1401</v>
      </c>
      <c r="D372" s="37">
        <v>335176793</v>
      </c>
      <c r="E372" s="37" t="s">
        <v>1402</v>
      </c>
      <c r="F372" s="37" t="s">
        <v>1403</v>
      </c>
      <c r="G372" s="39">
        <v>0</v>
      </c>
      <c r="H372" s="39">
        <v>0</v>
      </c>
    </row>
    <row r="373" spans="1:8" ht="15" hidden="1" x14ac:dyDescent="0.2">
      <c r="A373" s="19">
        <v>372</v>
      </c>
      <c r="B373" s="22" t="s">
        <v>1404</v>
      </c>
      <c r="C373" s="40" t="s">
        <v>1405</v>
      </c>
      <c r="D373" s="22"/>
      <c r="E373" s="22" t="s">
        <v>1406</v>
      </c>
      <c r="F373" s="22" t="s">
        <v>1407</v>
      </c>
      <c r="G373" s="41">
        <v>0</v>
      </c>
      <c r="H373" s="41">
        <v>0</v>
      </c>
    </row>
    <row r="374" spans="1:8" ht="15" hidden="1" x14ac:dyDescent="0.2">
      <c r="A374" s="19">
        <v>373</v>
      </c>
      <c r="B374" s="37" t="s">
        <v>1408</v>
      </c>
      <c r="C374" s="38" t="s">
        <v>1409</v>
      </c>
      <c r="D374" s="37">
        <v>911960488</v>
      </c>
      <c r="E374" s="37" t="s">
        <v>1410</v>
      </c>
      <c r="F374" s="37" t="s">
        <v>1374</v>
      </c>
      <c r="G374" s="39">
        <v>0</v>
      </c>
      <c r="H374" s="39">
        <v>0</v>
      </c>
    </row>
    <row r="375" spans="1:8" ht="15" hidden="1" x14ac:dyDescent="0.2">
      <c r="A375" s="19">
        <v>374</v>
      </c>
      <c r="B375" s="22" t="s">
        <v>1411</v>
      </c>
      <c r="C375" s="40" t="s">
        <v>1412</v>
      </c>
      <c r="D375" s="22">
        <v>967606859</v>
      </c>
      <c r="E375" s="22" t="s">
        <v>1413</v>
      </c>
      <c r="F375" s="43"/>
      <c r="G375" s="41">
        <v>0</v>
      </c>
      <c r="H375" s="41">
        <v>0</v>
      </c>
    </row>
    <row r="376" spans="1:8" ht="15" hidden="1" x14ac:dyDescent="0.2">
      <c r="A376" s="19">
        <v>375</v>
      </c>
      <c r="B376" s="37" t="s">
        <v>1414</v>
      </c>
      <c r="C376" s="38" t="s">
        <v>1415</v>
      </c>
      <c r="D376" s="37">
        <v>382919289</v>
      </c>
      <c r="E376" s="37" t="s">
        <v>1416</v>
      </c>
      <c r="F376" s="37" t="s">
        <v>1417</v>
      </c>
      <c r="G376" s="39">
        <v>0</v>
      </c>
      <c r="H376" s="39">
        <v>0</v>
      </c>
    </row>
    <row r="377" spans="1:8" ht="15" hidden="1" x14ac:dyDescent="0.2">
      <c r="A377" s="19">
        <v>376</v>
      </c>
      <c r="B377" s="22" t="s">
        <v>1418</v>
      </c>
      <c r="C377" s="40" t="s">
        <v>1419</v>
      </c>
      <c r="D377" s="22">
        <v>977833801</v>
      </c>
      <c r="E377" s="22" t="s">
        <v>1420</v>
      </c>
      <c r="F377" s="22" t="s">
        <v>66</v>
      </c>
      <c r="G377" s="41">
        <v>0</v>
      </c>
      <c r="H377" s="41">
        <v>0</v>
      </c>
    </row>
    <row r="378" spans="1:8" ht="15" hidden="1" x14ac:dyDescent="0.2">
      <c r="A378" s="19">
        <v>377</v>
      </c>
      <c r="B378" s="37" t="s">
        <v>1421</v>
      </c>
      <c r="C378" s="38" t="s">
        <v>1422</v>
      </c>
      <c r="D378" s="37">
        <v>989047161</v>
      </c>
      <c r="E378" s="37" t="s">
        <v>1423</v>
      </c>
      <c r="F378" s="37" t="s">
        <v>1424</v>
      </c>
      <c r="G378" s="39">
        <v>0</v>
      </c>
      <c r="H378" s="39">
        <v>0</v>
      </c>
    </row>
    <row r="379" spans="1:8" ht="15" hidden="1" x14ac:dyDescent="0.2">
      <c r="A379" s="19">
        <v>378</v>
      </c>
      <c r="B379" s="22" t="s">
        <v>1425</v>
      </c>
      <c r="C379" s="40" t="s">
        <v>1426</v>
      </c>
      <c r="D379" s="22">
        <v>907109411</v>
      </c>
      <c r="E379" s="22" t="s">
        <v>1427</v>
      </c>
      <c r="F379" s="22" t="s">
        <v>1428</v>
      </c>
      <c r="G379" s="41">
        <v>0</v>
      </c>
      <c r="H379" s="41">
        <v>0</v>
      </c>
    </row>
    <row r="380" spans="1:8" ht="15" hidden="1" x14ac:dyDescent="0.2">
      <c r="A380" s="19">
        <v>379</v>
      </c>
      <c r="B380" s="37" t="s">
        <v>1429</v>
      </c>
      <c r="C380" s="38" t="s">
        <v>1430</v>
      </c>
      <c r="D380" s="37">
        <v>982223836</v>
      </c>
      <c r="E380" s="37" t="s">
        <v>1431</v>
      </c>
      <c r="F380" s="37" t="s">
        <v>1432</v>
      </c>
      <c r="G380" s="39">
        <v>0</v>
      </c>
      <c r="H380" s="39">
        <v>0</v>
      </c>
    </row>
    <row r="381" spans="1:8" ht="15" hidden="1" x14ac:dyDescent="0.2">
      <c r="A381" s="19">
        <v>380</v>
      </c>
      <c r="B381" s="22" t="s">
        <v>1433</v>
      </c>
      <c r="C381" s="40" t="s">
        <v>1434</v>
      </c>
      <c r="D381" s="22">
        <v>917905225</v>
      </c>
      <c r="E381" s="22" t="s">
        <v>1435</v>
      </c>
      <c r="F381" s="22" t="s">
        <v>1436</v>
      </c>
      <c r="G381" s="41">
        <v>0</v>
      </c>
      <c r="H381" s="41">
        <v>0</v>
      </c>
    </row>
    <row r="382" spans="1:8" ht="15" hidden="1" x14ac:dyDescent="0.2">
      <c r="A382" s="19">
        <v>381</v>
      </c>
      <c r="B382" s="37" t="s">
        <v>1437</v>
      </c>
      <c r="C382" s="38" t="s">
        <v>1438</v>
      </c>
      <c r="D382" s="125">
        <v>904961883</v>
      </c>
      <c r="E382" s="124"/>
      <c r="F382" s="37" t="s">
        <v>1439</v>
      </c>
      <c r="G382" s="39">
        <v>0</v>
      </c>
      <c r="H382" s="39">
        <v>0</v>
      </c>
    </row>
    <row r="383" spans="1:8" ht="15" hidden="1" x14ac:dyDescent="0.2">
      <c r="A383" s="19">
        <v>382</v>
      </c>
      <c r="B383" s="22" t="s">
        <v>1440</v>
      </c>
      <c r="C383" s="40" t="s">
        <v>1441</v>
      </c>
      <c r="D383" s="22">
        <v>983433089</v>
      </c>
      <c r="E383" s="22" t="s">
        <v>1442</v>
      </c>
      <c r="F383" s="43"/>
      <c r="G383" s="41">
        <v>0</v>
      </c>
      <c r="H383" s="41">
        <v>0</v>
      </c>
    </row>
    <row r="384" spans="1:8" ht="15" hidden="1" x14ac:dyDescent="0.2">
      <c r="A384" s="19">
        <v>383</v>
      </c>
      <c r="B384" s="37" t="s">
        <v>1443</v>
      </c>
      <c r="C384" s="38" t="s">
        <v>1444</v>
      </c>
      <c r="D384" s="37">
        <v>836172493</v>
      </c>
      <c r="E384" s="37" t="s">
        <v>1445</v>
      </c>
      <c r="F384" s="37" t="s">
        <v>1446</v>
      </c>
      <c r="G384" s="39">
        <v>0</v>
      </c>
      <c r="H384" s="39" t="s">
        <v>1447</v>
      </c>
    </row>
    <row r="385" spans="1:8" ht="15" hidden="1" x14ac:dyDescent="0.2">
      <c r="A385" s="19">
        <v>384</v>
      </c>
      <c r="B385" s="22" t="s">
        <v>1448</v>
      </c>
      <c r="C385" s="40" t="s">
        <v>1449</v>
      </c>
      <c r="D385" s="22">
        <v>986895442</v>
      </c>
      <c r="E385" s="22" t="s">
        <v>1450</v>
      </c>
      <c r="F385" s="22" t="s">
        <v>1451</v>
      </c>
      <c r="G385" s="41">
        <v>0</v>
      </c>
      <c r="H385" s="41">
        <v>920</v>
      </c>
    </row>
    <row r="386" spans="1:8" ht="15" hidden="1" x14ac:dyDescent="0.2">
      <c r="A386" s="19">
        <v>385</v>
      </c>
      <c r="B386" s="37" t="s">
        <v>1452</v>
      </c>
      <c r="C386" s="38" t="s">
        <v>1453</v>
      </c>
      <c r="D386" s="37">
        <v>942180823</v>
      </c>
      <c r="E386" s="37" t="s">
        <v>1454</v>
      </c>
      <c r="F386" s="37" t="s">
        <v>1455</v>
      </c>
      <c r="G386" s="39">
        <v>0</v>
      </c>
      <c r="H386" s="39">
        <v>0</v>
      </c>
    </row>
    <row r="387" spans="1:8" ht="15" hidden="1" x14ac:dyDescent="0.2">
      <c r="A387" s="19">
        <v>386</v>
      </c>
      <c r="B387" s="22" t="s">
        <v>1456</v>
      </c>
      <c r="C387" s="40" t="s">
        <v>1457</v>
      </c>
      <c r="D387" s="22">
        <v>968176379</v>
      </c>
      <c r="E387" s="22" t="s">
        <v>1458</v>
      </c>
      <c r="F387" s="22" t="s">
        <v>570</v>
      </c>
      <c r="G387" s="41">
        <v>0</v>
      </c>
      <c r="H387" s="41">
        <v>0</v>
      </c>
    </row>
    <row r="388" spans="1:8" ht="15" hidden="1" x14ac:dyDescent="0.2">
      <c r="A388" s="19">
        <v>387</v>
      </c>
      <c r="B388" s="37" t="s">
        <v>1459</v>
      </c>
      <c r="C388" s="38" t="s">
        <v>1460</v>
      </c>
      <c r="D388" s="37">
        <v>382645882</v>
      </c>
      <c r="E388" s="37" t="s">
        <v>1461</v>
      </c>
      <c r="F388" s="37" t="s">
        <v>188</v>
      </c>
      <c r="G388" s="39">
        <v>0</v>
      </c>
      <c r="H388" s="39">
        <v>0</v>
      </c>
    </row>
    <row r="389" spans="1:8" ht="15" hidden="1" x14ac:dyDescent="0.2">
      <c r="A389" s="19">
        <v>388</v>
      </c>
      <c r="B389" s="22" t="s">
        <v>1462</v>
      </c>
      <c r="C389" s="40" t="s">
        <v>1463</v>
      </c>
      <c r="D389" s="22">
        <v>847311111</v>
      </c>
      <c r="E389" s="22" t="s">
        <v>1464</v>
      </c>
      <c r="F389" s="22" t="s">
        <v>1374</v>
      </c>
      <c r="G389" s="41">
        <v>0</v>
      </c>
      <c r="H389" s="41">
        <v>0</v>
      </c>
    </row>
    <row r="390" spans="1:8" ht="15" hidden="1" x14ac:dyDescent="0.2">
      <c r="A390" s="19">
        <v>389</v>
      </c>
      <c r="B390" s="37" t="s">
        <v>1465</v>
      </c>
      <c r="C390" s="38" t="s">
        <v>1466</v>
      </c>
      <c r="D390" s="37">
        <v>968275724</v>
      </c>
      <c r="E390" s="37" t="s">
        <v>1467</v>
      </c>
      <c r="F390" s="37" t="s">
        <v>570</v>
      </c>
      <c r="G390" s="39">
        <v>0</v>
      </c>
      <c r="H390" s="39">
        <v>0</v>
      </c>
    </row>
    <row r="391" spans="1:8" ht="15" hidden="1" x14ac:dyDescent="0.2">
      <c r="A391" s="19">
        <v>390</v>
      </c>
      <c r="B391" s="22" t="s">
        <v>1468</v>
      </c>
      <c r="C391" s="40" t="s">
        <v>1469</v>
      </c>
      <c r="D391" s="22">
        <v>865669345</v>
      </c>
      <c r="E391" s="22" t="s">
        <v>1470</v>
      </c>
      <c r="F391" s="22" t="s">
        <v>1471</v>
      </c>
      <c r="G391" s="41">
        <v>0</v>
      </c>
      <c r="H391" s="41">
        <v>0</v>
      </c>
    </row>
    <row r="392" spans="1:8" ht="15" hidden="1" x14ac:dyDescent="0.2">
      <c r="A392" s="19">
        <v>391</v>
      </c>
      <c r="B392" s="37" t="s">
        <v>1472</v>
      </c>
      <c r="C392" s="38" t="s">
        <v>1473</v>
      </c>
      <c r="D392" s="37">
        <v>945774545</v>
      </c>
      <c r="E392" s="37" t="s">
        <v>1474</v>
      </c>
      <c r="F392" s="37" t="s">
        <v>1374</v>
      </c>
      <c r="G392" s="39">
        <v>0</v>
      </c>
      <c r="H392" s="39">
        <v>0</v>
      </c>
    </row>
    <row r="393" spans="1:8" ht="15" hidden="1" x14ac:dyDescent="0.2">
      <c r="A393" s="19">
        <v>392</v>
      </c>
      <c r="B393" s="22" t="s">
        <v>1475</v>
      </c>
      <c r="C393" s="40" t="s">
        <v>1476</v>
      </c>
      <c r="D393" s="22">
        <v>939354246</v>
      </c>
      <c r="E393" s="22" t="s">
        <v>1477</v>
      </c>
      <c r="F393" s="22" t="s">
        <v>1478</v>
      </c>
      <c r="G393" s="41">
        <v>0</v>
      </c>
      <c r="H393" s="41">
        <v>0</v>
      </c>
    </row>
    <row r="394" spans="1:8" ht="15" hidden="1" x14ac:dyDescent="0.2">
      <c r="A394" s="19">
        <v>393</v>
      </c>
      <c r="B394" s="37" t="s">
        <v>1479</v>
      </c>
      <c r="C394" s="38" t="s">
        <v>1480</v>
      </c>
      <c r="D394" s="37">
        <v>327963288</v>
      </c>
      <c r="E394" s="37" t="s">
        <v>1481</v>
      </c>
      <c r="F394" s="37" t="s">
        <v>1482</v>
      </c>
      <c r="G394" s="39">
        <v>0</v>
      </c>
      <c r="H394" s="39">
        <v>0</v>
      </c>
    </row>
    <row r="395" spans="1:8" ht="15" hidden="1" x14ac:dyDescent="0.2">
      <c r="A395" s="19">
        <v>394</v>
      </c>
      <c r="B395" s="22" t="s">
        <v>1483</v>
      </c>
      <c r="C395" s="40" t="s">
        <v>1484</v>
      </c>
      <c r="D395" s="22">
        <v>973085640</v>
      </c>
      <c r="E395" s="22" t="s">
        <v>1485</v>
      </c>
      <c r="F395" s="22" t="s">
        <v>1486</v>
      </c>
      <c r="G395" s="41">
        <v>0</v>
      </c>
      <c r="H395" s="41">
        <v>0</v>
      </c>
    </row>
    <row r="396" spans="1:8" ht="15" hidden="1" x14ac:dyDescent="0.2">
      <c r="A396" s="19">
        <v>395</v>
      </c>
      <c r="B396" s="37" t="s">
        <v>1487</v>
      </c>
      <c r="C396" s="38" t="s">
        <v>1488</v>
      </c>
      <c r="D396" s="125">
        <v>979071378</v>
      </c>
      <c r="E396" s="124"/>
      <c r="F396" s="37" t="s">
        <v>1489</v>
      </c>
      <c r="G396" s="39">
        <v>0</v>
      </c>
      <c r="H396" s="39">
        <v>0</v>
      </c>
    </row>
    <row r="397" spans="1:8" ht="15" hidden="1" x14ac:dyDescent="0.2">
      <c r="A397" s="19">
        <v>396</v>
      </c>
      <c r="B397" s="22" t="s">
        <v>1490</v>
      </c>
      <c r="C397" s="40" t="s">
        <v>1491</v>
      </c>
      <c r="D397" s="22">
        <v>377483629</v>
      </c>
      <c r="E397" s="22" t="s">
        <v>1492</v>
      </c>
      <c r="F397" s="22" t="s">
        <v>1493</v>
      </c>
      <c r="G397" s="41">
        <v>0</v>
      </c>
      <c r="H397" s="41">
        <v>0</v>
      </c>
    </row>
    <row r="398" spans="1:8" ht="15" hidden="1" x14ac:dyDescent="0.2">
      <c r="A398" s="19">
        <v>397</v>
      </c>
      <c r="B398" s="37" t="s">
        <v>1494</v>
      </c>
      <c r="C398" s="38" t="s">
        <v>1495</v>
      </c>
      <c r="D398" s="37">
        <v>374286825</v>
      </c>
      <c r="E398" s="37" t="s">
        <v>1496</v>
      </c>
      <c r="F398" s="37" t="s">
        <v>1497</v>
      </c>
      <c r="G398" s="39">
        <v>0</v>
      </c>
      <c r="H398" s="39">
        <v>0</v>
      </c>
    </row>
    <row r="399" spans="1:8" ht="15" hidden="1" x14ac:dyDescent="0.2">
      <c r="A399" s="19">
        <v>398</v>
      </c>
      <c r="B399" s="22" t="s">
        <v>1498</v>
      </c>
      <c r="C399" s="40" t="s">
        <v>1499</v>
      </c>
      <c r="D399" s="123">
        <v>989572596</v>
      </c>
      <c r="E399" s="124"/>
      <c r="F399" s="43"/>
      <c r="G399" s="41">
        <v>0</v>
      </c>
      <c r="H399" s="41">
        <v>0</v>
      </c>
    </row>
    <row r="400" spans="1:8" ht="15" hidden="1" x14ac:dyDescent="0.2">
      <c r="A400" s="19">
        <v>399</v>
      </c>
      <c r="B400" s="37" t="s">
        <v>1500</v>
      </c>
      <c r="C400" s="38" t="s">
        <v>1501</v>
      </c>
      <c r="D400" s="125">
        <v>962733513</v>
      </c>
      <c r="E400" s="124"/>
      <c r="F400" s="42"/>
      <c r="G400" s="39">
        <v>0</v>
      </c>
      <c r="H400" s="39">
        <v>0</v>
      </c>
    </row>
    <row r="401" spans="1:8" ht="15" hidden="1" x14ac:dyDescent="0.2">
      <c r="A401" s="19">
        <v>400</v>
      </c>
      <c r="B401" s="22" t="s">
        <v>1502</v>
      </c>
      <c r="C401" s="40" t="s">
        <v>1503</v>
      </c>
      <c r="D401" s="22">
        <v>986623066</v>
      </c>
      <c r="E401" s="22" t="s">
        <v>1504</v>
      </c>
      <c r="F401" s="22" t="s">
        <v>1505</v>
      </c>
      <c r="G401" s="41">
        <v>0</v>
      </c>
      <c r="H401" s="41">
        <v>0</v>
      </c>
    </row>
    <row r="402" spans="1:8" ht="15" hidden="1" x14ac:dyDescent="0.2">
      <c r="A402" s="19">
        <v>401</v>
      </c>
      <c r="B402" s="37" t="s">
        <v>1506</v>
      </c>
      <c r="C402" s="38" t="s">
        <v>1507</v>
      </c>
      <c r="D402" s="37">
        <v>966054581</v>
      </c>
      <c r="E402" s="37" t="s">
        <v>1508</v>
      </c>
      <c r="F402" s="37" t="s">
        <v>1509</v>
      </c>
      <c r="G402" s="39">
        <v>0</v>
      </c>
      <c r="H402" s="39">
        <v>0</v>
      </c>
    </row>
    <row r="403" spans="1:8" ht="15" hidden="1" x14ac:dyDescent="0.2">
      <c r="A403" s="19">
        <v>402</v>
      </c>
      <c r="B403" s="22" t="s">
        <v>1510</v>
      </c>
      <c r="C403" s="40" t="s">
        <v>1511</v>
      </c>
      <c r="D403" s="22">
        <v>363789682</v>
      </c>
      <c r="E403" s="22" t="s">
        <v>1512</v>
      </c>
      <c r="F403" s="22" t="s">
        <v>1513</v>
      </c>
      <c r="G403" s="41">
        <v>0</v>
      </c>
      <c r="H403" s="41">
        <v>0</v>
      </c>
    </row>
    <row r="404" spans="1:8" ht="15" hidden="1" x14ac:dyDescent="0.2">
      <c r="A404" s="19">
        <v>403</v>
      </c>
      <c r="B404" s="37" t="s">
        <v>1514</v>
      </c>
      <c r="C404" s="38" t="s">
        <v>1515</v>
      </c>
      <c r="D404" s="37">
        <v>339291219</v>
      </c>
      <c r="E404" s="37" t="s">
        <v>1516</v>
      </c>
      <c r="F404" s="37" t="s">
        <v>570</v>
      </c>
      <c r="G404" s="39">
        <v>-370</v>
      </c>
      <c r="H404" s="39" t="s">
        <v>1517</v>
      </c>
    </row>
    <row r="405" spans="1:8" ht="15" hidden="1" x14ac:dyDescent="0.2">
      <c r="A405" s="19">
        <v>404</v>
      </c>
      <c r="B405" s="22" t="s">
        <v>1518</v>
      </c>
      <c r="C405" s="40" t="s">
        <v>1519</v>
      </c>
      <c r="D405" s="22"/>
      <c r="E405" s="43"/>
      <c r="F405" s="22" t="s">
        <v>1520</v>
      </c>
      <c r="G405" s="41">
        <v>0</v>
      </c>
      <c r="H405" s="41">
        <v>0</v>
      </c>
    </row>
    <row r="406" spans="1:8" ht="15" hidden="1" x14ac:dyDescent="0.2">
      <c r="A406" s="19">
        <v>405</v>
      </c>
      <c r="B406" s="37" t="s">
        <v>1521</v>
      </c>
      <c r="C406" s="38" t="s">
        <v>1522</v>
      </c>
      <c r="D406" s="37">
        <v>974469395</v>
      </c>
      <c r="E406" s="37" t="s">
        <v>1523</v>
      </c>
      <c r="F406" s="37" t="s">
        <v>1478</v>
      </c>
      <c r="G406" s="39">
        <v>0</v>
      </c>
      <c r="H406" s="39">
        <v>0</v>
      </c>
    </row>
    <row r="407" spans="1:8" ht="15" hidden="1" x14ac:dyDescent="0.2">
      <c r="A407" s="19">
        <v>406</v>
      </c>
      <c r="B407" s="22" t="s">
        <v>1524</v>
      </c>
      <c r="C407" s="40" t="s">
        <v>1525</v>
      </c>
      <c r="D407" s="22" t="s">
        <v>1526</v>
      </c>
      <c r="E407" s="22" t="s">
        <v>1527</v>
      </c>
      <c r="F407" s="22" t="s">
        <v>188</v>
      </c>
      <c r="G407" s="41">
        <v>0</v>
      </c>
      <c r="H407" s="41">
        <v>0</v>
      </c>
    </row>
    <row r="408" spans="1:8" ht="15" hidden="1" x14ac:dyDescent="0.2">
      <c r="A408" s="19">
        <v>407</v>
      </c>
      <c r="B408" s="37" t="s">
        <v>1528</v>
      </c>
      <c r="C408" s="38" t="s">
        <v>1529</v>
      </c>
      <c r="D408" s="37">
        <v>968308898</v>
      </c>
      <c r="E408" s="37" t="s">
        <v>1530</v>
      </c>
      <c r="F408" s="37" t="s">
        <v>188</v>
      </c>
      <c r="G408" s="39">
        <v>0</v>
      </c>
      <c r="H408" s="39">
        <v>0</v>
      </c>
    </row>
    <row r="409" spans="1:8" ht="15" hidden="1" x14ac:dyDescent="0.2">
      <c r="A409" s="19">
        <v>408</v>
      </c>
      <c r="B409" s="22" t="s">
        <v>1531</v>
      </c>
      <c r="C409" s="40" t="s">
        <v>1532</v>
      </c>
      <c r="D409" s="22">
        <v>783970507</v>
      </c>
      <c r="E409" s="22" t="s">
        <v>1533</v>
      </c>
      <c r="F409" s="22" t="s">
        <v>188</v>
      </c>
      <c r="G409" s="41">
        <v>0</v>
      </c>
      <c r="H409" s="41">
        <v>0</v>
      </c>
    </row>
    <row r="410" spans="1:8" ht="15" hidden="1" x14ac:dyDescent="0.2">
      <c r="A410" s="19">
        <v>409</v>
      </c>
      <c r="B410" s="37" t="s">
        <v>1534</v>
      </c>
      <c r="C410" s="38" t="s">
        <v>1535</v>
      </c>
      <c r="D410" s="37">
        <v>964637029</v>
      </c>
      <c r="E410" s="37" t="s">
        <v>1536</v>
      </c>
      <c r="F410" s="37" t="s">
        <v>1537</v>
      </c>
      <c r="G410" s="39">
        <v>0</v>
      </c>
      <c r="H410" s="39">
        <v>0</v>
      </c>
    </row>
    <row r="411" spans="1:8" ht="15" hidden="1" x14ac:dyDescent="0.2">
      <c r="A411" s="19">
        <v>410</v>
      </c>
      <c r="B411" s="22" t="s">
        <v>1538</v>
      </c>
      <c r="C411" s="40" t="s">
        <v>1539</v>
      </c>
      <c r="D411" s="22">
        <v>966045966</v>
      </c>
      <c r="E411" s="22" t="s">
        <v>1540</v>
      </c>
      <c r="F411" s="22" t="s">
        <v>1374</v>
      </c>
      <c r="G411" s="41">
        <v>0</v>
      </c>
      <c r="H411" s="41">
        <v>0</v>
      </c>
    </row>
    <row r="412" spans="1:8" ht="15" hidden="1" x14ac:dyDescent="0.2">
      <c r="A412" s="19">
        <v>411</v>
      </c>
      <c r="B412" s="37" t="s">
        <v>1541</v>
      </c>
      <c r="C412" s="38" t="s">
        <v>1542</v>
      </c>
      <c r="D412" s="125">
        <v>336349186</v>
      </c>
      <c r="E412" s="124"/>
      <c r="F412" s="42"/>
      <c r="G412" s="39">
        <v>0</v>
      </c>
      <c r="H412" s="39">
        <v>0</v>
      </c>
    </row>
    <row r="413" spans="1:8" ht="15" hidden="1" x14ac:dyDescent="0.2">
      <c r="A413" s="19">
        <v>412</v>
      </c>
      <c r="B413" s="22" t="s">
        <v>1543</v>
      </c>
      <c r="C413" s="40" t="s">
        <v>1544</v>
      </c>
      <c r="D413" s="22">
        <v>979172538</v>
      </c>
      <c r="E413" s="22" t="s">
        <v>1545</v>
      </c>
      <c r="F413" s="22" t="s">
        <v>1546</v>
      </c>
      <c r="G413" s="41">
        <v>0</v>
      </c>
      <c r="H413" s="41">
        <v>0</v>
      </c>
    </row>
    <row r="414" spans="1:8" ht="15" hidden="1" x14ac:dyDescent="0.2">
      <c r="A414" s="19">
        <v>413</v>
      </c>
      <c r="B414" s="37" t="s">
        <v>1547</v>
      </c>
      <c r="C414" s="38" t="s">
        <v>1548</v>
      </c>
      <c r="D414" s="125">
        <v>384785008</v>
      </c>
      <c r="E414" s="124"/>
      <c r="F414" s="42"/>
      <c r="G414" s="39">
        <v>0</v>
      </c>
      <c r="H414" s="39">
        <v>0</v>
      </c>
    </row>
    <row r="415" spans="1:8" ht="15" x14ac:dyDescent="0.2">
      <c r="A415" s="19">
        <v>414</v>
      </c>
      <c r="B415" s="22" t="s">
        <v>1549</v>
      </c>
      <c r="C415" s="40" t="s">
        <v>1550</v>
      </c>
      <c r="D415" s="22">
        <v>962742319</v>
      </c>
      <c r="E415" s="22" t="s">
        <v>1551</v>
      </c>
      <c r="F415" s="43"/>
      <c r="G415" s="41">
        <v>8400000</v>
      </c>
      <c r="H415" s="41">
        <v>8400000</v>
      </c>
    </row>
    <row r="416" spans="1:8" ht="15" hidden="1" x14ac:dyDescent="0.2">
      <c r="A416" s="19">
        <v>415</v>
      </c>
      <c r="B416" s="37" t="s">
        <v>1552</v>
      </c>
      <c r="C416" s="38" t="s">
        <v>1553</v>
      </c>
      <c r="D416" s="37">
        <v>797456686</v>
      </c>
      <c r="E416" s="37" t="s">
        <v>1554</v>
      </c>
      <c r="F416" s="37" t="s">
        <v>188</v>
      </c>
      <c r="G416" s="39">
        <v>0</v>
      </c>
      <c r="H416" s="39">
        <v>0</v>
      </c>
    </row>
    <row r="417" spans="1:8" ht="15" hidden="1" x14ac:dyDescent="0.2">
      <c r="A417" s="19">
        <v>416</v>
      </c>
      <c r="B417" s="22" t="s">
        <v>1555</v>
      </c>
      <c r="C417" s="40" t="s">
        <v>1556</v>
      </c>
      <c r="D417" s="123">
        <v>967748519</v>
      </c>
      <c r="E417" s="124"/>
      <c r="F417" s="22" t="s">
        <v>1557</v>
      </c>
      <c r="G417" s="41">
        <v>0</v>
      </c>
      <c r="H417" s="41">
        <v>0</v>
      </c>
    </row>
    <row r="418" spans="1:8" ht="15" hidden="1" x14ac:dyDescent="0.2">
      <c r="A418" s="19">
        <v>417</v>
      </c>
      <c r="B418" s="37" t="s">
        <v>1558</v>
      </c>
      <c r="C418" s="38" t="s">
        <v>1559</v>
      </c>
      <c r="D418" s="37">
        <v>912267556</v>
      </c>
      <c r="E418" s="37" t="s">
        <v>1560</v>
      </c>
      <c r="F418" s="37" t="s">
        <v>1561</v>
      </c>
      <c r="G418" s="39">
        <v>0</v>
      </c>
      <c r="H418" s="39">
        <v>0</v>
      </c>
    </row>
    <row r="419" spans="1:8" ht="15" hidden="1" x14ac:dyDescent="0.2">
      <c r="A419" s="19">
        <v>418</v>
      </c>
      <c r="B419" s="22" t="s">
        <v>1562</v>
      </c>
      <c r="C419" s="40" t="s">
        <v>1563</v>
      </c>
      <c r="D419" s="22">
        <v>983212847</v>
      </c>
      <c r="E419" s="22" t="s">
        <v>1564</v>
      </c>
      <c r="F419" s="22" t="s">
        <v>1565</v>
      </c>
      <c r="G419" s="41" t="s">
        <v>1566</v>
      </c>
      <c r="H419" s="41" t="s">
        <v>1567</v>
      </c>
    </row>
    <row r="420" spans="1:8" ht="15" hidden="1" x14ac:dyDescent="0.2">
      <c r="A420" s="19">
        <v>419</v>
      </c>
      <c r="B420" s="37" t="s">
        <v>1568</v>
      </c>
      <c r="C420" s="38" t="s">
        <v>1294</v>
      </c>
      <c r="D420" s="37">
        <v>948637886</v>
      </c>
      <c r="E420" s="37" t="s">
        <v>1569</v>
      </c>
      <c r="F420" s="37" t="s">
        <v>763</v>
      </c>
      <c r="G420" s="39">
        <v>0</v>
      </c>
      <c r="H420" s="39">
        <v>0</v>
      </c>
    </row>
    <row r="421" spans="1:8" ht="15" hidden="1" x14ac:dyDescent="0.2">
      <c r="A421" s="19">
        <v>420</v>
      </c>
      <c r="B421" s="22" t="s">
        <v>1570</v>
      </c>
      <c r="C421" s="40" t="s">
        <v>1571</v>
      </c>
      <c r="D421" s="22">
        <v>983132204</v>
      </c>
      <c r="E421" s="22" t="s">
        <v>1572</v>
      </c>
      <c r="F421" s="22" t="s">
        <v>1374</v>
      </c>
      <c r="G421" s="41">
        <v>0</v>
      </c>
      <c r="H421" s="41">
        <v>0</v>
      </c>
    </row>
    <row r="422" spans="1:8" ht="15" hidden="1" x14ac:dyDescent="0.2">
      <c r="A422" s="19">
        <v>421</v>
      </c>
      <c r="B422" s="37" t="s">
        <v>1573</v>
      </c>
      <c r="C422" s="38" t="s">
        <v>1574</v>
      </c>
      <c r="D422" s="37">
        <v>938033366</v>
      </c>
      <c r="E422" s="37" t="s">
        <v>1575</v>
      </c>
      <c r="F422" s="37" t="s">
        <v>188</v>
      </c>
      <c r="G422" s="39">
        <v>0</v>
      </c>
      <c r="H422" s="39">
        <v>0</v>
      </c>
    </row>
    <row r="423" spans="1:8" ht="15" hidden="1" x14ac:dyDescent="0.2">
      <c r="A423" s="19">
        <v>422</v>
      </c>
      <c r="B423" s="22" t="s">
        <v>1576</v>
      </c>
      <c r="C423" s="40" t="s">
        <v>1577</v>
      </c>
      <c r="D423" s="22">
        <v>349759361</v>
      </c>
      <c r="E423" s="22" t="s">
        <v>1578</v>
      </c>
      <c r="F423" s="43"/>
      <c r="G423" s="41">
        <v>0</v>
      </c>
      <c r="H423" s="41">
        <v>0</v>
      </c>
    </row>
    <row r="424" spans="1:8" ht="15" hidden="1" x14ac:dyDescent="0.2">
      <c r="A424" s="19">
        <v>423</v>
      </c>
      <c r="B424" s="37" t="s">
        <v>1579</v>
      </c>
      <c r="C424" s="38" t="s">
        <v>1580</v>
      </c>
      <c r="D424" s="37">
        <v>386167656</v>
      </c>
      <c r="E424" s="37" t="s">
        <v>1581</v>
      </c>
      <c r="F424" s="37" t="s">
        <v>1582</v>
      </c>
      <c r="G424" s="39">
        <v>0</v>
      </c>
      <c r="H424" s="39">
        <v>0</v>
      </c>
    </row>
    <row r="425" spans="1:8" ht="15" hidden="1" x14ac:dyDescent="0.2">
      <c r="A425" s="19">
        <v>424</v>
      </c>
      <c r="B425" s="22" t="s">
        <v>1583</v>
      </c>
      <c r="C425" s="40" t="s">
        <v>1584</v>
      </c>
      <c r="D425" s="22">
        <v>963344553</v>
      </c>
      <c r="E425" s="22" t="s">
        <v>1585</v>
      </c>
      <c r="F425" s="22" t="s">
        <v>1374</v>
      </c>
      <c r="G425" s="41">
        <v>0</v>
      </c>
      <c r="H425" s="41">
        <v>0</v>
      </c>
    </row>
    <row r="426" spans="1:8" ht="15" hidden="1" x14ac:dyDescent="0.2">
      <c r="A426" s="19">
        <v>425</v>
      </c>
      <c r="B426" s="37" t="s">
        <v>1586</v>
      </c>
      <c r="C426" s="38" t="s">
        <v>1587</v>
      </c>
      <c r="D426" s="37">
        <v>973429519</v>
      </c>
      <c r="E426" s="37" t="s">
        <v>1588</v>
      </c>
      <c r="F426" s="37" t="s">
        <v>1374</v>
      </c>
      <c r="G426" s="39">
        <v>0</v>
      </c>
      <c r="H426" s="39">
        <v>0</v>
      </c>
    </row>
    <row r="427" spans="1:8" ht="15" hidden="1" x14ac:dyDescent="0.2">
      <c r="A427" s="19">
        <v>426</v>
      </c>
      <c r="B427" s="22" t="s">
        <v>1589</v>
      </c>
      <c r="C427" s="40" t="s">
        <v>1590</v>
      </c>
      <c r="D427" s="22">
        <v>973215345</v>
      </c>
      <c r="E427" s="22" t="s">
        <v>1591</v>
      </c>
      <c r="F427" s="22" t="s">
        <v>1374</v>
      </c>
      <c r="G427" s="41">
        <v>0</v>
      </c>
      <c r="H427" s="41">
        <v>0</v>
      </c>
    </row>
    <row r="428" spans="1:8" ht="15" hidden="1" x14ac:dyDescent="0.2">
      <c r="A428" s="19">
        <v>427</v>
      </c>
      <c r="B428" s="37" t="s">
        <v>1592</v>
      </c>
      <c r="C428" s="38" t="s">
        <v>1593</v>
      </c>
      <c r="D428" s="37">
        <v>985117577</v>
      </c>
      <c r="E428" s="37" t="s">
        <v>1594</v>
      </c>
      <c r="F428" s="42"/>
      <c r="G428" s="39">
        <v>0</v>
      </c>
      <c r="H428" s="39">
        <v>0</v>
      </c>
    </row>
    <row r="429" spans="1:8" ht="15" hidden="1" x14ac:dyDescent="0.2">
      <c r="A429" s="19">
        <v>428</v>
      </c>
      <c r="B429" s="22" t="s">
        <v>1595</v>
      </c>
      <c r="C429" s="40" t="s">
        <v>1596</v>
      </c>
      <c r="D429" s="22">
        <v>339620018</v>
      </c>
      <c r="E429" s="22" t="s">
        <v>1597</v>
      </c>
      <c r="F429" s="22" t="s">
        <v>1598</v>
      </c>
      <c r="G429" s="41">
        <v>0</v>
      </c>
      <c r="H429" s="41">
        <v>0</v>
      </c>
    </row>
    <row r="430" spans="1:8" ht="15" hidden="1" x14ac:dyDescent="0.2">
      <c r="A430" s="19">
        <v>429</v>
      </c>
      <c r="B430" s="37" t="s">
        <v>1599</v>
      </c>
      <c r="C430" s="38" t="s">
        <v>1600</v>
      </c>
      <c r="D430" s="37">
        <v>368183079</v>
      </c>
      <c r="E430" s="37" t="s">
        <v>1601</v>
      </c>
      <c r="F430" s="37" t="s">
        <v>1602</v>
      </c>
      <c r="G430" s="39">
        <v>0</v>
      </c>
      <c r="H430" s="39">
        <v>0</v>
      </c>
    </row>
    <row r="431" spans="1:8" ht="15" x14ac:dyDescent="0.2">
      <c r="A431" s="19">
        <v>430</v>
      </c>
      <c r="B431" s="22" t="s">
        <v>1603</v>
      </c>
      <c r="C431" s="40" t="s">
        <v>1535</v>
      </c>
      <c r="D431" s="22">
        <v>987884479</v>
      </c>
      <c r="E431" s="22" t="s">
        <v>1604</v>
      </c>
      <c r="F431" s="22" t="s">
        <v>1537</v>
      </c>
      <c r="G431" s="41">
        <v>30</v>
      </c>
      <c r="H431" s="41" t="s">
        <v>1605</v>
      </c>
    </row>
    <row r="432" spans="1:8" ht="15" hidden="1" x14ac:dyDescent="0.2">
      <c r="A432" s="19">
        <v>431</v>
      </c>
      <c r="B432" s="37" t="s">
        <v>1606</v>
      </c>
      <c r="C432" s="38" t="s">
        <v>1607</v>
      </c>
      <c r="D432" s="37">
        <v>947383777</v>
      </c>
      <c r="E432" s="37" t="s">
        <v>1608</v>
      </c>
      <c r="F432" s="37" t="s">
        <v>1609</v>
      </c>
      <c r="G432" s="39">
        <v>0</v>
      </c>
      <c r="H432" s="39">
        <v>0</v>
      </c>
    </row>
    <row r="433" spans="1:8" ht="15" hidden="1" x14ac:dyDescent="0.2">
      <c r="A433" s="19">
        <v>432</v>
      </c>
      <c r="B433" s="22" t="s">
        <v>1610</v>
      </c>
      <c r="C433" s="40" t="s">
        <v>1611</v>
      </c>
      <c r="D433" s="22">
        <v>385151071</v>
      </c>
      <c r="E433" s="22" t="s">
        <v>1612</v>
      </c>
      <c r="F433" s="22" t="s">
        <v>1613</v>
      </c>
      <c r="G433" s="41">
        <v>0</v>
      </c>
      <c r="H433" s="41">
        <v>0</v>
      </c>
    </row>
    <row r="434" spans="1:8" ht="15" hidden="1" x14ac:dyDescent="0.2">
      <c r="A434" s="19">
        <v>433</v>
      </c>
      <c r="B434" s="37" t="s">
        <v>1614</v>
      </c>
      <c r="C434" s="38" t="s">
        <v>1615</v>
      </c>
      <c r="D434" s="37">
        <v>967729253</v>
      </c>
      <c r="E434" s="37" t="s">
        <v>1616</v>
      </c>
      <c r="F434" s="37" t="s">
        <v>1617</v>
      </c>
      <c r="G434" s="39">
        <v>0</v>
      </c>
      <c r="H434" s="39">
        <v>0</v>
      </c>
    </row>
    <row r="435" spans="1:8" ht="15" hidden="1" x14ac:dyDescent="0.2">
      <c r="A435" s="19">
        <v>434</v>
      </c>
      <c r="B435" s="22" t="s">
        <v>1618</v>
      </c>
      <c r="C435" s="40" t="s">
        <v>1619</v>
      </c>
      <c r="D435" s="22">
        <v>933248286</v>
      </c>
      <c r="E435" s="22" t="s">
        <v>1620</v>
      </c>
      <c r="F435" s="22" t="s">
        <v>1621</v>
      </c>
      <c r="G435" s="41">
        <v>0</v>
      </c>
      <c r="H435" s="41">
        <v>0</v>
      </c>
    </row>
    <row r="436" spans="1:8" ht="15" hidden="1" x14ac:dyDescent="0.2">
      <c r="A436" s="19">
        <v>435</v>
      </c>
      <c r="B436" s="37" t="s">
        <v>1622</v>
      </c>
      <c r="C436" s="38" t="s">
        <v>1623</v>
      </c>
      <c r="D436" s="37">
        <v>932341434</v>
      </c>
      <c r="E436" s="37" t="s">
        <v>1624</v>
      </c>
      <c r="F436" s="37" t="s">
        <v>1625</v>
      </c>
      <c r="G436" s="39">
        <v>0</v>
      </c>
      <c r="H436" s="39">
        <v>0</v>
      </c>
    </row>
    <row r="437" spans="1:8" ht="15" hidden="1" x14ac:dyDescent="0.2">
      <c r="A437" s="19">
        <v>436</v>
      </c>
      <c r="B437" s="22" t="s">
        <v>1626</v>
      </c>
      <c r="C437" s="40" t="s">
        <v>1627</v>
      </c>
      <c r="D437" s="22">
        <v>978474939</v>
      </c>
      <c r="E437" s="22" t="s">
        <v>1628</v>
      </c>
      <c r="F437" s="22" t="s">
        <v>1629</v>
      </c>
      <c r="G437" s="41">
        <v>0</v>
      </c>
      <c r="H437" s="41">
        <v>0</v>
      </c>
    </row>
    <row r="438" spans="1:8" ht="15" hidden="1" x14ac:dyDescent="0.2">
      <c r="A438" s="19">
        <v>437</v>
      </c>
      <c r="B438" s="37" t="s">
        <v>1630</v>
      </c>
      <c r="C438" s="38" t="s">
        <v>1631</v>
      </c>
      <c r="D438" s="37">
        <v>985925751</v>
      </c>
      <c r="E438" s="37" t="s">
        <v>1632</v>
      </c>
      <c r="F438" s="42"/>
      <c r="G438" s="39">
        <v>0</v>
      </c>
      <c r="H438" s="39">
        <v>0</v>
      </c>
    </row>
    <row r="439" spans="1:8" ht="15" hidden="1" x14ac:dyDescent="0.2">
      <c r="A439" s="19">
        <v>438</v>
      </c>
      <c r="B439" s="22" t="s">
        <v>1633</v>
      </c>
      <c r="C439" s="40" t="s">
        <v>1634</v>
      </c>
      <c r="D439" s="22">
        <v>948613888</v>
      </c>
      <c r="E439" s="22" t="s">
        <v>1635</v>
      </c>
      <c r="F439" s="22" t="s">
        <v>1636</v>
      </c>
      <c r="G439" s="41">
        <v>0</v>
      </c>
      <c r="H439" s="41">
        <v>0</v>
      </c>
    </row>
    <row r="440" spans="1:8" ht="15" hidden="1" x14ac:dyDescent="0.2">
      <c r="A440" s="19">
        <v>439</v>
      </c>
      <c r="B440" s="37" t="s">
        <v>1637</v>
      </c>
      <c r="C440" s="38" t="s">
        <v>1638</v>
      </c>
      <c r="D440" s="37">
        <v>949711781</v>
      </c>
      <c r="E440" s="37" t="s">
        <v>1639</v>
      </c>
      <c r="F440" s="37" t="s">
        <v>1374</v>
      </c>
      <c r="G440" s="39">
        <v>0</v>
      </c>
      <c r="H440" s="39">
        <v>0</v>
      </c>
    </row>
    <row r="441" spans="1:8" ht="15" hidden="1" x14ac:dyDescent="0.2">
      <c r="A441" s="19">
        <v>440</v>
      </c>
      <c r="B441" s="22" t="s">
        <v>1640</v>
      </c>
      <c r="C441" s="40" t="s">
        <v>1641</v>
      </c>
      <c r="D441" s="22">
        <v>364666878</v>
      </c>
      <c r="E441" s="22" t="s">
        <v>1642</v>
      </c>
      <c r="F441" s="22" t="s">
        <v>1643</v>
      </c>
      <c r="G441" s="41">
        <v>0</v>
      </c>
      <c r="H441" s="41">
        <v>0</v>
      </c>
    </row>
    <row r="442" spans="1:8" ht="15" hidden="1" x14ac:dyDescent="0.2">
      <c r="A442" s="19">
        <v>441</v>
      </c>
      <c r="B442" s="37" t="s">
        <v>1644</v>
      </c>
      <c r="C442" s="38" t="s">
        <v>1645</v>
      </c>
      <c r="D442" s="37">
        <v>984599789</v>
      </c>
      <c r="E442" s="37" t="s">
        <v>1646</v>
      </c>
      <c r="F442" s="37" t="s">
        <v>1374</v>
      </c>
      <c r="G442" s="39">
        <v>0</v>
      </c>
      <c r="H442" s="39">
        <v>0</v>
      </c>
    </row>
    <row r="443" spans="1:8" ht="15" hidden="1" x14ac:dyDescent="0.2">
      <c r="A443" s="19">
        <v>442</v>
      </c>
      <c r="B443" s="22" t="s">
        <v>1647</v>
      </c>
      <c r="C443" s="40" t="s">
        <v>1648</v>
      </c>
      <c r="D443" s="22">
        <v>975899101</v>
      </c>
      <c r="E443" s="22" t="s">
        <v>1649</v>
      </c>
      <c r="F443" s="22" t="s">
        <v>1374</v>
      </c>
      <c r="G443" s="41">
        <v>0</v>
      </c>
      <c r="H443" s="41">
        <v>0</v>
      </c>
    </row>
    <row r="444" spans="1:8" ht="15" hidden="1" x14ac:dyDescent="0.2">
      <c r="A444" s="19">
        <v>443</v>
      </c>
      <c r="B444" s="37" t="s">
        <v>1650</v>
      </c>
      <c r="C444" s="45"/>
      <c r="D444" s="37">
        <v>934258259</v>
      </c>
      <c r="E444" s="37" t="s">
        <v>1651</v>
      </c>
      <c r="F444" s="42"/>
      <c r="G444" s="42"/>
      <c r="H444" s="39">
        <v>0</v>
      </c>
    </row>
    <row r="445" spans="1:8" ht="15" hidden="1" x14ac:dyDescent="0.2">
      <c r="A445" s="19">
        <v>444</v>
      </c>
      <c r="B445" s="22" t="s">
        <v>1652</v>
      </c>
      <c r="C445" s="40" t="s">
        <v>1653</v>
      </c>
      <c r="D445" s="22">
        <v>988626486</v>
      </c>
      <c r="E445" s="22" t="s">
        <v>1654</v>
      </c>
      <c r="F445" s="22" t="s">
        <v>1655</v>
      </c>
      <c r="G445" s="41">
        <v>0</v>
      </c>
      <c r="H445" s="41">
        <v>0</v>
      </c>
    </row>
    <row r="446" spans="1:8" ht="15" hidden="1" x14ac:dyDescent="0.2">
      <c r="A446" s="19">
        <v>445</v>
      </c>
      <c r="B446" s="37" t="s">
        <v>1656</v>
      </c>
      <c r="C446" s="38" t="s">
        <v>1657</v>
      </c>
      <c r="D446" s="37">
        <v>334065987</v>
      </c>
      <c r="E446" s="37" t="s">
        <v>1658</v>
      </c>
      <c r="F446" s="42"/>
      <c r="G446" s="39">
        <v>0</v>
      </c>
      <c r="H446" s="39">
        <v>0</v>
      </c>
    </row>
    <row r="447" spans="1:8" ht="15" hidden="1" x14ac:dyDescent="0.2">
      <c r="A447" s="19">
        <v>446</v>
      </c>
      <c r="B447" s="22" t="s">
        <v>1659</v>
      </c>
      <c r="C447" s="40" t="s">
        <v>1660</v>
      </c>
      <c r="D447" s="22">
        <v>921767888</v>
      </c>
      <c r="E447" s="22" t="s">
        <v>1661</v>
      </c>
      <c r="F447" s="22" t="s">
        <v>1662</v>
      </c>
      <c r="G447" s="41">
        <v>0</v>
      </c>
      <c r="H447" s="41">
        <v>0</v>
      </c>
    </row>
    <row r="448" spans="1:8" ht="15" hidden="1" x14ac:dyDescent="0.2">
      <c r="A448" s="19">
        <v>447</v>
      </c>
      <c r="B448" s="37" t="s">
        <v>1663</v>
      </c>
      <c r="C448" s="38" t="s">
        <v>1664</v>
      </c>
      <c r="D448" s="37">
        <v>345725228</v>
      </c>
      <c r="E448" s="37" t="s">
        <v>1665</v>
      </c>
      <c r="F448" s="37" t="s">
        <v>1666</v>
      </c>
      <c r="G448" s="39">
        <v>0</v>
      </c>
      <c r="H448" s="39" t="s">
        <v>1667</v>
      </c>
    </row>
    <row r="449" spans="1:8" ht="15" x14ac:dyDescent="0.2">
      <c r="A449" s="19">
        <v>448</v>
      </c>
      <c r="B449" s="22" t="s">
        <v>1668</v>
      </c>
      <c r="C449" s="40" t="s">
        <v>1669</v>
      </c>
      <c r="D449" s="22">
        <v>979347218</v>
      </c>
      <c r="E449" s="22" t="s">
        <v>1670</v>
      </c>
      <c r="F449" s="22" t="s">
        <v>1671</v>
      </c>
      <c r="G449" s="41">
        <v>5</v>
      </c>
      <c r="H449" s="41" t="s">
        <v>1672</v>
      </c>
    </row>
    <row r="450" spans="1:8" ht="15" hidden="1" x14ac:dyDescent="0.2">
      <c r="A450" s="19">
        <v>449</v>
      </c>
      <c r="B450" s="37" t="s">
        <v>1673</v>
      </c>
      <c r="C450" s="38" t="s">
        <v>1674</v>
      </c>
      <c r="D450" s="42"/>
      <c r="E450" s="42"/>
      <c r="F450" s="42"/>
      <c r="G450" s="39">
        <v>0</v>
      </c>
      <c r="H450" s="39">
        <v>0</v>
      </c>
    </row>
    <row r="451" spans="1:8" ht="15" hidden="1" x14ac:dyDescent="0.2">
      <c r="A451" s="19">
        <v>450</v>
      </c>
      <c r="B451" s="22" t="s">
        <v>1675</v>
      </c>
      <c r="C451" s="40" t="s">
        <v>1676</v>
      </c>
      <c r="D451" s="22">
        <v>97476015</v>
      </c>
      <c r="E451" s="22" t="s">
        <v>1677</v>
      </c>
      <c r="F451" s="22" t="s">
        <v>1678</v>
      </c>
      <c r="G451" s="41">
        <v>0</v>
      </c>
      <c r="H451" s="41">
        <v>0</v>
      </c>
    </row>
    <row r="452" spans="1:8" ht="15" hidden="1" x14ac:dyDescent="0.2">
      <c r="A452" s="19">
        <v>451</v>
      </c>
      <c r="B452" s="37" t="s">
        <v>1679</v>
      </c>
      <c r="C452" s="38" t="s">
        <v>1680</v>
      </c>
      <c r="D452" s="37">
        <v>913718145</v>
      </c>
      <c r="E452" s="37" t="s">
        <v>1681</v>
      </c>
      <c r="F452" s="37" t="s">
        <v>1374</v>
      </c>
      <c r="G452" s="39">
        <v>0</v>
      </c>
      <c r="H452" s="39">
        <v>0</v>
      </c>
    </row>
    <row r="453" spans="1:8" ht="15" hidden="1" x14ac:dyDescent="0.2">
      <c r="A453" s="19">
        <v>452</v>
      </c>
      <c r="B453" s="22" t="s">
        <v>1682</v>
      </c>
      <c r="C453" s="40" t="s">
        <v>1683</v>
      </c>
      <c r="D453" s="22">
        <v>986048454</v>
      </c>
      <c r="E453" s="22" t="s">
        <v>1684</v>
      </c>
      <c r="F453" s="22" t="s">
        <v>1685</v>
      </c>
      <c r="G453" s="41">
        <v>0</v>
      </c>
      <c r="H453" s="41">
        <v>0</v>
      </c>
    </row>
    <row r="454" spans="1:8" ht="15" hidden="1" x14ac:dyDescent="0.2">
      <c r="A454" s="19">
        <v>453</v>
      </c>
      <c r="B454" s="37" t="s">
        <v>1686</v>
      </c>
      <c r="C454" s="38" t="s">
        <v>1687</v>
      </c>
      <c r="D454" s="125">
        <v>974468484</v>
      </c>
      <c r="E454" s="124"/>
      <c r="F454" s="37" t="s">
        <v>1688</v>
      </c>
      <c r="G454" s="39">
        <v>0</v>
      </c>
      <c r="H454" s="39">
        <v>0</v>
      </c>
    </row>
    <row r="455" spans="1:8" ht="15" hidden="1" x14ac:dyDescent="0.2">
      <c r="A455" s="19">
        <v>454</v>
      </c>
      <c r="B455" s="22" t="s">
        <v>1689</v>
      </c>
      <c r="C455" s="40" t="s">
        <v>1690</v>
      </c>
      <c r="D455" s="22">
        <v>989065288</v>
      </c>
      <c r="E455" s="22" t="s">
        <v>1691</v>
      </c>
      <c r="F455" s="22" t="s">
        <v>1692</v>
      </c>
      <c r="G455" s="41">
        <v>0</v>
      </c>
      <c r="H455" s="41">
        <v>0</v>
      </c>
    </row>
    <row r="456" spans="1:8" ht="15" hidden="1" x14ac:dyDescent="0.2">
      <c r="A456" s="19">
        <v>455</v>
      </c>
      <c r="B456" s="37" t="s">
        <v>1693</v>
      </c>
      <c r="C456" s="38" t="s">
        <v>1694</v>
      </c>
      <c r="D456" s="37">
        <v>962816976</v>
      </c>
      <c r="E456" s="37" t="s">
        <v>1695</v>
      </c>
      <c r="F456" s="37" t="s">
        <v>1696</v>
      </c>
      <c r="G456" s="39">
        <v>0</v>
      </c>
      <c r="H456" s="39">
        <v>0</v>
      </c>
    </row>
    <row r="457" spans="1:8" ht="15" hidden="1" x14ac:dyDescent="0.2">
      <c r="A457" s="19">
        <v>456</v>
      </c>
      <c r="B457" s="22" t="s">
        <v>1697</v>
      </c>
      <c r="C457" s="40" t="s">
        <v>1698</v>
      </c>
      <c r="D457" s="123">
        <v>346282979</v>
      </c>
      <c r="E457" s="124"/>
      <c r="F457" s="22" t="s">
        <v>1699</v>
      </c>
      <c r="G457" s="41">
        <v>0</v>
      </c>
      <c r="H457" s="41">
        <v>0</v>
      </c>
    </row>
    <row r="458" spans="1:8" ht="15" hidden="1" x14ac:dyDescent="0.2">
      <c r="A458" s="19">
        <v>457</v>
      </c>
      <c r="B458" s="37" t="s">
        <v>1700</v>
      </c>
      <c r="C458" s="38" t="s">
        <v>1701</v>
      </c>
      <c r="D458" s="37">
        <v>792188978</v>
      </c>
      <c r="E458" s="37" t="s">
        <v>1702</v>
      </c>
      <c r="F458" s="37" t="s">
        <v>1703</v>
      </c>
      <c r="G458" s="39">
        <v>0</v>
      </c>
      <c r="H458" s="39">
        <v>0</v>
      </c>
    </row>
    <row r="459" spans="1:8" ht="15" hidden="1" x14ac:dyDescent="0.2">
      <c r="A459" s="19">
        <v>458</v>
      </c>
      <c r="B459" s="22" t="s">
        <v>1704</v>
      </c>
      <c r="C459" s="40" t="s">
        <v>1705</v>
      </c>
      <c r="D459" s="22">
        <v>974381229</v>
      </c>
      <c r="E459" s="22" t="s">
        <v>1706</v>
      </c>
      <c r="F459" s="22" t="s">
        <v>1707</v>
      </c>
      <c r="G459" s="41">
        <v>0</v>
      </c>
      <c r="H459" s="41">
        <v>0</v>
      </c>
    </row>
    <row r="460" spans="1:8" ht="15" hidden="1" x14ac:dyDescent="0.2">
      <c r="A460" s="19">
        <v>459</v>
      </c>
      <c r="B460" s="37" t="s">
        <v>1708</v>
      </c>
      <c r="C460" s="38" t="s">
        <v>1709</v>
      </c>
      <c r="D460" s="37">
        <v>989357926</v>
      </c>
      <c r="E460" s="37" t="s">
        <v>1710</v>
      </c>
      <c r="F460" s="37" t="s">
        <v>1711</v>
      </c>
      <c r="G460" s="39">
        <v>0</v>
      </c>
      <c r="H460" s="39">
        <v>0</v>
      </c>
    </row>
    <row r="461" spans="1:8" ht="15" hidden="1" x14ac:dyDescent="0.2">
      <c r="A461" s="19">
        <v>460</v>
      </c>
      <c r="B461" s="22" t="s">
        <v>1712</v>
      </c>
      <c r="C461" s="40" t="s">
        <v>1713</v>
      </c>
      <c r="D461" s="22">
        <v>862011958</v>
      </c>
      <c r="E461" s="22" t="s">
        <v>1714</v>
      </c>
      <c r="F461" s="22" t="s">
        <v>1715</v>
      </c>
      <c r="G461" s="41">
        <v>0</v>
      </c>
      <c r="H461" s="41" t="s">
        <v>1716</v>
      </c>
    </row>
    <row r="462" spans="1:8" ht="15" hidden="1" x14ac:dyDescent="0.2">
      <c r="A462" s="19">
        <v>461</v>
      </c>
      <c r="B462" s="37" t="s">
        <v>1717</v>
      </c>
      <c r="C462" s="38" t="s">
        <v>1718</v>
      </c>
      <c r="D462" s="37">
        <v>839156557</v>
      </c>
      <c r="E462" s="37" t="s">
        <v>1719</v>
      </c>
      <c r="F462" s="37" t="s">
        <v>1720</v>
      </c>
      <c r="G462" s="39">
        <v>0</v>
      </c>
      <c r="H462" s="39">
        <v>0</v>
      </c>
    </row>
    <row r="463" spans="1:8" ht="15" hidden="1" x14ac:dyDescent="0.2">
      <c r="A463" s="19">
        <v>462</v>
      </c>
      <c r="B463" s="22" t="s">
        <v>1721</v>
      </c>
      <c r="C463" s="40" t="s">
        <v>1722</v>
      </c>
      <c r="D463" s="22">
        <v>981959095</v>
      </c>
      <c r="E463" s="22" t="s">
        <v>1723</v>
      </c>
      <c r="F463" s="22" t="s">
        <v>1724</v>
      </c>
      <c r="G463" s="41">
        <v>0</v>
      </c>
      <c r="H463" s="41">
        <v>0</v>
      </c>
    </row>
    <row r="464" spans="1:8" ht="15" hidden="1" x14ac:dyDescent="0.2">
      <c r="A464" s="19">
        <v>463</v>
      </c>
      <c r="B464" s="37" t="s">
        <v>1725</v>
      </c>
      <c r="C464" s="38" t="s">
        <v>1726</v>
      </c>
      <c r="D464" s="37">
        <v>916585661</v>
      </c>
      <c r="E464" s="37" t="s">
        <v>1727</v>
      </c>
      <c r="F464" s="37" t="s">
        <v>1728</v>
      </c>
      <c r="G464" s="39">
        <v>0</v>
      </c>
      <c r="H464" s="39">
        <v>0</v>
      </c>
    </row>
    <row r="465" spans="1:8" ht="15" hidden="1" x14ac:dyDescent="0.2">
      <c r="A465" s="19">
        <v>464</v>
      </c>
      <c r="B465" s="22" t="s">
        <v>1729</v>
      </c>
      <c r="C465" s="40" t="s">
        <v>1730</v>
      </c>
      <c r="D465" s="22">
        <v>912483124</v>
      </c>
      <c r="E465" s="22" t="s">
        <v>1731</v>
      </c>
      <c r="F465" s="22" t="s">
        <v>312</v>
      </c>
      <c r="G465" s="41">
        <v>0</v>
      </c>
      <c r="H465" s="41">
        <v>0</v>
      </c>
    </row>
    <row r="466" spans="1:8" ht="15" hidden="1" x14ac:dyDescent="0.2">
      <c r="A466" s="19">
        <v>465</v>
      </c>
      <c r="B466" s="37" t="s">
        <v>1732</v>
      </c>
      <c r="C466" s="38" t="s">
        <v>1733</v>
      </c>
      <c r="D466" s="37">
        <v>916617343</v>
      </c>
      <c r="E466" s="37" t="s">
        <v>1734</v>
      </c>
      <c r="F466" s="37" t="s">
        <v>1374</v>
      </c>
      <c r="G466" s="39">
        <v>0</v>
      </c>
      <c r="H466" s="39">
        <v>0</v>
      </c>
    </row>
    <row r="467" spans="1:8" ht="15" hidden="1" x14ac:dyDescent="0.2">
      <c r="A467" s="19">
        <v>466</v>
      </c>
      <c r="B467" s="22" t="s">
        <v>1735</v>
      </c>
      <c r="C467" s="40" t="s">
        <v>1736</v>
      </c>
      <c r="D467" s="22">
        <v>333327030</v>
      </c>
      <c r="E467" s="22" t="s">
        <v>1737</v>
      </c>
      <c r="F467" s="22" t="s">
        <v>1738</v>
      </c>
      <c r="G467" s="41">
        <v>0</v>
      </c>
      <c r="H467" s="41" t="s">
        <v>235</v>
      </c>
    </row>
    <row r="468" spans="1:8" ht="15" hidden="1" x14ac:dyDescent="0.2">
      <c r="A468" s="19">
        <v>467</v>
      </c>
      <c r="B468" s="37" t="s">
        <v>1739</v>
      </c>
      <c r="C468" s="38" t="s">
        <v>1740</v>
      </c>
      <c r="D468" s="37">
        <v>984753989</v>
      </c>
      <c r="E468" s="37" t="s">
        <v>1741</v>
      </c>
      <c r="F468" s="37" t="s">
        <v>1742</v>
      </c>
      <c r="G468" s="39">
        <v>0</v>
      </c>
      <c r="H468" s="39">
        <v>0</v>
      </c>
    </row>
    <row r="469" spans="1:8" ht="15" hidden="1" x14ac:dyDescent="0.2">
      <c r="A469" s="19">
        <v>468</v>
      </c>
      <c r="B469" s="22" t="s">
        <v>1743</v>
      </c>
      <c r="C469" s="40" t="s">
        <v>1744</v>
      </c>
      <c r="D469" s="22">
        <v>816654867</v>
      </c>
      <c r="E469" s="22" t="s">
        <v>1745</v>
      </c>
      <c r="F469" s="22" t="s">
        <v>1746</v>
      </c>
      <c r="G469" s="41">
        <v>0</v>
      </c>
      <c r="H469" s="41">
        <v>0</v>
      </c>
    </row>
    <row r="470" spans="1:8" ht="15" hidden="1" x14ac:dyDescent="0.2">
      <c r="A470" s="19">
        <v>469</v>
      </c>
      <c r="B470" s="37" t="s">
        <v>1747</v>
      </c>
      <c r="C470" s="38" t="s">
        <v>1748</v>
      </c>
      <c r="D470" s="37">
        <v>984648496</v>
      </c>
      <c r="E470" s="37" t="s">
        <v>1749</v>
      </c>
      <c r="F470" s="37" t="s">
        <v>1750</v>
      </c>
      <c r="G470" s="39">
        <v>0</v>
      </c>
      <c r="H470" s="39">
        <v>54</v>
      </c>
    </row>
    <row r="471" spans="1:8" ht="15" x14ac:dyDescent="0.2">
      <c r="A471" s="19">
        <v>470</v>
      </c>
      <c r="B471" s="22" t="s">
        <v>1751</v>
      </c>
      <c r="C471" s="40" t="s">
        <v>1752</v>
      </c>
      <c r="D471" s="22">
        <v>907383999</v>
      </c>
      <c r="E471" s="22" t="s">
        <v>1753</v>
      </c>
      <c r="F471" s="22" t="s">
        <v>1754</v>
      </c>
      <c r="G471" s="41">
        <v>8400000</v>
      </c>
      <c r="H471" s="41">
        <v>8400000</v>
      </c>
    </row>
    <row r="472" spans="1:8" ht="15" hidden="1" x14ac:dyDescent="0.2">
      <c r="A472" s="19">
        <v>471</v>
      </c>
      <c r="B472" s="37" t="s">
        <v>1755</v>
      </c>
      <c r="C472" s="38" t="s">
        <v>1756</v>
      </c>
      <c r="D472" s="37">
        <v>336180566</v>
      </c>
      <c r="E472" s="37" t="s">
        <v>1757</v>
      </c>
      <c r="F472" s="37" t="s">
        <v>1758</v>
      </c>
      <c r="G472" s="39">
        <v>0</v>
      </c>
      <c r="H472" s="39">
        <v>0</v>
      </c>
    </row>
    <row r="473" spans="1:8" ht="15" hidden="1" x14ac:dyDescent="0.2">
      <c r="A473" s="19">
        <v>472</v>
      </c>
      <c r="B473" s="22" t="s">
        <v>1759</v>
      </c>
      <c r="C473" s="40" t="s">
        <v>1760</v>
      </c>
      <c r="D473" s="22">
        <v>968886656</v>
      </c>
      <c r="E473" s="22" t="s">
        <v>1761</v>
      </c>
      <c r="F473" s="22" t="s">
        <v>1374</v>
      </c>
      <c r="G473" s="41">
        <v>0</v>
      </c>
      <c r="H473" s="41">
        <v>0</v>
      </c>
    </row>
    <row r="474" spans="1:8" ht="15" hidden="1" x14ac:dyDescent="0.2">
      <c r="A474" s="19">
        <v>473</v>
      </c>
      <c r="B474" s="37" t="s">
        <v>1762</v>
      </c>
      <c r="C474" s="38" t="s">
        <v>1763</v>
      </c>
      <c r="D474" s="37">
        <v>969021398</v>
      </c>
      <c r="E474" s="37" t="s">
        <v>1764</v>
      </c>
      <c r="F474" s="37" t="s">
        <v>1765</v>
      </c>
      <c r="G474" s="39">
        <v>0</v>
      </c>
      <c r="H474" s="39" t="s">
        <v>1766</v>
      </c>
    </row>
    <row r="475" spans="1:8" ht="15" hidden="1" x14ac:dyDescent="0.2">
      <c r="A475" s="19">
        <v>474</v>
      </c>
      <c r="B475" s="22" t="s">
        <v>1767</v>
      </c>
      <c r="C475" s="40" t="s">
        <v>1768</v>
      </c>
      <c r="D475" s="22">
        <v>969023333</v>
      </c>
      <c r="E475" s="22" t="s">
        <v>1769</v>
      </c>
      <c r="F475" s="22" t="s">
        <v>1374</v>
      </c>
      <c r="G475" s="41">
        <v>0</v>
      </c>
      <c r="H475" s="41">
        <v>0</v>
      </c>
    </row>
    <row r="476" spans="1:8" ht="15" hidden="1" x14ac:dyDescent="0.2">
      <c r="A476" s="19">
        <v>475</v>
      </c>
      <c r="B476" s="37" t="s">
        <v>1770</v>
      </c>
      <c r="C476" s="38" t="s">
        <v>1771</v>
      </c>
      <c r="D476" s="37">
        <f>84969684282</f>
        <v>84969684282</v>
      </c>
      <c r="E476" s="37" t="s">
        <v>1772</v>
      </c>
      <c r="F476" s="37" t="s">
        <v>1773</v>
      </c>
      <c r="G476" s="39">
        <v>0</v>
      </c>
      <c r="H476" s="39">
        <v>0</v>
      </c>
    </row>
    <row r="477" spans="1:8" ht="15" hidden="1" x14ac:dyDescent="0.2">
      <c r="A477" s="19">
        <v>476</v>
      </c>
      <c r="B477" s="22" t="s">
        <v>1774</v>
      </c>
      <c r="C477" s="40" t="s">
        <v>1775</v>
      </c>
      <c r="D477" s="22">
        <v>966218898</v>
      </c>
      <c r="E477" s="22" t="s">
        <v>1776</v>
      </c>
      <c r="F477" s="22" t="s">
        <v>1777</v>
      </c>
      <c r="G477" s="41" t="s">
        <v>1778</v>
      </c>
      <c r="H477" s="41" t="s">
        <v>1779</v>
      </c>
    </row>
    <row r="478" spans="1:8" ht="15" hidden="1" x14ac:dyDescent="0.2">
      <c r="A478" s="19">
        <v>477</v>
      </c>
      <c r="B478" s="37" t="s">
        <v>1780</v>
      </c>
      <c r="C478" s="38" t="s">
        <v>1781</v>
      </c>
      <c r="D478" s="37">
        <v>924222149</v>
      </c>
      <c r="E478" s="37" t="s">
        <v>1782</v>
      </c>
      <c r="F478" s="37" t="s">
        <v>188</v>
      </c>
      <c r="G478" s="39">
        <v>0</v>
      </c>
      <c r="H478" s="39">
        <v>0</v>
      </c>
    </row>
    <row r="479" spans="1:8" ht="15" hidden="1" x14ac:dyDescent="0.2">
      <c r="A479" s="19">
        <v>478</v>
      </c>
      <c r="B479" s="22" t="s">
        <v>1783</v>
      </c>
      <c r="C479" s="40" t="s">
        <v>1784</v>
      </c>
      <c r="D479" s="22">
        <v>366952927</v>
      </c>
      <c r="E479" s="22" t="s">
        <v>1785</v>
      </c>
      <c r="F479" s="22" t="s">
        <v>1786</v>
      </c>
      <c r="G479" s="41">
        <v>0</v>
      </c>
      <c r="H479" s="41">
        <v>0</v>
      </c>
    </row>
    <row r="480" spans="1:8" ht="15" hidden="1" x14ac:dyDescent="0.2">
      <c r="A480" s="19">
        <v>479</v>
      </c>
      <c r="B480" s="37" t="s">
        <v>1787</v>
      </c>
      <c r="C480" s="38" t="s">
        <v>1788</v>
      </c>
      <c r="D480" s="37">
        <v>936169907</v>
      </c>
      <c r="E480" s="37" t="s">
        <v>1789</v>
      </c>
      <c r="F480" s="37" t="s">
        <v>1374</v>
      </c>
      <c r="G480" s="39">
        <v>0</v>
      </c>
      <c r="H480" s="39">
        <v>0</v>
      </c>
    </row>
    <row r="481" spans="1:8" ht="15" hidden="1" x14ac:dyDescent="0.2">
      <c r="A481" s="19">
        <v>480</v>
      </c>
      <c r="B481" s="22" t="s">
        <v>1790</v>
      </c>
      <c r="C481" s="40" t="s">
        <v>1791</v>
      </c>
      <c r="D481" s="22">
        <v>378180345</v>
      </c>
      <c r="E481" s="22" t="s">
        <v>1792</v>
      </c>
      <c r="F481" s="22" t="s">
        <v>570</v>
      </c>
      <c r="G481" s="41">
        <v>0</v>
      </c>
      <c r="H481" s="41">
        <v>0</v>
      </c>
    </row>
    <row r="482" spans="1:8" ht="15" hidden="1" x14ac:dyDescent="0.2">
      <c r="A482" s="19">
        <v>481</v>
      </c>
      <c r="B482" s="37" t="s">
        <v>1793</v>
      </c>
      <c r="C482" s="38" t="s">
        <v>1794</v>
      </c>
      <c r="D482" s="37">
        <v>966151898</v>
      </c>
      <c r="E482" s="37" t="s">
        <v>1795</v>
      </c>
      <c r="F482" s="37" t="s">
        <v>265</v>
      </c>
      <c r="G482" s="39">
        <v>-570</v>
      </c>
      <c r="H482" s="39">
        <v>0</v>
      </c>
    </row>
    <row r="483" spans="1:8" ht="15" hidden="1" x14ac:dyDescent="0.2">
      <c r="A483" s="19">
        <v>482</v>
      </c>
      <c r="B483" s="22" t="s">
        <v>1796</v>
      </c>
      <c r="C483" s="40" t="s">
        <v>1797</v>
      </c>
      <c r="D483" s="22">
        <v>975521256</v>
      </c>
      <c r="E483" s="22" t="s">
        <v>1798</v>
      </c>
      <c r="F483" s="43"/>
      <c r="G483" s="41">
        <v>0</v>
      </c>
      <c r="H483" s="41">
        <v>0</v>
      </c>
    </row>
    <row r="484" spans="1:8" ht="15" hidden="1" x14ac:dyDescent="0.2">
      <c r="A484" s="19">
        <v>483</v>
      </c>
      <c r="B484" s="37" t="s">
        <v>1799</v>
      </c>
      <c r="C484" s="38" t="s">
        <v>1800</v>
      </c>
      <c r="D484" s="37">
        <v>353045317</v>
      </c>
      <c r="E484" s="37" t="s">
        <v>1801</v>
      </c>
      <c r="F484" s="37" t="s">
        <v>1802</v>
      </c>
      <c r="G484" s="39">
        <v>0</v>
      </c>
      <c r="H484" s="39">
        <v>0</v>
      </c>
    </row>
    <row r="485" spans="1:8" ht="15" hidden="1" x14ac:dyDescent="0.2">
      <c r="A485" s="19">
        <v>484</v>
      </c>
      <c r="B485" s="22" t="s">
        <v>1803</v>
      </c>
      <c r="C485" s="40" t="s">
        <v>1804</v>
      </c>
      <c r="D485" s="22"/>
      <c r="E485" s="22" t="s">
        <v>1805</v>
      </c>
      <c r="F485" s="22" t="s">
        <v>1806</v>
      </c>
      <c r="G485" s="41">
        <v>0</v>
      </c>
      <c r="H485" s="41">
        <v>0</v>
      </c>
    </row>
    <row r="486" spans="1:8" ht="15" hidden="1" x14ac:dyDescent="0.2">
      <c r="A486" s="19">
        <v>485</v>
      </c>
      <c r="B486" s="37" t="s">
        <v>1807</v>
      </c>
      <c r="C486" s="38" t="s">
        <v>1808</v>
      </c>
      <c r="D486" s="37">
        <v>973351189</v>
      </c>
      <c r="E486" s="37" t="s">
        <v>1809</v>
      </c>
      <c r="F486" s="37" t="s">
        <v>378</v>
      </c>
      <c r="G486" s="39">
        <v>0</v>
      </c>
      <c r="H486" s="39" t="s">
        <v>1810</v>
      </c>
    </row>
    <row r="487" spans="1:8" ht="15" hidden="1" x14ac:dyDescent="0.2">
      <c r="A487" s="19">
        <v>486</v>
      </c>
      <c r="B487" s="22" t="s">
        <v>1811</v>
      </c>
      <c r="C487" s="40" t="s">
        <v>1812</v>
      </c>
      <c r="D487" s="22">
        <v>984288722</v>
      </c>
      <c r="E487" s="22" t="s">
        <v>1813</v>
      </c>
      <c r="F487" s="22" t="s">
        <v>1374</v>
      </c>
      <c r="G487" s="41">
        <v>0</v>
      </c>
      <c r="H487" s="41">
        <v>0</v>
      </c>
    </row>
    <row r="488" spans="1:8" ht="15" hidden="1" x14ac:dyDescent="0.2">
      <c r="A488" s="19">
        <v>487</v>
      </c>
      <c r="B488" s="37" t="s">
        <v>1814</v>
      </c>
      <c r="C488" s="38" t="s">
        <v>1815</v>
      </c>
      <c r="D488" s="37">
        <v>988202948</v>
      </c>
      <c r="E488" s="37" t="s">
        <v>1816</v>
      </c>
      <c r="F488" s="37" t="s">
        <v>1817</v>
      </c>
      <c r="G488" s="39">
        <v>0</v>
      </c>
      <c r="H488" s="39">
        <v>0</v>
      </c>
    </row>
    <row r="489" spans="1:8" ht="15" hidden="1" x14ac:dyDescent="0.2">
      <c r="A489" s="19">
        <v>488</v>
      </c>
      <c r="B489" s="22" t="s">
        <v>1818</v>
      </c>
      <c r="C489" s="40" t="s">
        <v>1819</v>
      </c>
      <c r="D489" s="22"/>
      <c r="E489" s="22" t="s">
        <v>1820</v>
      </c>
      <c r="F489" s="22" t="s">
        <v>1817</v>
      </c>
      <c r="G489" s="41">
        <v>0</v>
      </c>
      <c r="H489" s="41">
        <v>0</v>
      </c>
    </row>
    <row r="490" spans="1:8" ht="15" hidden="1" x14ac:dyDescent="0.2">
      <c r="A490" s="19">
        <v>489</v>
      </c>
      <c r="B490" s="37" t="s">
        <v>1821</v>
      </c>
      <c r="C490" s="38" t="s">
        <v>1822</v>
      </c>
      <c r="D490" s="37">
        <v>976353050</v>
      </c>
      <c r="E490" s="37" t="s">
        <v>1823</v>
      </c>
      <c r="F490" s="37" t="s">
        <v>1824</v>
      </c>
      <c r="G490" s="39">
        <v>0</v>
      </c>
      <c r="H490" s="39">
        <v>0</v>
      </c>
    </row>
    <row r="491" spans="1:8" ht="15" hidden="1" x14ac:dyDescent="0.2">
      <c r="A491" s="19">
        <v>490</v>
      </c>
      <c r="B491" s="22" t="s">
        <v>1825</v>
      </c>
      <c r="C491" s="40" t="s">
        <v>1826</v>
      </c>
      <c r="D491" s="22">
        <v>382448189</v>
      </c>
      <c r="E491" s="22" t="s">
        <v>1827</v>
      </c>
      <c r="F491" s="22" t="s">
        <v>1828</v>
      </c>
      <c r="G491" s="41">
        <v>0</v>
      </c>
      <c r="H491" s="41">
        <v>0</v>
      </c>
    </row>
    <row r="492" spans="1:8" ht="15" hidden="1" x14ac:dyDescent="0.2">
      <c r="A492" s="19">
        <v>491</v>
      </c>
      <c r="B492" s="37" t="s">
        <v>1829</v>
      </c>
      <c r="C492" s="38" t="s">
        <v>1830</v>
      </c>
      <c r="D492" s="37">
        <v>369958979</v>
      </c>
      <c r="E492" s="37" t="s">
        <v>1831</v>
      </c>
      <c r="F492" s="37" t="s">
        <v>1832</v>
      </c>
      <c r="G492" s="39">
        <v>0</v>
      </c>
      <c r="H492" s="39">
        <v>0</v>
      </c>
    </row>
    <row r="493" spans="1:8" ht="15" hidden="1" x14ac:dyDescent="0.2">
      <c r="A493" s="19">
        <v>492</v>
      </c>
      <c r="B493" s="22" t="s">
        <v>1833</v>
      </c>
      <c r="C493" s="40" t="s">
        <v>1834</v>
      </c>
      <c r="D493" s="123">
        <v>942793988</v>
      </c>
      <c r="E493" s="124"/>
      <c r="F493" s="22" t="s">
        <v>1835</v>
      </c>
      <c r="G493" s="41">
        <v>0</v>
      </c>
      <c r="H493" s="41">
        <v>0</v>
      </c>
    </row>
    <row r="494" spans="1:8" ht="15" hidden="1" x14ac:dyDescent="0.2">
      <c r="A494" s="19">
        <v>493</v>
      </c>
      <c r="B494" s="37" t="s">
        <v>1836</v>
      </c>
      <c r="C494" s="38" t="s">
        <v>1837</v>
      </c>
      <c r="D494" s="37">
        <v>904572548</v>
      </c>
      <c r="E494" s="37" t="s">
        <v>1838</v>
      </c>
      <c r="F494" s="37" t="s">
        <v>763</v>
      </c>
      <c r="G494" s="39">
        <v>0</v>
      </c>
      <c r="H494" s="39">
        <v>0</v>
      </c>
    </row>
    <row r="495" spans="1:8" ht="15" hidden="1" x14ac:dyDescent="0.2">
      <c r="A495" s="19">
        <v>494</v>
      </c>
      <c r="B495" s="22" t="s">
        <v>1839</v>
      </c>
      <c r="C495" s="40" t="s">
        <v>1840</v>
      </c>
      <c r="D495" s="22">
        <v>338221755</v>
      </c>
      <c r="E495" s="22" t="s">
        <v>1841</v>
      </c>
      <c r="F495" s="22" t="s">
        <v>1842</v>
      </c>
      <c r="G495" s="41">
        <v>0</v>
      </c>
      <c r="H495" s="41">
        <v>0</v>
      </c>
    </row>
    <row r="496" spans="1:8" ht="15" hidden="1" x14ac:dyDescent="0.2">
      <c r="A496" s="19">
        <v>495</v>
      </c>
      <c r="B496" s="37" t="s">
        <v>1843</v>
      </c>
      <c r="C496" s="38" t="s">
        <v>1844</v>
      </c>
      <c r="D496" s="37">
        <v>372975069</v>
      </c>
      <c r="E496" s="37" t="s">
        <v>1845</v>
      </c>
      <c r="F496" s="37" t="s">
        <v>1489</v>
      </c>
      <c r="G496" s="39">
        <v>0</v>
      </c>
      <c r="H496" s="39">
        <v>0</v>
      </c>
    </row>
    <row r="497" spans="1:8" ht="15" x14ac:dyDescent="0.2">
      <c r="A497" s="19">
        <v>496</v>
      </c>
      <c r="B497" s="22" t="s">
        <v>1846</v>
      </c>
      <c r="C497" s="40" t="s">
        <v>1847</v>
      </c>
      <c r="D497" s="22">
        <v>963672000</v>
      </c>
      <c r="E497" s="22" t="s">
        <v>1848</v>
      </c>
      <c r="F497" s="22" t="s">
        <v>1688</v>
      </c>
      <c r="G497" s="41">
        <v>758.5</v>
      </c>
      <c r="H497" s="41">
        <v>0</v>
      </c>
    </row>
    <row r="498" spans="1:8" ht="15" hidden="1" x14ac:dyDescent="0.2">
      <c r="A498" s="19">
        <v>497</v>
      </c>
      <c r="B498" s="37" t="s">
        <v>1849</v>
      </c>
      <c r="C498" s="38" t="s">
        <v>1850</v>
      </c>
      <c r="D498" s="37">
        <v>963827088</v>
      </c>
      <c r="E498" s="37" t="s">
        <v>1851</v>
      </c>
      <c r="F498" s="37" t="s">
        <v>1051</v>
      </c>
      <c r="G498" s="39">
        <v>0</v>
      </c>
      <c r="H498" s="39">
        <v>0</v>
      </c>
    </row>
    <row r="499" spans="1:8" ht="15" hidden="1" x14ac:dyDescent="0.2">
      <c r="A499" s="19">
        <v>498</v>
      </c>
      <c r="B499" s="22" t="s">
        <v>1852</v>
      </c>
      <c r="C499" s="40" t="s">
        <v>1853</v>
      </c>
      <c r="D499" s="22">
        <v>334401577</v>
      </c>
      <c r="E499" s="22" t="s">
        <v>1854</v>
      </c>
      <c r="F499" s="22" t="s">
        <v>180</v>
      </c>
      <c r="G499" s="41">
        <v>0</v>
      </c>
      <c r="H499" s="41">
        <v>0</v>
      </c>
    </row>
    <row r="500" spans="1:8" ht="15" hidden="1" x14ac:dyDescent="0.2">
      <c r="A500" s="19">
        <v>499</v>
      </c>
      <c r="B500" s="37" t="s">
        <v>1855</v>
      </c>
      <c r="C500" s="38" t="s">
        <v>1856</v>
      </c>
      <c r="D500" s="37">
        <v>976216785</v>
      </c>
      <c r="E500" s="37" t="s">
        <v>1857</v>
      </c>
      <c r="F500" s="37" t="s">
        <v>1858</v>
      </c>
      <c r="G500" s="39">
        <v>0</v>
      </c>
      <c r="H500" s="39">
        <v>0</v>
      </c>
    </row>
    <row r="501" spans="1:8" ht="15" hidden="1" x14ac:dyDescent="0.2">
      <c r="A501" s="19">
        <v>500</v>
      </c>
      <c r="B501" s="22" t="s">
        <v>1859</v>
      </c>
      <c r="C501" s="40" t="s">
        <v>1860</v>
      </c>
      <c r="D501" s="22">
        <v>916426169</v>
      </c>
      <c r="E501" s="22" t="s">
        <v>1861</v>
      </c>
      <c r="F501" s="22" t="s">
        <v>1862</v>
      </c>
      <c r="G501" s="41">
        <v>0</v>
      </c>
      <c r="H501" s="41">
        <v>0</v>
      </c>
    </row>
    <row r="502" spans="1:8" ht="15" hidden="1" x14ac:dyDescent="0.2">
      <c r="A502" s="19">
        <v>501</v>
      </c>
      <c r="B502" s="37" t="s">
        <v>1863</v>
      </c>
      <c r="C502" s="38" t="s">
        <v>1864</v>
      </c>
      <c r="D502" s="37">
        <v>976297679</v>
      </c>
      <c r="E502" s="37" t="s">
        <v>1865</v>
      </c>
      <c r="F502" s="37" t="s">
        <v>1866</v>
      </c>
      <c r="G502" s="39">
        <v>0</v>
      </c>
      <c r="H502" s="39">
        <v>0</v>
      </c>
    </row>
    <row r="503" spans="1:8" ht="15" hidden="1" x14ac:dyDescent="0.2">
      <c r="A503" s="19">
        <v>502</v>
      </c>
      <c r="B503" s="22" t="s">
        <v>1867</v>
      </c>
      <c r="C503" s="40" t="s">
        <v>1868</v>
      </c>
      <c r="D503" s="22">
        <v>986511713</v>
      </c>
      <c r="E503" s="22" t="s">
        <v>1869</v>
      </c>
      <c r="F503" s="22" t="s">
        <v>1817</v>
      </c>
      <c r="G503" s="41">
        <v>0</v>
      </c>
      <c r="H503" s="41">
        <v>0</v>
      </c>
    </row>
    <row r="504" spans="1:8" ht="15" hidden="1" x14ac:dyDescent="0.2">
      <c r="A504" s="19">
        <v>503</v>
      </c>
      <c r="B504" s="37" t="s">
        <v>1870</v>
      </c>
      <c r="C504" s="38" t="s">
        <v>1871</v>
      </c>
      <c r="D504" s="37">
        <v>387637688</v>
      </c>
      <c r="E504" s="37" t="s">
        <v>1872</v>
      </c>
      <c r="F504" s="37" t="s">
        <v>1873</v>
      </c>
      <c r="G504" s="39">
        <v>0</v>
      </c>
      <c r="H504" s="39">
        <v>0</v>
      </c>
    </row>
    <row r="505" spans="1:8" ht="15" hidden="1" x14ac:dyDescent="0.2">
      <c r="A505" s="19">
        <v>504</v>
      </c>
      <c r="B505" s="22" t="s">
        <v>1874</v>
      </c>
      <c r="C505" s="40" t="s">
        <v>620</v>
      </c>
      <c r="D505" s="22">
        <v>399888800</v>
      </c>
      <c r="E505" s="22" t="s">
        <v>1875</v>
      </c>
      <c r="F505" s="22" t="s">
        <v>378</v>
      </c>
      <c r="G505" s="41" t="s">
        <v>1876</v>
      </c>
      <c r="H505" s="41" t="s">
        <v>1877</v>
      </c>
    </row>
    <row r="506" spans="1:8" ht="15" hidden="1" x14ac:dyDescent="0.2">
      <c r="A506" s="19">
        <v>505</v>
      </c>
      <c r="B506" s="37" t="s">
        <v>1878</v>
      </c>
      <c r="C506" s="38" t="s">
        <v>1879</v>
      </c>
      <c r="D506" s="125">
        <v>984344565</v>
      </c>
      <c r="E506" s="124"/>
      <c r="F506" s="37" t="s">
        <v>1880</v>
      </c>
      <c r="G506" s="39">
        <v>0</v>
      </c>
      <c r="H506" s="39">
        <v>0</v>
      </c>
    </row>
    <row r="507" spans="1:8" ht="15" hidden="1" x14ac:dyDescent="0.2">
      <c r="A507" s="19">
        <v>506</v>
      </c>
      <c r="B507" s="22" t="s">
        <v>1881</v>
      </c>
      <c r="C507" s="40" t="s">
        <v>1882</v>
      </c>
      <c r="D507" s="22">
        <v>397639999</v>
      </c>
      <c r="E507" s="22" t="s">
        <v>1883</v>
      </c>
      <c r="F507" s="22" t="s">
        <v>1884</v>
      </c>
      <c r="G507" s="41">
        <v>0</v>
      </c>
      <c r="H507" s="41">
        <v>0</v>
      </c>
    </row>
    <row r="508" spans="1:8" ht="15" hidden="1" x14ac:dyDescent="0.2">
      <c r="A508" s="19">
        <v>507</v>
      </c>
      <c r="B508" s="37" t="s">
        <v>1885</v>
      </c>
      <c r="C508" s="38" t="s">
        <v>1886</v>
      </c>
      <c r="D508" s="37">
        <v>963507894</v>
      </c>
      <c r="E508" s="37" t="s">
        <v>1887</v>
      </c>
      <c r="F508" s="37" t="s">
        <v>1888</v>
      </c>
      <c r="G508" s="39">
        <v>0</v>
      </c>
      <c r="H508" s="39">
        <v>0</v>
      </c>
    </row>
    <row r="509" spans="1:8" ht="15" hidden="1" x14ac:dyDescent="0.2">
      <c r="A509" s="19">
        <v>508</v>
      </c>
      <c r="B509" s="22" t="s">
        <v>1889</v>
      </c>
      <c r="C509" s="40" t="s">
        <v>1890</v>
      </c>
      <c r="D509" s="22" t="s">
        <v>1891</v>
      </c>
      <c r="E509" s="22" t="s">
        <v>1892</v>
      </c>
      <c r="F509" s="22" t="s">
        <v>1893</v>
      </c>
      <c r="G509" s="41">
        <v>0</v>
      </c>
      <c r="H509" s="41" t="s">
        <v>1894</v>
      </c>
    </row>
    <row r="510" spans="1:8" ht="15" hidden="1" x14ac:dyDescent="0.2">
      <c r="A510" s="19">
        <v>509</v>
      </c>
      <c r="B510" s="37" t="s">
        <v>1895</v>
      </c>
      <c r="C510" s="38" t="s">
        <v>1896</v>
      </c>
      <c r="D510" s="37"/>
      <c r="E510" s="37" t="s">
        <v>1897</v>
      </c>
      <c r="F510" s="37" t="s">
        <v>1898</v>
      </c>
      <c r="G510" s="39">
        <v>0</v>
      </c>
      <c r="H510" s="39">
        <v>0</v>
      </c>
    </row>
    <row r="511" spans="1:8" ht="15" hidden="1" x14ac:dyDescent="0.2">
      <c r="A511" s="19">
        <v>510</v>
      </c>
      <c r="B511" s="22" t="s">
        <v>1899</v>
      </c>
      <c r="C511" s="40" t="s">
        <v>1900</v>
      </c>
      <c r="D511" s="123"/>
      <c r="E511" s="124"/>
      <c r="F511" s="22" t="s">
        <v>1901</v>
      </c>
      <c r="G511" s="41">
        <v>0</v>
      </c>
      <c r="H511" s="41">
        <v>0</v>
      </c>
    </row>
    <row r="512" spans="1:8" ht="15" hidden="1" x14ac:dyDescent="0.2">
      <c r="A512" s="19">
        <v>511</v>
      </c>
      <c r="B512" s="37" t="s">
        <v>1902</v>
      </c>
      <c r="C512" s="38" t="s">
        <v>1903</v>
      </c>
      <c r="D512" s="37">
        <v>909449398</v>
      </c>
      <c r="E512" s="37" t="s">
        <v>1904</v>
      </c>
      <c r="F512" s="37" t="s">
        <v>1905</v>
      </c>
      <c r="G512" s="39">
        <v>0</v>
      </c>
      <c r="H512" s="39" t="s">
        <v>1906</v>
      </c>
    </row>
    <row r="513" spans="1:8" ht="15" hidden="1" x14ac:dyDescent="0.2">
      <c r="A513" s="19">
        <v>512</v>
      </c>
      <c r="B513" s="22" t="s">
        <v>1907</v>
      </c>
      <c r="C513" s="40" t="s">
        <v>1908</v>
      </c>
      <c r="D513" s="123"/>
      <c r="E513" s="124"/>
      <c r="F513" s="22" t="s">
        <v>1688</v>
      </c>
      <c r="G513" s="41">
        <v>0</v>
      </c>
      <c r="H513" s="41">
        <v>0</v>
      </c>
    </row>
    <row r="514" spans="1:8" ht="15" hidden="1" x14ac:dyDescent="0.2">
      <c r="A514" s="19">
        <v>513</v>
      </c>
      <c r="B514" s="37" t="s">
        <v>1909</v>
      </c>
      <c r="C514" s="38" t="s">
        <v>1910</v>
      </c>
      <c r="D514" s="37">
        <v>357036994</v>
      </c>
      <c r="E514" s="37" t="s">
        <v>1911</v>
      </c>
      <c r="F514" s="37" t="s">
        <v>1912</v>
      </c>
      <c r="G514" s="39">
        <v>0</v>
      </c>
      <c r="H514" s="39">
        <v>0</v>
      </c>
    </row>
    <row r="515" spans="1:8" ht="15" hidden="1" x14ac:dyDescent="0.2">
      <c r="A515" s="19">
        <v>514</v>
      </c>
      <c r="B515" s="22" t="s">
        <v>1913</v>
      </c>
      <c r="C515" s="40" t="s">
        <v>1914</v>
      </c>
      <c r="D515" s="22">
        <v>328744886</v>
      </c>
      <c r="E515" s="22" t="s">
        <v>1915</v>
      </c>
      <c r="F515" s="22" t="s">
        <v>1374</v>
      </c>
      <c r="G515" s="41">
        <v>0</v>
      </c>
      <c r="H515" s="41">
        <v>0</v>
      </c>
    </row>
    <row r="516" spans="1:8" ht="15" hidden="1" x14ac:dyDescent="0.2">
      <c r="A516" s="19">
        <v>515</v>
      </c>
      <c r="B516" s="37" t="s">
        <v>1916</v>
      </c>
      <c r="C516" s="38" t="s">
        <v>1917</v>
      </c>
      <c r="D516" s="37">
        <v>973520554</v>
      </c>
      <c r="E516" s="37" t="s">
        <v>1918</v>
      </c>
      <c r="F516" s="37" t="s">
        <v>1919</v>
      </c>
      <c r="G516" s="39">
        <v>0</v>
      </c>
      <c r="H516" s="39">
        <v>0</v>
      </c>
    </row>
    <row r="517" spans="1:8" ht="15" hidden="1" x14ac:dyDescent="0.2">
      <c r="A517" s="19">
        <v>516</v>
      </c>
      <c r="B517" s="22" t="s">
        <v>1920</v>
      </c>
      <c r="C517" s="40" t="s">
        <v>1921</v>
      </c>
      <c r="D517" s="22">
        <v>917049490</v>
      </c>
      <c r="E517" s="22" t="s">
        <v>1922</v>
      </c>
      <c r="F517" s="22" t="s">
        <v>1923</v>
      </c>
      <c r="G517" s="41">
        <v>0</v>
      </c>
      <c r="H517" s="41">
        <v>0</v>
      </c>
    </row>
    <row r="518" spans="1:8" ht="15" hidden="1" x14ac:dyDescent="0.2">
      <c r="A518" s="19">
        <v>517</v>
      </c>
      <c r="B518" s="37" t="s">
        <v>1924</v>
      </c>
      <c r="C518" s="38" t="s">
        <v>1925</v>
      </c>
      <c r="D518" s="37">
        <v>393930902</v>
      </c>
      <c r="E518" s="37" t="s">
        <v>1926</v>
      </c>
      <c r="F518" s="37" t="s">
        <v>1927</v>
      </c>
      <c r="G518" s="39">
        <v>0</v>
      </c>
      <c r="H518" s="39">
        <v>0</v>
      </c>
    </row>
    <row r="519" spans="1:8" ht="15" hidden="1" x14ac:dyDescent="0.2">
      <c r="A519" s="19">
        <v>518</v>
      </c>
      <c r="B519" s="22" t="s">
        <v>1928</v>
      </c>
      <c r="C519" s="40" t="s">
        <v>1929</v>
      </c>
      <c r="D519" s="22">
        <v>849999078</v>
      </c>
      <c r="E519" s="22" t="s">
        <v>1930</v>
      </c>
      <c r="F519" s="22" t="s">
        <v>188</v>
      </c>
      <c r="G519" s="41">
        <v>0</v>
      </c>
      <c r="H519" s="41">
        <v>0</v>
      </c>
    </row>
    <row r="520" spans="1:8" ht="15" hidden="1" x14ac:dyDescent="0.2">
      <c r="A520" s="19">
        <v>519</v>
      </c>
      <c r="B520" s="37" t="s">
        <v>1931</v>
      </c>
      <c r="C520" s="38" t="s">
        <v>1932</v>
      </c>
      <c r="D520" s="37">
        <v>989274776</v>
      </c>
      <c r="E520" s="37" t="s">
        <v>1933</v>
      </c>
      <c r="F520" s="37" t="s">
        <v>1934</v>
      </c>
      <c r="G520" s="39">
        <v>0</v>
      </c>
      <c r="H520" s="39">
        <v>0</v>
      </c>
    </row>
    <row r="521" spans="1:8" ht="15" hidden="1" x14ac:dyDescent="0.2">
      <c r="A521" s="19">
        <v>520</v>
      </c>
      <c r="B521" s="22" t="s">
        <v>1935</v>
      </c>
      <c r="C521" s="40" t="s">
        <v>1936</v>
      </c>
      <c r="D521" s="22">
        <v>988830381</v>
      </c>
      <c r="E521" s="22" t="s">
        <v>1937</v>
      </c>
      <c r="F521" s="22" t="s">
        <v>1938</v>
      </c>
      <c r="G521" s="41">
        <v>0</v>
      </c>
      <c r="H521" s="41">
        <v>0</v>
      </c>
    </row>
    <row r="522" spans="1:8" ht="15" hidden="1" x14ac:dyDescent="0.2">
      <c r="A522" s="19">
        <v>521</v>
      </c>
      <c r="B522" s="37" t="s">
        <v>1939</v>
      </c>
      <c r="C522" s="38" t="s">
        <v>1940</v>
      </c>
      <c r="D522" s="37">
        <v>934999987</v>
      </c>
      <c r="E522" s="37" t="s">
        <v>1941</v>
      </c>
      <c r="F522" s="37" t="s">
        <v>1942</v>
      </c>
      <c r="G522" s="39">
        <v>0</v>
      </c>
      <c r="H522" s="39" t="s">
        <v>1943</v>
      </c>
    </row>
    <row r="523" spans="1:8" ht="15" hidden="1" x14ac:dyDescent="0.2">
      <c r="A523" s="19">
        <v>522</v>
      </c>
      <c r="B523" s="22" t="s">
        <v>1944</v>
      </c>
      <c r="C523" s="40" t="s">
        <v>1945</v>
      </c>
      <c r="D523" s="22">
        <v>333451832</v>
      </c>
      <c r="E523" s="22" t="s">
        <v>1946</v>
      </c>
      <c r="F523" s="22" t="s">
        <v>1947</v>
      </c>
      <c r="G523" s="41">
        <v>0</v>
      </c>
      <c r="H523" s="41">
        <v>0</v>
      </c>
    </row>
    <row r="524" spans="1:8" ht="15" hidden="1" x14ac:dyDescent="0.2">
      <c r="A524" s="19">
        <v>523</v>
      </c>
      <c r="B524" s="37" t="s">
        <v>1948</v>
      </c>
      <c r="C524" s="38" t="s">
        <v>1949</v>
      </c>
      <c r="D524" s="37">
        <v>985028818</v>
      </c>
      <c r="E524" s="37" t="s">
        <v>1950</v>
      </c>
      <c r="F524" s="37" t="s">
        <v>1951</v>
      </c>
      <c r="G524" s="39">
        <v>0</v>
      </c>
      <c r="H524" s="39" t="s">
        <v>1952</v>
      </c>
    </row>
    <row r="525" spans="1:8" ht="15" hidden="1" x14ac:dyDescent="0.2">
      <c r="A525" s="19">
        <v>524</v>
      </c>
      <c r="B525" s="22" t="s">
        <v>1953</v>
      </c>
      <c r="C525" s="40" t="s">
        <v>1954</v>
      </c>
      <c r="D525" s="22">
        <v>978003286</v>
      </c>
      <c r="E525" s="22" t="s">
        <v>1955</v>
      </c>
      <c r="F525" s="22" t="s">
        <v>1956</v>
      </c>
      <c r="G525" s="41">
        <v>0</v>
      </c>
      <c r="H525" s="41">
        <v>0</v>
      </c>
    </row>
    <row r="526" spans="1:8" ht="15" hidden="1" x14ac:dyDescent="0.2">
      <c r="A526" s="19">
        <v>525</v>
      </c>
      <c r="B526" s="37" t="s">
        <v>1957</v>
      </c>
      <c r="C526" s="38" t="s">
        <v>1958</v>
      </c>
      <c r="D526" s="37">
        <v>377465725</v>
      </c>
      <c r="E526" s="37" t="s">
        <v>1959</v>
      </c>
      <c r="F526" s="37" t="s">
        <v>1960</v>
      </c>
      <c r="G526" s="39">
        <v>0</v>
      </c>
      <c r="H526" s="39">
        <v>0</v>
      </c>
    </row>
    <row r="527" spans="1:8" ht="15" hidden="1" x14ac:dyDescent="0.2">
      <c r="A527" s="19">
        <v>526</v>
      </c>
      <c r="B527" s="22" t="s">
        <v>1961</v>
      </c>
      <c r="C527" s="40" t="s">
        <v>1962</v>
      </c>
      <c r="D527" s="22">
        <v>989077467</v>
      </c>
      <c r="E527" s="22" t="s">
        <v>1963</v>
      </c>
      <c r="F527" s="22" t="s">
        <v>1964</v>
      </c>
      <c r="G527" s="41">
        <v>0</v>
      </c>
      <c r="H527" s="41">
        <v>0</v>
      </c>
    </row>
    <row r="528" spans="1:8" ht="15" hidden="1" x14ac:dyDescent="0.2">
      <c r="A528" s="19">
        <v>527</v>
      </c>
      <c r="B528" s="37" t="s">
        <v>1965</v>
      </c>
      <c r="C528" s="38" t="s">
        <v>1966</v>
      </c>
      <c r="D528" s="37">
        <v>974904288</v>
      </c>
      <c r="E528" s="37" t="s">
        <v>1967</v>
      </c>
      <c r="F528" s="37" t="s">
        <v>1968</v>
      </c>
      <c r="G528" s="39">
        <v>0</v>
      </c>
      <c r="H528" s="39">
        <v>0</v>
      </c>
    </row>
    <row r="529" spans="1:8" ht="15" hidden="1" x14ac:dyDescent="0.2">
      <c r="A529" s="19">
        <v>528</v>
      </c>
      <c r="B529" s="22" t="s">
        <v>1969</v>
      </c>
      <c r="C529" s="40" t="s">
        <v>1970</v>
      </c>
      <c r="D529" s="22">
        <v>971808916</v>
      </c>
      <c r="E529" s="22" t="s">
        <v>1971</v>
      </c>
      <c r="F529" s="22" t="s">
        <v>1972</v>
      </c>
      <c r="G529" s="41">
        <v>0</v>
      </c>
      <c r="H529" s="41">
        <v>0</v>
      </c>
    </row>
    <row r="530" spans="1:8" ht="15" hidden="1" x14ac:dyDescent="0.2">
      <c r="A530" s="19">
        <v>529</v>
      </c>
      <c r="B530" s="37" t="s">
        <v>1973</v>
      </c>
      <c r="C530" s="38" t="s">
        <v>1974</v>
      </c>
      <c r="D530" s="37" t="s">
        <v>1975</v>
      </c>
      <c r="E530" s="37" t="s">
        <v>1976</v>
      </c>
      <c r="F530" s="37" t="s">
        <v>1977</v>
      </c>
      <c r="G530" s="39">
        <v>0</v>
      </c>
      <c r="H530" s="39">
        <v>0</v>
      </c>
    </row>
    <row r="531" spans="1:8" ht="15" hidden="1" x14ac:dyDescent="0.2">
      <c r="A531" s="19">
        <v>530</v>
      </c>
      <c r="B531" s="22" t="s">
        <v>1978</v>
      </c>
      <c r="C531" s="40" t="s">
        <v>1979</v>
      </c>
      <c r="D531" s="22">
        <v>986368331</v>
      </c>
      <c r="E531" s="22" t="s">
        <v>1980</v>
      </c>
      <c r="F531" s="22" t="s">
        <v>188</v>
      </c>
      <c r="G531" s="41">
        <v>0</v>
      </c>
      <c r="H531" s="41">
        <v>0</v>
      </c>
    </row>
    <row r="532" spans="1:8" ht="15" hidden="1" x14ac:dyDescent="0.2">
      <c r="A532" s="19">
        <v>531</v>
      </c>
      <c r="B532" s="37" t="s">
        <v>1981</v>
      </c>
      <c r="C532" s="38" t="s">
        <v>1982</v>
      </c>
      <c r="D532" s="37">
        <v>347544645</v>
      </c>
      <c r="E532" s="37" t="s">
        <v>1983</v>
      </c>
      <c r="F532" s="37" t="s">
        <v>274</v>
      </c>
      <c r="G532" s="39">
        <v>0</v>
      </c>
      <c r="H532" s="39">
        <v>0</v>
      </c>
    </row>
    <row r="533" spans="1:8" ht="15" hidden="1" x14ac:dyDescent="0.2">
      <c r="A533" s="19">
        <v>532</v>
      </c>
      <c r="B533" s="22" t="s">
        <v>1984</v>
      </c>
      <c r="C533" s="40" t="s">
        <v>1985</v>
      </c>
      <c r="D533" s="22">
        <v>386255056</v>
      </c>
      <c r="E533" s="22" t="s">
        <v>1986</v>
      </c>
      <c r="F533" s="22" t="s">
        <v>1977</v>
      </c>
      <c r="G533" s="41">
        <v>0</v>
      </c>
      <c r="H533" s="41">
        <v>0</v>
      </c>
    </row>
    <row r="534" spans="1:8" ht="15" hidden="1" x14ac:dyDescent="0.2">
      <c r="A534" s="19">
        <v>533</v>
      </c>
      <c r="B534" s="37" t="s">
        <v>1987</v>
      </c>
      <c r="C534" s="38" t="s">
        <v>1988</v>
      </c>
      <c r="D534" s="37">
        <v>343296256</v>
      </c>
      <c r="E534" s="37" t="s">
        <v>1989</v>
      </c>
      <c r="F534" s="37" t="s">
        <v>1990</v>
      </c>
      <c r="G534" s="39">
        <v>0</v>
      </c>
      <c r="H534" s="39">
        <v>0</v>
      </c>
    </row>
    <row r="535" spans="1:8" ht="15" hidden="1" x14ac:dyDescent="0.2">
      <c r="A535" s="19">
        <v>534</v>
      </c>
      <c r="B535" s="22" t="s">
        <v>1991</v>
      </c>
      <c r="C535" s="40" t="s">
        <v>1992</v>
      </c>
      <c r="D535" s="22">
        <v>962070892</v>
      </c>
      <c r="E535" s="22" t="s">
        <v>1993</v>
      </c>
      <c r="F535" s="22" t="s">
        <v>1994</v>
      </c>
      <c r="G535" s="41">
        <v>0</v>
      </c>
      <c r="H535" s="41">
        <v>0</v>
      </c>
    </row>
    <row r="536" spans="1:8" ht="15" hidden="1" x14ac:dyDescent="0.2">
      <c r="A536" s="19">
        <v>535</v>
      </c>
      <c r="B536" s="37" t="s">
        <v>1995</v>
      </c>
      <c r="C536" s="38" t="s">
        <v>1996</v>
      </c>
      <c r="D536" s="37">
        <v>866568533</v>
      </c>
      <c r="E536" s="37" t="s">
        <v>1997</v>
      </c>
      <c r="F536" s="37" t="s">
        <v>188</v>
      </c>
      <c r="G536" s="39">
        <v>0</v>
      </c>
      <c r="H536" s="39">
        <v>0</v>
      </c>
    </row>
    <row r="537" spans="1:8" ht="15" hidden="1" x14ac:dyDescent="0.2">
      <c r="A537" s="19">
        <v>536</v>
      </c>
      <c r="B537" s="22" t="s">
        <v>1998</v>
      </c>
      <c r="C537" s="40" t="s">
        <v>1999</v>
      </c>
      <c r="D537" s="22">
        <v>968800026</v>
      </c>
      <c r="E537" s="22" t="s">
        <v>2000</v>
      </c>
      <c r="F537" s="22" t="s">
        <v>2001</v>
      </c>
      <c r="G537" s="41">
        <v>0</v>
      </c>
      <c r="H537" s="41">
        <v>0</v>
      </c>
    </row>
    <row r="538" spans="1:8" ht="15" hidden="1" x14ac:dyDescent="0.2">
      <c r="A538" s="19">
        <v>537</v>
      </c>
      <c r="B538" s="37" t="s">
        <v>2002</v>
      </c>
      <c r="C538" s="38" t="s">
        <v>2003</v>
      </c>
      <c r="D538" s="37">
        <v>378918226</v>
      </c>
      <c r="E538" s="37" t="s">
        <v>2004</v>
      </c>
      <c r="F538" s="37" t="s">
        <v>2005</v>
      </c>
      <c r="G538" s="39">
        <v>0</v>
      </c>
      <c r="H538" s="39">
        <v>0</v>
      </c>
    </row>
    <row r="539" spans="1:8" ht="15" hidden="1" x14ac:dyDescent="0.2">
      <c r="A539" s="19">
        <v>538</v>
      </c>
      <c r="B539" s="22" t="s">
        <v>2006</v>
      </c>
      <c r="C539" s="40" t="s">
        <v>1515</v>
      </c>
      <c r="D539" s="22" t="s">
        <v>2007</v>
      </c>
      <c r="E539" s="22" t="s">
        <v>2008</v>
      </c>
      <c r="F539" s="22" t="s">
        <v>570</v>
      </c>
      <c r="G539" s="41">
        <v>0</v>
      </c>
      <c r="H539" s="41">
        <v>0</v>
      </c>
    </row>
    <row r="540" spans="1:8" ht="15" hidden="1" x14ac:dyDescent="0.2">
      <c r="A540" s="19">
        <v>539</v>
      </c>
      <c r="B540" s="37" t="s">
        <v>2009</v>
      </c>
      <c r="C540" s="38" t="s">
        <v>2010</v>
      </c>
      <c r="D540" s="37">
        <v>389063268</v>
      </c>
      <c r="E540" s="37" t="s">
        <v>2011</v>
      </c>
      <c r="F540" s="37" t="s">
        <v>2012</v>
      </c>
      <c r="G540" s="39">
        <v>0</v>
      </c>
      <c r="H540" s="39">
        <v>0</v>
      </c>
    </row>
    <row r="541" spans="1:8" ht="15" hidden="1" x14ac:dyDescent="0.2">
      <c r="A541" s="19">
        <v>540</v>
      </c>
      <c r="B541" s="22" t="s">
        <v>2013</v>
      </c>
      <c r="C541" s="40" t="s">
        <v>2014</v>
      </c>
      <c r="D541" s="22">
        <v>933427291</v>
      </c>
      <c r="E541" s="22" t="s">
        <v>2015</v>
      </c>
      <c r="F541" s="22" t="s">
        <v>2016</v>
      </c>
      <c r="G541" s="41">
        <v>0</v>
      </c>
      <c r="H541" s="41">
        <v>0</v>
      </c>
    </row>
    <row r="542" spans="1:8" ht="15" hidden="1" x14ac:dyDescent="0.2">
      <c r="A542" s="19">
        <v>541</v>
      </c>
      <c r="B542" s="37" t="s">
        <v>2017</v>
      </c>
      <c r="C542" s="38" t="s">
        <v>2018</v>
      </c>
      <c r="D542" s="37">
        <v>382211615</v>
      </c>
      <c r="E542" s="37" t="s">
        <v>2019</v>
      </c>
      <c r="F542" s="37" t="s">
        <v>1786</v>
      </c>
      <c r="G542" s="39">
        <v>0</v>
      </c>
      <c r="H542" s="39">
        <v>0</v>
      </c>
    </row>
    <row r="543" spans="1:8" ht="15" hidden="1" x14ac:dyDescent="0.2">
      <c r="A543" s="19">
        <v>542</v>
      </c>
      <c r="B543" s="22" t="s">
        <v>2020</v>
      </c>
      <c r="C543" s="40" t="s">
        <v>2021</v>
      </c>
      <c r="D543" s="22">
        <v>986727331</v>
      </c>
      <c r="E543" s="22" t="s">
        <v>2022</v>
      </c>
      <c r="F543" s="22" t="s">
        <v>2023</v>
      </c>
      <c r="G543" s="41">
        <v>0</v>
      </c>
      <c r="H543" s="41">
        <v>0</v>
      </c>
    </row>
    <row r="544" spans="1:8" ht="15" hidden="1" x14ac:dyDescent="0.2">
      <c r="A544" s="19">
        <v>543</v>
      </c>
      <c r="B544" s="37" t="s">
        <v>2024</v>
      </c>
      <c r="C544" s="38" t="s">
        <v>2025</v>
      </c>
      <c r="D544" s="37">
        <v>989806118</v>
      </c>
      <c r="E544" s="37" t="s">
        <v>2026</v>
      </c>
      <c r="F544" s="37" t="s">
        <v>188</v>
      </c>
      <c r="G544" s="39">
        <v>0</v>
      </c>
      <c r="H544" s="39">
        <v>0</v>
      </c>
    </row>
    <row r="545" spans="1:8" ht="15" hidden="1" x14ac:dyDescent="0.2">
      <c r="A545" s="19">
        <v>544</v>
      </c>
      <c r="B545" s="22" t="s">
        <v>2027</v>
      </c>
      <c r="C545" s="40" t="s">
        <v>2028</v>
      </c>
      <c r="D545" s="22">
        <v>974113392</v>
      </c>
      <c r="E545" s="22" t="s">
        <v>2029</v>
      </c>
      <c r="F545" s="22" t="s">
        <v>188</v>
      </c>
      <c r="G545" s="41">
        <v>0</v>
      </c>
      <c r="H545" s="41">
        <v>0</v>
      </c>
    </row>
    <row r="546" spans="1:8" ht="15" hidden="1" x14ac:dyDescent="0.2">
      <c r="A546" s="19">
        <v>545</v>
      </c>
      <c r="B546" s="37" t="s">
        <v>2030</v>
      </c>
      <c r="C546" s="38" t="s">
        <v>2031</v>
      </c>
      <c r="D546" s="125">
        <v>985230689</v>
      </c>
      <c r="E546" s="124"/>
      <c r="F546" s="37" t="s">
        <v>2032</v>
      </c>
      <c r="G546" s="39">
        <v>0</v>
      </c>
      <c r="H546" s="39">
        <v>0</v>
      </c>
    </row>
    <row r="547" spans="1:8" ht="15" hidden="1" x14ac:dyDescent="0.2">
      <c r="A547" s="19">
        <v>546</v>
      </c>
      <c r="B547" s="22" t="s">
        <v>2033</v>
      </c>
      <c r="C547" s="40" t="s">
        <v>2034</v>
      </c>
      <c r="D547" s="22">
        <v>915755305</v>
      </c>
      <c r="E547" s="22" t="s">
        <v>2035</v>
      </c>
      <c r="F547" s="22" t="s">
        <v>188</v>
      </c>
      <c r="G547" s="41">
        <v>0</v>
      </c>
      <c r="H547" s="41">
        <v>0</v>
      </c>
    </row>
    <row r="548" spans="1:8" ht="15" hidden="1" x14ac:dyDescent="0.2">
      <c r="A548" s="19">
        <v>547</v>
      </c>
      <c r="B548" s="37" t="s">
        <v>2036</v>
      </c>
      <c r="C548" s="38" t="s">
        <v>2037</v>
      </c>
      <c r="D548" s="37">
        <v>987062326</v>
      </c>
      <c r="E548" s="37" t="s">
        <v>2038</v>
      </c>
      <c r="F548" s="37" t="s">
        <v>2039</v>
      </c>
      <c r="G548" s="39">
        <v>0</v>
      </c>
      <c r="H548" s="39" t="s">
        <v>2040</v>
      </c>
    </row>
    <row r="549" spans="1:8" ht="15" hidden="1" x14ac:dyDescent="0.2">
      <c r="A549" s="19">
        <v>548</v>
      </c>
      <c r="B549" s="22" t="s">
        <v>2041</v>
      </c>
      <c r="C549" s="40" t="s">
        <v>2042</v>
      </c>
      <c r="D549" s="22">
        <v>975741765</v>
      </c>
      <c r="E549" s="22" t="s">
        <v>2043</v>
      </c>
      <c r="F549" s="22" t="s">
        <v>2044</v>
      </c>
      <c r="G549" s="41">
        <v>0</v>
      </c>
      <c r="H549" s="41" t="s">
        <v>2045</v>
      </c>
    </row>
    <row r="550" spans="1:8" ht="15" hidden="1" x14ac:dyDescent="0.2">
      <c r="A550" s="19">
        <v>549</v>
      </c>
      <c r="B550" s="37" t="s">
        <v>2046</v>
      </c>
      <c r="C550" s="38" t="s">
        <v>2047</v>
      </c>
      <c r="D550" s="125">
        <v>360570075</v>
      </c>
      <c r="E550" s="124"/>
      <c r="F550" s="37" t="s">
        <v>2048</v>
      </c>
      <c r="G550" s="39">
        <v>0</v>
      </c>
      <c r="H550" s="39">
        <v>0</v>
      </c>
    </row>
    <row r="551" spans="1:8" ht="15" hidden="1" x14ac:dyDescent="0.2">
      <c r="A551" s="19">
        <v>550</v>
      </c>
      <c r="B551" s="22" t="s">
        <v>2049</v>
      </c>
      <c r="C551" s="40" t="s">
        <v>2050</v>
      </c>
      <c r="D551" s="123">
        <v>917624897</v>
      </c>
      <c r="E551" s="124"/>
      <c r="F551" s="22" t="s">
        <v>2051</v>
      </c>
      <c r="G551" s="41">
        <v>0</v>
      </c>
      <c r="H551" s="41">
        <v>0</v>
      </c>
    </row>
    <row r="552" spans="1:8" ht="15" hidden="1" x14ac:dyDescent="0.2">
      <c r="A552" s="19">
        <v>551</v>
      </c>
      <c r="B552" s="37" t="s">
        <v>2052</v>
      </c>
      <c r="C552" s="38" t="s">
        <v>2053</v>
      </c>
      <c r="D552" s="37">
        <v>974261476</v>
      </c>
      <c r="E552" s="37" t="s">
        <v>2054</v>
      </c>
      <c r="F552" s="37" t="s">
        <v>2055</v>
      </c>
      <c r="G552" s="39">
        <v>0</v>
      </c>
      <c r="H552" s="39">
        <v>0</v>
      </c>
    </row>
    <row r="553" spans="1:8" ht="15" hidden="1" x14ac:dyDescent="0.2">
      <c r="A553" s="19">
        <v>552</v>
      </c>
      <c r="B553" s="22" t="s">
        <v>2056</v>
      </c>
      <c r="C553" s="40" t="s">
        <v>2057</v>
      </c>
      <c r="D553" s="22">
        <v>971289992</v>
      </c>
      <c r="E553" s="22" t="s">
        <v>2058</v>
      </c>
      <c r="F553" s="22" t="s">
        <v>2059</v>
      </c>
      <c r="G553" s="41">
        <v>0</v>
      </c>
      <c r="H553" s="41">
        <v>0</v>
      </c>
    </row>
    <row r="554" spans="1:8" ht="15" hidden="1" x14ac:dyDescent="0.2">
      <c r="A554" s="19">
        <v>553</v>
      </c>
      <c r="B554" s="37" t="s">
        <v>2060</v>
      </c>
      <c r="C554" s="38" t="s">
        <v>2061</v>
      </c>
      <c r="D554" s="37">
        <v>971496027</v>
      </c>
      <c r="E554" s="37" t="s">
        <v>2062</v>
      </c>
      <c r="F554" s="37" t="s">
        <v>2063</v>
      </c>
      <c r="G554" s="39">
        <v>0</v>
      </c>
      <c r="H554" s="39">
        <v>0</v>
      </c>
    </row>
    <row r="555" spans="1:8" ht="15" hidden="1" x14ac:dyDescent="0.2">
      <c r="A555" s="19">
        <v>554</v>
      </c>
      <c r="B555" s="22" t="s">
        <v>2064</v>
      </c>
      <c r="C555" s="40" t="s">
        <v>2065</v>
      </c>
      <c r="D555" s="22">
        <v>347538169</v>
      </c>
      <c r="E555" s="22" t="s">
        <v>2066</v>
      </c>
      <c r="F555" s="22" t="s">
        <v>2067</v>
      </c>
      <c r="G555" s="41">
        <v>0</v>
      </c>
      <c r="H555" s="41">
        <v>0</v>
      </c>
    </row>
    <row r="556" spans="1:8" ht="15" hidden="1" x14ac:dyDescent="0.2">
      <c r="A556" s="19">
        <v>555</v>
      </c>
      <c r="B556" s="37" t="s">
        <v>2068</v>
      </c>
      <c r="C556" s="38" t="s">
        <v>2069</v>
      </c>
      <c r="D556" s="37">
        <v>398241242</v>
      </c>
      <c r="E556" s="37" t="s">
        <v>2070</v>
      </c>
      <c r="F556" s="37" t="s">
        <v>188</v>
      </c>
      <c r="G556" s="39">
        <v>0</v>
      </c>
      <c r="H556" s="39">
        <v>0</v>
      </c>
    </row>
    <row r="557" spans="1:8" ht="15" hidden="1" x14ac:dyDescent="0.2">
      <c r="A557" s="19">
        <v>556</v>
      </c>
      <c r="B557" s="22" t="s">
        <v>2071</v>
      </c>
      <c r="C557" s="40" t="s">
        <v>2072</v>
      </c>
      <c r="D557" s="22">
        <v>888072663</v>
      </c>
      <c r="E557" s="22" t="s">
        <v>2073</v>
      </c>
      <c r="F557" s="22" t="s">
        <v>2074</v>
      </c>
      <c r="G557" s="41">
        <v>0</v>
      </c>
      <c r="H557" s="41">
        <v>0</v>
      </c>
    </row>
    <row r="558" spans="1:8" ht="15" hidden="1" x14ac:dyDescent="0.2">
      <c r="A558" s="19">
        <v>557</v>
      </c>
      <c r="B558" s="37" t="s">
        <v>2075</v>
      </c>
      <c r="C558" s="38" t="s">
        <v>2076</v>
      </c>
      <c r="D558" s="37">
        <v>792239468</v>
      </c>
      <c r="E558" s="37" t="s">
        <v>2077</v>
      </c>
      <c r="F558" s="37" t="s">
        <v>188</v>
      </c>
      <c r="G558" s="39">
        <v>0</v>
      </c>
      <c r="H558" s="39">
        <v>0</v>
      </c>
    </row>
    <row r="559" spans="1:8" ht="15" hidden="1" x14ac:dyDescent="0.2">
      <c r="A559" s="19">
        <v>558</v>
      </c>
      <c r="B559" s="22" t="s">
        <v>2078</v>
      </c>
      <c r="C559" s="40" t="s">
        <v>2079</v>
      </c>
      <c r="D559" s="22">
        <v>935759966</v>
      </c>
      <c r="E559" s="22" t="s">
        <v>2080</v>
      </c>
      <c r="F559" s="22" t="s">
        <v>2081</v>
      </c>
      <c r="G559" s="41">
        <v>0</v>
      </c>
      <c r="H559" s="41">
        <v>0</v>
      </c>
    </row>
    <row r="560" spans="1:8" ht="15" hidden="1" x14ac:dyDescent="0.2">
      <c r="A560" s="19">
        <v>559</v>
      </c>
      <c r="B560" s="37" t="s">
        <v>2082</v>
      </c>
      <c r="C560" s="38" t="s">
        <v>2083</v>
      </c>
      <c r="D560" s="125">
        <v>961585217</v>
      </c>
      <c r="E560" s="124"/>
      <c r="F560" s="37" t="s">
        <v>2084</v>
      </c>
      <c r="G560" s="39" t="s">
        <v>2085</v>
      </c>
      <c r="H560" s="39" t="s">
        <v>2086</v>
      </c>
    </row>
    <row r="561" spans="1:8" ht="15" hidden="1" x14ac:dyDescent="0.2">
      <c r="A561" s="19">
        <v>560</v>
      </c>
      <c r="B561" s="22" t="s">
        <v>2087</v>
      </c>
      <c r="C561" s="40" t="s">
        <v>2088</v>
      </c>
      <c r="D561" s="22">
        <v>389318056</v>
      </c>
      <c r="E561" s="22" t="s">
        <v>2089</v>
      </c>
      <c r="F561" s="22" t="s">
        <v>188</v>
      </c>
      <c r="G561" s="41">
        <v>0</v>
      </c>
      <c r="H561" s="41">
        <v>0</v>
      </c>
    </row>
    <row r="562" spans="1:8" ht="15" hidden="1" x14ac:dyDescent="0.2">
      <c r="A562" s="19">
        <v>561</v>
      </c>
      <c r="B562" s="37" t="s">
        <v>2090</v>
      </c>
      <c r="C562" s="38" t="s">
        <v>2091</v>
      </c>
      <c r="D562" s="37">
        <v>339107311</v>
      </c>
      <c r="E562" s="37" t="s">
        <v>957</v>
      </c>
      <c r="F562" s="37" t="s">
        <v>2092</v>
      </c>
      <c r="G562" s="39">
        <v>0</v>
      </c>
      <c r="H562" s="39">
        <v>0</v>
      </c>
    </row>
    <row r="563" spans="1:8" ht="15" hidden="1" x14ac:dyDescent="0.2">
      <c r="A563" s="19">
        <v>562</v>
      </c>
      <c r="B563" s="22" t="s">
        <v>2093</v>
      </c>
      <c r="C563" s="40" t="s">
        <v>2094</v>
      </c>
      <c r="D563" s="22" t="s">
        <v>2095</v>
      </c>
      <c r="E563" s="22" t="s">
        <v>2096</v>
      </c>
      <c r="F563" s="22" t="s">
        <v>2097</v>
      </c>
      <c r="G563" s="41">
        <v>0</v>
      </c>
      <c r="H563" s="41">
        <v>0</v>
      </c>
    </row>
    <row r="564" spans="1:8" ht="15" hidden="1" x14ac:dyDescent="0.2">
      <c r="A564" s="19">
        <v>563</v>
      </c>
      <c r="B564" s="37" t="s">
        <v>2098</v>
      </c>
      <c r="C564" s="38" t="s">
        <v>74</v>
      </c>
      <c r="D564" s="37"/>
      <c r="E564" s="37" t="s">
        <v>2099</v>
      </c>
      <c r="F564" s="37" t="s">
        <v>2100</v>
      </c>
      <c r="G564" s="39">
        <v>0</v>
      </c>
      <c r="H564" s="39">
        <v>0</v>
      </c>
    </row>
    <row r="565" spans="1:8" ht="15" hidden="1" x14ac:dyDescent="0.2">
      <c r="A565" s="19">
        <v>564</v>
      </c>
      <c r="B565" s="22" t="s">
        <v>2101</v>
      </c>
      <c r="C565" s="40" t="s">
        <v>2102</v>
      </c>
      <c r="D565" s="22">
        <v>978746132</v>
      </c>
      <c r="E565" s="22" t="s">
        <v>2103</v>
      </c>
      <c r="F565" s="22" t="s">
        <v>2104</v>
      </c>
      <c r="G565" s="41" t="s">
        <v>2105</v>
      </c>
      <c r="H565" s="41" t="s">
        <v>2106</v>
      </c>
    </row>
    <row r="566" spans="1:8" ht="15" hidden="1" x14ac:dyDescent="0.2">
      <c r="A566" s="19">
        <v>565</v>
      </c>
      <c r="B566" s="37" t="s">
        <v>2107</v>
      </c>
      <c r="C566" s="38" t="s">
        <v>2108</v>
      </c>
      <c r="D566" s="37">
        <v>949852111</v>
      </c>
      <c r="E566" s="37" t="s">
        <v>2109</v>
      </c>
      <c r="F566" s="37" t="s">
        <v>188</v>
      </c>
      <c r="G566" s="39">
        <v>0</v>
      </c>
      <c r="H566" s="39">
        <v>0</v>
      </c>
    </row>
    <row r="567" spans="1:8" ht="15" hidden="1" x14ac:dyDescent="0.2">
      <c r="A567" s="19">
        <v>566</v>
      </c>
      <c r="B567" s="22" t="s">
        <v>2110</v>
      </c>
      <c r="C567" s="40" t="s">
        <v>2111</v>
      </c>
      <c r="D567" s="22">
        <v>847778669</v>
      </c>
      <c r="E567" s="22" t="s">
        <v>2112</v>
      </c>
      <c r="F567" s="22" t="s">
        <v>2113</v>
      </c>
      <c r="G567" s="41" t="s">
        <v>2114</v>
      </c>
      <c r="H567" s="41" t="s">
        <v>2115</v>
      </c>
    </row>
    <row r="568" spans="1:8" ht="15" hidden="1" x14ac:dyDescent="0.2">
      <c r="A568" s="19">
        <v>567</v>
      </c>
      <c r="B568" s="37" t="s">
        <v>2116</v>
      </c>
      <c r="C568" s="38" t="s">
        <v>2117</v>
      </c>
      <c r="D568" s="125"/>
      <c r="E568" s="124"/>
      <c r="F568" s="37" t="s">
        <v>2032</v>
      </c>
      <c r="G568" s="39">
        <v>0</v>
      </c>
      <c r="H568" s="39">
        <v>0</v>
      </c>
    </row>
    <row r="569" spans="1:8" ht="15" hidden="1" x14ac:dyDescent="0.2">
      <c r="A569" s="19">
        <v>568</v>
      </c>
      <c r="B569" s="22" t="s">
        <v>2118</v>
      </c>
      <c r="C569" s="40" t="s">
        <v>2119</v>
      </c>
      <c r="D569" s="22">
        <v>888123321</v>
      </c>
      <c r="E569" s="22" t="s">
        <v>2120</v>
      </c>
      <c r="F569" s="22" t="s">
        <v>2121</v>
      </c>
      <c r="G569" s="41">
        <v>0</v>
      </c>
      <c r="H569" s="41">
        <v>0</v>
      </c>
    </row>
    <row r="570" spans="1:8" ht="15" hidden="1" x14ac:dyDescent="0.2">
      <c r="A570" s="19">
        <v>569</v>
      </c>
      <c r="B570" s="37" t="s">
        <v>2122</v>
      </c>
      <c r="C570" s="38" t="s">
        <v>2123</v>
      </c>
      <c r="D570" s="37"/>
      <c r="E570" s="42"/>
      <c r="F570" s="37" t="s">
        <v>2124</v>
      </c>
      <c r="G570" s="39">
        <v>0</v>
      </c>
      <c r="H570" s="39">
        <v>0</v>
      </c>
    </row>
    <row r="571" spans="1:8" ht="15" hidden="1" x14ac:dyDescent="0.2">
      <c r="A571" s="19">
        <v>570</v>
      </c>
      <c r="B571" s="22" t="s">
        <v>2125</v>
      </c>
      <c r="C571" s="40" t="s">
        <v>2126</v>
      </c>
      <c r="D571" s="22">
        <v>974104291</v>
      </c>
      <c r="E571" s="22" t="s">
        <v>2127</v>
      </c>
      <c r="F571" s="22" t="s">
        <v>2128</v>
      </c>
      <c r="G571" s="41">
        <v>0</v>
      </c>
      <c r="H571" s="41">
        <v>0</v>
      </c>
    </row>
    <row r="572" spans="1:8" ht="15" hidden="1" x14ac:dyDescent="0.2">
      <c r="A572" s="19">
        <v>571</v>
      </c>
      <c r="B572" s="37" t="s">
        <v>2129</v>
      </c>
      <c r="C572" s="38" t="s">
        <v>2130</v>
      </c>
      <c r="D572" s="37">
        <v>342127238</v>
      </c>
      <c r="E572" s="37" t="s">
        <v>2131</v>
      </c>
      <c r="F572" s="37" t="s">
        <v>188</v>
      </c>
      <c r="G572" s="39">
        <v>0</v>
      </c>
      <c r="H572" s="39">
        <v>0</v>
      </c>
    </row>
    <row r="573" spans="1:8" ht="15" hidden="1" x14ac:dyDescent="0.2">
      <c r="A573" s="19">
        <v>572</v>
      </c>
      <c r="B573" s="22" t="s">
        <v>2132</v>
      </c>
      <c r="C573" s="40" t="s">
        <v>2133</v>
      </c>
      <c r="D573" s="22">
        <v>984804554</v>
      </c>
      <c r="E573" s="22" t="s">
        <v>2134</v>
      </c>
      <c r="F573" s="22" t="s">
        <v>2135</v>
      </c>
      <c r="G573" s="41">
        <v>0</v>
      </c>
      <c r="H573" s="41">
        <v>0</v>
      </c>
    </row>
    <row r="574" spans="1:8" ht="15" hidden="1" x14ac:dyDescent="0.2">
      <c r="A574" s="19">
        <v>573</v>
      </c>
      <c r="B574" s="37" t="s">
        <v>2136</v>
      </c>
      <c r="C574" s="38" t="s">
        <v>2137</v>
      </c>
      <c r="D574" s="37">
        <v>906061213</v>
      </c>
      <c r="E574" s="37" t="s">
        <v>2138</v>
      </c>
      <c r="F574" s="37" t="s">
        <v>2139</v>
      </c>
      <c r="G574" s="39">
        <v>0</v>
      </c>
      <c r="H574" s="39" t="s">
        <v>2140</v>
      </c>
    </row>
    <row r="575" spans="1:8" ht="15" hidden="1" x14ac:dyDescent="0.2">
      <c r="A575" s="19">
        <v>574</v>
      </c>
      <c r="B575" s="22" t="s">
        <v>2141</v>
      </c>
      <c r="C575" s="40" t="s">
        <v>2142</v>
      </c>
      <c r="D575" s="22" t="s">
        <v>2143</v>
      </c>
      <c r="E575" s="22" t="s">
        <v>2144</v>
      </c>
      <c r="F575" s="22" t="s">
        <v>2145</v>
      </c>
      <c r="G575" s="41">
        <v>0</v>
      </c>
      <c r="H575" s="41">
        <v>0</v>
      </c>
    </row>
    <row r="576" spans="1:8" ht="15" hidden="1" x14ac:dyDescent="0.2">
      <c r="A576" s="19">
        <v>575</v>
      </c>
      <c r="B576" s="37" t="s">
        <v>2146</v>
      </c>
      <c r="C576" s="38" t="s">
        <v>2147</v>
      </c>
      <c r="D576" s="44">
        <v>973810057</v>
      </c>
      <c r="E576" s="37" t="s">
        <v>2148</v>
      </c>
      <c r="F576" s="37" t="s">
        <v>2149</v>
      </c>
      <c r="G576" s="39">
        <v>0</v>
      </c>
      <c r="H576" s="39">
        <v>0</v>
      </c>
    </row>
    <row r="577" spans="1:8" ht="15" hidden="1" x14ac:dyDescent="0.2">
      <c r="A577" s="19">
        <v>576</v>
      </c>
      <c r="B577" s="22" t="s">
        <v>2150</v>
      </c>
      <c r="C577" s="40" t="s">
        <v>2151</v>
      </c>
      <c r="D577" s="22">
        <v>366234618</v>
      </c>
      <c r="E577" s="22" t="s">
        <v>2152</v>
      </c>
      <c r="F577" s="22" t="s">
        <v>2153</v>
      </c>
      <c r="G577" s="41">
        <v>0</v>
      </c>
      <c r="H577" s="41">
        <v>0</v>
      </c>
    </row>
    <row r="578" spans="1:8" ht="15" hidden="1" x14ac:dyDescent="0.2">
      <c r="A578" s="19">
        <v>577</v>
      </c>
      <c r="B578" s="37" t="s">
        <v>2154</v>
      </c>
      <c r="C578" s="38" t="s">
        <v>2155</v>
      </c>
      <c r="D578" s="37">
        <v>334929353</v>
      </c>
      <c r="E578" s="37" t="s">
        <v>2156</v>
      </c>
      <c r="F578" s="37" t="s">
        <v>570</v>
      </c>
      <c r="G578" s="39">
        <v>0</v>
      </c>
      <c r="H578" s="39">
        <v>0</v>
      </c>
    </row>
    <row r="579" spans="1:8" ht="15" hidden="1" x14ac:dyDescent="0.2">
      <c r="A579" s="19">
        <v>578</v>
      </c>
      <c r="B579" s="22" t="s">
        <v>2157</v>
      </c>
      <c r="C579" s="40" t="s">
        <v>879</v>
      </c>
      <c r="D579" s="22">
        <v>913274112</v>
      </c>
      <c r="E579" s="22" t="s">
        <v>2158</v>
      </c>
      <c r="F579" s="22" t="s">
        <v>2159</v>
      </c>
      <c r="G579" s="41">
        <v>0</v>
      </c>
      <c r="H579" s="41">
        <v>0</v>
      </c>
    </row>
    <row r="580" spans="1:8" ht="15" hidden="1" x14ac:dyDescent="0.2">
      <c r="A580" s="19">
        <v>579</v>
      </c>
      <c r="B580" s="37" t="s">
        <v>2160</v>
      </c>
      <c r="C580" s="38" t="s">
        <v>2161</v>
      </c>
      <c r="D580" s="125"/>
      <c r="E580" s="124"/>
      <c r="F580" s="37" t="s">
        <v>2032</v>
      </c>
      <c r="G580" s="39">
        <v>0</v>
      </c>
      <c r="H580" s="39">
        <v>0</v>
      </c>
    </row>
    <row r="581" spans="1:8" ht="15" hidden="1" x14ac:dyDescent="0.2">
      <c r="A581" s="19">
        <v>580</v>
      </c>
      <c r="B581" s="22" t="s">
        <v>2162</v>
      </c>
      <c r="C581" s="40" t="s">
        <v>2163</v>
      </c>
      <c r="D581" s="22"/>
      <c r="E581" s="22" t="s">
        <v>2164</v>
      </c>
      <c r="F581" s="22" t="s">
        <v>2165</v>
      </c>
      <c r="G581" s="41">
        <v>0</v>
      </c>
      <c r="H581" s="41">
        <v>0</v>
      </c>
    </row>
    <row r="582" spans="1:8" ht="15" hidden="1" x14ac:dyDescent="0.2">
      <c r="A582" s="19">
        <v>581</v>
      </c>
      <c r="B582" s="37" t="s">
        <v>2166</v>
      </c>
      <c r="C582" s="38" t="s">
        <v>2167</v>
      </c>
      <c r="D582" s="37">
        <v>393843283</v>
      </c>
      <c r="E582" s="37" t="s">
        <v>2168</v>
      </c>
      <c r="F582" s="37" t="s">
        <v>2169</v>
      </c>
      <c r="G582" s="39">
        <v>0</v>
      </c>
      <c r="H582" s="39" t="s">
        <v>2170</v>
      </c>
    </row>
    <row r="583" spans="1:8" ht="15" hidden="1" x14ac:dyDescent="0.2">
      <c r="A583" s="19">
        <v>582</v>
      </c>
      <c r="B583" s="22" t="s">
        <v>2171</v>
      </c>
      <c r="C583" s="40" t="s">
        <v>2172</v>
      </c>
      <c r="D583" s="123"/>
      <c r="E583" s="124"/>
      <c r="F583" s="22" t="s">
        <v>2032</v>
      </c>
      <c r="G583" s="41">
        <v>0</v>
      </c>
      <c r="H583" s="41">
        <v>0</v>
      </c>
    </row>
    <row r="584" spans="1:8" ht="15" hidden="1" x14ac:dyDescent="0.2">
      <c r="A584" s="19">
        <v>583</v>
      </c>
      <c r="B584" s="37" t="s">
        <v>2173</v>
      </c>
      <c r="C584" s="38" t="s">
        <v>2174</v>
      </c>
      <c r="D584" s="37">
        <v>374692296</v>
      </c>
      <c r="E584" s="37" t="s">
        <v>2175</v>
      </c>
      <c r="F584" s="37" t="s">
        <v>2176</v>
      </c>
      <c r="G584" s="39">
        <v>0</v>
      </c>
      <c r="H584" s="39">
        <v>0</v>
      </c>
    </row>
    <row r="585" spans="1:8" ht="15" hidden="1" x14ac:dyDescent="0.2">
      <c r="A585" s="19">
        <v>584</v>
      </c>
      <c r="B585" s="22" t="s">
        <v>2177</v>
      </c>
      <c r="C585" s="40" t="s">
        <v>2178</v>
      </c>
      <c r="D585" s="22">
        <v>865689951</v>
      </c>
      <c r="E585" s="22" t="s">
        <v>2179</v>
      </c>
      <c r="F585" s="22" t="s">
        <v>2180</v>
      </c>
      <c r="G585" s="41">
        <v>0</v>
      </c>
      <c r="H585" s="41">
        <v>0</v>
      </c>
    </row>
    <row r="586" spans="1:8" ht="15" hidden="1" x14ac:dyDescent="0.2">
      <c r="A586" s="19">
        <v>585</v>
      </c>
      <c r="B586" s="37" t="s">
        <v>2181</v>
      </c>
      <c r="C586" s="38" t="s">
        <v>2182</v>
      </c>
      <c r="D586" s="37">
        <v>963038229</v>
      </c>
      <c r="E586" s="37" t="s">
        <v>2183</v>
      </c>
      <c r="F586" s="37" t="s">
        <v>188</v>
      </c>
      <c r="G586" s="39">
        <v>0</v>
      </c>
      <c r="H586" s="39">
        <v>0</v>
      </c>
    </row>
    <row r="587" spans="1:8" ht="15" hidden="1" x14ac:dyDescent="0.2">
      <c r="A587" s="19">
        <v>586</v>
      </c>
      <c r="B587" s="22" t="s">
        <v>2184</v>
      </c>
      <c r="C587" s="40" t="s">
        <v>2185</v>
      </c>
      <c r="D587" s="22">
        <v>335609000</v>
      </c>
      <c r="E587" s="22" t="s">
        <v>2186</v>
      </c>
      <c r="F587" s="22" t="s">
        <v>2187</v>
      </c>
      <c r="G587" s="41">
        <v>0</v>
      </c>
      <c r="H587" s="41">
        <v>0</v>
      </c>
    </row>
    <row r="588" spans="1:8" ht="15" hidden="1" x14ac:dyDescent="0.2">
      <c r="A588" s="19">
        <v>587</v>
      </c>
      <c r="B588" s="37" t="s">
        <v>2188</v>
      </c>
      <c r="C588" s="38" t="s">
        <v>2189</v>
      </c>
      <c r="D588" s="37">
        <v>839723389</v>
      </c>
      <c r="E588" s="37" t="s">
        <v>2190</v>
      </c>
      <c r="F588" s="37" t="s">
        <v>2191</v>
      </c>
      <c r="G588" s="39">
        <v>0</v>
      </c>
      <c r="H588" s="39" t="s">
        <v>2192</v>
      </c>
    </row>
    <row r="589" spans="1:8" ht="15" hidden="1" x14ac:dyDescent="0.2">
      <c r="A589" s="19">
        <v>588</v>
      </c>
      <c r="B589" s="22" t="s">
        <v>2193</v>
      </c>
      <c r="C589" s="40" t="s">
        <v>2194</v>
      </c>
      <c r="D589" s="22">
        <v>354277946</v>
      </c>
      <c r="E589" s="22" t="s">
        <v>2195</v>
      </c>
      <c r="F589" s="22" t="s">
        <v>188</v>
      </c>
      <c r="G589" s="41">
        <v>0</v>
      </c>
      <c r="H589" s="41">
        <v>0</v>
      </c>
    </row>
    <row r="590" spans="1:8" ht="15" hidden="1" x14ac:dyDescent="0.2">
      <c r="A590" s="19">
        <v>589</v>
      </c>
      <c r="B590" s="37" t="s">
        <v>2196</v>
      </c>
      <c r="C590" s="38" t="s">
        <v>2197</v>
      </c>
      <c r="D590" s="37">
        <v>777536138</v>
      </c>
      <c r="E590" s="37" t="s">
        <v>2198</v>
      </c>
      <c r="F590" s="37" t="s">
        <v>188</v>
      </c>
      <c r="G590" s="39">
        <v>0</v>
      </c>
      <c r="H590" s="39">
        <v>0</v>
      </c>
    </row>
    <row r="591" spans="1:8" ht="15" hidden="1" x14ac:dyDescent="0.2">
      <c r="A591" s="19">
        <v>590</v>
      </c>
      <c r="B591" s="22" t="s">
        <v>2199</v>
      </c>
      <c r="C591" s="40" t="s">
        <v>2200</v>
      </c>
      <c r="D591" s="22">
        <v>978463852</v>
      </c>
      <c r="E591" s="22" t="s">
        <v>2201</v>
      </c>
      <c r="F591" s="22" t="s">
        <v>188</v>
      </c>
      <c r="G591" s="41">
        <v>0</v>
      </c>
      <c r="H591" s="41">
        <v>0</v>
      </c>
    </row>
    <row r="592" spans="1:8" ht="15" hidden="1" x14ac:dyDescent="0.2">
      <c r="A592" s="19">
        <v>591</v>
      </c>
      <c r="B592" s="37" t="s">
        <v>2202</v>
      </c>
      <c r="C592" s="38" t="s">
        <v>2203</v>
      </c>
      <c r="D592" s="37">
        <v>914597297</v>
      </c>
      <c r="E592" s="37" t="s">
        <v>2204</v>
      </c>
      <c r="F592" s="37" t="s">
        <v>2205</v>
      </c>
      <c r="G592" s="39">
        <v>0</v>
      </c>
      <c r="H592" s="39">
        <v>0</v>
      </c>
    </row>
    <row r="593" spans="1:8" ht="15" hidden="1" x14ac:dyDescent="0.2">
      <c r="A593" s="19">
        <v>592</v>
      </c>
      <c r="B593" s="22" t="s">
        <v>2206</v>
      </c>
      <c r="C593" s="40" t="s">
        <v>2207</v>
      </c>
      <c r="D593" s="22">
        <v>373617467</v>
      </c>
      <c r="E593" s="22" t="s">
        <v>2208</v>
      </c>
      <c r="F593" s="22" t="s">
        <v>2209</v>
      </c>
      <c r="G593" s="41" t="s">
        <v>2210</v>
      </c>
      <c r="H593" s="41" t="s">
        <v>2211</v>
      </c>
    </row>
    <row r="594" spans="1:8" ht="15" hidden="1" x14ac:dyDescent="0.2">
      <c r="A594" s="19">
        <v>593</v>
      </c>
      <c r="B594" s="37" t="s">
        <v>2212</v>
      </c>
      <c r="C594" s="38" t="s">
        <v>2213</v>
      </c>
      <c r="D594" s="37">
        <v>912997789</v>
      </c>
      <c r="E594" s="37" t="s">
        <v>2214</v>
      </c>
      <c r="F594" s="37" t="s">
        <v>188</v>
      </c>
      <c r="G594" s="39">
        <v>0</v>
      </c>
      <c r="H594" s="39">
        <v>0</v>
      </c>
    </row>
    <row r="595" spans="1:8" ht="15" hidden="1" x14ac:dyDescent="0.2">
      <c r="A595" s="19">
        <v>594</v>
      </c>
      <c r="B595" s="22" t="s">
        <v>2215</v>
      </c>
      <c r="C595" s="40" t="s">
        <v>2216</v>
      </c>
      <c r="D595" s="22" t="s">
        <v>2217</v>
      </c>
      <c r="E595" s="22" t="s">
        <v>2218</v>
      </c>
      <c r="F595" s="22" t="s">
        <v>188</v>
      </c>
      <c r="G595" s="41">
        <v>0</v>
      </c>
      <c r="H595" s="41">
        <v>0</v>
      </c>
    </row>
    <row r="596" spans="1:8" ht="15" hidden="1" x14ac:dyDescent="0.2">
      <c r="A596" s="19">
        <v>595</v>
      </c>
      <c r="B596" s="37" t="s">
        <v>2219</v>
      </c>
      <c r="C596" s="38" t="s">
        <v>2220</v>
      </c>
      <c r="D596" s="125">
        <v>916513639</v>
      </c>
      <c r="E596" s="124"/>
      <c r="F596" s="37" t="s">
        <v>2221</v>
      </c>
      <c r="G596" s="39">
        <v>0</v>
      </c>
      <c r="H596" s="39" t="s">
        <v>284</v>
      </c>
    </row>
    <row r="597" spans="1:8" ht="15" hidden="1" x14ac:dyDescent="0.2">
      <c r="A597" s="19">
        <v>596</v>
      </c>
      <c r="B597" s="22" t="s">
        <v>2222</v>
      </c>
      <c r="C597" s="40" t="s">
        <v>2223</v>
      </c>
      <c r="D597" s="22">
        <v>974876179</v>
      </c>
      <c r="E597" s="22" t="s">
        <v>2224</v>
      </c>
      <c r="F597" s="22" t="s">
        <v>2225</v>
      </c>
      <c r="G597" s="41">
        <v>0</v>
      </c>
      <c r="H597" s="41">
        <v>0</v>
      </c>
    </row>
    <row r="598" spans="1:8" ht="15" hidden="1" x14ac:dyDescent="0.2">
      <c r="A598" s="19">
        <v>597</v>
      </c>
      <c r="B598" s="37" t="s">
        <v>2226</v>
      </c>
      <c r="C598" s="38" t="s">
        <v>2227</v>
      </c>
      <c r="D598" s="37">
        <v>948296665</v>
      </c>
      <c r="E598" s="37" t="s">
        <v>2228</v>
      </c>
      <c r="F598" s="37" t="s">
        <v>2229</v>
      </c>
      <c r="G598" s="39">
        <v>0</v>
      </c>
      <c r="H598" s="39">
        <v>0</v>
      </c>
    </row>
    <row r="599" spans="1:8" ht="15" hidden="1" x14ac:dyDescent="0.2">
      <c r="A599" s="19">
        <v>598</v>
      </c>
      <c r="B599" s="22" t="s">
        <v>2230</v>
      </c>
      <c r="C599" s="40" t="s">
        <v>2231</v>
      </c>
      <c r="D599" s="123">
        <v>973705690</v>
      </c>
      <c r="E599" s="124"/>
      <c r="F599" s="22" t="s">
        <v>2232</v>
      </c>
      <c r="G599" s="41" t="s">
        <v>2233</v>
      </c>
      <c r="H599" s="41" t="s">
        <v>2234</v>
      </c>
    </row>
    <row r="600" spans="1:8" ht="15" hidden="1" x14ac:dyDescent="0.2">
      <c r="A600" s="19">
        <v>634</v>
      </c>
      <c r="B600" s="22" t="s">
        <v>2235</v>
      </c>
      <c r="C600" s="40" t="s">
        <v>2236</v>
      </c>
      <c r="D600" s="22">
        <v>965852837</v>
      </c>
      <c r="E600" s="22" t="s">
        <v>2237</v>
      </c>
      <c r="F600" s="22" t="s">
        <v>188</v>
      </c>
      <c r="G600" s="41">
        <v>0</v>
      </c>
      <c r="H600" s="41">
        <v>0</v>
      </c>
    </row>
    <row r="601" spans="1:8" ht="15" hidden="1" x14ac:dyDescent="0.2">
      <c r="A601" s="19">
        <v>635</v>
      </c>
      <c r="B601" s="37" t="s">
        <v>2238</v>
      </c>
      <c r="C601" s="38" t="s">
        <v>2239</v>
      </c>
      <c r="D601" s="37">
        <v>378300195</v>
      </c>
      <c r="E601" s="37" t="s">
        <v>2240</v>
      </c>
      <c r="F601" s="37" t="s">
        <v>2241</v>
      </c>
      <c r="G601" s="39">
        <v>0</v>
      </c>
      <c r="H601" s="39">
        <v>0</v>
      </c>
    </row>
    <row r="602" spans="1:8" ht="15" hidden="1" x14ac:dyDescent="0.2">
      <c r="A602" s="19">
        <v>636</v>
      </c>
      <c r="B602" s="22" t="s">
        <v>2242</v>
      </c>
      <c r="C602" s="40" t="s">
        <v>2243</v>
      </c>
      <c r="D602" s="22">
        <v>985933385</v>
      </c>
      <c r="E602" s="22" t="s">
        <v>2244</v>
      </c>
      <c r="F602" s="22" t="s">
        <v>2245</v>
      </c>
      <c r="G602" s="41">
        <v>0</v>
      </c>
      <c r="H602" s="41">
        <v>0</v>
      </c>
    </row>
    <row r="603" spans="1:8" ht="15" hidden="1" x14ac:dyDescent="0.2">
      <c r="A603" s="19">
        <v>637</v>
      </c>
      <c r="B603" s="37" t="s">
        <v>2246</v>
      </c>
      <c r="C603" s="38" t="s">
        <v>2247</v>
      </c>
      <c r="D603" s="37"/>
      <c r="E603" s="42"/>
      <c r="F603" s="42"/>
      <c r="G603" s="39">
        <v>0</v>
      </c>
      <c r="H603" s="39">
        <v>0</v>
      </c>
    </row>
    <row r="604" spans="1:8" ht="15" hidden="1" x14ac:dyDescent="0.2">
      <c r="A604" s="19">
        <v>638</v>
      </c>
      <c r="B604" s="22" t="s">
        <v>2248</v>
      </c>
      <c r="C604" s="40" t="s">
        <v>2249</v>
      </c>
      <c r="D604" s="22">
        <v>987587510</v>
      </c>
      <c r="E604" s="22" t="s">
        <v>2250</v>
      </c>
      <c r="F604" s="22" t="s">
        <v>2016</v>
      </c>
      <c r="G604" s="41">
        <v>0</v>
      </c>
      <c r="H604" s="41">
        <v>0</v>
      </c>
    </row>
    <row r="605" spans="1:8" ht="15" hidden="1" x14ac:dyDescent="0.2">
      <c r="A605" s="19">
        <v>639</v>
      </c>
      <c r="B605" s="37" t="s">
        <v>2251</v>
      </c>
      <c r="C605" s="38" t="s">
        <v>2252</v>
      </c>
      <c r="D605" s="37"/>
      <c r="E605" s="42"/>
      <c r="F605" s="42"/>
      <c r="G605" s="39">
        <v>0</v>
      </c>
      <c r="H605" s="39">
        <v>0</v>
      </c>
    </row>
    <row r="606" spans="1:8" ht="15" hidden="1" x14ac:dyDescent="0.2">
      <c r="A606" s="19">
        <v>640</v>
      </c>
      <c r="B606" s="22" t="s">
        <v>2253</v>
      </c>
      <c r="C606" s="40" t="s">
        <v>2254</v>
      </c>
      <c r="D606" s="22"/>
      <c r="E606" s="43"/>
      <c r="F606" s="43"/>
      <c r="G606" s="41">
        <v>0</v>
      </c>
      <c r="H606" s="41">
        <v>0</v>
      </c>
    </row>
    <row r="607" spans="1:8" ht="15" hidden="1" x14ac:dyDescent="0.2">
      <c r="A607" s="19">
        <v>641</v>
      </c>
      <c r="B607" s="37" t="s">
        <v>2255</v>
      </c>
      <c r="C607" s="38" t="s">
        <v>2256</v>
      </c>
      <c r="D607" s="37">
        <v>977439510</v>
      </c>
      <c r="E607" s="37" t="s">
        <v>2257</v>
      </c>
      <c r="F607" s="37" t="s">
        <v>2258</v>
      </c>
      <c r="G607" s="39">
        <v>0</v>
      </c>
      <c r="H607" s="39">
        <v>0</v>
      </c>
    </row>
    <row r="608" spans="1:8" ht="15" hidden="1" x14ac:dyDescent="0.2">
      <c r="A608" s="19">
        <v>642</v>
      </c>
      <c r="B608" s="22" t="s">
        <v>2259</v>
      </c>
      <c r="C608" s="40" t="s">
        <v>2260</v>
      </c>
      <c r="D608" s="22">
        <v>359657369</v>
      </c>
      <c r="E608" s="22" t="s">
        <v>2261</v>
      </c>
      <c r="F608" s="22" t="s">
        <v>188</v>
      </c>
      <c r="G608" s="41">
        <v>0</v>
      </c>
      <c r="H608" s="41">
        <v>0</v>
      </c>
    </row>
    <row r="609" spans="1:8" ht="15" hidden="1" x14ac:dyDescent="0.2">
      <c r="A609" s="19">
        <v>643</v>
      </c>
      <c r="B609" s="37" t="s">
        <v>2262</v>
      </c>
      <c r="C609" s="38" t="s">
        <v>2263</v>
      </c>
      <c r="D609" s="37">
        <v>976500487</v>
      </c>
      <c r="E609" s="37" t="s">
        <v>2264</v>
      </c>
      <c r="F609" s="37" t="s">
        <v>2265</v>
      </c>
      <c r="G609" s="39">
        <v>0</v>
      </c>
      <c r="H609" s="39" t="s">
        <v>2266</v>
      </c>
    </row>
    <row r="610" spans="1:8" ht="15" hidden="1" x14ac:dyDescent="0.2">
      <c r="A610" s="19">
        <v>644</v>
      </c>
      <c r="B610" s="22" t="s">
        <v>2267</v>
      </c>
      <c r="C610" s="40" t="s">
        <v>2268</v>
      </c>
      <c r="D610" s="22">
        <v>974883136</v>
      </c>
      <c r="E610" s="22" t="s">
        <v>2269</v>
      </c>
      <c r="F610" s="22" t="s">
        <v>2270</v>
      </c>
      <c r="G610" s="41">
        <v>0</v>
      </c>
      <c r="H610" s="41">
        <v>0</v>
      </c>
    </row>
    <row r="611" spans="1:8" ht="15" hidden="1" x14ac:dyDescent="0.2">
      <c r="A611" s="19">
        <v>645</v>
      </c>
      <c r="B611" s="37" t="s">
        <v>2271</v>
      </c>
      <c r="C611" s="38" t="s">
        <v>2272</v>
      </c>
      <c r="D611" s="37">
        <v>982948559</v>
      </c>
      <c r="E611" s="37" t="s">
        <v>2273</v>
      </c>
      <c r="F611" s="42"/>
      <c r="G611" s="39">
        <v>0</v>
      </c>
      <c r="H611" s="39">
        <v>0</v>
      </c>
    </row>
    <row r="612" spans="1:8" ht="15" hidden="1" x14ac:dyDescent="0.2">
      <c r="A612" s="19">
        <v>646</v>
      </c>
      <c r="B612" s="22" t="s">
        <v>2274</v>
      </c>
      <c r="C612" s="40" t="s">
        <v>2275</v>
      </c>
      <c r="D612" s="22">
        <v>988352877</v>
      </c>
      <c r="E612" s="22" t="s">
        <v>2276</v>
      </c>
      <c r="F612" s="22" t="s">
        <v>188</v>
      </c>
      <c r="G612" s="41">
        <v>0</v>
      </c>
      <c r="H612" s="41">
        <v>0</v>
      </c>
    </row>
    <row r="613" spans="1:8" ht="15" hidden="1" x14ac:dyDescent="0.2">
      <c r="A613" s="19">
        <v>647</v>
      </c>
      <c r="B613" s="37" t="s">
        <v>2277</v>
      </c>
      <c r="C613" s="38" t="s">
        <v>2278</v>
      </c>
      <c r="D613" s="37">
        <v>334956361</v>
      </c>
      <c r="E613" s="37" t="s">
        <v>2279</v>
      </c>
      <c r="F613" s="37" t="s">
        <v>2280</v>
      </c>
      <c r="G613" s="39">
        <v>0</v>
      </c>
      <c r="H613" s="39">
        <v>0</v>
      </c>
    </row>
    <row r="614" spans="1:8" ht="15" hidden="1" x14ac:dyDescent="0.2">
      <c r="A614" s="19">
        <v>648</v>
      </c>
      <c r="B614" s="22" t="s">
        <v>2281</v>
      </c>
      <c r="C614" s="40" t="s">
        <v>2282</v>
      </c>
      <c r="D614" s="123">
        <v>969360799</v>
      </c>
      <c r="E614" s="124"/>
      <c r="F614" s="22" t="s">
        <v>2283</v>
      </c>
      <c r="G614" s="41">
        <v>0</v>
      </c>
      <c r="H614" s="41">
        <v>0</v>
      </c>
    </row>
    <row r="615" spans="1:8" ht="15" hidden="1" x14ac:dyDescent="0.2">
      <c r="A615" s="19">
        <v>649</v>
      </c>
      <c r="B615" s="37" t="s">
        <v>2284</v>
      </c>
      <c r="C615" s="38" t="s">
        <v>2285</v>
      </c>
      <c r="D615" s="37">
        <v>904908466</v>
      </c>
      <c r="E615" s="37" t="s">
        <v>2286</v>
      </c>
      <c r="F615" s="37" t="s">
        <v>2287</v>
      </c>
      <c r="G615" s="39">
        <v>0</v>
      </c>
      <c r="H615" s="39">
        <v>0</v>
      </c>
    </row>
    <row r="616" spans="1:8" ht="15" hidden="1" x14ac:dyDescent="0.2">
      <c r="A616" s="19">
        <v>650</v>
      </c>
      <c r="B616" s="22" t="s">
        <v>2288</v>
      </c>
      <c r="C616" s="40" t="s">
        <v>2289</v>
      </c>
      <c r="D616" s="22">
        <v>987087013</v>
      </c>
      <c r="E616" s="22" t="s">
        <v>2290</v>
      </c>
      <c r="F616" s="22" t="s">
        <v>2291</v>
      </c>
      <c r="G616" s="41">
        <v>0</v>
      </c>
      <c r="H616" s="41" t="s">
        <v>2292</v>
      </c>
    </row>
    <row r="617" spans="1:8" ht="15" hidden="1" x14ac:dyDescent="0.2">
      <c r="A617" s="19">
        <v>651</v>
      </c>
      <c r="B617" s="37" t="s">
        <v>2293</v>
      </c>
      <c r="C617" s="38" t="s">
        <v>2294</v>
      </c>
      <c r="D617" s="37">
        <v>827777115</v>
      </c>
      <c r="E617" s="37" t="s">
        <v>2295</v>
      </c>
      <c r="F617" s="37" t="s">
        <v>2296</v>
      </c>
      <c r="G617" s="39">
        <v>0</v>
      </c>
      <c r="H617" s="39">
        <v>0</v>
      </c>
    </row>
    <row r="618" spans="1:8" ht="15" hidden="1" x14ac:dyDescent="0.2">
      <c r="A618" s="19">
        <v>652</v>
      </c>
      <c r="B618" s="22" t="s">
        <v>2297</v>
      </c>
      <c r="C618" s="40" t="s">
        <v>2298</v>
      </c>
      <c r="D618" s="22">
        <v>987631199</v>
      </c>
      <c r="E618" s="22" t="s">
        <v>2299</v>
      </c>
      <c r="F618" s="22" t="s">
        <v>2300</v>
      </c>
      <c r="G618" s="41">
        <v>0</v>
      </c>
      <c r="H618" s="41">
        <v>0</v>
      </c>
    </row>
    <row r="619" spans="1:8" ht="15" hidden="1" x14ac:dyDescent="0.2">
      <c r="A619" s="19">
        <v>653</v>
      </c>
      <c r="B619" s="37" t="s">
        <v>2301</v>
      </c>
      <c r="C619" s="38" t="s">
        <v>2302</v>
      </c>
      <c r="D619" s="37">
        <v>975720366</v>
      </c>
      <c r="E619" s="37" t="s">
        <v>2303</v>
      </c>
      <c r="F619" s="37" t="s">
        <v>2304</v>
      </c>
      <c r="G619" s="39" t="s">
        <v>2305</v>
      </c>
      <c r="H619" s="39" t="s">
        <v>2306</v>
      </c>
    </row>
    <row r="620" spans="1:8" ht="15" hidden="1" x14ac:dyDescent="0.2">
      <c r="A620" s="19">
        <v>654</v>
      </c>
      <c r="B620" s="22" t="s">
        <v>2307</v>
      </c>
      <c r="C620" s="40" t="s">
        <v>2308</v>
      </c>
      <c r="D620" s="22">
        <v>867096345</v>
      </c>
      <c r="E620" s="22" t="s">
        <v>2309</v>
      </c>
      <c r="F620" s="22" t="s">
        <v>2310</v>
      </c>
      <c r="G620" s="41">
        <v>0</v>
      </c>
      <c r="H620" s="41" t="s">
        <v>2311</v>
      </c>
    </row>
    <row r="621" spans="1:8" ht="15" hidden="1" x14ac:dyDescent="0.2">
      <c r="A621" s="19">
        <v>655</v>
      </c>
      <c r="B621" s="37" t="s">
        <v>2312</v>
      </c>
      <c r="C621" s="38" t="s">
        <v>2313</v>
      </c>
      <c r="D621" s="37">
        <v>988327545</v>
      </c>
      <c r="E621" s="37" t="s">
        <v>2314</v>
      </c>
      <c r="F621" s="37" t="s">
        <v>188</v>
      </c>
      <c r="G621" s="39">
        <v>0</v>
      </c>
      <c r="H621" s="39">
        <v>0</v>
      </c>
    </row>
    <row r="622" spans="1:8" ht="15" hidden="1" x14ac:dyDescent="0.2">
      <c r="A622" s="19">
        <v>656</v>
      </c>
      <c r="B622" s="22" t="s">
        <v>2315</v>
      </c>
      <c r="C622" s="40" t="s">
        <v>2316</v>
      </c>
      <c r="D622" s="123"/>
      <c r="E622" s="124"/>
      <c r="F622" s="22" t="s">
        <v>1688</v>
      </c>
      <c r="G622" s="41">
        <v>0</v>
      </c>
      <c r="H622" s="41" t="s">
        <v>2317</v>
      </c>
    </row>
    <row r="623" spans="1:8" ht="15" hidden="1" x14ac:dyDescent="0.2">
      <c r="A623" s="19">
        <v>657</v>
      </c>
      <c r="B623" s="37" t="s">
        <v>2318</v>
      </c>
      <c r="C623" s="38" t="s">
        <v>2319</v>
      </c>
      <c r="D623" s="37">
        <v>9761706846</v>
      </c>
      <c r="E623" s="37" t="s">
        <v>2320</v>
      </c>
      <c r="F623" s="37" t="s">
        <v>188</v>
      </c>
      <c r="G623" s="39">
        <v>0</v>
      </c>
      <c r="H623" s="39">
        <v>0</v>
      </c>
    </row>
    <row r="624" spans="1:8" ht="15" hidden="1" x14ac:dyDescent="0.2">
      <c r="A624" s="19">
        <v>658</v>
      </c>
      <c r="B624" s="22" t="s">
        <v>2321</v>
      </c>
      <c r="C624" s="40" t="s">
        <v>2322</v>
      </c>
      <c r="D624" s="22"/>
      <c r="E624" s="43"/>
      <c r="F624" s="22" t="s">
        <v>2323</v>
      </c>
      <c r="G624" s="41">
        <v>0</v>
      </c>
      <c r="H624" s="41">
        <v>0</v>
      </c>
    </row>
    <row r="625" spans="1:8" ht="15" hidden="1" x14ac:dyDescent="0.2">
      <c r="A625" s="19">
        <v>659</v>
      </c>
      <c r="B625" s="37" t="s">
        <v>2324</v>
      </c>
      <c r="C625" s="38" t="s">
        <v>2325</v>
      </c>
      <c r="D625" s="37">
        <v>394517011</v>
      </c>
      <c r="E625" s="37" t="s">
        <v>2326</v>
      </c>
      <c r="F625" s="37" t="s">
        <v>2327</v>
      </c>
      <c r="G625" s="39">
        <v>0</v>
      </c>
      <c r="H625" s="39" t="s">
        <v>2328</v>
      </c>
    </row>
    <row r="626" spans="1:8" ht="15" hidden="1" x14ac:dyDescent="0.2">
      <c r="A626" s="19">
        <v>660</v>
      </c>
      <c r="B626" s="22" t="s">
        <v>2329</v>
      </c>
      <c r="C626" s="40" t="s">
        <v>2330</v>
      </c>
      <c r="D626" s="22">
        <v>386600816</v>
      </c>
      <c r="E626" s="22" t="s">
        <v>2331</v>
      </c>
      <c r="F626" s="22" t="s">
        <v>2332</v>
      </c>
      <c r="G626" s="41">
        <v>0</v>
      </c>
      <c r="H626" s="41">
        <v>0</v>
      </c>
    </row>
    <row r="627" spans="1:8" ht="15" hidden="1" x14ac:dyDescent="0.2">
      <c r="A627" s="19">
        <v>661</v>
      </c>
      <c r="B627" s="37" t="s">
        <v>2333</v>
      </c>
      <c r="C627" s="38" t="s">
        <v>2334</v>
      </c>
      <c r="D627" s="37"/>
      <c r="E627" s="42"/>
      <c r="F627" s="42"/>
      <c r="G627" s="39">
        <v>0</v>
      </c>
      <c r="H627" s="39">
        <v>0</v>
      </c>
    </row>
    <row r="628" spans="1:8" ht="15" hidden="1" x14ac:dyDescent="0.2">
      <c r="A628" s="19">
        <v>662</v>
      </c>
      <c r="B628" s="22" t="s">
        <v>2335</v>
      </c>
      <c r="C628" s="40" t="s">
        <v>2336</v>
      </c>
      <c r="D628" s="43"/>
      <c r="E628" s="22">
        <v>989449617</v>
      </c>
      <c r="F628" s="43"/>
      <c r="G628" s="41">
        <v>0</v>
      </c>
      <c r="H628" s="41">
        <v>0</v>
      </c>
    </row>
    <row r="629" spans="1:8" ht="15" hidden="1" x14ac:dyDescent="0.2">
      <c r="A629" s="19">
        <v>663</v>
      </c>
      <c r="B629" s="37" t="s">
        <v>2337</v>
      </c>
      <c r="C629" s="38" t="s">
        <v>2338</v>
      </c>
      <c r="D629" s="37">
        <v>345532921</v>
      </c>
      <c r="E629" s="37" t="s">
        <v>2339</v>
      </c>
      <c r="F629" s="37" t="s">
        <v>2340</v>
      </c>
      <c r="G629" s="39">
        <v>0</v>
      </c>
      <c r="H629" s="39">
        <v>0</v>
      </c>
    </row>
    <row r="630" spans="1:8" ht="15" hidden="1" x14ac:dyDescent="0.2">
      <c r="A630" s="19">
        <v>664</v>
      </c>
      <c r="B630" s="22" t="s">
        <v>2341</v>
      </c>
      <c r="C630" s="40" t="s">
        <v>2342</v>
      </c>
      <c r="D630" s="22">
        <v>968816327</v>
      </c>
      <c r="E630" s="22" t="s">
        <v>2343</v>
      </c>
      <c r="F630" s="22" t="s">
        <v>2344</v>
      </c>
      <c r="G630" s="41">
        <v>0</v>
      </c>
      <c r="H630" s="41">
        <v>0</v>
      </c>
    </row>
    <row r="631" spans="1:8" ht="15" hidden="1" x14ac:dyDescent="0.2">
      <c r="A631" s="19">
        <v>665</v>
      </c>
      <c r="B631" s="37" t="s">
        <v>2345</v>
      </c>
      <c r="C631" s="38" t="s">
        <v>2346</v>
      </c>
      <c r="D631" s="37"/>
      <c r="E631" s="37" t="s">
        <v>2347</v>
      </c>
      <c r="F631" s="37" t="s">
        <v>2348</v>
      </c>
      <c r="G631" s="39">
        <v>0</v>
      </c>
      <c r="H631" s="39">
        <v>0</v>
      </c>
    </row>
    <row r="632" spans="1:8" ht="15" hidden="1" x14ac:dyDescent="0.2">
      <c r="A632" s="19">
        <v>666</v>
      </c>
      <c r="B632" s="22" t="s">
        <v>2349</v>
      </c>
      <c r="C632" s="40" t="s">
        <v>2350</v>
      </c>
      <c r="D632" s="123">
        <v>984086958</v>
      </c>
      <c r="E632" s="124"/>
      <c r="F632" s="22" t="s">
        <v>2351</v>
      </c>
      <c r="G632" s="41">
        <v>0</v>
      </c>
      <c r="H632" s="41">
        <v>0</v>
      </c>
    </row>
    <row r="633" spans="1:8" ht="15" hidden="1" x14ac:dyDescent="0.2">
      <c r="A633" s="19">
        <v>667</v>
      </c>
      <c r="B633" s="37" t="s">
        <v>2352</v>
      </c>
      <c r="C633" s="38" t="s">
        <v>2353</v>
      </c>
      <c r="D633" s="37">
        <v>979735057</v>
      </c>
      <c r="E633" s="37" t="s">
        <v>2354</v>
      </c>
      <c r="F633" s="37" t="s">
        <v>2355</v>
      </c>
      <c r="G633" s="39">
        <v>0</v>
      </c>
      <c r="H633" s="39">
        <v>0</v>
      </c>
    </row>
    <row r="634" spans="1:8" ht="15" hidden="1" x14ac:dyDescent="0.2">
      <c r="A634" s="19">
        <v>668</v>
      </c>
      <c r="B634" s="22" t="s">
        <v>2356</v>
      </c>
      <c r="C634" s="40" t="s">
        <v>2357</v>
      </c>
      <c r="D634" s="22">
        <v>962615166</v>
      </c>
      <c r="E634" s="22" t="s">
        <v>2358</v>
      </c>
      <c r="F634" s="43"/>
      <c r="G634" s="41">
        <v>0</v>
      </c>
      <c r="H634" s="41">
        <v>0</v>
      </c>
    </row>
    <row r="635" spans="1:8" ht="15" hidden="1" x14ac:dyDescent="0.2">
      <c r="A635" s="19">
        <v>669</v>
      </c>
      <c r="B635" s="37" t="s">
        <v>2359</v>
      </c>
      <c r="C635" s="38" t="s">
        <v>401</v>
      </c>
      <c r="D635" s="37">
        <v>399873228</v>
      </c>
      <c r="E635" s="37" t="s">
        <v>2360</v>
      </c>
      <c r="F635" s="37" t="s">
        <v>2361</v>
      </c>
      <c r="G635" s="39">
        <v>0</v>
      </c>
      <c r="H635" s="39" t="s">
        <v>2362</v>
      </c>
    </row>
    <row r="636" spans="1:8" ht="15" hidden="1" x14ac:dyDescent="0.2">
      <c r="A636" s="19">
        <v>670</v>
      </c>
      <c r="B636" s="22" t="s">
        <v>2363</v>
      </c>
      <c r="C636" s="40" t="s">
        <v>2364</v>
      </c>
      <c r="D636" s="22">
        <v>397758887</v>
      </c>
      <c r="E636" s="22" t="s">
        <v>2365</v>
      </c>
      <c r="F636" s="22" t="s">
        <v>188</v>
      </c>
      <c r="G636" s="41">
        <v>0</v>
      </c>
      <c r="H636" s="41">
        <v>0</v>
      </c>
    </row>
    <row r="637" spans="1:8" ht="15" hidden="1" x14ac:dyDescent="0.2">
      <c r="A637" s="19">
        <v>671</v>
      </c>
      <c r="B637" s="37" t="s">
        <v>2366</v>
      </c>
      <c r="C637" s="38" t="s">
        <v>2367</v>
      </c>
      <c r="D637" s="37"/>
      <c r="E637" s="37" t="s">
        <v>2368</v>
      </c>
      <c r="F637" s="37" t="s">
        <v>2369</v>
      </c>
      <c r="G637" s="39">
        <v>0</v>
      </c>
      <c r="H637" s="39">
        <v>0</v>
      </c>
    </row>
    <row r="638" spans="1:8" ht="15" hidden="1" x14ac:dyDescent="0.2">
      <c r="A638" s="19">
        <v>672</v>
      </c>
      <c r="B638" s="22" t="s">
        <v>2370</v>
      </c>
      <c r="C638" s="40" t="s">
        <v>2371</v>
      </c>
      <c r="D638" s="22">
        <v>971801322</v>
      </c>
      <c r="E638" s="22" t="s">
        <v>2372</v>
      </c>
      <c r="F638" s="43"/>
      <c r="G638" s="41">
        <v>0</v>
      </c>
      <c r="H638" s="41">
        <v>0</v>
      </c>
    </row>
    <row r="639" spans="1:8" ht="15" hidden="1" x14ac:dyDescent="0.2">
      <c r="A639" s="19">
        <v>673</v>
      </c>
      <c r="B639" s="37" t="s">
        <v>2373</v>
      </c>
      <c r="C639" s="38" t="s">
        <v>2374</v>
      </c>
      <c r="D639" s="37">
        <v>948602289</v>
      </c>
      <c r="E639" s="37" t="s">
        <v>2375</v>
      </c>
      <c r="F639" s="42"/>
      <c r="G639" s="39">
        <v>0</v>
      </c>
      <c r="H639" s="39">
        <v>0</v>
      </c>
    </row>
    <row r="640" spans="1:8" ht="15" hidden="1" x14ac:dyDescent="0.2">
      <c r="A640" s="19">
        <v>674</v>
      </c>
      <c r="B640" s="22" t="s">
        <v>2376</v>
      </c>
      <c r="C640" s="40" t="s">
        <v>2377</v>
      </c>
      <c r="D640" s="43"/>
      <c r="E640" s="43"/>
      <c r="F640" s="43"/>
      <c r="G640" s="41">
        <v>0</v>
      </c>
      <c r="H640" s="41">
        <v>0</v>
      </c>
    </row>
    <row r="641" spans="1:8" ht="15" hidden="1" x14ac:dyDescent="0.2">
      <c r="A641" s="19">
        <v>675</v>
      </c>
      <c r="B641" s="37" t="s">
        <v>2378</v>
      </c>
      <c r="C641" s="38" t="s">
        <v>2379</v>
      </c>
      <c r="D641" s="37">
        <v>398767249</v>
      </c>
      <c r="E641" s="37" t="s">
        <v>2380</v>
      </c>
      <c r="F641" s="42"/>
      <c r="G641" s="39">
        <v>0</v>
      </c>
      <c r="H641" s="39">
        <v>0</v>
      </c>
    </row>
    <row r="642" spans="1:8" ht="15" hidden="1" x14ac:dyDescent="0.2">
      <c r="A642" s="19">
        <v>676</v>
      </c>
      <c r="B642" s="22" t="s">
        <v>2381</v>
      </c>
      <c r="C642" s="40" t="s">
        <v>2382</v>
      </c>
      <c r="D642" s="22">
        <v>961463275</v>
      </c>
      <c r="E642" s="22" t="s">
        <v>2383</v>
      </c>
      <c r="F642" s="22" t="s">
        <v>2384</v>
      </c>
      <c r="G642" s="41">
        <v>0</v>
      </c>
      <c r="H642" s="41">
        <v>0</v>
      </c>
    </row>
    <row r="643" spans="1:8" ht="15" hidden="1" x14ac:dyDescent="0.2">
      <c r="A643" s="19">
        <v>677</v>
      </c>
      <c r="B643" s="37" t="s">
        <v>2385</v>
      </c>
      <c r="C643" s="38" t="s">
        <v>2386</v>
      </c>
      <c r="D643" s="125">
        <v>979138690</v>
      </c>
      <c r="E643" s="124"/>
      <c r="F643" s="37" t="s">
        <v>2387</v>
      </c>
      <c r="G643" s="39">
        <v>0</v>
      </c>
      <c r="H643" s="39">
        <v>0</v>
      </c>
    </row>
    <row r="644" spans="1:8" ht="15" hidden="1" x14ac:dyDescent="0.2">
      <c r="A644" s="19">
        <v>678</v>
      </c>
      <c r="B644" s="22" t="s">
        <v>2388</v>
      </c>
      <c r="C644" s="40" t="s">
        <v>2389</v>
      </c>
      <c r="D644" s="46">
        <v>981606523</v>
      </c>
      <c r="E644" s="22" t="s">
        <v>2390</v>
      </c>
      <c r="F644" s="22" t="s">
        <v>2391</v>
      </c>
      <c r="G644" s="41">
        <v>0</v>
      </c>
      <c r="H644" s="41">
        <v>0</v>
      </c>
    </row>
    <row r="645" spans="1:8" ht="15" hidden="1" x14ac:dyDescent="0.2">
      <c r="A645" s="19">
        <v>679</v>
      </c>
      <c r="B645" s="37" t="s">
        <v>2392</v>
      </c>
      <c r="C645" s="38" t="s">
        <v>2393</v>
      </c>
      <c r="D645" s="37">
        <v>339527225</v>
      </c>
      <c r="E645" s="37" t="s">
        <v>2394</v>
      </c>
      <c r="F645" s="37" t="s">
        <v>2395</v>
      </c>
      <c r="G645" s="39">
        <v>0</v>
      </c>
      <c r="H645" s="39" t="s">
        <v>2396</v>
      </c>
    </row>
    <row r="646" spans="1:8" ht="15" hidden="1" x14ac:dyDescent="0.2">
      <c r="A646" s="19">
        <v>680</v>
      </c>
      <c r="B646" s="22" t="s">
        <v>2397</v>
      </c>
      <c r="C646" s="40" t="s">
        <v>2398</v>
      </c>
      <c r="D646" s="22">
        <v>377901820</v>
      </c>
      <c r="E646" s="22" t="s">
        <v>2399</v>
      </c>
      <c r="F646" s="22" t="s">
        <v>2400</v>
      </c>
      <c r="G646" s="41">
        <v>0</v>
      </c>
      <c r="H646" s="41">
        <v>0</v>
      </c>
    </row>
    <row r="647" spans="1:8" ht="15" hidden="1" x14ac:dyDescent="0.2">
      <c r="A647" s="19">
        <v>681</v>
      </c>
      <c r="B647" s="37" t="s">
        <v>2401</v>
      </c>
      <c r="C647" s="38" t="s">
        <v>2402</v>
      </c>
      <c r="D647" s="37">
        <v>383687513</v>
      </c>
      <c r="E647" s="37" t="s">
        <v>2403</v>
      </c>
      <c r="F647" s="42"/>
      <c r="G647" s="39">
        <v>0</v>
      </c>
      <c r="H647" s="39">
        <v>0</v>
      </c>
    </row>
    <row r="648" spans="1:8" ht="15" hidden="1" x14ac:dyDescent="0.2">
      <c r="A648" s="19">
        <v>682</v>
      </c>
      <c r="B648" s="22" t="s">
        <v>2404</v>
      </c>
      <c r="C648" s="40" t="s">
        <v>2405</v>
      </c>
      <c r="D648" s="123">
        <v>975933191</v>
      </c>
      <c r="E648" s="124"/>
      <c r="F648" s="22" t="s">
        <v>2406</v>
      </c>
      <c r="G648" s="41">
        <v>0</v>
      </c>
      <c r="H648" s="41">
        <v>0</v>
      </c>
    </row>
    <row r="649" spans="1:8" ht="15" hidden="1" x14ac:dyDescent="0.2">
      <c r="A649" s="19">
        <v>687</v>
      </c>
      <c r="B649" s="37" t="s">
        <v>2407</v>
      </c>
      <c r="C649" s="38" t="s">
        <v>2408</v>
      </c>
      <c r="D649" s="37">
        <v>969201088</v>
      </c>
      <c r="E649" s="37" t="s">
        <v>2409</v>
      </c>
      <c r="F649" s="37" t="s">
        <v>2410</v>
      </c>
      <c r="G649" s="39">
        <v>0</v>
      </c>
      <c r="H649" s="39">
        <v>0</v>
      </c>
    </row>
    <row r="650" spans="1:8" ht="15" hidden="1" x14ac:dyDescent="0.2">
      <c r="A650" s="19">
        <v>688</v>
      </c>
      <c r="B650" s="22" t="s">
        <v>2411</v>
      </c>
      <c r="C650" s="40" t="s">
        <v>2412</v>
      </c>
      <c r="D650" s="22">
        <v>932246235</v>
      </c>
      <c r="E650" s="22" t="s">
        <v>2413</v>
      </c>
      <c r="F650" s="22" t="s">
        <v>2414</v>
      </c>
      <c r="G650" s="41">
        <v>0</v>
      </c>
      <c r="H650" s="41">
        <v>0</v>
      </c>
    </row>
    <row r="651" spans="1:8" ht="15" hidden="1" x14ac:dyDescent="0.2">
      <c r="A651" s="19">
        <v>689</v>
      </c>
      <c r="B651" s="37" t="s">
        <v>2415</v>
      </c>
      <c r="C651" s="38" t="s">
        <v>2416</v>
      </c>
      <c r="D651" s="37">
        <v>988739443</v>
      </c>
      <c r="E651" s="37" t="s">
        <v>2417</v>
      </c>
      <c r="F651" s="37" t="s">
        <v>2418</v>
      </c>
      <c r="G651" s="39">
        <v>0</v>
      </c>
      <c r="H651" s="39">
        <v>0</v>
      </c>
    </row>
    <row r="652" spans="1:8" ht="15" hidden="1" x14ac:dyDescent="0.2">
      <c r="A652" s="19">
        <v>690</v>
      </c>
      <c r="B652" s="22" t="s">
        <v>2419</v>
      </c>
      <c r="C652" s="40" t="s">
        <v>2420</v>
      </c>
      <c r="D652" s="22">
        <v>911370672</v>
      </c>
      <c r="E652" s="22" t="s">
        <v>2421</v>
      </c>
      <c r="F652" s="22" t="s">
        <v>2422</v>
      </c>
      <c r="G652" s="41">
        <v>0</v>
      </c>
      <c r="H652" s="41">
        <v>0</v>
      </c>
    </row>
    <row r="653" spans="1:8" ht="15" hidden="1" x14ac:dyDescent="0.2">
      <c r="A653" s="19">
        <v>691</v>
      </c>
      <c r="B653" s="37" t="s">
        <v>2423</v>
      </c>
      <c r="C653" s="38" t="s">
        <v>2424</v>
      </c>
      <c r="D653" s="37">
        <v>935877149</v>
      </c>
      <c r="E653" s="37" t="s">
        <v>2425</v>
      </c>
      <c r="F653" s="37" t="s">
        <v>2016</v>
      </c>
      <c r="G653" s="39">
        <v>0</v>
      </c>
      <c r="H653" s="39">
        <v>0</v>
      </c>
    </row>
    <row r="654" spans="1:8" ht="15" hidden="1" x14ac:dyDescent="0.2">
      <c r="A654" s="19">
        <v>692</v>
      </c>
      <c r="B654" s="22" t="s">
        <v>2426</v>
      </c>
      <c r="C654" s="40" t="s">
        <v>2427</v>
      </c>
      <c r="D654" s="22">
        <v>962852369</v>
      </c>
      <c r="E654" s="22" t="s">
        <v>2428</v>
      </c>
      <c r="F654" s="22" t="s">
        <v>2429</v>
      </c>
      <c r="G654" s="41">
        <v>0</v>
      </c>
      <c r="H654" s="41">
        <v>0</v>
      </c>
    </row>
    <row r="655" spans="1:8" ht="15" hidden="1" x14ac:dyDescent="0.2">
      <c r="A655" s="19">
        <v>693</v>
      </c>
      <c r="B655" s="37" t="s">
        <v>2430</v>
      </c>
      <c r="C655" s="38" t="s">
        <v>2431</v>
      </c>
      <c r="D655" s="126">
        <v>963112000</v>
      </c>
      <c r="E655" s="124"/>
      <c r="F655" s="37" t="s">
        <v>2432</v>
      </c>
      <c r="G655" s="39">
        <v>0</v>
      </c>
      <c r="H655" s="39">
        <v>0</v>
      </c>
    </row>
    <row r="656" spans="1:8" ht="15" hidden="1" x14ac:dyDescent="0.2">
      <c r="A656" s="19">
        <v>694</v>
      </c>
      <c r="B656" s="22" t="s">
        <v>2433</v>
      </c>
      <c r="C656" s="40" t="s">
        <v>2434</v>
      </c>
      <c r="D656" s="22">
        <v>973345626</v>
      </c>
      <c r="E656" s="22" t="s">
        <v>2435</v>
      </c>
      <c r="F656" s="43"/>
      <c r="G656" s="41">
        <v>0</v>
      </c>
      <c r="H656" s="41">
        <v>0</v>
      </c>
    </row>
    <row r="657" spans="1:8" ht="15" hidden="1" x14ac:dyDescent="0.2">
      <c r="A657" s="19">
        <v>695</v>
      </c>
      <c r="B657" s="37" t="s">
        <v>2436</v>
      </c>
      <c r="C657" s="38" t="s">
        <v>2437</v>
      </c>
      <c r="D657" s="37">
        <v>359125103</v>
      </c>
      <c r="E657" s="37" t="s">
        <v>2438</v>
      </c>
      <c r="F657" s="37" t="s">
        <v>2016</v>
      </c>
      <c r="G657" s="39">
        <v>0</v>
      </c>
      <c r="H657" s="39">
        <v>0</v>
      </c>
    </row>
    <row r="658" spans="1:8" ht="15" hidden="1" x14ac:dyDescent="0.2">
      <c r="A658" s="19">
        <v>696</v>
      </c>
      <c r="B658" s="22" t="s">
        <v>2439</v>
      </c>
      <c r="C658" s="40" t="s">
        <v>2440</v>
      </c>
      <c r="D658" s="22">
        <v>357281853</v>
      </c>
      <c r="E658" s="22" t="s">
        <v>2441</v>
      </c>
      <c r="F658" s="22" t="s">
        <v>2016</v>
      </c>
      <c r="G658" s="41">
        <v>0</v>
      </c>
      <c r="H658" s="41">
        <v>0</v>
      </c>
    </row>
    <row r="659" spans="1:8" ht="15" hidden="1" x14ac:dyDescent="0.2">
      <c r="A659" s="19">
        <v>697</v>
      </c>
      <c r="B659" s="37" t="s">
        <v>2442</v>
      </c>
      <c r="C659" s="38" t="s">
        <v>2443</v>
      </c>
      <c r="D659" s="37">
        <v>983078532</v>
      </c>
      <c r="E659" s="37" t="s">
        <v>2444</v>
      </c>
      <c r="F659" s="37" t="s">
        <v>763</v>
      </c>
      <c r="G659" s="39">
        <v>0</v>
      </c>
      <c r="H659" s="39">
        <v>0</v>
      </c>
    </row>
    <row r="660" spans="1:8" ht="15" hidden="1" x14ac:dyDescent="0.2">
      <c r="A660" s="19">
        <v>698</v>
      </c>
      <c r="B660" s="22" t="s">
        <v>2445</v>
      </c>
      <c r="C660" s="40" t="s">
        <v>2446</v>
      </c>
      <c r="D660" s="43"/>
      <c r="E660" s="43"/>
      <c r="F660" s="43"/>
      <c r="G660" s="41">
        <v>0</v>
      </c>
      <c r="H660" s="41">
        <v>0</v>
      </c>
    </row>
    <row r="661" spans="1:8" ht="15" hidden="1" x14ac:dyDescent="0.2">
      <c r="A661" s="19">
        <v>699</v>
      </c>
      <c r="B661" s="37" t="s">
        <v>2447</v>
      </c>
      <c r="C661" s="38" t="s">
        <v>2448</v>
      </c>
      <c r="D661" s="37">
        <v>363065746</v>
      </c>
      <c r="E661" s="37" t="s">
        <v>2449</v>
      </c>
      <c r="F661" s="37" t="s">
        <v>2016</v>
      </c>
      <c r="G661" s="39">
        <v>0</v>
      </c>
      <c r="H661" s="39">
        <v>0</v>
      </c>
    </row>
    <row r="662" spans="1:8" ht="15" hidden="1" x14ac:dyDescent="0.2">
      <c r="A662" s="19">
        <v>700</v>
      </c>
      <c r="B662" s="22" t="s">
        <v>2450</v>
      </c>
      <c r="C662" s="40" t="s">
        <v>2451</v>
      </c>
      <c r="D662" s="22">
        <v>353880598</v>
      </c>
      <c r="E662" s="22" t="s">
        <v>2452</v>
      </c>
      <c r="F662" s="22" t="s">
        <v>2453</v>
      </c>
      <c r="G662" s="41">
        <v>0</v>
      </c>
      <c r="H662" s="41">
        <v>0</v>
      </c>
    </row>
    <row r="663" spans="1:8" ht="15" hidden="1" x14ac:dyDescent="0.2">
      <c r="A663" s="19">
        <v>701</v>
      </c>
      <c r="B663" s="37" t="s">
        <v>2454</v>
      </c>
      <c r="C663" s="38" t="s">
        <v>2455</v>
      </c>
      <c r="D663" s="37">
        <v>981573722</v>
      </c>
      <c r="E663" s="37" t="s">
        <v>2456</v>
      </c>
      <c r="F663" s="37" t="s">
        <v>2457</v>
      </c>
      <c r="G663" s="39">
        <v>0</v>
      </c>
      <c r="H663" s="39">
        <v>0</v>
      </c>
    </row>
    <row r="664" spans="1:8" ht="15" hidden="1" x14ac:dyDescent="0.2">
      <c r="A664" s="19">
        <v>702</v>
      </c>
      <c r="B664" s="22" t="s">
        <v>2458</v>
      </c>
      <c r="C664" s="40" t="s">
        <v>2459</v>
      </c>
      <c r="D664" s="22">
        <v>983173112</v>
      </c>
      <c r="E664" s="22" t="s">
        <v>2460</v>
      </c>
      <c r="F664" s="22" t="s">
        <v>2461</v>
      </c>
      <c r="G664" s="41">
        <v>0</v>
      </c>
      <c r="H664" s="41">
        <v>0</v>
      </c>
    </row>
    <row r="665" spans="1:8" ht="15" hidden="1" x14ac:dyDescent="0.2">
      <c r="A665" s="19">
        <v>703</v>
      </c>
      <c r="B665" s="37" t="s">
        <v>2462</v>
      </c>
      <c r="C665" s="38" t="s">
        <v>2463</v>
      </c>
      <c r="D665" s="125">
        <v>376966395</v>
      </c>
      <c r="E665" s="124"/>
      <c r="F665" s="37" t="s">
        <v>2464</v>
      </c>
      <c r="G665" s="39">
        <v>0</v>
      </c>
      <c r="H665" s="39">
        <v>0</v>
      </c>
    </row>
    <row r="666" spans="1:8" ht="15" hidden="1" x14ac:dyDescent="0.2">
      <c r="A666" s="19">
        <v>704</v>
      </c>
      <c r="B666" s="22" t="s">
        <v>2465</v>
      </c>
      <c r="C666" s="40" t="s">
        <v>2466</v>
      </c>
      <c r="D666" s="123">
        <v>846949296</v>
      </c>
      <c r="E666" s="124"/>
      <c r="F666" s="22" t="s">
        <v>2467</v>
      </c>
      <c r="G666" s="41">
        <v>0</v>
      </c>
      <c r="H666" s="41">
        <v>0</v>
      </c>
    </row>
    <row r="667" spans="1:8" ht="15" hidden="1" x14ac:dyDescent="0.2">
      <c r="A667" s="19">
        <v>705</v>
      </c>
      <c r="B667" s="37" t="s">
        <v>2468</v>
      </c>
      <c r="C667" s="38" t="s">
        <v>2469</v>
      </c>
      <c r="D667" s="37"/>
      <c r="E667" s="37">
        <v>984165599</v>
      </c>
      <c r="F667" s="37" t="s">
        <v>2470</v>
      </c>
      <c r="G667" s="39">
        <v>0</v>
      </c>
      <c r="H667" s="39">
        <v>0</v>
      </c>
    </row>
    <row r="668" spans="1:8" ht="15" hidden="1" x14ac:dyDescent="0.2">
      <c r="A668" s="19">
        <v>706</v>
      </c>
      <c r="B668" s="22" t="s">
        <v>2471</v>
      </c>
      <c r="C668" s="40" t="s">
        <v>2472</v>
      </c>
      <c r="D668" s="22">
        <v>962546336</v>
      </c>
      <c r="E668" s="22" t="s">
        <v>2473</v>
      </c>
      <c r="F668" s="22" t="s">
        <v>2474</v>
      </c>
      <c r="G668" s="41">
        <v>0</v>
      </c>
      <c r="H668" s="41">
        <v>0</v>
      </c>
    </row>
    <row r="669" spans="1:8" ht="15" hidden="1" x14ac:dyDescent="0.2">
      <c r="A669" s="19">
        <v>707</v>
      </c>
      <c r="B669" s="37" t="s">
        <v>2475</v>
      </c>
      <c r="C669" s="38" t="s">
        <v>2476</v>
      </c>
      <c r="D669" s="125"/>
      <c r="E669" s="124"/>
      <c r="F669" s="42"/>
      <c r="G669" s="39">
        <v>0</v>
      </c>
      <c r="H669" s="39">
        <v>0</v>
      </c>
    </row>
    <row r="670" spans="1:8" ht="15" hidden="1" x14ac:dyDescent="0.2">
      <c r="A670" s="19">
        <v>711</v>
      </c>
      <c r="B670" s="37" t="s">
        <v>2477</v>
      </c>
      <c r="C670" s="38" t="s">
        <v>2478</v>
      </c>
      <c r="D670" s="37"/>
      <c r="E670" s="42"/>
      <c r="F670" s="37" t="s">
        <v>2479</v>
      </c>
      <c r="G670" s="39">
        <v>0</v>
      </c>
      <c r="H670" s="39">
        <v>0</v>
      </c>
    </row>
    <row r="671" spans="1:8" ht="15" hidden="1" x14ac:dyDescent="0.2">
      <c r="A671" s="19">
        <v>712</v>
      </c>
      <c r="B671" s="22" t="s">
        <v>2480</v>
      </c>
      <c r="C671" s="40" t="s">
        <v>2481</v>
      </c>
      <c r="D671" s="123"/>
      <c r="E671" s="124"/>
      <c r="F671" s="22" t="s">
        <v>2482</v>
      </c>
      <c r="G671" s="41">
        <v>0</v>
      </c>
      <c r="H671" s="41">
        <v>0</v>
      </c>
    </row>
    <row r="672" spans="1:8" ht="15" hidden="1" x14ac:dyDescent="0.2">
      <c r="A672" s="19">
        <v>713</v>
      </c>
      <c r="B672" s="37" t="s">
        <v>2483</v>
      </c>
      <c r="C672" s="38" t="s">
        <v>2484</v>
      </c>
      <c r="D672" s="37" t="s">
        <v>2485</v>
      </c>
      <c r="E672" s="37" t="s">
        <v>2486</v>
      </c>
      <c r="F672" s="37" t="s">
        <v>2487</v>
      </c>
      <c r="G672" s="39">
        <v>0</v>
      </c>
      <c r="H672" s="39" t="s">
        <v>2488</v>
      </c>
    </row>
    <row r="673" spans="1:8" ht="15" hidden="1" x14ac:dyDescent="0.2">
      <c r="A673" s="19">
        <v>714</v>
      </c>
      <c r="B673" s="22" t="s">
        <v>2489</v>
      </c>
      <c r="C673" s="40" t="s">
        <v>2490</v>
      </c>
      <c r="D673" s="22">
        <v>838887675</v>
      </c>
      <c r="E673" s="22" t="s">
        <v>2491</v>
      </c>
      <c r="F673" s="22" t="s">
        <v>2492</v>
      </c>
      <c r="G673" s="41">
        <v>0</v>
      </c>
      <c r="H673" s="41">
        <v>0</v>
      </c>
    </row>
    <row r="674" spans="1:8" ht="15" hidden="1" x14ac:dyDescent="0.2">
      <c r="A674" s="19">
        <v>717</v>
      </c>
      <c r="B674" s="37" t="s">
        <v>2493</v>
      </c>
      <c r="C674" s="38" t="s">
        <v>2494</v>
      </c>
      <c r="D674" s="37"/>
      <c r="E674" s="37" t="s">
        <v>2495</v>
      </c>
      <c r="F674" s="42"/>
      <c r="G674" s="39">
        <v>0</v>
      </c>
      <c r="H674" s="39">
        <v>0</v>
      </c>
    </row>
    <row r="675" spans="1:8" ht="15" hidden="1" x14ac:dyDescent="0.2">
      <c r="A675" s="19">
        <v>719</v>
      </c>
      <c r="B675" s="37" t="s">
        <v>2496</v>
      </c>
      <c r="C675" s="38" t="s">
        <v>2497</v>
      </c>
      <c r="D675" s="37">
        <v>349832548</v>
      </c>
      <c r="E675" s="37" t="s">
        <v>2498</v>
      </c>
      <c r="F675" s="37" t="s">
        <v>2016</v>
      </c>
      <c r="G675" s="39">
        <v>0</v>
      </c>
      <c r="H675" s="39">
        <v>0</v>
      </c>
    </row>
    <row r="676" spans="1:8" ht="15" hidden="1" x14ac:dyDescent="0.2">
      <c r="A676" s="19">
        <v>720</v>
      </c>
      <c r="B676" s="22" t="s">
        <v>2499</v>
      </c>
      <c r="C676" s="40" t="s">
        <v>2500</v>
      </c>
      <c r="D676" s="22"/>
      <c r="E676" s="43"/>
      <c r="F676" s="43"/>
      <c r="G676" s="41">
        <v>0</v>
      </c>
      <c r="H676" s="41">
        <v>0</v>
      </c>
    </row>
    <row r="677" spans="1:8" ht="15" hidden="1" x14ac:dyDescent="0.2">
      <c r="A677" s="19">
        <v>721</v>
      </c>
      <c r="B677" s="37" t="s">
        <v>2501</v>
      </c>
      <c r="C677" s="38" t="s">
        <v>2502</v>
      </c>
      <c r="D677" s="37">
        <v>339933959</v>
      </c>
      <c r="E677" s="37" t="s">
        <v>2503</v>
      </c>
      <c r="F677" s="37" t="s">
        <v>2504</v>
      </c>
      <c r="G677" s="39">
        <v>0</v>
      </c>
      <c r="H677" s="39">
        <v>0</v>
      </c>
    </row>
    <row r="678" spans="1:8" ht="15" hidden="1" x14ac:dyDescent="0.2">
      <c r="A678" s="19">
        <v>722</v>
      </c>
      <c r="B678" s="22" t="s">
        <v>2505</v>
      </c>
      <c r="C678" s="40" t="s">
        <v>2506</v>
      </c>
      <c r="D678" s="22"/>
      <c r="E678" s="22" t="s">
        <v>2507</v>
      </c>
      <c r="F678" s="22" t="s">
        <v>2508</v>
      </c>
      <c r="G678" s="41">
        <v>0</v>
      </c>
      <c r="H678" s="41" t="s">
        <v>2509</v>
      </c>
    </row>
    <row r="679" spans="1:8" ht="15" hidden="1" x14ac:dyDescent="0.2">
      <c r="A679" s="19">
        <v>724</v>
      </c>
      <c r="B679" s="22" t="s">
        <v>2510</v>
      </c>
      <c r="C679" s="40" t="s">
        <v>2511</v>
      </c>
      <c r="D679" s="22">
        <v>969684282</v>
      </c>
      <c r="E679" s="22" t="s">
        <v>2512</v>
      </c>
      <c r="F679" s="22" t="s">
        <v>2513</v>
      </c>
      <c r="G679" s="41">
        <v>0</v>
      </c>
      <c r="H679" s="41">
        <v>0</v>
      </c>
    </row>
    <row r="680" spans="1:8" ht="15" hidden="1" x14ac:dyDescent="0.2">
      <c r="A680" s="19">
        <v>725</v>
      </c>
      <c r="B680" s="37" t="s">
        <v>2514</v>
      </c>
      <c r="C680" s="38" t="s">
        <v>2515</v>
      </c>
      <c r="D680" s="125">
        <v>966784682</v>
      </c>
      <c r="E680" s="124"/>
      <c r="F680" s="37" t="s">
        <v>2516</v>
      </c>
      <c r="G680" s="39">
        <v>0</v>
      </c>
      <c r="H680" s="39">
        <v>0</v>
      </c>
    </row>
    <row r="681" spans="1:8" ht="15" hidden="1" x14ac:dyDescent="0.2">
      <c r="A681" s="19">
        <v>726</v>
      </c>
      <c r="B681" s="22" t="s">
        <v>2517</v>
      </c>
      <c r="C681" s="40" t="s">
        <v>2518</v>
      </c>
      <c r="D681" s="123"/>
      <c r="E681" s="124"/>
      <c r="F681" s="43"/>
      <c r="G681" s="41">
        <v>0</v>
      </c>
      <c r="H681" s="41">
        <v>0</v>
      </c>
    </row>
    <row r="682" spans="1:8" ht="15" hidden="1" x14ac:dyDescent="0.2">
      <c r="A682" s="19">
        <v>727</v>
      </c>
      <c r="B682" s="37" t="s">
        <v>2519</v>
      </c>
      <c r="C682" s="38" t="s">
        <v>2520</v>
      </c>
      <c r="D682" s="125">
        <v>983489679</v>
      </c>
      <c r="E682" s="124"/>
      <c r="F682" s="37" t="s">
        <v>889</v>
      </c>
      <c r="G682" s="39">
        <v>0</v>
      </c>
      <c r="H682" s="39">
        <v>0</v>
      </c>
    </row>
    <row r="683" spans="1:8" ht="15" hidden="1" x14ac:dyDescent="0.2">
      <c r="A683" s="19">
        <v>728</v>
      </c>
      <c r="B683" s="22" t="s">
        <v>2521</v>
      </c>
      <c r="C683" s="40" t="s">
        <v>2522</v>
      </c>
      <c r="D683" s="123"/>
      <c r="E683" s="124"/>
      <c r="F683" s="43"/>
      <c r="G683" s="41">
        <v>0</v>
      </c>
      <c r="H683" s="41">
        <v>0</v>
      </c>
    </row>
    <row r="684" spans="1:8" ht="15" hidden="1" x14ac:dyDescent="0.2">
      <c r="A684" s="19">
        <v>729</v>
      </c>
      <c r="B684" s="37" t="s">
        <v>2523</v>
      </c>
      <c r="C684" s="38" t="s">
        <v>2524</v>
      </c>
      <c r="D684" s="125"/>
      <c r="E684" s="124"/>
      <c r="F684" s="42"/>
      <c r="G684" s="39">
        <v>0</v>
      </c>
      <c r="H684" s="39">
        <v>0</v>
      </c>
    </row>
    <row r="685" spans="1:8" ht="15" hidden="1" x14ac:dyDescent="0.2">
      <c r="A685" s="19">
        <v>730</v>
      </c>
      <c r="B685" s="22" t="s">
        <v>2525</v>
      </c>
      <c r="C685" s="40" t="s">
        <v>2526</v>
      </c>
      <c r="D685" s="123"/>
      <c r="E685" s="124"/>
      <c r="F685" s="43"/>
      <c r="G685" s="41">
        <v>0</v>
      </c>
      <c r="H685" s="41">
        <v>0</v>
      </c>
    </row>
    <row r="686" spans="1:8" ht="15" hidden="1" x14ac:dyDescent="0.2">
      <c r="A686" s="19">
        <v>731</v>
      </c>
      <c r="B686" s="37" t="s">
        <v>2527</v>
      </c>
      <c r="C686" s="38" t="s">
        <v>2528</v>
      </c>
      <c r="D686" s="125">
        <v>984165599</v>
      </c>
      <c r="E686" s="124"/>
      <c r="F686" s="42"/>
      <c r="G686" s="39">
        <v>0</v>
      </c>
      <c r="H686" s="39">
        <v>0</v>
      </c>
    </row>
    <row r="687" spans="1:8" ht="15" hidden="1" x14ac:dyDescent="0.2">
      <c r="A687" s="19">
        <v>732</v>
      </c>
      <c r="B687" s="22" t="s">
        <v>2529</v>
      </c>
      <c r="C687" s="40" t="s">
        <v>2530</v>
      </c>
      <c r="D687" s="22">
        <v>392903583</v>
      </c>
      <c r="E687" s="22" t="s">
        <v>2531</v>
      </c>
      <c r="F687" s="22" t="s">
        <v>2532</v>
      </c>
      <c r="G687" s="41">
        <v>0</v>
      </c>
      <c r="H687" s="41">
        <v>0</v>
      </c>
    </row>
    <row r="688" spans="1:8" ht="15" hidden="1" x14ac:dyDescent="0.2">
      <c r="A688" s="19">
        <v>733</v>
      </c>
      <c r="B688" s="37" t="s">
        <v>2533</v>
      </c>
      <c r="C688" s="38" t="s">
        <v>2534</v>
      </c>
      <c r="D688" s="125">
        <v>987529168</v>
      </c>
      <c r="E688" s="124"/>
      <c r="F688" s="37" t="s">
        <v>1927</v>
      </c>
      <c r="G688" s="39">
        <v>0</v>
      </c>
      <c r="H688" s="39">
        <v>0</v>
      </c>
    </row>
    <row r="689" spans="1:8" ht="15" hidden="1" x14ac:dyDescent="0.2">
      <c r="A689" s="19">
        <v>734</v>
      </c>
      <c r="B689" s="22" t="s">
        <v>2535</v>
      </c>
      <c r="C689" s="40" t="s">
        <v>2536</v>
      </c>
      <c r="D689" s="22">
        <v>901790959</v>
      </c>
      <c r="E689" s="22" t="s">
        <v>2537</v>
      </c>
      <c r="F689" s="22" t="s">
        <v>2538</v>
      </c>
      <c r="G689" s="41">
        <v>0</v>
      </c>
      <c r="H689" s="41">
        <v>0</v>
      </c>
    </row>
    <row r="690" spans="1:8" ht="15" hidden="1" x14ac:dyDescent="0.2">
      <c r="A690" s="19">
        <v>735</v>
      </c>
      <c r="B690" s="37" t="s">
        <v>2539</v>
      </c>
      <c r="C690" s="38" t="s">
        <v>2540</v>
      </c>
      <c r="D690" s="37">
        <v>326360938</v>
      </c>
      <c r="E690" s="37" t="s">
        <v>2541</v>
      </c>
      <c r="F690" s="37" t="s">
        <v>2542</v>
      </c>
      <c r="G690" s="39">
        <v>0</v>
      </c>
      <c r="H690" s="39" t="s">
        <v>2543</v>
      </c>
    </row>
    <row r="691" spans="1:8" ht="15" hidden="1" x14ac:dyDescent="0.2">
      <c r="A691" s="19">
        <v>736</v>
      </c>
      <c r="B691" s="22" t="s">
        <v>2544</v>
      </c>
      <c r="C691" s="40" t="s">
        <v>2545</v>
      </c>
      <c r="D691" s="22">
        <v>328429438</v>
      </c>
      <c r="E691" s="22" t="s">
        <v>2546</v>
      </c>
      <c r="F691" s="22" t="s">
        <v>2547</v>
      </c>
      <c r="G691" s="41">
        <v>0</v>
      </c>
      <c r="H691" s="41">
        <v>0</v>
      </c>
    </row>
    <row r="692" spans="1:8" ht="15" hidden="1" x14ac:dyDescent="0.2">
      <c r="A692" s="19">
        <v>737</v>
      </c>
      <c r="B692" s="37" t="s">
        <v>2548</v>
      </c>
      <c r="C692" s="38" t="s">
        <v>2549</v>
      </c>
      <c r="D692" s="37">
        <v>333082818</v>
      </c>
      <c r="E692" s="37" t="s">
        <v>2550</v>
      </c>
      <c r="F692" s="37" t="s">
        <v>2016</v>
      </c>
      <c r="G692" s="39">
        <v>0</v>
      </c>
      <c r="H692" s="39">
        <v>0</v>
      </c>
    </row>
    <row r="693" spans="1:8" ht="15" hidden="1" x14ac:dyDescent="0.2">
      <c r="A693" s="19">
        <v>738</v>
      </c>
      <c r="B693" s="22" t="s">
        <v>2551</v>
      </c>
      <c r="C693" s="40" t="s">
        <v>2552</v>
      </c>
      <c r="D693" s="22">
        <v>978545308</v>
      </c>
      <c r="E693" s="22" t="s">
        <v>2553</v>
      </c>
      <c r="F693" s="22" t="s">
        <v>2554</v>
      </c>
      <c r="G693" s="41">
        <v>0</v>
      </c>
      <c r="H693" s="41">
        <v>0</v>
      </c>
    </row>
    <row r="694" spans="1:8" ht="15" hidden="1" x14ac:dyDescent="0.2">
      <c r="A694" s="19">
        <v>739</v>
      </c>
      <c r="B694" s="37" t="s">
        <v>2555</v>
      </c>
      <c r="C694" s="38" t="s">
        <v>2556</v>
      </c>
      <c r="D694" s="37"/>
      <c r="E694" s="37" t="s">
        <v>2557</v>
      </c>
      <c r="F694" s="37" t="s">
        <v>2558</v>
      </c>
      <c r="G694" s="39">
        <v>0</v>
      </c>
      <c r="H694" s="39">
        <v>0</v>
      </c>
    </row>
    <row r="695" spans="1:8" ht="15" hidden="1" x14ac:dyDescent="0.2">
      <c r="A695" s="19">
        <v>740</v>
      </c>
      <c r="B695" s="22" t="s">
        <v>2559</v>
      </c>
      <c r="C695" s="40" t="s">
        <v>2560</v>
      </c>
      <c r="D695" s="43"/>
      <c r="E695" s="22" t="s">
        <v>2561</v>
      </c>
      <c r="F695" s="43"/>
      <c r="G695" s="41">
        <v>0</v>
      </c>
      <c r="H695" s="41">
        <v>0</v>
      </c>
    </row>
    <row r="696" spans="1:8" ht="15" hidden="1" x14ac:dyDescent="0.2">
      <c r="A696" s="19">
        <v>741</v>
      </c>
      <c r="B696" s="37" t="s">
        <v>2562</v>
      </c>
      <c r="C696" s="38" t="s">
        <v>2563</v>
      </c>
      <c r="D696" s="37">
        <v>962049856</v>
      </c>
      <c r="E696" s="37" t="s">
        <v>2564</v>
      </c>
      <c r="F696" s="37" t="s">
        <v>2565</v>
      </c>
      <c r="G696" s="39">
        <v>0</v>
      </c>
      <c r="H696" s="39">
        <v>0</v>
      </c>
    </row>
    <row r="697" spans="1:8" ht="15" hidden="1" x14ac:dyDescent="0.2">
      <c r="A697" s="19">
        <v>742</v>
      </c>
      <c r="B697" s="22" t="s">
        <v>2566</v>
      </c>
      <c r="C697" s="40" t="s">
        <v>2567</v>
      </c>
      <c r="D697" s="22">
        <v>947810838</v>
      </c>
      <c r="E697" s="22" t="s">
        <v>2568</v>
      </c>
      <c r="F697" s="22" t="s">
        <v>2016</v>
      </c>
      <c r="G697" s="41">
        <v>0</v>
      </c>
      <c r="H697" s="41">
        <v>0</v>
      </c>
    </row>
    <row r="698" spans="1:8" ht="15" hidden="1" x14ac:dyDescent="0.2">
      <c r="A698" s="19">
        <v>743</v>
      </c>
      <c r="B698" s="37" t="s">
        <v>2569</v>
      </c>
      <c r="C698" s="38" t="s">
        <v>2570</v>
      </c>
      <c r="D698" s="37">
        <v>966121187</v>
      </c>
      <c r="E698" s="37" t="s">
        <v>2571</v>
      </c>
      <c r="F698" s="37" t="s">
        <v>2572</v>
      </c>
      <c r="G698" s="39">
        <v>0</v>
      </c>
      <c r="H698" s="39">
        <v>0</v>
      </c>
    </row>
    <row r="699" spans="1:8" ht="15" hidden="1" x14ac:dyDescent="0.2">
      <c r="A699" s="19">
        <v>744</v>
      </c>
      <c r="B699" s="22" t="s">
        <v>2573</v>
      </c>
      <c r="C699" s="40" t="s">
        <v>2574</v>
      </c>
      <c r="D699" s="22">
        <v>368538290</v>
      </c>
      <c r="E699" s="22" t="s">
        <v>2575</v>
      </c>
      <c r="F699" s="22" t="s">
        <v>2016</v>
      </c>
      <c r="G699" s="41">
        <v>0</v>
      </c>
      <c r="H699" s="41">
        <v>0</v>
      </c>
    </row>
    <row r="700" spans="1:8" ht="15" hidden="1" x14ac:dyDescent="0.2">
      <c r="A700" s="19">
        <v>745</v>
      </c>
      <c r="B700" s="37" t="s">
        <v>2576</v>
      </c>
      <c r="C700" s="38" t="s">
        <v>2577</v>
      </c>
      <c r="D700" s="37">
        <v>988698896</v>
      </c>
      <c r="E700" s="37" t="s">
        <v>2578</v>
      </c>
      <c r="F700" s="37" t="s">
        <v>2579</v>
      </c>
      <c r="G700" s="39">
        <v>0</v>
      </c>
      <c r="H700" s="39">
        <v>0</v>
      </c>
    </row>
    <row r="701" spans="1:8" ht="15" hidden="1" x14ac:dyDescent="0.2">
      <c r="A701" s="19">
        <v>746</v>
      </c>
      <c r="B701" s="22" t="s">
        <v>2580</v>
      </c>
      <c r="C701" s="40" t="s">
        <v>2581</v>
      </c>
      <c r="D701" s="22"/>
      <c r="E701" s="43"/>
      <c r="F701" s="43"/>
      <c r="G701" s="41">
        <v>0</v>
      </c>
      <c r="H701" s="41">
        <v>0</v>
      </c>
    </row>
    <row r="702" spans="1:8" ht="15" hidden="1" x14ac:dyDescent="0.2">
      <c r="A702" s="19">
        <v>747</v>
      </c>
      <c r="B702" s="37" t="s">
        <v>2582</v>
      </c>
      <c r="C702" s="38" t="s">
        <v>2583</v>
      </c>
      <c r="D702" s="37">
        <v>961448988</v>
      </c>
      <c r="E702" s="37" t="s">
        <v>2584</v>
      </c>
      <c r="F702" s="37" t="s">
        <v>2016</v>
      </c>
      <c r="G702" s="39">
        <v>0</v>
      </c>
      <c r="H702" s="39">
        <v>0</v>
      </c>
    </row>
    <row r="703" spans="1:8" ht="15" hidden="1" x14ac:dyDescent="0.2">
      <c r="A703" s="19">
        <v>748</v>
      </c>
      <c r="B703" s="22" t="s">
        <v>2585</v>
      </c>
      <c r="C703" s="40" t="s">
        <v>2586</v>
      </c>
      <c r="D703" s="22">
        <v>941113647</v>
      </c>
      <c r="E703" s="22" t="s">
        <v>2587</v>
      </c>
      <c r="F703" s="22" t="s">
        <v>2588</v>
      </c>
      <c r="G703" s="41">
        <v>0</v>
      </c>
      <c r="H703" s="41" t="s">
        <v>2589</v>
      </c>
    </row>
    <row r="704" spans="1:8" ht="15" hidden="1" x14ac:dyDescent="0.2">
      <c r="A704" s="19">
        <v>749</v>
      </c>
      <c r="B704" s="37" t="s">
        <v>2590</v>
      </c>
      <c r="C704" s="38" t="s">
        <v>2591</v>
      </c>
      <c r="D704" s="37">
        <v>912126869</v>
      </c>
      <c r="E704" s="37" t="s">
        <v>2592</v>
      </c>
      <c r="F704" s="37" t="s">
        <v>2593</v>
      </c>
      <c r="G704" s="39">
        <v>0</v>
      </c>
      <c r="H704" s="39">
        <v>0</v>
      </c>
    </row>
    <row r="705" spans="1:8" ht="15" hidden="1" x14ac:dyDescent="0.2">
      <c r="A705" s="19">
        <v>750</v>
      </c>
      <c r="B705" s="22" t="s">
        <v>2594</v>
      </c>
      <c r="C705" s="40" t="s">
        <v>2595</v>
      </c>
      <c r="D705" s="43"/>
      <c r="E705" s="22" t="s">
        <v>2596</v>
      </c>
      <c r="F705" s="22" t="s">
        <v>2597</v>
      </c>
      <c r="G705" s="41">
        <v>0</v>
      </c>
      <c r="H705" s="41">
        <v>0</v>
      </c>
    </row>
    <row r="706" spans="1:8" ht="15" hidden="1" x14ac:dyDescent="0.2">
      <c r="A706" s="19">
        <v>751</v>
      </c>
      <c r="B706" s="37" t="s">
        <v>2598</v>
      </c>
      <c r="C706" s="38" t="s">
        <v>2599</v>
      </c>
      <c r="D706" s="37">
        <v>963451998</v>
      </c>
      <c r="E706" s="37" t="s">
        <v>2600</v>
      </c>
      <c r="F706" s="37" t="s">
        <v>2601</v>
      </c>
      <c r="G706" s="39">
        <v>0</v>
      </c>
      <c r="H706" s="39" t="s">
        <v>2602</v>
      </c>
    </row>
    <row r="707" spans="1:8" ht="15" hidden="1" x14ac:dyDescent="0.2">
      <c r="A707" s="19">
        <v>752</v>
      </c>
      <c r="B707" s="22" t="s">
        <v>2603</v>
      </c>
      <c r="C707" s="40" t="s">
        <v>2604</v>
      </c>
      <c r="D707" s="127">
        <v>986646487</v>
      </c>
      <c r="E707" s="124"/>
      <c r="F707" s="22" t="s">
        <v>2605</v>
      </c>
      <c r="G707" s="41">
        <v>0</v>
      </c>
      <c r="H707" s="41">
        <v>0</v>
      </c>
    </row>
    <row r="708" spans="1:8" ht="15" hidden="1" x14ac:dyDescent="0.2">
      <c r="A708" s="19">
        <v>753</v>
      </c>
      <c r="B708" s="37" t="s">
        <v>2606</v>
      </c>
      <c r="C708" s="38" t="s">
        <v>2607</v>
      </c>
      <c r="D708" s="37">
        <v>378933433</v>
      </c>
      <c r="E708" s="37" t="s">
        <v>2608</v>
      </c>
      <c r="F708" s="37" t="s">
        <v>2609</v>
      </c>
      <c r="G708" s="39">
        <v>0</v>
      </c>
      <c r="H708" s="39" t="s">
        <v>2610</v>
      </c>
    </row>
    <row r="709" spans="1:8" ht="15" hidden="1" x14ac:dyDescent="0.2">
      <c r="A709" s="19">
        <v>754</v>
      </c>
      <c r="B709" s="22" t="s">
        <v>2611</v>
      </c>
      <c r="C709" s="40" t="s">
        <v>2612</v>
      </c>
      <c r="D709" s="22">
        <v>973894800</v>
      </c>
      <c r="E709" s="22" t="s">
        <v>2613</v>
      </c>
      <c r="F709" s="22" t="s">
        <v>2614</v>
      </c>
      <c r="G709" s="41">
        <v>0</v>
      </c>
      <c r="H709" s="41">
        <v>0</v>
      </c>
    </row>
    <row r="710" spans="1:8" ht="15" hidden="1" x14ac:dyDescent="0.2">
      <c r="A710" s="19">
        <v>755</v>
      </c>
      <c r="B710" s="37" t="s">
        <v>2615</v>
      </c>
      <c r="C710" s="38" t="s">
        <v>2616</v>
      </c>
      <c r="D710" s="37">
        <v>977967790</v>
      </c>
      <c r="E710" s="37" t="s">
        <v>2617</v>
      </c>
      <c r="F710" s="37" t="s">
        <v>2618</v>
      </c>
      <c r="G710" s="39">
        <v>0</v>
      </c>
      <c r="H710" s="39">
        <v>0</v>
      </c>
    </row>
    <row r="711" spans="1:8" ht="15" hidden="1" x14ac:dyDescent="0.2">
      <c r="A711" s="19">
        <v>756</v>
      </c>
      <c r="B711" s="22" t="s">
        <v>2619</v>
      </c>
      <c r="C711" s="40" t="s">
        <v>2620</v>
      </c>
      <c r="D711" s="22">
        <v>376357559</v>
      </c>
      <c r="E711" s="22" t="s">
        <v>2621</v>
      </c>
      <c r="F711" s="22" t="s">
        <v>2622</v>
      </c>
      <c r="G711" s="41">
        <v>0</v>
      </c>
      <c r="H711" s="41">
        <v>0</v>
      </c>
    </row>
    <row r="712" spans="1:8" ht="15" hidden="1" x14ac:dyDescent="0.2">
      <c r="A712" s="19">
        <v>757</v>
      </c>
      <c r="B712" s="37" t="s">
        <v>2623</v>
      </c>
      <c r="C712" s="38" t="s">
        <v>2624</v>
      </c>
      <c r="D712" s="37" t="s">
        <v>2625</v>
      </c>
      <c r="E712" s="37" t="s">
        <v>2626</v>
      </c>
      <c r="F712" s="37" t="s">
        <v>2016</v>
      </c>
      <c r="G712" s="39">
        <v>0</v>
      </c>
      <c r="H712" s="39">
        <v>0</v>
      </c>
    </row>
    <row r="713" spans="1:8" ht="15" hidden="1" x14ac:dyDescent="0.2">
      <c r="A713" s="19">
        <v>758</v>
      </c>
      <c r="B713" s="22" t="s">
        <v>2627</v>
      </c>
      <c r="C713" s="40" t="s">
        <v>2628</v>
      </c>
      <c r="D713" s="22">
        <v>983068782</v>
      </c>
      <c r="E713" s="22" t="s">
        <v>2629</v>
      </c>
      <c r="F713" s="43"/>
      <c r="G713" s="41">
        <v>0</v>
      </c>
      <c r="H713" s="41">
        <v>0</v>
      </c>
    </row>
    <row r="714" spans="1:8" ht="15" hidden="1" x14ac:dyDescent="0.2">
      <c r="A714" s="19">
        <v>759</v>
      </c>
      <c r="B714" s="37" t="s">
        <v>2630</v>
      </c>
      <c r="C714" s="38" t="s">
        <v>2631</v>
      </c>
      <c r="D714" s="37">
        <v>968165890</v>
      </c>
      <c r="E714" s="37" t="s">
        <v>2632</v>
      </c>
      <c r="F714" s="37" t="s">
        <v>2633</v>
      </c>
      <c r="G714" s="39">
        <v>0</v>
      </c>
      <c r="H714" s="39">
        <v>0</v>
      </c>
    </row>
    <row r="715" spans="1:8" ht="15" hidden="1" x14ac:dyDescent="0.2">
      <c r="A715" s="19">
        <v>760</v>
      </c>
      <c r="B715" s="22" t="s">
        <v>2634</v>
      </c>
      <c r="C715" s="40" t="s">
        <v>2635</v>
      </c>
      <c r="D715" s="22">
        <v>913839451</v>
      </c>
      <c r="E715" s="22" t="s">
        <v>2636</v>
      </c>
      <c r="F715" s="43"/>
      <c r="G715" s="41">
        <v>0</v>
      </c>
      <c r="H715" s="41">
        <v>0</v>
      </c>
    </row>
    <row r="716" spans="1:8" ht="15" hidden="1" x14ac:dyDescent="0.2">
      <c r="A716" s="19">
        <v>761</v>
      </c>
      <c r="B716" s="37" t="s">
        <v>2637</v>
      </c>
      <c r="C716" s="38" t="s">
        <v>2638</v>
      </c>
      <c r="D716" s="37">
        <v>389230301</v>
      </c>
      <c r="E716" s="37" t="s">
        <v>2639</v>
      </c>
      <c r="F716" s="37" t="s">
        <v>2640</v>
      </c>
      <c r="G716" s="39">
        <v>0</v>
      </c>
      <c r="H716" s="39">
        <v>0</v>
      </c>
    </row>
    <row r="717" spans="1:8" ht="15" hidden="1" x14ac:dyDescent="0.2">
      <c r="A717" s="19">
        <v>762</v>
      </c>
      <c r="B717" s="22" t="s">
        <v>2641</v>
      </c>
      <c r="C717" s="40" t="s">
        <v>2642</v>
      </c>
      <c r="D717" s="22">
        <v>396437492</v>
      </c>
      <c r="E717" s="22" t="s">
        <v>2643</v>
      </c>
      <c r="F717" s="22" t="s">
        <v>2644</v>
      </c>
      <c r="G717" s="41">
        <v>0</v>
      </c>
      <c r="H717" s="41">
        <v>0</v>
      </c>
    </row>
    <row r="718" spans="1:8" ht="15" hidden="1" x14ac:dyDescent="0.2">
      <c r="A718" s="19">
        <v>763</v>
      </c>
      <c r="B718" s="37" t="s">
        <v>2645</v>
      </c>
      <c r="C718" s="38" t="s">
        <v>2646</v>
      </c>
      <c r="D718" s="37">
        <v>865828628</v>
      </c>
      <c r="E718" s="37" t="s">
        <v>2647</v>
      </c>
      <c r="F718" s="37" t="s">
        <v>2648</v>
      </c>
      <c r="G718" s="39">
        <v>0</v>
      </c>
      <c r="H718" s="39">
        <v>0</v>
      </c>
    </row>
    <row r="719" spans="1:8" ht="15" hidden="1" x14ac:dyDescent="0.2">
      <c r="A719" s="19">
        <v>764</v>
      </c>
      <c r="B719" s="22" t="s">
        <v>2649</v>
      </c>
      <c r="C719" s="40" t="s">
        <v>2650</v>
      </c>
      <c r="D719" s="22">
        <v>944718555</v>
      </c>
      <c r="E719" s="22" t="s">
        <v>2651</v>
      </c>
      <c r="F719" s="43"/>
      <c r="G719" s="41">
        <v>0</v>
      </c>
      <c r="H719" s="41">
        <v>0</v>
      </c>
    </row>
    <row r="720" spans="1:8" ht="15" hidden="1" x14ac:dyDescent="0.2">
      <c r="A720" s="19">
        <v>765</v>
      </c>
      <c r="B720" s="37" t="s">
        <v>2652</v>
      </c>
      <c r="C720" s="38" t="s">
        <v>2653</v>
      </c>
      <c r="D720" s="37">
        <v>989349088</v>
      </c>
      <c r="E720" s="37" t="s">
        <v>2654</v>
      </c>
      <c r="F720" s="37" t="s">
        <v>2655</v>
      </c>
      <c r="G720" s="39">
        <v>0</v>
      </c>
      <c r="H720" s="39">
        <v>0</v>
      </c>
    </row>
    <row r="721" spans="1:8" ht="15" hidden="1" x14ac:dyDescent="0.2">
      <c r="A721" s="19">
        <v>766</v>
      </c>
      <c r="B721" s="22" t="s">
        <v>2656</v>
      </c>
      <c r="C721" s="40" t="s">
        <v>2657</v>
      </c>
      <c r="D721" s="22"/>
      <c r="E721" s="43"/>
      <c r="F721" s="22" t="s">
        <v>2658</v>
      </c>
      <c r="G721" s="41">
        <v>0</v>
      </c>
      <c r="H721" s="41">
        <v>0</v>
      </c>
    </row>
    <row r="722" spans="1:8" ht="15" hidden="1" x14ac:dyDescent="0.2">
      <c r="A722" s="19">
        <v>767</v>
      </c>
      <c r="B722" s="37" t="s">
        <v>2659</v>
      </c>
      <c r="C722" s="38" t="s">
        <v>2660</v>
      </c>
      <c r="D722" s="37">
        <v>977394496</v>
      </c>
      <c r="E722" s="37" t="s">
        <v>2661</v>
      </c>
      <c r="F722" s="42"/>
      <c r="G722" s="39">
        <v>0</v>
      </c>
      <c r="H722" s="39">
        <v>0</v>
      </c>
    </row>
    <row r="723" spans="1:8" ht="15" hidden="1" x14ac:dyDescent="0.2">
      <c r="A723" s="19">
        <v>768</v>
      </c>
      <c r="B723" s="22" t="s">
        <v>2662</v>
      </c>
      <c r="C723" s="40" t="s">
        <v>2663</v>
      </c>
      <c r="D723" s="22">
        <v>986836982</v>
      </c>
      <c r="E723" s="22" t="s">
        <v>2664</v>
      </c>
      <c r="F723" s="22" t="s">
        <v>2665</v>
      </c>
      <c r="G723" s="41">
        <v>0</v>
      </c>
      <c r="H723" s="41">
        <v>0</v>
      </c>
    </row>
    <row r="724" spans="1:8" ht="15" hidden="1" x14ac:dyDescent="0.2">
      <c r="A724" s="19">
        <v>769</v>
      </c>
      <c r="B724" s="37" t="s">
        <v>2666</v>
      </c>
      <c r="C724" s="38" t="s">
        <v>673</v>
      </c>
      <c r="D724" s="37">
        <v>968881867</v>
      </c>
      <c r="E724" s="37" t="s">
        <v>2667</v>
      </c>
      <c r="F724" s="37" t="s">
        <v>2668</v>
      </c>
      <c r="G724" s="39">
        <v>0</v>
      </c>
      <c r="H724" s="39" t="s">
        <v>2669</v>
      </c>
    </row>
    <row r="725" spans="1:8" ht="15" hidden="1" x14ac:dyDescent="0.2">
      <c r="A725" s="19">
        <v>770</v>
      </c>
      <c r="B725" s="22" t="s">
        <v>2670</v>
      </c>
      <c r="C725" s="40" t="s">
        <v>2671</v>
      </c>
      <c r="D725" s="22">
        <v>382269662</v>
      </c>
      <c r="E725" s="22" t="s">
        <v>2672</v>
      </c>
      <c r="F725" s="22" t="s">
        <v>1977</v>
      </c>
      <c r="G725" s="41">
        <v>0</v>
      </c>
      <c r="H725" s="41">
        <v>0</v>
      </c>
    </row>
    <row r="726" spans="1:8" ht="15" hidden="1" x14ac:dyDescent="0.2">
      <c r="A726" s="19">
        <v>771</v>
      </c>
      <c r="B726" s="37" t="s">
        <v>2673</v>
      </c>
      <c r="C726" s="38" t="s">
        <v>2674</v>
      </c>
      <c r="D726" s="37"/>
      <c r="E726" s="42"/>
      <c r="F726" s="42"/>
      <c r="G726" s="39">
        <v>0</v>
      </c>
      <c r="H726" s="39">
        <v>0</v>
      </c>
    </row>
    <row r="727" spans="1:8" ht="15" hidden="1" x14ac:dyDescent="0.2">
      <c r="A727" s="19">
        <v>772</v>
      </c>
      <c r="B727" s="22" t="s">
        <v>2675</v>
      </c>
      <c r="C727" s="40" t="s">
        <v>2676</v>
      </c>
      <c r="D727" s="123">
        <v>964237763</v>
      </c>
      <c r="E727" s="124"/>
      <c r="F727" s="22" t="s">
        <v>2677</v>
      </c>
      <c r="G727" s="41">
        <v>0</v>
      </c>
      <c r="H727" s="41">
        <v>0</v>
      </c>
    </row>
    <row r="728" spans="1:8" ht="15" hidden="1" x14ac:dyDescent="0.2">
      <c r="A728" s="19">
        <v>773</v>
      </c>
      <c r="B728" s="37" t="s">
        <v>2678</v>
      </c>
      <c r="C728" s="38" t="s">
        <v>2679</v>
      </c>
      <c r="D728" s="37">
        <v>948000110</v>
      </c>
      <c r="E728" s="37" t="s">
        <v>2680</v>
      </c>
      <c r="F728" s="42"/>
      <c r="G728" s="39">
        <v>0</v>
      </c>
      <c r="H728" s="39">
        <v>0</v>
      </c>
    </row>
    <row r="729" spans="1:8" ht="15" hidden="1" x14ac:dyDescent="0.2">
      <c r="A729" s="19">
        <v>774</v>
      </c>
      <c r="B729" s="22" t="s">
        <v>2681</v>
      </c>
      <c r="C729" s="40" t="s">
        <v>2682</v>
      </c>
      <c r="D729" s="22">
        <v>986355607</v>
      </c>
      <c r="E729" s="22" t="s">
        <v>2683</v>
      </c>
      <c r="F729" s="22" t="s">
        <v>1489</v>
      </c>
      <c r="G729" s="41">
        <v>0</v>
      </c>
      <c r="H729" s="41">
        <v>0</v>
      </c>
    </row>
    <row r="730" spans="1:8" ht="15" hidden="1" x14ac:dyDescent="0.2">
      <c r="A730" s="19">
        <v>775</v>
      </c>
      <c r="B730" s="37" t="s">
        <v>2684</v>
      </c>
      <c r="C730" s="38" t="s">
        <v>2446</v>
      </c>
      <c r="D730" s="42"/>
      <c r="E730" s="42"/>
      <c r="F730" s="42"/>
      <c r="G730" s="39">
        <v>0</v>
      </c>
      <c r="H730" s="39">
        <v>0</v>
      </c>
    </row>
    <row r="731" spans="1:8" ht="15" hidden="1" x14ac:dyDescent="0.2">
      <c r="A731" s="19">
        <v>776</v>
      </c>
      <c r="B731" s="22" t="s">
        <v>2685</v>
      </c>
      <c r="C731" s="40" t="s">
        <v>2686</v>
      </c>
      <c r="D731" s="22" t="s">
        <v>2687</v>
      </c>
      <c r="E731" s="22" t="s">
        <v>2688</v>
      </c>
      <c r="F731" s="22" t="s">
        <v>2689</v>
      </c>
      <c r="G731" s="41">
        <v>0</v>
      </c>
      <c r="H731" s="41">
        <v>0</v>
      </c>
    </row>
    <row r="732" spans="1:8" ht="15" x14ac:dyDescent="0.2">
      <c r="A732" s="19">
        <v>777</v>
      </c>
      <c r="B732" s="37" t="s">
        <v>2690</v>
      </c>
      <c r="C732" s="38" t="s">
        <v>2691</v>
      </c>
      <c r="D732" s="37">
        <v>964263919</v>
      </c>
      <c r="E732" s="37" t="s">
        <v>2692</v>
      </c>
      <c r="F732" s="37" t="s">
        <v>2693</v>
      </c>
      <c r="G732" s="39">
        <v>5</v>
      </c>
      <c r="H732" s="39" t="s">
        <v>2694</v>
      </c>
    </row>
    <row r="733" spans="1:8" ht="15" hidden="1" x14ac:dyDescent="0.2">
      <c r="A733" s="19">
        <v>778</v>
      </c>
      <c r="B733" s="22" t="s">
        <v>2695</v>
      </c>
      <c r="C733" s="40" t="s">
        <v>2696</v>
      </c>
      <c r="D733" s="22">
        <v>358942516</v>
      </c>
      <c r="E733" s="22" t="s">
        <v>2697</v>
      </c>
      <c r="F733" s="22" t="s">
        <v>2016</v>
      </c>
      <c r="G733" s="41">
        <v>0</v>
      </c>
      <c r="H733" s="41">
        <v>0</v>
      </c>
    </row>
    <row r="734" spans="1:8" ht="15" hidden="1" x14ac:dyDescent="0.2">
      <c r="A734" s="19">
        <v>779</v>
      </c>
      <c r="B734" s="37" t="s">
        <v>2698</v>
      </c>
      <c r="C734" s="38" t="s">
        <v>2699</v>
      </c>
      <c r="D734" s="37">
        <v>972634846</v>
      </c>
      <c r="E734" s="37" t="s">
        <v>2700</v>
      </c>
      <c r="F734" s="37" t="s">
        <v>2701</v>
      </c>
      <c r="G734" s="39">
        <v>0</v>
      </c>
      <c r="H734" s="39">
        <v>0</v>
      </c>
    </row>
    <row r="735" spans="1:8" ht="15" hidden="1" x14ac:dyDescent="0.2">
      <c r="A735" s="19">
        <v>780</v>
      </c>
      <c r="B735" s="22" t="s">
        <v>2702</v>
      </c>
      <c r="C735" s="40" t="s">
        <v>2703</v>
      </c>
      <c r="D735" s="22">
        <v>973063043</v>
      </c>
      <c r="E735" s="22" t="s">
        <v>2704</v>
      </c>
      <c r="F735" s="22" t="s">
        <v>2705</v>
      </c>
      <c r="G735" s="41">
        <v>0</v>
      </c>
      <c r="H735" s="41">
        <v>0</v>
      </c>
    </row>
    <row r="736" spans="1:8" ht="15" hidden="1" x14ac:dyDescent="0.2">
      <c r="A736" s="19">
        <v>781</v>
      </c>
      <c r="B736" s="37" t="s">
        <v>2706</v>
      </c>
      <c r="C736" s="38" t="s">
        <v>2707</v>
      </c>
      <c r="D736" s="37">
        <v>977992475</v>
      </c>
      <c r="E736" s="37" t="s">
        <v>2708</v>
      </c>
      <c r="F736" s="37" t="s">
        <v>2709</v>
      </c>
      <c r="G736" s="39">
        <v>0</v>
      </c>
      <c r="H736" s="39">
        <v>0</v>
      </c>
    </row>
    <row r="737" spans="1:8" ht="15" hidden="1" x14ac:dyDescent="0.2">
      <c r="A737" s="19">
        <v>782</v>
      </c>
      <c r="B737" s="22" t="s">
        <v>2710</v>
      </c>
      <c r="C737" s="40" t="s">
        <v>2711</v>
      </c>
      <c r="D737" s="22">
        <v>973948684</v>
      </c>
      <c r="E737" s="22" t="s">
        <v>2712</v>
      </c>
      <c r="F737" s="22" t="s">
        <v>2713</v>
      </c>
      <c r="G737" s="41">
        <v>0</v>
      </c>
      <c r="H737" s="41">
        <v>0</v>
      </c>
    </row>
    <row r="738" spans="1:8" ht="15" hidden="1" x14ac:dyDescent="0.2">
      <c r="A738" s="19">
        <v>783</v>
      </c>
      <c r="B738" s="37" t="s">
        <v>2714</v>
      </c>
      <c r="C738" s="38" t="s">
        <v>2715</v>
      </c>
      <c r="D738" s="37">
        <v>936751031</v>
      </c>
      <c r="E738" s="37" t="s">
        <v>2716</v>
      </c>
      <c r="F738" s="37" t="s">
        <v>2717</v>
      </c>
      <c r="G738" s="39">
        <v>0</v>
      </c>
      <c r="H738" s="39">
        <v>0</v>
      </c>
    </row>
    <row r="739" spans="1:8" ht="15" hidden="1" x14ac:dyDescent="0.2">
      <c r="A739" s="19">
        <v>784</v>
      </c>
      <c r="B739" s="22" t="s">
        <v>2718</v>
      </c>
      <c r="C739" s="40" t="s">
        <v>2719</v>
      </c>
      <c r="D739" s="22">
        <v>385179994</v>
      </c>
      <c r="E739" s="22" t="s">
        <v>2720</v>
      </c>
      <c r="F739" s="22" t="s">
        <v>2721</v>
      </c>
      <c r="G739" s="41">
        <v>0</v>
      </c>
      <c r="H739" s="41">
        <v>0</v>
      </c>
    </row>
    <row r="740" spans="1:8" ht="15" hidden="1" x14ac:dyDescent="0.2">
      <c r="A740" s="19">
        <v>785</v>
      </c>
      <c r="B740" s="37" t="s">
        <v>2722</v>
      </c>
      <c r="C740" s="38" t="s">
        <v>2723</v>
      </c>
      <c r="D740" s="37">
        <v>974561831</v>
      </c>
      <c r="E740" s="37" t="s">
        <v>2724</v>
      </c>
      <c r="F740" s="37" t="s">
        <v>2725</v>
      </c>
      <c r="G740" s="39">
        <v>0</v>
      </c>
      <c r="H740" s="39">
        <v>0</v>
      </c>
    </row>
    <row r="741" spans="1:8" ht="15" hidden="1" x14ac:dyDescent="0.2">
      <c r="A741" s="19">
        <v>786</v>
      </c>
      <c r="B741" s="22" t="s">
        <v>2726</v>
      </c>
      <c r="C741" s="40" t="s">
        <v>2727</v>
      </c>
      <c r="D741" s="22">
        <v>385628265</v>
      </c>
      <c r="E741" s="22" t="s">
        <v>2728</v>
      </c>
      <c r="F741" s="22" t="s">
        <v>2016</v>
      </c>
      <c r="G741" s="41">
        <v>0</v>
      </c>
      <c r="H741" s="41">
        <v>0</v>
      </c>
    </row>
    <row r="742" spans="1:8" ht="15" hidden="1" x14ac:dyDescent="0.2">
      <c r="A742" s="19">
        <v>787</v>
      </c>
      <c r="B742" s="37" t="s">
        <v>2729</v>
      </c>
      <c r="C742" s="38" t="s">
        <v>2730</v>
      </c>
      <c r="D742" s="37">
        <v>915829243</v>
      </c>
      <c r="E742" s="37" t="s">
        <v>2731</v>
      </c>
      <c r="F742" s="37" t="s">
        <v>188</v>
      </c>
      <c r="G742" s="39">
        <v>0</v>
      </c>
      <c r="H742" s="39">
        <v>0</v>
      </c>
    </row>
    <row r="743" spans="1:8" ht="15" hidden="1" x14ac:dyDescent="0.2">
      <c r="A743" s="19">
        <v>788</v>
      </c>
      <c r="B743" s="22" t="s">
        <v>2732</v>
      </c>
      <c r="C743" s="40" t="s">
        <v>2733</v>
      </c>
      <c r="D743" s="127">
        <v>917158123</v>
      </c>
      <c r="E743" s="124"/>
      <c r="F743" s="22" t="s">
        <v>2734</v>
      </c>
      <c r="G743" s="41" t="s">
        <v>2735</v>
      </c>
      <c r="H743" s="41" t="s">
        <v>2736</v>
      </c>
    </row>
    <row r="744" spans="1:8" ht="15" hidden="1" x14ac:dyDescent="0.2">
      <c r="A744" s="19">
        <v>789</v>
      </c>
      <c r="B744" s="37" t="s">
        <v>2737</v>
      </c>
      <c r="C744" s="38" t="s">
        <v>2738</v>
      </c>
      <c r="D744" s="125"/>
      <c r="E744" s="124"/>
      <c r="F744" s="42"/>
      <c r="G744" s="39">
        <v>0</v>
      </c>
      <c r="H744" s="39">
        <v>0</v>
      </c>
    </row>
    <row r="745" spans="1:8" ht="15" hidden="1" x14ac:dyDescent="0.2">
      <c r="A745" s="19">
        <v>790</v>
      </c>
      <c r="B745" s="22" t="s">
        <v>2739</v>
      </c>
      <c r="C745" s="40" t="s">
        <v>2740</v>
      </c>
      <c r="D745" s="22"/>
      <c r="E745" s="22" t="s">
        <v>2741</v>
      </c>
      <c r="F745" s="43"/>
      <c r="G745" s="41">
        <v>0</v>
      </c>
      <c r="H745" s="41">
        <v>0</v>
      </c>
    </row>
    <row r="746" spans="1:8" ht="15" hidden="1" x14ac:dyDescent="0.2">
      <c r="A746" s="19">
        <v>791</v>
      </c>
      <c r="B746" s="37" t="s">
        <v>2742</v>
      </c>
      <c r="C746" s="38" t="s">
        <v>2743</v>
      </c>
      <c r="D746" s="125"/>
      <c r="E746" s="124"/>
      <c r="F746" s="42"/>
      <c r="G746" s="39">
        <v>0</v>
      </c>
      <c r="H746" s="39">
        <v>0</v>
      </c>
    </row>
    <row r="747" spans="1:8" ht="15" hidden="1" x14ac:dyDescent="0.2">
      <c r="A747" s="19">
        <v>792</v>
      </c>
      <c r="B747" s="22" t="s">
        <v>2744</v>
      </c>
      <c r="C747" s="40" t="s">
        <v>2745</v>
      </c>
      <c r="D747" s="22">
        <v>917797747</v>
      </c>
      <c r="E747" s="22" t="s">
        <v>2746</v>
      </c>
      <c r="F747" s="22" t="s">
        <v>2747</v>
      </c>
      <c r="G747" s="41">
        <v>0</v>
      </c>
      <c r="H747" s="41" t="s">
        <v>2748</v>
      </c>
    </row>
    <row r="748" spans="1:8" ht="15" hidden="1" x14ac:dyDescent="0.2">
      <c r="A748" s="19">
        <v>793</v>
      </c>
      <c r="B748" s="37" t="s">
        <v>2749</v>
      </c>
      <c r="C748" s="38" t="s">
        <v>2750</v>
      </c>
      <c r="D748" s="125">
        <v>834567788</v>
      </c>
      <c r="E748" s="124"/>
      <c r="F748" s="37" t="s">
        <v>2751</v>
      </c>
      <c r="G748" s="39">
        <v>0</v>
      </c>
      <c r="H748" s="39">
        <v>0</v>
      </c>
    </row>
    <row r="749" spans="1:8" ht="15" hidden="1" x14ac:dyDescent="0.2">
      <c r="A749" s="19">
        <v>794</v>
      </c>
      <c r="B749" s="22" t="s">
        <v>2752</v>
      </c>
      <c r="C749" s="40" t="s">
        <v>2753</v>
      </c>
      <c r="D749" s="123"/>
      <c r="E749" s="124"/>
      <c r="F749" s="43"/>
      <c r="G749" s="41">
        <v>0</v>
      </c>
      <c r="H749" s="41">
        <v>0</v>
      </c>
    </row>
    <row r="750" spans="1:8" ht="15" hidden="1" x14ac:dyDescent="0.2">
      <c r="A750" s="19">
        <v>795</v>
      </c>
      <c r="B750" s="37" t="s">
        <v>2754</v>
      </c>
      <c r="C750" s="38" t="s">
        <v>726</v>
      </c>
      <c r="D750" s="37" t="s">
        <v>2755</v>
      </c>
      <c r="E750" s="37" t="s">
        <v>843</v>
      </c>
      <c r="F750" s="37" t="s">
        <v>2756</v>
      </c>
      <c r="G750" s="39">
        <v>0</v>
      </c>
      <c r="H750" s="39">
        <v>0</v>
      </c>
    </row>
    <row r="751" spans="1:8" ht="15" hidden="1" x14ac:dyDescent="0.2">
      <c r="A751" s="19">
        <v>796</v>
      </c>
      <c r="B751" s="22" t="s">
        <v>2757</v>
      </c>
      <c r="C751" s="40" t="s">
        <v>2758</v>
      </c>
      <c r="D751" s="22">
        <v>902056906</v>
      </c>
      <c r="E751" s="22" t="s">
        <v>2759</v>
      </c>
      <c r="F751" s="22" t="s">
        <v>2760</v>
      </c>
      <c r="G751" s="41">
        <v>0</v>
      </c>
      <c r="H751" s="41" t="s">
        <v>2761</v>
      </c>
    </row>
    <row r="752" spans="1:8" ht="15" hidden="1" x14ac:dyDescent="0.2">
      <c r="A752" s="19">
        <v>797</v>
      </c>
      <c r="B752" s="37" t="s">
        <v>2762</v>
      </c>
      <c r="C752" s="38" t="s">
        <v>2763</v>
      </c>
      <c r="D752" s="125"/>
      <c r="E752" s="124"/>
      <c r="F752" s="37" t="s">
        <v>2764</v>
      </c>
      <c r="G752" s="39">
        <v>0</v>
      </c>
      <c r="H752" s="39">
        <v>0</v>
      </c>
    </row>
    <row r="753" spans="1:8" ht="15" hidden="1" x14ac:dyDescent="0.2">
      <c r="A753" s="19">
        <v>798</v>
      </c>
      <c r="B753" s="22" t="s">
        <v>2765</v>
      </c>
      <c r="C753" s="40" t="s">
        <v>2766</v>
      </c>
      <c r="D753" s="123"/>
      <c r="E753" s="124"/>
      <c r="F753" s="43"/>
      <c r="G753" s="41">
        <v>0</v>
      </c>
      <c r="H753" s="41">
        <v>0</v>
      </c>
    </row>
    <row r="754" spans="1:8" ht="15" hidden="1" x14ac:dyDescent="0.2">
      <c r="A754" s="19">
        <v>799</v>
      </c>
      <c r="B754" s="37" t="s">
        <v>2767</v>
      </c>
      <c r="C754" s="38" t="s">
        <v>2768</v>
      </c>
      <c r="D754" s="37">
        <v>981979461</v>
      </c>
      <c r="E754" s="37" t="s">
        <v>2769</v>
      </c>
      <c r="F754" s="37" t="s">
        <v>2770</v>
      </c>
      <c r="G754" s="39">
        <v>0</v>
      </c>
      <c r="H754" s="39" t="s">
        <v>2771</v>
      </c>
    </row>
    <row r="755" spans="1:8" ht="15" hidden="1" x14ac:dyDescent="0.2">
      <c r="A755" s="19">
        <v>800</v>
      </c>
      <c r="B755" s="22" t="s">
        <v>2772</v>
      </c>
      <c r="C755" s="40" t="s">
        <v>2773</v>
      </c>
      <c r="D755" s="22">
        <v>989238245</v>
      </c>
      <c r="E755" s="22" t="s">
        <v>2774</v>
      </c>
      <c r="F755" s="22" t="s">
        <v>2775</v>
      </c>
      <c r="G755" s="41">
        <v>0</v>
      </c>
      <c r="H755" s="41">
        <v>0</v>
      </c>
    </row>
    <row r="756" spans="1:8" ht="15" hidden="1" x14ac:dyDescent="0.2">
      <c r="A756" s="19">
        <v>801</v>
      </c>
      <c r="B756" s="37" t="s">
        <v>2776</v>
      </c>
      <c r="C756" s="38" t="s">
        <v>2777</v>
      </c>
      <c r="D756" s="37">
        <v>987992786</v>
      </c>
      <c r="E756" s="37" t="s">
        <v>2778</v>
      </c>
      <c r="F756" s="37" t="s">
        <v>2779</v>
      </c>
      <c r="G756" s="39">
        <v>0</v>
      </c>
      <c r="H756" s="39">
        <v>0</v>
      </c>
    </row>
    <row r="757" spans="1:8" ht="15" hidden="1" x14ac:dyDescent="0.2">
      <c r="A757" s="19">
        <v>802</v>
      </c>
      <c r="B757" s="22" t="s">
        <v>2780</v>
      </c>
      <c r="C757" s="40" t="s">
        <v>2781</v>
      </c>
      <c r="D757" s="123"/>
      <c r="E757" s="124"/>
      <c r="F757" s="43"/>
      <c r="G757" s="41">
        <v>0</v>
      </c>
      <c r="H757" s="41">
        <v>0</v>
      </c>
    </row>
    <row r="758" spans="1:8" ht="15" hidden="1" x14ac:dyDescent="0.2">
      <c r="A758" s="19">
        <v>803</v>
      </c>
      <c r="B758" s="37" t="s">
        <v>2782</v>
      </c>
      <c r="C758" s="38" t="s">
        <v>2783</v>
      </c>
      <c r="D758" s="37">
        <v>888122766</v>
      </c>
      <c r="E758" s="37" t="s">
        <v>2784</v>
      </c>
      <c r="F758" s="42"/>
      <c r="G758" s="39">
        <v>0</v>
      </c>
      <c r="H758" s="39">
        <v>0</v>
      </c>
    </row>
    <row r="759" spans="1:8" ht="15" hidden="1" x14ac:dyDescent="0.2">
      <c r="A759" s="19">
        <v>804</v>
      </c>
      <c r="B759" s="22" t="s">
        <v>2785</v>
      </c>
      <c r="C759" s="40" t="s">
        <v>2786</v>
      </c>
      <c r="D759" s="123"/>
      <c r="E759" s="124"/>
      <c r="F759" s="43"/>
      <c r="G759" s="41">
        <v>0</v>
      </c>
      <c r="H759" s="41">
        <v>0</v>
      </c>
    </row>
    <row r="760" spans="1:8" ht="15" hidden="1" x14ac:dyDescent="0.2">
      <c r="A760" s="19">
        <v>805</v>
      </c>
      <c r="B760" s="37" t="s">
        <v>2787</v>
      </c>
      <c r="C760" s="38" t="s">
        <v>2788</v>
      </c>
      <c r="D760" s="37">
        <v>904305569</v>
      </c>
      <c r="E760" s="37" t="s">
        <v>2789</v>
      </c>
      <c r="F760" s="37" t="s">
        <v>2790</v>
      </c>
      <c r="G760" s="39">
        <v>0</v>
      </c>
      <c r="H760" s="39">
        <v>0</v>
      </c>
    </row>
    <row r="761" spans="1:8" ht="15" hidden="1" x14ac:dyDescent="0.2">
      <c r="A761" s="19">
        <v>806</v>
      </c>
      <c r="B761" s="22" t="s">
        <v>2791</v>
      </c>
      <c r="C761" s="40" t="s">
        <v>2792</v>
      </c>
      <c r="D761" s="123"/>
      <c r="E761" s="124"/>
      <c r="F761" s="43"/>
      <c r="G761" s="41">
        <v>0</v>
      </c>
      <c r="H761" s="41">
        <v>0</v>
      </c>
    </row>
    <row r="762" spans="1:8" ht="15" hidden="1" x14ac:dyDescent="0.2">
      <c r="A762" s="19">
        <v>807</v>
      </c>
      <c r="B762" s="37" t="s">
        <v>2793</v>
      </c>
      <c r="C762" s="38" t="s">
        <v>2794</v>
      </c>
      <c r="D762" s="125"/>
      <c r="E762" s="124"/>
      <c r="F762" s="42"/>
      <c r="G762" s="39">
        <v>0</v>
      </c>
      <c r="H762" s="39">
        <v>0</v>
      </c>
    </row>
    <row r="763" spans="1:8" ht="15" hidden="1" x14ac:dyDescent="0.2">
      <c r="A763" s="19">
        <v>808</v>
      </c>
      <c r="B763" s="22" t="s">
        <v>2795</v>
      </c>
      <c r="C763" s="40" t="s">
        <v>2796</v>
      </c>
      <c r="D763" s="22">
        <v>794182184</v>
      </c>
      <c r="E763" s="22" t="s">
        <v>2797</v>
      </c>
      <c r="F763" s="22" t="s">
        <v>2798</v>
      </c>
      <c r="G763" s="41">
        <v>0</v>
      </c>
      <c r="H763" s="41" t="s">
        <v>2799</v>
      </c>
    </row>
    <row r="764" spans="1:8" ht="15" hidden="1" x14ac:dyDescent="0.2">
      <c r="A764" s="19">
        <v>809</v>
      </c>
      <c r="B764" s="37" t="s">
        <v>2800</v>
      </c>
      <c r="C764" s="38" t="s">
        <v>2801</v>
      </c>
      <c r="D764" s="37">
        <v>965697226</v>
      </c>
      <c r="E764" s="37" t="s">
        <v>2802</v>
      </c>
      <c r="F764" s="37" t="s">
        <v>2803</v>
      </c>
      <c r="G764" s="39">
        <v>0</v>
      </c>
      <c r="H764" s="39">
        <v>0</v>
      </c>
    </row>
    <row r="765" spans="1:8" ht="15" hidden="1" x14ac:dyDescent="0.2">
      <c r="A765" s="19">
        <v>810</v>
      </c>
      <c r="B765" s="22" t="s">
        <v>2804</v>
      </c>
      <c r="C765" s="40" t="s">
        <v>2805</v>
      </c>
      <c r="D765" s="123"/>
      <c r="E765" s="124"/>
      <c r="F765" s="43"/>
      <c r="G765" s="41">
        <v>0</v>
      </c>
      <c r="H765" s="41">
        <v>0</v>
      </c>
    </row>
    <row r="766" spans="1:8" ht="15" hidden="1" x14ac:dyDescent="0.2">
      <c r="A766" s="19">
        <v>811</v>
      </c>
      <c r="B766" s="37" t="s">
        <v>2806</v>
      </c>
      <c r="C766" s="38" t="s">
        <v>2807</v>
      </c>
      <c r="D766" s="37">
        <v>988326162</v>
      </c>
      <c r="E766" s="37" t="s">
        <v>2808</v>
      </c>
      <c r="F766" s="37" t="s">
        <v>2809</v>
      </c>
      <c r="G766" s="39" t="s">
        <v>2810</v>
      </c>
      <c r="H766" s="39" t="s">
        <v>2811</v>
      </c>
    </row>
    <row r="767" spans="1:8" ht="15" hidden="1" x14ac:dyDescent="0.2">
      <c r="A767" s="19">
        <v>812</v>
      </c>
      <c r="B767" s="22" t="s">
        <v>2812</v>
      </c>
      <c r="C767" s="40" t="s">
        <v>2813</v>
      </c>
      <c r="D767" s="123"/>
      <c r="E767" s="124"/>
      <c r="F767" s="43"/>
      <c r="G767" s="41">
        <v>0</v>
      </c>
      <c r="H767" s="41">
        <v>0</v>
      </c>
    </row>
    <row r="768" spans="1:8" ht="15" hidden="1" x14ac:dyDescent="0.2">
      <c r="A768" s="19">
        <v>813</v>
      </c>
      <c r="B768" s="37" t="s">
        <v>2814</v>
      </c>
      <c r="C768" s="38" t="s">
        <v>2815</v>
      </c>
      <c r="D768" s="37">
        <v>902898789</v>
      </c>
      <c r="E768" s="37" t="s">
        <v>2816</v>
      </c>
      <c r="F768" s="37" t="s">
        <v>2817</v>
      </c>
      <c r="G768" s="39">
        <v>0</v>
      </c>
      <c r="H768" s="39" t="s">
        <v>2818</v>
      </c>
    </row>
    <row r="769" spans="1:8" ht="15" hidden="1" x14ac:dyDescent="0.2">
      <c r="A769" s="19">
        <v>814</v>
      </c>
      <c r="B769" s="22" t="s">
        <v>2819</v>
      </c>
      <c r="C769" s="40" t="s">
        <v>2820</v>
      </c>
      <c r="D769" s="123"/>
      <c r="E769" s="124"/>
      <c r="F769" s="43"/>
      <c r="G769" s="41">
        <v>0</v>
      </c>
      <c r="H769" s="41">
        <v>0</v>
      </c>
    </row>
    <row r="770" spans="1:8" ht="15" hidden="1" x14ac:dyDescent="0.2">
      <c r="A770" s="19">
        <v>815</v>
      </c>
      <c r="B770" s="37" t="s">
        <v>2821</v>
      </c>
      <c r="C770" s="38" t="s">
        <v>2822</v>
      </c>
      <c r="D770" s="125">
        <v>329220220</v>
      </c>
      <c r="E770" s="124"/>
      <c r="F770" s="37" t="s">
        <v>2823</v>
      </c>
      <c r="G770" s="39">
        <v>0</v>
      </c>
      <c r="H770" s="39">
        <v>0</v>
      </c>
    </row>
    <row r="771" spans="1:8" ht="15" hidden="1" x14ac:dyDescent="0.2">
      <c r="A771" s="19">
        <v>816</v>
      </c>
      <c r="B771" s="22" t="s">
        <v>2824</v>
      </c>
      <c r="C771" s="40" t="s">
        <v>2825</v>
      </c>
      <c r="D771" s="22">
        <v>888777265</v>
      </c>
      <c r="E771" s="22" t="s">
        <v>2826</v>
      </c>
      <c r="F771" s="22" t="s">
        <v>2827</v>
      </c>
      <c r="G771" s="41">
        <v>0</v>
      </c>
      <c r="H771" s="41">
        <v>0</v>
      </c>
    </row>
    <row r="772" spans="1:8" ht="15" hidden="1" x14ac:dyDescent="0.2">
      <c r="A772" s="19">
        <v>817</v>
      </c>
      <c r="B772" s="37" t="s">
        <v>2828</v>
      </c>
      <c r="C772" s="38" t="s">
        <v>2829</v>
      </c>
      <c r="D772" s="37">
        <v>968919121</v>
      </c>
      <c r="E772" s="37" t="s">
        <v>2830</v>
      </c>
      <c r="F772" s="42"/>
      <c r="G772" s="39">
        <v>0</v>
      </c>
      <c r="H772" s="39">
        <v>0</v>
      </c>
    </row>
    <row r="773" spans="1:8" ht="15" hidden="1" x14ac:dyDescent="0.2">
      <c r="A773" s="19">
        <v>818</v>
      </c>
      <c r="B773" s="22" t="s">
        <v>2831</v>
      </c>
      <c r="C773" s="40" t="s">
        <v>2832</v>
      </c>
      <c r="D773" s="22">
        <v>398006212</v>
      </c>
      <c r="E773" s="22" t="s">
        <v>2833</v>
      </c>
      <c r="F773" s="22" t="s">
        <v>2834</v>
      </c>
      <c r="G773" s="41">
        <v>0</v>
      </c>
      <c r="H773" s="41">
        <v>0</v>
      </c>
    </row>
    <row r="774" spans="1:8" ht="15" hidden="1" x14ac:dyDescent="0.2">
      <c r="A774" s="19">
        <v>819</v>
      </c>
      <c r="B774" s="37" t="s">
        <v>2835</v>
      </c>
      <c r="C774" s="38" t="s">
        <v>2836</v>
      </c>
      <c r="D774" s="37">
        <v>905319330</v>
      </c>
      <c r="E774" s="37" t="s">
        <v>2837</v>
      </c>
      <c r="F774" s="37" t="s">
        <v>2838</v>
      </c>
      <c r="G774" s="39">
        <v>0</v>
      </c>
      <c r="H774" s="39" t="s">
        <v>2839</v>
      </c>
    </row>
    <row r="775" spans="1:8" ht="15" hidden="1" x14ac:dyDescent="0.2">
      <c r="A775" s="19">
        <v>820</v>
      </c>
      <c r="B775" s="22" t="s">
        <v>2840</v>
      </c>
      <c r="C775" s="40" t="s">
        <v>2841</v>
      </c>
      <c r="D775" s="123"/>
      <c r="E775" s="124"/>
      <c r="F775" s="43"/>
      <c r="G775" s="41">
        <v>0</v>
      </c>
      <c r="H775" s="41">
        <v>0</v>
      </c>
    </row>
    <row r="776" spans="1:8" ht="15" hidden="1" x14ac:dyDescent="0.2">
      <c r="A776" s="19">
        <v>821</v>
      </c>
      <c r="B776" s="37" t="s">
        <v>2842</v>
      </c>
      <c r="C776" s="38" t="s">
        <v>2843</v>
      </c>
      <c r="D776" s="37"/>
      <c r="E776" s="42"/>
      <c r="F776" s="42"/>
      <c r="G776" s="39">
        <v>0</v>
      </c>
      <c r="H776" s="39">
        <v>0</v>
      </c>
    </row>
    <row r="777" spans="1:8" ht="15" hidden="1" x14ac:dyDescent="0.2">
      <c r="A777" s="19">
        <v>822</v>
      </c>
      <c r="B777" s="22" t="s">
        <v>2844</v>
      </c>
      <c r="C777" s="40" t="s">
        <v>2845</v>
      </c>
      <c r="D777" s="46">
        <v>365211123</v>
      </c>
      <c r="E777" s="22" t="s">
        <v>2846</v>
      </c>
      <c r="F777" s="22" t="s">
        <v>2847</v>
      </c>
      <c r="G777" s="41">
        <v>0</v>
      </c>
      <c r="H777" s="41">
        <v>0</v>
      </c>
    </row>
    <row r="778" spans="1:8" ht="15" hidden="1" x14ac:dyDescent="0.2">
      <c r="A778" s="19">
        <v>823</v>
      </c>
      <c r="B778" s="37" t="s">
        <v>2848</v>
      </c>
      <c r="C778" s="38" t="s">
        <v>2849</v>
      </c>
      <c r="D778" s="125"/>
      <c r="E778" s="124"/>
      <c r="F778" s="42"/>
      <c r="G778" s="39">
        <v>0</v>
      </c>
      <c r="H778" s="39">
        <v>0</v>
      </c>
    </row>
    <row r="779" spans="1:8" ht="15" hidden="1" x14ac:dyDescent="0.2">
      <c r="A779" s="19">
        <v>824</v>
      </c>
      <c r="B779" s="22" t="s">
        <v>2850</v>
      </c>
      <c r="C779" s="40" t="s">
        <v>2851</v>
      </c>
      <c r="D779" s="22">
        <v>979796706</v>
      </c>
      <c r="E779" s="22" t="s">
        <v>2852</v>
      </c>
      <c r="F779" s="22" t="s">
        <v>2853</v>
      </c>
      <c r="G779" s="41">
        <v>0</v>
      </c>
      <c r="H779" s="41">
        <v>0</v>
      </c>
    </row>
    <row r="780" spans="1:8" ht="15" hidden="1" x14ac:dyDescent="0.2">
      <c r="A780" s="19">
        <v>825</v>
      </c>
      <c r="B780" s="37" t="s">
        <v>2854</v>
      </c>
      <c r="C780" s="38" t="s">
        <v>2855</v>
      </c>
      <c r="D780" s="37">
        <v>968517788</v>
      </c>
      <c r="E780" s="37" t="s">
        <v>2856</v>
      </c>
      <c r="F780" s="37" t="s">
        <v>2857</v>
      </c>
      <c r="G780" s="39">
        <v>0</v>
      </c>
      <c r="H780" s="39" t="s">
        <v>2858</v>
      </c>
    </row>
    <row r="781" spans="1:8" ht="15" hidden="1" x14ac:dyDescent="0.2">
      <c r="A781" s="19">
        <v>826</v>
      </c>
      <c r="B781" s="22" t="s">
        <v>2859</v>
      </c>
      <c r="C781" s="40" t="s">
        <v>2860</v>
      </c>
      <c r="D781" s="22">
        <v>393128278</v>
      </c>
      <c r="E781" s="22" t="s">
        <v>2861</v>
      </c>
      <c r="F781" s="22" t="s">
        <v>2862</v>
      </c>
      <c r="G781" s="41">
        <v>0</v>
      </c>
      <c r="H781" s="41" t="s">
        <v>2863</v>
      </c>
    </row>
    <row r="782" spans="1:8" ht="15" hidden="1" x14ac:dyDescent="0.2">
      <c r="A782" s="19">
        <v>827</v>
      </c>
      <c r="B782" s="37" t="s">
        <v>2864</v>
      </c>
      <c r="C782" s="38" t="s">
        <v>2865</v>
      </c>
      <c r="D782" s="37">
        <v>858104570</v>
      </c>
      <c r="E782" s="37" t="s">
        <v>2866</v>
      </c>
      <c r="F782" s="37" t="s">
        <v>2867</v>
      </c>
      <c r="G782" s="39">
        <v>0</v>
      </c>
      <c r="H782" s="39">
        <v>0</v>
      </c>
    </row>
    <row r="783" spans="1:8" ht="15" hidden="1" x14ac:dyDescent="0.2">
      <c r="A783" s="19">
        <v>828</v>
      </c>
      <c r="B783" s="22" t="s">
        <v>2868</v>
      </c>
      <c r="C783" s="40" t="s">
        <v>2869</v>
      </c>
      <c r="D783" s="123"/>
      <c r="E783" s="124"/>
      <c r="F783" s="43"/>
      <c r="G783" s="41">
        <v>0</v>
      </c>
      <c r="H783" s="41">
        <v>0</v>
      </c>
    </row>
    <row r="784" spans="1:8" ht="15" hidden="1" x14ac:dyDescent="0.2">
      <c r="A784" s="19">
        <v>829</v>
      </c>
      <c r="B784" s="37" t="s">
        <v>2870</v>
      </c>
      <c r="C784" s="38" t="s">
        <v>2871</v>
      </c>
      <c r="D784" s="125">
        <v>902145899</v>
      </c>
      <c r="E784" s="124"/>
      <c r="F784" s="37" t="s">
        <v>2872</v>
      </c>
      <c r="G784" s="39">
        <v>0</v>
      </c>
      <c r="H784" s="39">
        <v>0</v>
      </c>
    </row>
    <row r="785" spans="1:8" ht="15" hidden="1" x14ac:dyDescent="0.2">
      <c r="A785" s="19">
        <v>830</v>
      </c>
      <c r="B785" s="22" t="s">
        <v>2873</v>
      </c>
      <c r="C785" s="40" t="s">
        <v>2874</v>
      </c>
      <c r="D785" s="22">
        <v>334290144</v>
      </c>
      <c r="E785" s="22" t="s">
        <v>2875</v>
      </c>
      <c r="F785" s="22" t="s">
        <v>2876</v>
      </c>
      <c r="G785" s="41">
        <v>0</v>
      </c>
      <c r="H785" s="41">
        <v>0</v>
      </c>
    </row>
    <row r="786" spans="1:8" ht="15" hidden="1" x14ac:dyDescent="0.2">
      <c r="A786" s="19">
        <v>831</v>
      </c>
      <c r="B786" s="37" t="s">
        <v>2877</v>
      </c>
      <c r="C786" s="38" t="s">
        <v>2878</v>
      </c>
      <c r="D786" s="125"/>
      <c r="E786" s="124"/>
      <c r="F786" s="42"/>
      <c r="G786" s="39">
        <v>0</v>
      </c>
      <c r="H786" s="39">
        <v>0</v>
      </c>
    </row>
    <row r="787" spans="1:8" ht="15" hidden="1" x14ac:dyDescent="0.2">
      <c r="A787" s="19">
        <v>832</v>
      </c>
      <c r="B787" s="22" t="s">
        <v>2879</v>
      </c>
      <c r="C787" s="40" t="s">
        <v>2880</v>
      </c>
      <c r="D787" s="123"/>
      <c r="E787" s="124"/>
      <c r="F787" s="43"/>
      <c r="G787" s="41">
        <v>0</v>
      </c>
      <c r="H787" s="41">
        <v>0</v>
      </c>
    </row>
    <row r="788" spans="1:8" ht="15" hidden="1" x14ac:dyDescent="0.2">
      <c r="A788" s="19">
        <v>833</v>
      </c>
      <c r="B788" s="37" t="s">
        <v>2881</v>
      </c>
      <c r="C788" s="38" t="s">
        <v>2882</v>
      </c>
      <c r="D788" s="37" t="s">
        <v>2883</v>
      </c>
      <c r="E788" s="37" t="s">
        <v>2884</v>
      </c>
      <c r="F788" s="37" t="s">
        <v>2885</v>
      </c>
      <c r="G788" s="39">
        <v>0</v>
      </c>
      <c r="H788" s="39">
        <v>0</v>
      </c>
    </row>
    <row r="789" spans="1:8" ht="15" hidden="1" x14ac:dyDescent="0.2">
      <c r="A789" s="19">
        <v>834</v>
      </c>
      <c r="B789" s="22" t="s">
        <v>2886</v>
      </c>
      <c r="C789" s="40" t="s">
        <v>2887</v>
      </c>
      <c r="D789" s="123"/>
      <c r="E789" s="124"/>
      <c r="F789" s="43"/>
      <c r="G789" s="41">
        <v>0</v>
      </c>
      <c r="H789" s="41">
        <v>0</v>
      </c>
    </row>
    <row r="790" spans="1:8" ht="15" hidden="1" x14ac:dyDescent="0.2">
      <c r="A790" s="19">
        <v>835</v>
      </c>
      <c r="B790" s="37" t="s">
        <v>2888</v>
      </c>
      <c r="C790" s="38" t="s">
        <v>2889</v>
      </c>
      <c r="D790" s="37">
        <v>962756999</v>
      </c>
      <c r="E790" s="37" t="s">
        <v>2890</v>
      </c>
      <c r="F790" s="37" t="s">
        <v>2891</v>
      </c>
      <c r="G790" s="39">
        <v>0</v>
      </c>
      <c r="H790" s="39" t="s">
        <v>2892</v>
      </c>
    </row>
    <row r="791" spans="1:8" ht="15" hidden="1" x14ac:dyDescent="0.2">
      <c r="A791" s="19">
        <v>836</v>
      </c>
      <c r="B791" s="22" t="s">
        <v>2893</v>
      </c>
      <c r="C791" s="40" t="s">
        <v>2894</v>
      </c>
      <c r="D791" s="22">
        <v>906122442</v>
      </c>
      <c r="E791" s="22" t="s">
        <v>2895</v>
      </c>
      <c r="F791" s="22" t="s">
        <v>2016</v>
      </c>
      <c r="G791" s="41">
        <v>0</v>
      </c>
      <c r="H791" s="41">
        <v>0</v>
      </c>
    </row>
    <row r="792" spans="1:8" ht="15" hidden="1" x14ac:dyDescent="0.2">
      <c r="A792" s="19">
        <v>837</v>
      </c>
      <c r="B792" s="37" t="s">
        <v>2896</v>
      </c>
      <c r="C792" s="38" t="s">
        <v>2897</v>
      </c>
      <c r="D792" s="37">
        <v>968050195</v>
      </c>
      <c r="E792" s="37" t="s">
        <v>2898</v>
      </c>
      <c r="F792" s="37" t="s">
        <v>2899</v>
      </c>
      <c r="G792" s="39">
        <v>0</v>
      </c>
      <c r="H792" s="39">
        <v>0</v>
      </c>
    </row>
    <row r="793" spans="1:8" ht="15" hidden="1" x14ac:dyDescent="0.2">
      <c r="A793" s="19">
        <v>838</v>
      </c>
      <c r="B793" s="22" t="s">
        <v>2900</v>
      </c>
      <c r="C793" s="40" t="s">
        <v>2901</v>
      </c>
      <c r="D793" s="22">
        <v>988593848</v>
      </c>
      <c r="E793" s="22" t="s">
        <v>2902</v>
      </c>
      <c r="F793" s="22" t="s">
        <v>2903</v>
      </c>
      <c r="G793" s="41">
        <v>0</v>
      </c>
      <c r="H793" s="41" t="s">
        <v>2904</v>
      </c>
    </row>
    <row r="794" spans="1:8" ht="15" hidden="1" x14ac:dyDescent="0.2">
      <c r="A794" s="19">
        <v>839</v>
      </c>
      <c r="B794" s="37" t="s">
        <v>2905</v>
      </c>
      <c r="C794" s="38" t="s">
        <v>2906</v>
      </c>
      <c r="D794" s="125"/>
      <c r="E794" s="124"/>
      <c r="F794" s="37" t="s">
        <v>2907</v>
      </c>
      <c r="G794" s="39">
        <v>0</v>
      </c>
      <c r="H794" s="39" t="s">
        <v>2908</v>
      </c>
    </row>
    <row r="795" spans="1:8" ht="15" hidden="1" x14ac:dyDescent="0.2">
      <c r="A795" s="19">
        <v>840</v>
      </c>
      <c r="B795" s="22" t="s">
        <v>2909</v>
      </c>
      <c r="C795" s="40" t="s">
        <v>2910</v>
      </c>
      <c r="D795" s="123"/>
      <c r="E795" s="124"/>
      <c r="F795" s="43"/>
      <c r="G795" s="41">
        <v>0</v>
      </c>
      <c r="H795" s="41">
        <v>0</v>
      </c>
    </row>
    <row r="796" spans="1:8" ht="15" hidden="1" x14ac:dyDescent="0.2">
      <c r="A796" s="19">
        <v>841</v>
      </c>
      <c r="B796" s="37" t="s">
        <v>2911</v>
      </c>
      <c r="C796" s="38" t="s">
        <v>2912</v>
      </c>
      <c r="D796" s="37">
        <v>389157898</v>
      </c>
      <c r="E796" s="37" t="s">
        <v>2913</v>
      </c>
      <c r="F796" s="42"/>
      <c r="G796" s="39">
        <v>0</v>
      </c>
      <c r="H796" s="39">
        <v>0</v>
      </c>
    </row>
    <row r="797" spans="1:8" ht="15" hidden="1" x14ac:dyDescent="0.2">
      <c r="A797" s="19">
        <v>842</v>
      </c>
      <c r="B797" s="22" t="s">
        <v>2914</v>
      </c>
      <c r="C797" s="40" t="s">
        <v>2915</v>
      </c>
      <c r="D797" s="123">
        <v>916978583</v>
      </c>
      <c r="E797" s="124"/>
      <c r="F797" s="22" t="s">
        <v>2916</v>
      </c>
      <c r="G797" s="41">
        <v>0</v>
      </c>
      <c r="H797" s="41" t="s">
        <v>2917</v>
      </c>
    </row>
    <row r="798" spans="1:8" ht="15" hidden="1" x14ac:dyDescent="0.2">
      <c r="A798" s="19">
        <v>843</v>
      </c>
      <c r="B798" s="37" t="s">
        <v>2918</v>
      </c>
      <c r="C798" s="38" t="s">
        <v>2919</v>
      </c>
      <c r="D798" s="37">
        <v>984542182</v>
      </c>
      <c r="E798" s="37" t="s">
        <v>2920</v>
      </c>
      <c r="F798" s="37" t="s">
        <v>2747</v>
      </c>
      <c r="G798" s="39">
        <v>0</v>
      </c>
      <c r="H798" s="39">
        <v>0</v>
      </c>
    </row>
    <row r="799" spans="1:8" ht="15" hidden="1" x14ac:dyDescent="0.2">
      <c r="A799" s="19">
        <v>844</v>
      </c>
      <c r="B799" s="22" t="s">
        <v>2921</v>
      </c>
      <c r="C799" s="40" t="s">
        <v>2922</v>
      </c>
      <c r="D799" s="123"/>
      <c r="E799" s="124"/>
      <c r="F799" s="43"/>
      <c r="G799" s="41">
        <v>0</v>
      </c>
      <c r="H799" s="41">
        <v>0</v>
      </c>
    </row>
    <row r="800" spans="1:8" ht="15" hidden="1" x14ac:dyDescent="0.2">
      <c r="A800" s="19">
        <v>845</v>
      </c>
      <c r="B800" s="37" t="s">
        <v>2923</v>
      </c>
      <c r="C800" s="38" t="s">
        <v>2924</v>
      </c>
      <c r="D800" s="37"/>
      <c r="E800" s="42"/>
      <c r="F800" s="37" t="s">
        <v>2016</v>
      </c>
      <c r="G800" s="39">
        <v>0</v>
      </c>
      <c r="H800" s="39">
        <v>0</v>
      </c>
    </row>
    <row r="801" spans="1:8" ht="15" hidden="1" x14ac:dyDescent="0.2">
      <c r="A801" s="19">
        <v>846</v>
      </c>
      <c r="B801" s="22" t="s">
        <v>2925</v>
      </c>
      <c r="C801" s="40" t="s">
        <v>2926</v>
      </c>
      <c r="D801" s="22" t="s">
        <v>2927</v>
      </c>
      <c r="E801" s="22" t="s">
        <v>2928</v>
      </c>
      <c r="F801" s="22" t="s">
        <v>2929</v>
      </c>
      <c r="G801" s="41">
        <v>0</v>
      </c>
      <c r="H801" s="41">
        <v>0</v>
      </c>
    </row>
    <row r="802" spans="1:8" ht="15" hidden="1" x14ac:dyDescent="0.2">
      <c r="A802" s="19">
        <v>847</v>
      </c>
      <c r="B802" s="37" t="s">
        <v>2930</v>
      </c>
      <c r="C802" s="38" t="s">
        <v>2931</v>
      </c>
      <c r="D802" s="37">
        <v>352581130</v>
      </c>
      <c r="E802" s="37" t="s">
        <v>2932</v>
      </c>
      <c r="F802" s="37" t="s">
        <v>265</v>
      </c>
      <c r="G802" s="39">
        <v>0</v>
      </c>
      <c r="H802" s="39">
        <v>0</v>
      </c>
    </row>
    <row r="803" spans="1:8" ht="15" hidden="1" x14ac:dyDescent="0.2">
      <c r="A803" s="19">
        <v>848</v>
      </c>
      <c r="B803" s="22" t="s">
        <v>2933</v>
      </c>
      <c r="C803" s="40" t="s">
        <v>2934</v>
      </c>
      <c r="D803" s="22">
        <v>968106968</v>
      </c>
      <c r="E803" s="22" t="s">
        <v>2935</v>
      </c>
      <c r="F803" s="22" t="s">
        <v>2558</v>
      </c>
      <c r="G803" s="41">
        <v>0</v>
      </c>
      <c r="H803" s="41">
        <v>0</v>
      </c>
    </row>
    <row r="804" spans="1:8" ht="15" hidden="1" x14ac:dyDescent="0.2">
      <c r="A804" s="19">
        <v>849</v>
      </c>
      <c r="B804" s="37" t="s">
        <v>2936</v>
      </c>
      <c r="C804" s="38" t="s">
        <v>2937</v>
      </c>
      <c r="D804" s="125"/>
      <c r="E804" s="124"/>
      <c r="F804" s="42"/>
      <c r="G804" s="39">
        <v>0</v>
      </c>
      <c r="H804" s="39">
        <v>0</v>
      </c>
    </row>
    <row r="805" spans="1:8" ht="15" hidden="1" x14ac:dyDescent="0.2">
      <c r="A805" s="19">
        <v>850</v>
      </c>
      <c r="B805" s="22" t="s">
        <v>2938</v>
      </c>
      <c r="C805" s="40" t="s">
        <v>2939</v>
      </c>
      <c r="D805" s="22">
        <v>365699466</v>
      </c>
      <c r="E805" s="22" t="s">
        <v>2940</v>
      </c>
      <c r="F805" s="22" t="s">
        <v>2941</v>
      </c>
      <c r="G805" s="41">
        <v>0</v>
      </c>
      <c r="H805" s="41">
        <v>0</v>
      </c>
    </row>
    <row r="806" spans="1:8" ht="15" hidden="1" x14ac:dyDescent="0.2">
      <c r="A806" s="19">
        <v>851</v>
      </c>
      <c r="B806" s="37" t="s">
        <v>2942</v>
      </c>
      <c r="C806" s="38" t="s">
        <v>2943</v>
      </c>
      <c r="D806" s="37">
        <v>354035575</v>
      </c>
      <c r="E806" s="37" t="s">
        <v>2944</v>
      </c>
      <c r="F806" s="37" t="s">
        <v>2945</v>
      </c>
      <c r="G806" s="39">
        <v>0</v>
      </c>
      <c r="H806" s="39" t="s">
        <v>2946</v>
      </c>
    </row>
    <row r="807" spans="1:8" ht="15" hidden="1" x14ac:dyDescent="0.2">
      <c r="A807" s="19">
        <v>852</v>
      </c>
      <c r="B807" s="22" t="s">
        <v>2947</v>
      </c>
      <c r="C807" s="40" t="s">
        <v>2948</v>
      </c>
      <c r="D807" s="22">
        <v>976012233</v>
      </c>
      <c r="E807" s="22" t="s">
        <v>2949</v>
      </c>
      <c r="F807" s="22" t="s">
        <v>2950</v>
      </c>
      <c r="G807" s="41">
        <v>0</v>
      </c>
      <c r="H807" s="41">
        <v>0</v>
      </c>
    </row>
    <row r="808" spans="1:8" ht="15" hidden="1" x14ac:dyDescent="0.2">
      <c r="A808" s="19">
        <v>853</v>
      </c>
      <c r="B808" s="37" t="s">
        <v>2951</v>
      </c>
      <c r="C808" s="38" t="s">
        <v>2952</v>
      </c>
      <c r="D808" s="37">
        <v>982892996</v>
      </c>
      <c r="E808" s="37" t="s">
        <v>2953</v>
      </c>
      <c r="F808" s="37" t="s">
        <v>2954</v>
      </c>
      <c r="G808" s="39">
        <v>0</v>
      </c>
      <c r="H808" s="39">
        <v>0</v>
      </c>
    </row>
    <row r="809" spans="1:8" ht="15" hidden="1" x14ac:dyDescent="0.2">
      <c r="A809" s="19">
        <v>854</v>
      </c>
      <c r="B809" s="22" t="s">
        <v>2955</v>
      </c>
      <c r="C809" s="40" t="s">
        <v>2956</v>
      </c>
      <c r="D809" s="22">
        <v>982228522</v>
      </c>
      <c r="E809" s="22" t="s">
        <v>2957</v>
      </c>
      <c r="F809" s="22" t="s">
        <v>2958</v>
      </c>
      <c r="G809" s="41">
        <v>0</v>
      </c>
      <c r="H809" s="41">
        <v>0</v>
      </c>
    </row>
    <row r="810" spans="1:8" ht="15" hidden="1" x14ac:dyDescent="0.2">
      <c r="A810" s="19">
        <v>855</v>
      </c>
      <c r="B810" s="37" t="s">
        <v>2959</v>
      </c>
      <c r="C810" s="38" t="s">
        <v>2960</v>
      </c>
      <c r="D810" s="37">
        <v>973588468</v>
      </c>
      <c r="E810" s="37" t="s">
        <v>2961</v>
      </c>
      <c r="F810" s="37" t="s">
        <v>2962</v>
      </c>
      <c r="G810" s="39">
        <v>0</v>
      </c>
      <c r="H810" s="39">
        <v>0</v>
      </c>
    </row>
    <row r="811" spans="1:8" ht="15" hidden="1" x14ac:dyDescent="0.2">
      <c r="A811" s="19">
        <v>856</v>
      </c>
      <c r="B811" s="22" t="s">
        <v>2963</v>
      </c>
      <c r="C811" s="40" t="s">
        <v>2964</v>
      </c>
      <c r="D811" s="22"/>
      <c r="E811" s="43"/>
      <c r="F811" s="43"/>
      <c r="G811" s="41">
        <v>0</v>
      </c>
      <c r="H811" s="41">
        <v>0</v>
      </c>
    </row>
    <row r="812" spans="1:8" ht="15" hidden="1" x14ac:dyDescent="0.2">
      <c r="A812" s="19">
        <v>857</v>
      </c>
      <c r="B812" s="37" t="s">
        <v>2965</v>
      </c>
      <c r="C812" s="38" t="s">
        <v>2966</v>
      </c>
      <c r="D812" s="125" t="s">
        <v>2967</v>
      </c>
      <c r="E812" s="124"/>
      <c r="F812" s="37" t="s">
        <v>2968</v>
      </c>
      <c r="G812" s="39">
        <v>-437.7</v>
      </c>
      <c r="H812" s="39">
        <v>0</v>
      </c>
    </row>
    <row r="813" spans="1:8" ht="15" hidden="1" x14ac:dyDescent="0.2">
      <c r="A813" s="19">
        <v>858</v>
      </c>
      <c r="B813" s="22" t="s">
        <v>2969</v>
      </c>
      <c r="C813" s="40" t="s">
        <v>2970</v>
      </c>
      <c r="D813" s="22">
        <v>972018838</v>
      </c>
      <c r="E813" s="22" t="s">
        <v>2971</v>
      </c>
      <c r="F813" s="22" t="s">
        <v>2972</v>
      </c>
      <c r="G813" s="41">
        <v>0</v>
      </c>
      <c r="H813" s="41">
        <v>0</v>
      </c>
    </row>
    <row r="814" spans="1:8" ht="15" hidden="1" x14ac:dyDescent="0.2">
      <c r="A814" s="19">
        <v>859</v>
      </c>
      <c r="B814" s="37" t="s">
        <v>2973</v>
      </c>
      <c r="C814" s="38" t="s">
        <v>2974</v>
      </c>
      <c r="D814" s="37">
        <v>972111174</v>
      </c>
      <c r="E814" s="37" t="s">
        <v>2975</v>
      </c>
      <c r="F814" s="42"/>
      <c r="G814" s="39">
        <v>0</v>
      </c>
      <c r="H814" s="39">
        <v>0</v>
      </c>
    </row>
    <row r="815" spans="1:8" ht="15" hidden="1" x14ac:dyDescent="0.2">
      <c r="A815" s="19">
        <v>860</v>
      </c>
      <c r="B815" s="22" t="s">
        <v>2976</v>
      </c>
      <c r="C815" s="40" t="s">
        <v>2977</v>
      </c>
      <c r="D815" s="22">
        <v>374099629</v>
      </c>
      <c r="E815" s="22" t="s">
        <v>1897</v>
      </c>
      <c r="F815" s="22" t="s">
        <v>1898</v>
      </c>
      <c r="G815" s="41">
        <v>0</v>
      </c>
      <c r="H815" s="41">
        <v>0</v>
      </c>
    </row>
    <row r="816" spans="1:8" ht="15" x14ac:dyDescent="0.2">
      <c r="A816" s="19">
        <v>861</v>
      </c>
      <c r="B816" s="37" t="s">
        <v>2978</v>
      </c>
      <c r="C816" s="38" t="s">
        <v>2979</v>
      </c>
      <c r="D816" s="37">
        <v>945843668</v>
      </c>
      <c r="E816" s="37" t="s">
        <v>2980</v>
      </c>
      <c r="F816" s="37" t="s">
        <v>2981</v>
      </c>
      <c r="G816" s="39">
        <v>30.5</v>
      </c>
      <c r="H816" s="39">
        <v>0</v>
      </c>
    </row>
    <row r="817" spans="1:8" ht="15" hidden="1" x14ac:dyDescent="0.2">
      <c r="A817" s="19">
        <v>862</v>
      </c>
      <c r="B817" s="22" t="s">
        <v>2982</v>
      </c>
      <c r="C817" s="40" t="s">
        <v>2983</v>
      </c>
      <c r="D817" s="123"/>
      <c r="E817" s="124"/>
      <c r="F817" s="43"/>
      <c r="G817" s="41">
        <v>0</v>
      </c>
      <c r="H817" s="41">
        <v>0</v>
      </c>
    </row>
    <row r="818" spans="1:8" ht="15" hidden="1" x14ac:dyDescent="0.2">
      <c r="A818" s="19">
        <v>863</v>
      </c>
      <c r="B818" s="37" t="s">
        <v>2984</v>
      </c>
      <c r="C818" s="38" t="s">
        <v>2985</v>
      </c>
      <c r="D818" s="37">
        <v>969433433</v>
      </c>
      <c r="E818" s="37" t="s">
        <v>2986</v>
      </c>
      <c r="F818" s="37" t="s">
        <v>2987</v>
      </c>
      <c r="G818" s="39">
        <v>0</v>
      </c>
      <c r="H818" s="39" t="s">
        <v>2988</v>
      </c>
    </row>
    <row r="819" spans="1:8" ht="15" hidden="1" x14ac:dyDescent="0.2">
      <c r="A819" s="19">
        <v>864</v>
      </c>
      <c r="B819" s="22" t="s">
        <v>2989</v>
      </c>
      <c r="C819" s="40" t="s">
        <v>2990</v>
      </c>
      <c r="D819" s="22">
        <v>344086987</v>
      </c>
      <c r="E819" s="22" t="s">
        <v>2991</v>
      </c>
      <c r="F819" s="43"/>
      <c r="G819" s="41">
        <v>0</v>
      </c>
      <c r="H819" s="41">
        <v>0</v>
      </c>
    </row>
    <row r="820" spans="1:8" ht="15" hidden="1" x14ac:dyDescent="0.2">
      <c r="A820" s="19">
        <v>865</v>
      </c>
      <c r="B820" s="37" t="s">
        <v>2992</v>
      </c>
      <c r="C820" s="38" t="s">
        <v>2993</v>
      </c>
      <c r="D820" s="37">
        <v>943579239</v>
      </c>
      <c r="E820" s="37" t="s">
        <v>2994</v>
      </c>
      <c r="F820" s="37" t="s">
        <v>2995</v>
      </c>
      <c r="G820" s="39">
        <v>0</v>
      </c>
      <c r="H820" s="39">
        <v>0</v>
      </c>
    </row>
    <row r="821" spans="1:8" ht="15" hidden="1" x14ac:dyDescent="0.2">
      <c r="A821" s="19">
        <v>866</v>
      </c>
      <c r="B821" s="22" t="s">
        <v>2996</v>
      </c>
      <c r="C821" s="40" t="s">
        <v>2997</v>
      </c>
      <c r="D821" s="22">
        <v>379775798</v>
      </c>
      <c r="E821" s="22" t="s">
        <v>2998</v>
      </c>
      <c r="F821" s="43"/>
      <c r="G821" s="41">
        <v>0</v>
      </c>
      <c r="H821" s="41">
        <v>0</v>
      </c>
    </row>
    <row r="822" spans="1:8" ht="15" hidden="1" x14ac:dyDescent="0.2">
      <c r="A822" s="19">
        <v>867</v>
      </c>
      <c r="B822" s="37" t="s">
        <v>2999</v>
      </c>
      <c r="C822" s="38" t="s">
        <v>3000</v>
      </c>
      <c r="D822" s="37">
        <v>336425285</v>
      </c>
      <c r="E822" s="37" t="s">
        <v>3001</v>
      </c>
      <c r="F822" s="37" t="s">
        <v>3002</v>
      </c>
      <c r="G822" s="39">
        <v>0</v>
      </c>
      <c r="H822" s="39">
        <v>0</v>
      </c>
    </row>
    <row r="823" spans="1:8" ht="15" hidden="1" x14ac:dyDescent="0.2">
      <c r="A823" s="19">
        <v>868</v>
      </c>
      <c r="B823" s="22" t="s">
        <v>3003</v>
      </c>
      <c r="C823" s="40" t="s">
        <v>3004</v>
      </c>
      <c r="D823" s="22">
        <v>376167576</v>
      </c>
      <c r="E823" s="22" t="s">
        <v>3005</v>
      </c>
      <c r="F823" s="22" t="s">
        <v>2016</v>
      </c>
      <c r="G823" s="41">
        <v>0</v>
      </c>
      <c r="H823" s="41">
        <v>0</v>
      </c>
    </row>
    <row r="824" spans="1:8" ht="15" hidden="1" x14ac:dyDescent="0.2">
      <c r="A824" s="19">
        <v>869</v>
      </c>
      <c r="B824" s="37" t="s">
        <v>3006</v>
      </c>
      <c r="C824" s="38" t="s">
        <v>3007</v>
      </c>
      <c r="D824" s="125"/>
      <c r="E824" s="124"/>
      <c r="F824" s="42"/>
      <c r="G824" s="39">
        <v>0</v>
      </c>
      <c r="H824" s="39">
        <v>0</v>
      </c>
    </row>
    <row r="825" spans="1:8" ht="15" hidden="1" x14ac:dyDescent="0.2">
      <c r="A825" s="19">
        <v>870</v>
      </c>
      <c r="B825" s="22" t="s">
        <v>3008</v>
      </c>
      <c r="C825" s="40" t="s">
        <v>3009</v>
      </c>
      <c r="D825" s="123" t="s">
        <v>3010</v>
      </c>
      <c r="E825" s="124"/>
      <c r="F825" s="22" t="s">
        <v>3011</v>
      </c>
      <c r="G825" s="41">
        <v>0</v>
      </c>
      <c r="H825" s="41" t="s">
        <v>3012</v>
      </c>
    </row>
    <row r="826" spans="1:8" ht="15" hidden="1" x14ac:dyDescent="0.2">
      <c r="A826" s="19">
        <v>871</v>
      </c>
      <c r="B826" s="37" t="s">
        <v>3013</v>
      </c>
      <c r="C826" s="38" t="s">
        <v>3014</v>
      </c>
      <c r="D826" s="37">
        <v>866486823</v>
      </c>
      <c r="E826" s="37" t="s">
        <v>3015</v>
      </c>
      <c r="F826" s="37" t="s">
        <v>3016</v>
      </c>
      <c r="G826" s="39">
        <v>0</v>
      </c>
      <c r="H826" s="39">
        <v>0</v>
      </c>
    </row>
    <row r="827" spans="1:8" ht="15" hidden="1" x14ac:dyDescent="0.2">
      <c r="A827" s="19">
        <v>872</v>
      </c>
      <c r="B827" s="22" t="s">
        <v>3017</v>
      </c>
      <c r="C827" s="40" t="s">
        <v>3018</v>
      </c>
      <c r="D827" s="123"/>
      <c r="E827" s="124"/>
      <c r="F827" s="43"/>
      <c r="G827" s="41">
        <v>0</v>
      </c>
      <c r="H827" s="41">
        <v>0</v>
      </c>
    </row>
    <row r="828" spans="1:8" ht="15" hidden="1" x14ac:dyDescent="0.2">
      <c r="A828" s="19">
        <v>873</v>
      </c>
      <c r="B828" s="37" t="s">
        <v>3019</v>
      </c>
      <c r="C828" s="38" t="s">
        <v>3020</v>
      </c>
      <c r="D828" s="37" t="s">
        <v>3021</v>
      </c>
      <c r="E828" s="37" t="s">
        <v>3022</v>
      </c>
      <c r="F828" s="37" t="s">
        <v>3023</v>
      </c>
      <c r="G828" s="39">
        <v>0</v>
      </c>
      <c r="H828" s="39">
        <v>0</v>
      </c>
    </row>
    <row r="829" spans="1:8" ht="15" hidden="1" x14ac:dyDescent="0.2">
      <c r="A829" s="19">
        <v>874</v>
      </c>
      <c r="B829" s="22" t="s">
        <v>3024</v>
      </c>
      <c r="C829" s="40" t="s">
        <v>1304</v>
      </c>
      <c r="D829" s="22" t="s">
        <v>3025</v>
      </c>
      <c r="E829" s="22" t="s">
        <v>3026</v>
      </c>
      <c r="F829" s="43"/>
      <c r="G829" s="41">
        <v>0</v>
      </c>
      <c r="H829" s="41">
        <v>0</v>
      </c>
    </row>
    <row r="830" spans="1:8" ht="15" hidden="1" x14ac:dyDescent="0.2">
      <c r="A830" s="19">
        <v>875</v>
      </c>
      <c r="B830" s="37" t="s">
        <v>3027</v>
      </c>
      <c r="C830" s="38" t="s">
        <v>3028</v>
      </c>
      <c r="D830" s="125"/>
      <c r="E830" s="124"/>
      <c r="F830" s="42"/>
      <c r="G830" s="39">
        <v>0</v>
      </c>
      <c r="H830" s="39">
        <v>0</v>
      </c>
    </row>
    <row r="831" spans="1:8" ht="15" hidden="1" x14ac:dyDescent="0.2">
      <c r="A831" s="19">
        <v>876</v>
      </c>
      <c r="B831" s="22" t="s">
        <v>3029</v>
      </c>
      <c r="C831" s="40" t="s">
        <v>3030</v>
      </c>
      <c r="D831" s="22">
        <v>349904605</v>
      </c>
      <c r="E831" s="22" t="s">
        <v>3031</v>
      </c>
      <c r="F831" s="22" t="s">
        <v>3032</v>
      </c>
      <c r="G831" s="41">
        <v>0</v>
      </c>
      <c r="H831" s="41">
        <v>0</v>
      </c>
    </row>
    <row r="832" spans="1:8" ht="15" hidden="1" x14ac:dyDescent="0.2">
      <c r="A832" s="19">
        <v>877</v>
      </c>
      <c r="B832" s="37" t="s">
        <v>3033</v>
      </c>
      <c r="C832" s="38" t="s">
        <v>3034</v>
      </c>
      <c r="D832" s="125"/>
      <c r="E832" s="124"/>
      <c r="F832" s="42"/>
      <c r="G832" s="39">
        <v>0</v>
      </c>
      <c r="H832" s="39">
        <v>0</v>
      </c>
    </row>
    <row r="833" spans="1:8" ht="15" hidden="1" x14ac:dyDescent="0.2">
      <c r="A833" s="19">
        <v>878</v>
      </c>
      <c r="B833" s="22" t="s">
        <v>3035</v>
      </c>
      <c r="C833" s="40" t="s">
        <v>3036</v>
      </c>
      <c r="D833" s="22"/>
      <c r="E833" s="43"/>
      <c r="F833" s="22" t="s">
        <v>2470</v>
      </c>
      <c r="G833" s="41">
        <v>0</v>
      </c>
      <c r="H833" s="41">
        <v>0</v>
      </c>
    </row>
    <row r="834" spans="1:8" ht="15" hidden="1" x14ac:dyDescent="0.2">
      <c r="A834" s="19">
        <v>879</v>
      </c>
      <c r="B834" s="37" t="s">
        <v>3037</v>
      </c>
      <c r="C834" s="38" t="s">
        <v>3038</v>
      </c>
      <c r="D834" s="44">
        <v>847576998</v>
      </c>
      <c r="E834" s="37" t="s">
        <v>3039</v>
      </c>
      <c r="F834" s="37" t="s">
        <v>3040</v>
      </c>
      <c r="G834" s="39">
        <v>0</v>
      </c>
      <c r="H834" s="39">
        <v>0</v>
      </c>
    </row>
    <row r="835" spans="1:8" ht="15" hidden="1" x14ac:dyDescent="0.2">
      <c r="A835" s="19">
        <v>880</v>
      </c>
      <c r="B835" s="22" t="s">
        <v>3041</v>
      </c>
      <c r="C835" s="40" t="s">
        <v>3042</v>
      </c>
      <c r="D835" s="123"/>
      <c r="E835" s="124"/>
      <c r="F835" s="43"/>
      <c r="G835" s="41">
        <v>0</v>
      </c>
      <c r="H835" s="41">
        <v>0</v>
      </c>
    </row>
    <row r="836" spans="1:8" ht="15" hidden="1" x14ac:dyDescent="0.2">
      <c r="A836" s="19">
        <v>881</v>
      </c>
      <c r="B836" s="37" t="s">
        <v>3043</v>
      </c>
      <c r="C836" s="38" t="s">
        <v>3044</v>
      </c>
      <c r="D836" s="125"/>
      <c r="E836" s="124"/>
      <c r="F836" s="37" t="s">
        <v>3045</v>
      </c>
      <c r="G836" s="39">
        <v>0</v>
      </c>
      <c r="H836" s="39">
        <v>0</v>
      </c>
    </row>
    <row r="837" spans="1:8" ht="15" hidden="1" x14ac:dyDescent="0.2">
      <c r="A837" s="19">
        <v>882</v>
      </c>
      <c r="B837" s="22" t="s">
        <v>3046</v>
      </c>
      <c r="C837" s="40" t="s">
        <v>3047</v>
      </c>
      <c r="D837" s="22">
        <v>965924700</v>
      </c>
      <c r="E837" s="22" t="s">
        <v>2043</v>
      </c>
      <c r="F837" s="43"/>
      <c r="G837" s="41">
        <v>0</v>
      </c>
      <c r="H837" s="41">
        <v>0</v>
      </c>
    </row>
    <row r="838" spans="1:8" ht="15" hidden="1" x14ac:dyDescent="0.2">
      <c r="A838" s="19">
        <v>883</v>
      </c>
      <c r="B838" s="37" t="s">
        <v>3048</v>
      </c>
      <c r="C838" s="38" t="s">
        <v>3049</v>
      </c>
      <c r="D838" s="42"/>
      <c r="E838" s="42"/>
      <c r="F838" s="42"/>
      <c r="G838" s="39">
        <v>0</v>
      </c>
      <c r="H838" s="39">
        <v>0</v>
      </c>
    </row>
    <row r="839" spans="1:8" ht="15" hidden="1" x14ac:dyDescent="0.2">
      <c r="A839" s="19">
        <v>884</v>
      </c>
      <c r="B839" s="22" t="s">
        <v>3050</v>
      </c>
      <c r="C839" s="40" t="s">
        <v>3051</v>
      </c>
      <c r="D839" s="22">
        <v>334729391</v>
      </c>
      <c r="E839" s="22" t="s">
        <v>3052</v>
      </c>
      <c r="F839" s="22" t="s">
        <v>3053</v>
      </c>
      <c r="G839" s="41">
        <v>0</v>
      </c>
      <c r="H839" s="41">
        <v>380</v>
      </c>
    </row>
    <row r="840" spans="1:8" ht="15" hidden="1" x14ac:dyDescent="0.2">
      <c r="A840" s="19">
        <v>885</v>
      </c>
      <c r="B840" s="37" t="s">
        <v>3054</v>
      </c>
      <c r="C840" s="38" t="s">
        <v>3055</v>
      </c>
      <c r="D840" s="125">
        <v>868213289</v>
      </c>
      <c r="E840" s="124"/>
      <c r="F840" s="37" t="s">
        <v>2464</v>
      </c>
      <c r="G840" s="39">
        <v>0</v>
      </c>
      <c r="H840" s="39">
        <v>0</v>
      </c>
    </row>
    <row r="841" spans="1:8" ht="15" hidden="1" x14ac:dyDescent="0.2">
      <c r="A841" s="19">
        <v>886</v>
      </c>
      <c r="B841" s="22" t="s">
        <v>3056</v>
      </c>
      <c r="C841" s="40" t="s">
        <v>3057</v>
      </c>
      <c r="D841" s="22">
        <v>978137387</v>
      </c>
      <c r="E841" s="22" t="s">
        <v>3058</v>
      </c>
      <c r="F841" s="22" t="s">
        <v>570</v>
      </c>
      <c r="G841" s="41">
        <v>0</v>
      </c>
      <c r="H841" s="41" t="s">
        <v>3059</v>
      </c>
    </row>
    <row r="842" spans="1:8" ht="15" hidden="1" x14ac:dyDescent="0.2">
      <c r="A842" s="19">
        <v>887</v>
      </c>
      <c r="B842" s="37" t="s">
        <v>3060</v>
      </c>
      <c r="C842" s="38" t="s">
        <v>3061</v>
      </c>
      <c r="D842" s="37">
        <v>969877228</v>
      </c>
      <c r="E842" s="37" t="s">
        <v>3062</v>
      </c>
      <c r="F842" s="37" t="s">
        <v>485</v>
      </c>
      <c r="G842" s="39">
        <v>0</v>
      </c>
      <c r="H842" s="39">
        <v>0</v>
      </c>
    </row>
    <row r="843" spans="1:8" ht="15" hidden="1" x14ac:dyDescent="0.2">
      <c r="A843" s="19">
        <v>888</v>
      </c>
      <c r="B843" s="22" t="s">
        <v>3063</v>
      </c>
      <c r="C843" s="40" t="s">
        <v>3064</v>
      </c>
      <c r="D843" s="22" t="s">
        <v>3065</v>
      </c>
      <c r="E843" s="22" t="s">
        <v>3066</v>
      </c>
      <c r="F843" s="22" t="s">
        <v>3067</v>
      </c>
      <c r="G843" s="41" t="s">
        <v>3068</v>
      </c>
      <c r="H843" s="41" t="s">
        <v>3069</v>
      </c>
    </row>
    <row r="844" spans="1:8" ht="15" hidden="1" x14ac:dyDescent="0.2">
      <c r="A844" s="19">
        <v>889</v>
      </c>
      <c r="B844" s="37" t="s">
        <v>3070</v>
      </c>
      <c r="C844" s="38" t="s">
        <v>3071</v>
      </c>
      <c r="D844" s="37"/>
      <c r="E844" s="42"/>
      <c r="F844" s="42"/>
      <c r="G844" s="39">
        <v>0</v>
      </c>
      <c r="H844" s="39">
        <v>0</v>
      </c>
    </row>
    <row r="845" spans="1:8" ht="15" hidden="1" x14ac:dyDescent="0.2">
      <c r="A845" s="19">
        <v>890</v>
      </c>
      <c r="B845" s="22" t="s">
        <v>3072</v>
      </c>
      <c r="C845" s="40" t="s">
        <v>3073</v>
      </c>
      <c r="D845" s="22">
        <v>979698841</v>
      </c>
      <c r="E845" s="22" t="s">
        <v>3074</v>
      </c>
      <c r="F845" s="22" t="s">
        <v>3075</v>
      </c>
      <c r="G845" s="41">
        <v>0</v>
      </c>
      <c r="H845" s="41">
        <v>0</v>
      </c>
    </row>
    <row r="846" spans="1:8" ht="15" hidden="1" x14ac:dyDescent="0.2">
      <c r="A846" s="19">
        <v>891</v>
      </c>
      <c r="B846" s="37" t="s">
        <v>3076</v>
      </c>
      <c r="C846" s="38" t="s">
        <v>3077</v>
      </c>
      <c r="D846" s="37"/>
      <c r="E846" s="37" t="s">
        <v>3078</v>
      </c>
      <c r="F846" s="42"/>
      <c r="G846" s="39">
        <v>0</v>
      </c>
      <c r="H846" s="39">
        <v>0</v>
      </c>
    </row>
    <row r="847" spans="1:8" ht="15" hidden="1" x14ac:dyDescent="0.2">
      <c r="A847" s="19">
        <v>892</v>
      </c>
      <c r="B847" s="22" t="s">
        <v>3079</v>
      </c>
      <c r="C847" s="40" t="s">
        <v>3080</v>
      </c>
      <c r="D847" s="123"/>
      <c r="E847" s="124"/>
      <c r="F847" s="43"/>
      <c r="G847" s="41">
        <v>0</v>
      </c>
      <c r="H847" s="41">
        <v>0</v>
      </c>
    </row>
    <row r="848" spans="1:8" ht="15" hidden="1" x14ac:dyDescent="0.2">
      <c r="A848" s="19">
        <v>893</v>
      </c>
      <c r="B848" s="37" t="s">
        <v>3081</v>
      </c>
      <c r="C848" s="38" t="s">
        <v>3082</v>
      </c>
      <c r="D848" s="37">
        <v>902731757</v>
      </c>
      <c r="E848" s="37" t="s">
        <v>3083</v>
      </c>
      <c r="F848" s="42"/>
      <c r="G848" s="39">
        <v>0</v>
      </c>
      <c r="H848" s="39">
        <v>0</v>
      </c>
    </row>
    <row r="849" spans="1:8" ht="15" hidden="1" x14ac:dyDescent="0.2">
      <c r="A849" s="19">
        <v>894</v>
      </c>
      <c r="B849" s="22" t="s">
        <v>3084</v>
      </c>
      <c r="C849" s="40" t="s">
        <v>3085</v>
      </c>
      <c r="D849" s="22">
        <v>369543338</v>
      </c>
      <c r="E849" s="22" t="s">
        <v>3086</v>
      </c>
      <c r="F849" s="22" t="s">
        <v>3087</v>
      </c>
      <c r="G849" s="41">
        <v>0</v>
      </c>
      <c r="H849" s="41">
        <v>0</v>
      </c>
    </row>
    <row r="850" spans="1:8" ht="15" hidden="1" x14ac:dyDescent="0.2">
      <c r="A850" s="19">
        <v>895</v>
      </c>
      <c r="B850" s="37" t="s">
        <v>3088</v>
      </c>
      <c r="C850" s="38" t="s">
        <v>3089</v>
      </c>
      <c r="D850" s="37">
        <v>369570168</v>
      </c>
      <c r="E850" s="37" t="s">
        <v>3090</v>
      </c>
      <c r="F850" s="42"/>
      <c r="G850" s="39">
        <v>0</v>
      </c>
      <c r="H850" s="39">
        <v>0</v>
      </c>
    </row>
    <row r="851" spans="1:8" ht="15" hidden="1" x14ac:dyDescent="0.2">
      <c r="A851" s="19">
        <v>896</v>
      </c>
      <c r="B851" s="22" t="s">
        <v>3091</v>
      </c>
      <c r="C851" s="40" t="s">
        <v>3092</v>
      </c>
      <c r="D851" s="22">
        <v>377854176</v>
      </c>
      <c r="E851" s="22" t="s">
        <v>3093</v>
      </c>
      <c r="F851" s="22" t="s">
        <v>3094</v>
      </c>
      <c r="G851" s="41">
        <v>0</v>
      </c>
      <c r="H851" s="41">
        <v>0</v>
      </c>
    </row>
    <row r="852" spans="1:8" ht="15" hidden="1" x14ac:dyDescent="0.2">
      <c r="A852" s="19">
        <v>897</v>
      </c>
      <c r="B852" s="37" t="s">
        <v>3095</v>
      </c>
      <c r="C852" s="38" t="s">
        <v>3096</v>
      </c>
      <c r="D852" s="37">
        <v>935779020</v>
      </c>
      <c r="E852" s="37" t="s">
        <v>3097</v>
      </c>
      <c r="F852" s="37" t="s">
        <v>3098</v>
      </c>
      <c r="G852" s="39" t="s">
        <v>3099</v>
      </c>
      <c r="H852" s="39" t="s">
        <v>3100</v>
      </c>
    </row>
    <row r="853" spans="1:8" ht="15" hidden="1" x14ac:dyDescent="0.2">
      <c r="A853" s="19">
        <v>898</v>
      </c>
      <c r="B853" s="22" t="s">
        <v>3101</v>
      </c>
      <c r="C853" s="40" t="s">
        <v>3102</v>
      </c>
      <c r="D853" s="22">
        <v>985289467</v>
      </c>
      <c r="E853" s="22" t="s">
        <v>3103</v>
      </c>
      <c r="F853" s="43"/>
      <c r="G853" s="41">
        <v>0</v>
      </c>
      <c r="H853" s="41">
        <v>0</v>
      </c>
    </row>
    <row r="854" spans="1:8" ht="15" hidden="1" x14ac:dyDescent="0.2">
      <c r="A854" s="19">
        <v>899</v>
      </c>
      <c r="B854" s="37" t="s">
        <v>3104</v>
      </c>
      <c r="C854" s="38" t="s">
        <v>3105</v>
      </c>
      <c r="D854" s="37">
        <v>855733166</v>
      </c>
      <c r="E854" s="37" t="s">
        <v>3106</v>
      </c>
      <c r="F854" s="37" t="s">
        <v>3107</v>
      </c>
      <c r="G854" s="39">
        <v>0</v>
      </c>
      <c r="H854" s="39">
        <v>0</v>
      </c>
    </row>
    <row r="855" spans="1:8" ht="15" hidden="1" x14ac:dyDescent="0.2">
      <c r="A855" s="19">
        <v>900</v>
      </c>
      <c r="B855" s="22" t="s">
        <v>3108</v>
      </c>
      <c r="C855" s="40" t="s">
        <v>3109</v>
      </c>
      <c r="D855" s="127">
        <v>976075918</v>
      </c>
      <c r="E855" s="124"/>
      <c r="F855" s="22" t="s">
        <v>3110</v>
      </c>
      <c r="G855" s="41">
        <v>0</v>
      </c>
      <c r="H855" s="41">
        <v>0</v>
      </c>
    </row>
    <row r="856" spans="1:8" ht="15" hidden="1" x14ac:dyDescent="0.2">
      <c r="A856" s="19">
        <v>901</v>
      </c>
      <c r="B856" s="37" t="s">
        <v>3111</v>
      </c>
      <c r="C856" s="38" t="s">
        <v>3112</v>
      </c>
      <c r="D856" s="37">
        <v>978296922</v>
      </c>
      <c r="E856" s="37" t="s">
        <v>3113</v>
      </c>
      <c r="F856" s="37" t="s">
        <v>323</v>
      </c>
      <c r="G856" s="39">
        <v>0</v>
      </c>
      <c r="H856" s="39" t="s">
        <v>3114</v>
      </c>
    </row>
    <row r="857" spans="1:8" ht="15" hidden="1" x14ac:dyDescent="0.2">
      <c r="A857" s="19">
        <v>902</v>
      </c>
      <c r="B857" s="22" t="s">
        <v>3115</v>
      </c>
      <c r="C857" s="40" t="s">
        <v>3116</v>
      </c>
      <c r="D857" s="22">
        <v>866789661</v>
      </c>
      <c r="E857" s="22" t="s">
        <v>3117</v>
      </c>
      <c r="F857" s="22" t="s">
        <v>3118</v>
      </c>
      <c r="G857" s="41">
        <v>0</v>
      </c>
      <c r="H857" s="41">
        <v>0</v>
      </c>
    </row>
    <row r="858" spans="1:8" ht="15" hidden="1" x14ac:dyDescent="0.2">
      <c r="A858" s="19">
        <v>903</v>
      </c>
      <c r="B858" s="37" t="s">
        <v>3119</v>
      </c>
      <c r="C858" s="38" t="s">
        <v>3120</v>
      </c>
      <c r="D858" s="37">
        <v>906391885</v>
      </c>
      <c r="E858" s="37" t="s">
        <v>3121</v>
      </c>
      <c r="F858" s="37" t="s">
        <v>3122</v>
      </c>
      <c r="G858" s="39">
        <v>0</v>
      </c>
      <c r="H858" s="39" t="s">
        <v>3123</v>
      </c>
    </row>
    <row r="859" spans="1:8" ht="15" hidden="1" x14ac:dyDescent="0.2">
      <c r="A859" s="19">
        <v>904</v>
      </c>
      <c r="B859" s="22" t="s">
        <v>3124</v>
      </c>
      <c r="C859" s="40" t="s">
        <v>3125</v>
      </c>
      <c r="D859" s="123">
        <v>868326986</v>
      </c>
      <c r="E859" s="124"/>
      <c r="F859" s="22" t="s">
        <v>3126</v>
      </c>
      <c r="G859" s="41">
        <v>0</v>
      </c>
      <c r="H859" s="41">
        <v>0</v>
      </c>
    </row>
    <row r="860" spans="1:8" ht="15" hidden="1" x14ac:dyDescent="0.2">
      <c r="A860" s="19">
        <v>905</v>
      </c>
      <c r="B860" s="37" t="s">
        <v>3127</v>
      </c>
      <c r="C860" s="38" t="s">
        <v>3128</v>
      </c>
      <c r="D860" s="42"/>
      <c r="E860" s="42"/>
      <c r="F860" s="37" t="s">
        <v>1927</v>
      </c>
      <c r="G860" s="39">
        <v>0</v>
      </c>
      <c r="H860" s="39">
        <v>0</v>
      </c>
    </row>
    <row r="861" spans="1:8" ht="15" hidden="1" x14ac:dyDescent="0.2">
      <c r="A861" s="19">
        <v>906</v>
      </c>
      <c r="B861" s="22" t="s">
        <v>3129</v>
      </c>
      <c r="C861" s="40" t="s">
        <v>3130</v>
      </c>
      <c r="D861" s="22">
        <v>373216456</v>
      </c>
      <c r="E861" s="22" t="s">
        <v>3131</v>
      </c>
      <c r="F861" s="43"/>
      <c r="G861" s="41">
        <v>0</v>
      </c>
      <c r="H861" s="41">
        <v>0</v>
      </c>
    </row>
    <row r="862" spans="1:8" ht="15" hidden="1" x14ac:dyDescent="0.2">
      <c r="A862" s="19">
        <v>907</v>
      </c>
      <c r="B862" s="37" t="s">
        <v>3132</v>
      </c>
      <c r="C862" s="38" t="s">
        <v>3133</v>
      </c>
      <c r="D862" s="37">
        <v>974464458</v>
      </c>
      <c r="E862" s="37" t="s">
        <v>3134</v>
      </c>
      <c r="F862" s="42"/>
      <c r="G862" s="39">
        <v>0</v>
      </c>
      <c r="H862" s="39">
        <v>0</v>
      </c>
    </row>
    <row r="863" spans="1:8" ht="15" hidden="1" x14ac:dyDescent="0.2">
      <c r="A863" s="19">
        <v>908</v>
      </c>
      <c r="B863" s="22" t="s">
        <v>3135</v>
      </c>
      <c r="C863" s="40" t="s">
        <v>3136</v>
      </c>
      <c r="D863" s="22">
        <v>979584366</v>
      </c>
      <c r="E863" s="22" t="s">
        <v>3137</v>
      </c>
      <c r="F863" s="22" t="s">
        <v>3138</v>
      </c>
      <c r="G863" s="41">
        <v>0</v>
      </c>
      <c r="H863" s="41">
        <v>0</v>
      </c>
    </row>
    <row r="864" spans="1:8" ht="15" hidden="1" x14ac:dyDescent="0.2">
      <c r="A864" s="19">
        <v>909</v>
      </c>
      <c r="B864" s="37" t="s">
        <v>3139</v>
      </c>
      <c r="C864" s="38" t="s">
        <v>3140</v>
      </c>
      <c r="D864" s="37">
        <v>974979303</v>
      </c>
      <c r="E864" s="37" t="s">
        <v>3141</v>
      </c>
      <c r="F864" s="37" t="s">
        <v>3142</v>
      </c>
      <c r="G864" s="39">
        <v>0</v>
      </c>
      <c r="H864" s="39">
        <v>0</v>
      </c>
    </row>
    <row r="865" spans="1:8" ht="15" hidden="1" x14ac:dyDescent="0.2">
      <c r="A865" s="19">
        <v>910</v>
      </c>
      <c r="B865" s="22" t="s">
        <v>3143</v>
      </c>
      <c r="C865" s="40" t="s">
        <v>3144</v>
      </c>
      <c r="D865" s="22">
        <v>964986968</v>
      </c>
      <c r="E865" s="22" t="s">
        <v>3145</v>
      </c>
      <c r="F865" s="43"/>
      <c r="G865" s="41">
        <v>0</v>
      </c>
      <c r="H865" s="41">
        <v>0</v>
      </c>
    </row>
    <row r="866" spans="1:8" ht="15" hidden="1" x14ac:dyDescent="0.2">
      <c r="A866" s="19">
        <v>911</v>
      </c>
      <c r="B866" s="37" t="s">
        <v>3146</v>
      </c>
      <c r="C866" s="38" t="s">
        <v>3147</v>
      </c>
      <c r="D866" s="37" t="s">
        <v>3148</v>
      </c>
      <c r="E866" s="37" t="s">
        <v>3149</v>
      </c>
      <c r="F866" s="37" t="s">
        <v>3150</v>
      </c>
      <c r="G866" s="39" t="s">
        <v>3151</v>
      </c>
      <c r="H866" s="39">
        <v>0</v>
      </c>
    </row>
    <row r="867" spans="1:8" ht="15" hidden="1" x14ac:dyDescent="0.2">
      <c r="A867" s="19">
        <v>912</v>
      </c>
      <c r="B867" s="22" t="s">
        <v>3152</v>
      </c>
      <c r="C867" s="40" t="s">
        <v>3153</v>
      </c>
      <c r="D867" s="22">
        <v>972452088</v>
      </c>
      <c r="E867" s="22" t="s">
        <v>3154</v>
      </c>
      <c r="F867" s="22" t="s">
        <v>3155</v>
      </c>
      <c r="G867" s="41">
        <v>0</v>
      </c>
      <c r="H867" s="41" t="s">
        <v>3156</v>
      </c>
    </row>
    <row r="868" spans="1:8" ht="15" hidden="1" x14ac:dyDescent="0.2">
      <c r="A868" s="19">
        <v>913</v>
      </c>
      <c r="B868" s="37" t="s">
        <v>3157</v>
      </c>
      <c r="C868" s="38" t="s">
        <v>3158</v>
      </c>
      <c r="D868" s="37"/>
      <c r="E868" s="42"/>
      <c r="F868" s="42"/>
      <c r="G868" s="39">
        <v>0</v>
      </c>
      <c r="H868" s="39">
        <v>0</v>
      </c>
    </row>
    <row r="869" spans="1:8" ht="15" hidden="1" x14ac:dyDescent="0.2">
      <c r="A869" s="19">
        <v>914</v>
      </c>
      <c r="B869" s="22" t="s">
        <v>3159</v>
      </c>
      <c r="C869" s="40" t="s">
        <v>3160</v>
      </c>
      <c r="D869" s="22">
        <v>829329767</v>
      </c>
      <c r="E869" s="22" t="s">
        <v>3161</v>
      </c>
      <c r="F869" s="22" t="s">
        <v>3162</v>
      </c>
      <c r="G869" s="41">
        <v>0</v>
      </c>
      <c r="H869" s="41" t="s">
        <v>3163</v>
      </c>
    </row>
    <row r="870" spans="1:8" ht="15" hidden="1" x14ac:dyDescent="0.2">
      <c r="A870" s="19">
        <v>915</v>
      </c>
      <c r="B870" s="37" t="s">
        <v>3164</v>
      </c>
      <c r="C870" s="38" t="s">
        <v>3165</v>
      </c>
      <c r="D870" s="37">
        <v>358636678</v>
      </c>
      <c r="E870" s="37" t="s">
        <v>3166</v>
      </c>
      <c r="F870" s="37" t="s">
        <v>3167</v>
      </c>
      <c r="G870" s="39">
        <v>0</v>
      </c>
      <c r="H870" s="39" t="s">
        <v>3168</v>
      </c>
    </row>
    <row r="871" spans="1:8" ht="15" hidden="1" x14ac:dyDescent="0.2">
      <c r="A871" s="19">
        <v>916</v>
      </c>
      <c r="B871" s="22" t="s">
        <v>3169</v>
      </c>
      <c r="C871" s="40" t="s">
        <v>3170</v>
      </c>
      <c r="D871" s="22">
        <v>827753999</v>
      </c>
      <c r="E871" s="22" t="s">
        <v>3171</v>
      </c>
      <c r="F871" s="22" t="s">
        <v>3172</v>
      </c>
      <c r="G871" s="41" t="s">
        <v>3173</v>
      </c>
      <c r="H871" s="41" t="s">
        <v>3174</v>
      </c>
    </row>
    <row r="872" spans="1:8" ht="15" hidden="1" x14ac:dyDescent="0.2">
      <c r="A872" s="19">
        <v>917</v>
      </c>
      <c r="B872" s="37" t="s">
        <v>3175</v>
      </c>
      <c r="C872" s="38" t="s">
        <v>3176</v>
      </c>
      <c r="D872" s="37">
        <v>968559918</v>
      </c>
      <c r="E872" s="37" t="s">
        <v>3177</v>
      </c>
      <c r="F872" s="37" t="s">
        <v>485</v>
      </c>
      <c r="G872" s="39">
        <v>0</v>
      </c>
      <c r="H872" s="39">
        <v>0</v>
      </c>
    </row>
    <row r="873" spans="1:8" ht="15" hidden="1" x14ac:dyDescent="0.2">
      <c r="A873" s="19">
        <v>918</v>
      </c>
      <c r="B873" s="22" t="s">
        <v>3178</v>
      </c>
      <c r="C873" s="40" t="s">
        <v>3179</v>
      </c>
      <c r="D873" s="22">
        <v>965923588</v>
      </c>
      <c r="E873" s="22" t="s">
        <v>3180</v>
      </c>
      <c r="F873" s="43"/>
      <c r="G873" s="41">
        <v>0</v>
      </c>
      <c r="H873" s="41">
        <v>0</v>
      </c>
    </row>
    <row r="874" spans="1:8" ht="15" hidden="1" x14ac:dyDescent="0.2">
      <c r="A874" s="19">
        <v>919</v>
      </c>
      <c r="B874" s="37" t="s">
        <v>3181</v>
      </c>
      <c r="C874" s="38" t="s">
        <v>3182</v>
      </c>
      <c r="D874" s="37">
        <v>988428185</v>
      </c>
      <c r="E874" s="37" t="s">
        <v>3183</v>
      </c>
      <c r="F874" s="42"/>
      <c r="G874" s="39">
        <v>0</v>
      </c>
      <c r="H874" s="39">
        <v>0</v>
      </c>
    </row>
    <row r="875" spans="1:8" ht="15" hidden="1" x14ac:dyDescent="0.2">
      <c r="A875" s="19">
        <v>920</v>
      </c>
      <c r="B875" s="22" t="s">
        <v>3184</v>
      </c>
      <c r="C875" s="40" t="s">
        <v>3185</v>
      </c>
      <c r="D875" s="22">
        <v>918443443</v>
      </c>
      <c r="E875" s="22" t="s">
        <v>3186</v>
      </c>
      <c r="F875" s="22" t="s">
        <v>3187</v>
      </c>
      <c r="G875" s="41">
        <v>0</v>
      </c>
      <c r="H875" s="41" t="s">
        <v>3188</v>
      </c>
    </row>
    <row r="876" spans="1:8" ht="15" hidden="1" x14ac:dyDescent="0.2">
      <c r="A876" s="19">
        <v>921</v>
      </c>
      <c r="B876" s="37" t="s">
        <v>3189</v>
      </c>
      <c r="C876" s="38" t="s">
        <v>3190</v>
      </c>
      <c r="D876" s="37" t="s">
        <v>3191</v>
      </c>
      <c r="E876" s="37" t="s">
        <v>3192</v>
      </c>
      <c r="F876" s="37" t="s">
        <v>3193</v>
      </c>
      <c r="G876" s="39">
        <v>0</v>
      </c>
      <c r="H876" s="39">
        <v>0</v>
      </c>
    </row>
    <row r="877" spans="1:8" ht="15" hidden="1" x14ac:dyDescent="0.2">
      <c r="A877" s="19">
        <v>922</v>
      </c>
      <c r="B877" s="22" t="s">
        <v>3194</v>
      </c>
      <c r="C877" s="40" t="s">
        <v>3195</v>
      </c>
      <c r="D877" s="22">
        <v>973683563</v>
      </c>
      <c r="E877" s="22" t="s">
        <v>3196</v>
      </c>
      <c r="F877" s="22" t="s">
        <v>3197</v>
      </c>
      <c r="G877" s="41">
        <v>0</v>
      </c>
      <c r="H877" s="41">
        <v>0</v>
      </c>
    </row>
    <row r="878" spans="1:8" ht="15" hidden="1" x14ac:dyDescent="0.2">
      <c r="A878" s="19">
        <v>923</v>
      </c>
      <c r="B878" s="37" t="s">
        <v>3198</v>
      </c>
      <c r="C878" s="38" t="s">
        <v>3199</v>
      </c>
      <c r="D878" s="125">
        <v>939952071</v>
      </c>
      <c r="E878" s="124"/>
      <c r="F878" s="37" t="s">
        <v>2016</v>
      </c>
      <c r="G878" s="39">
        <v>0</v>
      </c>
      <c r="H878" s="39">
        <v>0</v>
      </c>
    </row>
    <row r="879" spans="1:8" ht="15" hidden="1" x14ac:dyDescent="0.2">
      <c r="A879" s="19">
        <v>924</v>
      </c>
      <c r="B879" s="22" t="s">
        <v>3200</v>
      </c>
      <c r="C879" s="40" t="s">
        <v>3201</v>
      </c>
      <c r="D879" s="22">
        <v>984616916</v>
      </c>
      <c r="E879" s="22" t="s">
        <v>3202</v>
      </c>
      <c r="F879" s="22" t="s">
        <v>3203</v>
      </c>
      <c r="G879" s="41">
        <v>0</v>
      </c>
      <c r="H879" s="41">
        <v>0</v>
      </c>
    </row>
    <row r="880" spans="1:8" ht="15" hidden="1" x14ac:dyDescent="0.2">
      <c r="A880" s="19">
        <v>925</v>
      </c>
      <c r="B880" s="37" t="s">
        <v>3204</v>
      </c>
      <c r="C880" s="38" t="s">
        <v>3205</v>
      </c>
      <c r="D880" s="37"/>
      <c r="E880" s="37" t="s">
        <v>3206</v>
      </c>
      <c r="F880" s="37" t="s">
        <v>3207</v>
      </c>
      <c r="G880" s="39">
        <v>0</v>
      </c>
      <c r="H880" s="39" t="s">
        <v>3208</v>
      </c>
    </row>
    <row r="881" spans="1:8" ht="15" hidden="1" x14ac:dyDescent="0.2">
      <c r="A881" s="19">
        <v>926</v>
      </c>
      <c r="B881" s="22" t="s">
        <v>3209</v>
      </c>
      <c r="C881" s="40" t="s">
        <v>3210</v>
      </c>
      <c r="D881" s="22">
        <v>989029587</v>
      </c>
      <c r="E881" s="22" t="s">
        <v>3211</v>
      </c>
      <c r="F881" s="22" t="s">
        <v>3212</v>
      </c>
      <c r="G881" s="41">
        <v>0</v>
      </c>
      <c r="H881" s="41">
        <v>0</v>
      </c>
    </row>
    <row r="882" spans="1:8" ht="15" hidden="1" x14ac:dyDescent="0.2">
      <c r="A882" s="19">
        <v>927</v>
      </c>
      <c r="B882" s="37" t="s">
        <v>3213</v>
      </c>
      <c r="C882" s="38" t="s">
        <v>3214</v>
      </c>
      <c r="D882" s="37">
        <v>963218750</v>
      </c>
      <c r="E882" s="37" t="s">
        <v>3215</v>
      </c>
      <c r="F882" s="37" t="s">
        <v>3216</v>
      </c>
      <c r="G882" s="39">
        <v>0</v>
      </c>
      <c r="H882" s="39">
        <v>0</v>
      </c>
    </row>
    <row r="883" spans="1:8" ht="15" hidden="1" x14ac:dyDescent="0.2">
      <c r="A883" s="19">
        <v>928</v>
      </c>
      <c r="B883" s="22" t="s">
        <v>3217</v>
      </c>
      <c r="C883" s="40" t="s">
        <v>3218</v>
      </c>
      <c r="D883" s="43"/>
      <c r="E883" s="43"/>
      <c r="F883" s="43"/>
      <c r="G883" s="41">
        <v>0</v>
      </c>
      <c r="H883" s="41">
        <v>0</v>
      </c>
    </row>
    <row r="884" spans="1:8" ht="15" hidden="1" x14ac:dyDescent="0.2">
      <c r="A884" s="19">
        <v>929</v>
      </c>
      <c r="B884" s="37" t="s">
        <v>3219</v>
      </c>
      <c r="C884" s="38" t="s">
        <v>3220</v>
      </c>
      <c r="D884" s="37">
        <v>984050095</v>
      </c>
      <c r="E884" s="37" t="s">
        <v>3221</v>
      </c>
      <c r="F884" s="37" t="s">
        <v>3222</v>
      </c>
      <c r="G884" s="39" t="s">
        <v>3223</v>
      </c>
      <c r="H884" s="39" t="s">
        <v>3224</v>
      </c>
    </row>
    <row r="885" spans="1:8" ht="15" hidden="1" x14ac:dyDescent="0.2">
      <c r="A885" s="19">
        <v>930</v>
      </c>
      <c r="B885" s="22" t="s">
        <v>3225</v>
      </c>
      <c r="C885" s="40" t="s">
        <v>3226</v>
      </c>
      <c r="D885" s="22">
        <v>963023101</v>
      </c>
      <c r="E885" s="22" t="s">
        <v>3227</v>
      </c>
      <c r="F885" s="22" t="s">
        <v>188</v>
      </c>
      <c r="G885" s="41">
        <v>0</v>
      </c>
      <c r="H885" s="41">
        <v>0</v>
      </c>
    </row>
    <row r="886" spans="1:8" ht="15" hidden="1" x14ac:dyDescent="0.2">
      <c r="A886" s="19">
        <v>931</v>
      </c>
      <c r="B886" s="37" t="s">
        <v>3228</v>
      </c>
      <c r="C886" s="38" t="s">
        <v>3229</v>
      </c>
      <c r="D886" s="37">
        <v>983068067</v>
      </c>
      <c r="E886" s="37" t="s">
        <v>3230</v>
      </c>
      <c r="F886" s="37" t="s">
        <v>3231</v>
      </c>
      <c r="G886" s="39">
        <v>0</v>
      </c>
      <c r="H886" s="39">
        <v>0</v>
      </c>
    </row>
    <row r="887" spans="1:8" ht="15" hidden="1" x14ac:dyDescent="0.2">
      <c r="A887" s="19">
        <v>932</v>
      </c>
      <c r="B887" s="22" t="s">
        <v>3232</v>
      </c>
      <c r="C887" s="40" t="s">
        <v>3233</v>
      </c>
      <c r="D887" s="22">
        <v>972992408</v>
      </c>
      <c r="E887" s="22" t="s">
        <v>3234</v>
      </c>
      <c r="F887" s="22" t="s">
        <v>3235</v>
      </c>
      <c r="G887" s="41">
        <v>0</v>
      </c>
      <c r="H887" s="41">
        <v>0</v>
      </c>
    </row>
    <row r="888" spans="1:8" ht="15" hidden="1" x14ac:dyDescent="0.2">
      <c r="A888" s="19">
        <v>933</v>
      </c>
      <c r="B888" s="37" t="s">
        <v>3236</v>
      </c>
      <c r="C888" s="38" t="s">
        <v>3237</v>
      </c>
      <c r="D888" s="37">
        <v>369736126</v>
      </c>
      <c r="E888" s="37" t="s">
        <v>3238</v>
      </c>
      <c r="F888" s="37" t="s">
        <v>3239</v>
      </c>
      <c r="G888" s="39">
        <v>0</v>
      </c>
      <c r="H888" s="39">
        <v>0</v>
      </c>
    </row>
    <row r="889" spans="1:8" ht="15" hidden="1" x14ac:dyDescent="0.2">
      <c r="A889" s="19">
        <v>934</v>
      </c>
      <c r="B889" s="22" t="s">
        <v>3240</v>
      </c>
      <c r="C889" s="40" t="s">
        <v>3241</v>
      </c>
      <c r="D889" s="22">
        <v>972145689</v>
      </c>
      <c r="E889" s="22" t="s">
        <v>3242</v>
      </c>
      <c r="F889" s="22" t="s">
        <v>3243</v>
      </c>
      <c r="G889" s="41">
        <v>0</v>
      </c>
      <c r="H889" s="41">
        <v>0</v>
      </c>
    </row>
    <row r="890" spans="1:8" ht="15" hidden="1" x14ac:dyDescent="0.2">
      <c r="A890" s="19">
        <v>935</v>
      </c>
      <c r="B890" s="37" t="s">
        <v>3244</v>
      </c>
      <c r="C890" s="38" t="s">
        <v>3245</v>
      </c>
      <c r="D890" s="37">
        <v>916237883</v>
      </c>
      <c r="E890" s="37" t="s">
        <v>3246</v>
      </c>
      <c r="F890" s="37" t="s">
        <v>3247</v>
      </c>
      <c r="G890" s="39">
        <v>0</v>
      </c>
      <c r="H890" s="39">
        <v>0</v>
      </c>
    </row>
    <row r="891" spans="1:8" ht="15" hidden="1" x14ac:dyDescent="0.2">
      <c r="A891" s="19">
        <v>936</v>
      </c>
      <c r="B891" s="22" t="s">
        <v>3248</v>
      </c>
      <c r="C891" s="40" t="s">
        <v>3249</v>
      </c>
      <c r="D891" s="22">
        <v>911811350</v>
      </c>
      <c r="E891" s="22" t="s">
        <v>3250</v>
      </c>
      <c r="F891" s="22" t="s">
        <v>3251</v>
      </c>
      <c r="G891" s="41">
        <v>0</v>
      </c>
      <c r="H891" s="41">
        <v>0</v>
      </c>
    </row>
    <row r="892" spans="1:8" ht="15" hidden="1" x14ac:dyDescent="0.2">
      <c r="A892" s="19">
        <v>937</v>
      </c>
      <c r="B892" s="37" t="s">
        <v>3252</v>
      </c>
      <c r="C892" s="38" t="s">
        <v>3253</v>
      </c>
      <c r="D892" s="37">
        <v>961089788</v>
      </c>
      <c r="E892" s="37" t="s">
        <v>3254</v>
      </c>
      <c r="F892" s="37" t="s">
        <v>3255</v>
      </c>
      <c r="G892" s="39">
        <v>0</v>
      </c>
      <c r="H892" s="39">
        <v>0</v>
      </c>
    </row>
    <row r="893" spans="1:8" ht="15" hidden="1" x14ac:dyDescent="0.2">
      <c r="A893" s="19">
        <v>938</v>
      </c>
      <c r="B893" s="22" t="s">
        <v>3256</v>
      </c>
      <c r="C893" s="40" t="s">
        <v>3257</v>
      </c>
      <c r="D893" s="22">
        <v>975934336</v>
      </c>
      <c r="E893" s="22" t="s">
        <v>3258</v>
      </c>
      <c r="F893" s="22" t="s">
        <v>1509</v>
      </c>
      <c r="G893" s="41">
        <v>0</v>
      </c>
      <c r="H893" s="41">
        <v>0</v>
      </c>
    </row>
    <row r="894" spans="1:8" ht="15" hidden="1" x14ac:dyDescent="0.2">
      <c r="A894" s="19">
        <v>939</v>
      </c>
      <c r="B894" s="37" t="s">
        <v>3259</v>
      </c>
      <c r="C894" s="38" t="s">
        <v>3260</v>
      </c>
      <c r="D894" s="42"/>
      <c r="E894" s="42"/>
      <c r="F894" s="42"/>
      <c r="G894" s="39">
        <v>0</v>
      </c>
      <c r="H894" s="39">
        <v>0</v>
      </c>
    </row>
    <row r="895" spans="1:8" ht="15" hidden="1" x14ac:dyDescent="0.2">
      <c r="A895" s="19">
        <v>940</v>
      </c>
      <c r="B895" s="22" t="s">
        <v>3261</v>
      </c>
      <c r="C895" s="40" t="s">
        <v>3262</v>
      </c>
      <c r="D895" s="22">
        <v>963769812</v>
      </c>
      <c r="E895" s="22" t="s">
        <v>3263</v>
      </c>
      <c r="F895" s="22" t="s">
        <v>3264</v>
      </c>
      <c r="G895" s="41">
        <v>0</v>
      </c>
      <c r="H895" s="41" t="s">
        <v>3265</v>
      </c>
    </row>
    <row r="896" spans="1:8" ht="15" hidden="1" x14ac:dyDescent="0.2">
      <c r="A896" s="19">
        <v>941</v>
      </c>
      <c r="B896" s="37" t="s">
        <v>3266</v>
      </c>
      <c r="C896" s="38" t="s">
        <v>3267</v>
      </c>
      <c r="D896" s="37">
        <v>396921595</v>
      </c>
      <c r="E896" s="37" t="s">
        <v>3268</v>
      </c>
      <c r="F896" s="37" t="s">
        <v>3269</v>
      </c>
      <c r="G896" s="39">
        <v>0</v>
      </c>
      <c r="H896" s="39">
        <v>0</v>
      </c>
    </row>
    <row r="897" spans="1:8" ht="15" hidden="1" x14ac:dyDescent="0.2">
      <c r="A897" s="19">
        <v>942</v>
      </c>
      <c r="B897" s="22" t="s">
        <v>3270</v>
      </c>
      <c r="C897" s="40" t="s">
        <v>3271</v>
      </c>
      <c r="D897" s="22">
        <v>966490000</v>
      </c>
      <c r="E897" s="22" t="s">
        <v>3272</v>
      </c>
      <c r="F897" s="22" t="s">
        <v>3273</v>
      </c>
      <c r="G897" s="41">
        <v>0</v>
      </c>
      <c r="H897" s="41" t="s">
        <v>3274</v>
      </c>
    </row>
    <row r="898" spans="1:8" ht="15" hidden="1" x14ac:dyDescent="0.2">
      <c r="A898" s="19">
        <v>943</v>
      </c>
      <c r="B898" s="37" t="s">
        <v>3275</v>
      </c>
      <c r="C898" s="38" t="s">
        <v>3276</v>
      </c>
      <c r="D898" s="37">
        <v>916965262</v>
      </c>
      <c r="E898" s="37" t="s">
        <v>3277</v>
      </c>
      <c r="F898" s="37" t="s">
        <v>3278</v>
      </c>
      <c r="G898" s="39">
        <v>0</v>
      </c>
      <c r="H898" s="39" t="s">
        <v>3279</v>
      </c>
    </row>
    <row r="899" spans="1:8" ht="15" hidden="1" x14ac:dyDescent="0.2">
      <c r="A899" s="19">
        <v>944</v>
      </c>
      <c r="B899" s="22" t="s">
        <v>3280</v>
      </c>
      <c r="C899" s="40" t="s">
        <v>3281</v>
      </c>
      <c r="D899" s="22">
        <v>989852336</v>
      </c>
      <c r="E899" s="22" t="s">
        <v>3282</v>
      </c>
      <c r="F899" s="22" t="s">
        <v>3283</v>
      </c>
      <c r="G899" s="41">
        <v>0</v>
      </c>
      <c r="H899" s="41">
        <v>0</v>
      </c>
    </row>
    <row r="900" spans="1:8" ht="15" x14ac:dyDescent="0.2">
      <c r="A900" s="19">
        <v>945</v>
      </c>
      <c r="B900" s="37" t="s">
        <v>3284</v>
      </c>
      <c r="C900" s="38" t="s">
        <v>34</v>
      </c>
      <c r="D900" s="125">
        <v>702282929</v>
      </c>
      <c r="E900" s="124"/>
      <c r="F900" s="37" t="s">
        <v>3285</v>
      </c>
      <c r="G900" s="39">
        <v>2374000</v>
      </c>
      <c r="H900" s="39">
        <v>2374000</v>
      </c>
    </row>
    <row r="901" spans="1:8" ht="15" hidden="1" x14ac:dyDescent="0.2">
      <c r="A901" s="19">
        <v>946</v>
      </c>
      <c r="B901" s="22" t="s">
        <v>3286</v>
      </c>
      <c r="C901" s="40" t="s">
        <v>3287</v>
      </c>
      <c r="D901" s="43"/>
      <c r="E901" s="43"/>
      <c r="F901" s="43"/>
      <c r="G901" s="41">
        <v>0</v>
      </c>
      <c r="H901" s="41">
        <v>0</v>
      </c>
    </row>
    <row r="902" spans="1:8" ht="15" hidden="1" x14ac:dyDescent="0.2">
      <c r="A902" s="19">
        <v>947</v>
      </c>
      <c r="B902" s="37" t="s">
        <v>3288</v>
      </c>
      <c r="C902" s="38" t="s">
        <v>3289</v>
      </c>
      <c r="D902" s="37">
        <v>962006771</v>
      </c>
      <c r="E902" s="37" t="s">
        <v>3290</v>
      </c>
      <c r="F902" s="37" t="s">
        <v>3291</v>
      </c>
      <c r="G902" s="39" t="s">
        <v>3292</v>
      </c>
      <c r="H902" s="39" t="s">
        <v>3293</v>
      </c>
    </row>
    <row r="903" spans="1:8" ht="15" hidden="1" x14ac:dyDescent="0.2">
      <c r="A903" s="19">
        <v>948</v>
      </c>
      <c r="B903" s="22" t="s">
        <v>3294</v>
      </c>
      <c r="C903" s="40" t="s">
        <v>3295</v>
      </c>
      <c r="D903" s="22">
        <v>865306954</v>
      </c>
      <c r="E903" s="22" t="s">
        <v>3296</v>
      </c>
      <c r="F903" s="22" t="s">
        <v>3297</v>
      </c>
      <c r="G903" s="41">
        <v>0</v>
      </c>
      <c r="H903" s="41">
        <v>0</v>
      </c>
    </row>
    <row r="904" spans="1:8" ht="15" hidden="1" x14ac:dyDescent="0.2">
      <c r="A904" s="19">
        <v>949</v>
      </c>
      <c r="B904" s="37" t="s">
        <v>3298</v>
      </c>
      <c r="C904" s="38" t="s">
        <v>3299</v>
      </c>
      <c r="D904" s="37"/>
      <c r="E904" s="37" t="s">
        <v>3300</v>
      </c>
      <c r="F904" s="37" t="s">
        <v>3301</v>
      </c>
      <c r="G904" s="39" t="s">
        <v>3302</v>
      </c>
      <c r="H904" s="39" t="s">
        <v>3303</v>
      </c>
    </row>
    <row r="905" spans="1:8" ht="15" hidden="1" x14ac:dyDescent="0.2">
      <c r="A905" s="19">
        <v>950</v>
      </c>
      <c r="B905" s="22" t="s">
        <v>3304</v>
      </c>
      <c r="C905" s="40" t="s">
        <v>3305</v>
      </c>
      <c r="D905" s="22">
        <v>937377378</v>
      </c>
      <c r="E905" s="22" t="s">
        <v>3306</v>
      </c>
      <c r="F905" s="22" t="s">
        <v>3307</v>
      </c>
      <c r="G905" s="41" t="s">
        <v>3308</v>
      </c>
      <c r="H905" s="41" t="s">
        <v>3309</v>
      </c>
    </row>
    <row r="906" spans="1:8" ht="15" hidden="1" x14ac:dyDescent="0.2">
      <c r="A906" s="19">
        <v>951</v>
      </c>
      <c r="B906" s="37" t="s">
        <v>3310</v>
      </c>
      <c r="C906" s="38" t="s">
        <v>3311</v>
      </c>
      <c r="D906" s="37">
        <v>328805186</v>
      </c>
      <c r="E906" s="37" t="s">
        <v>3312</v>
      </c>
      <c r="F906" s="37" t="s">
        <v>3313</v>
      </c>
      <c r="G906" s="39">
        <v>0</v>
      </c>
      <c r="H906" s="39" t="s">
        <v>3314</v>
      </c>
    </row>
    <row r="907" spans="1:8" ht="15" hidden="1" x14ac:dyDescent="0.2">
      <c r="A907" s="19">
        <v>952</v>
      </c>
      <c r="B907" s="22" t="s">
        <v>3315</v>
      </c>
      <c r="C907" s="40" t="s">
        <v>3316</v>
      </c>
      <c r="D907" s="22">
        <v>919506767</v>
      </c>
      <c r="E907" s="22" t="s">
        <v>3317</v>
      </c>
      <c r="F907" s="22" t="s">
        <v>2016</v>
      </c>
      <c r="G907" s="41">
        <v>0</v>
      </c>
      <c r="H907" s="41">
        <v>0</v>
      </c>
    </row>
    <row r="908" spans="1:8" ht="15" hidden="1" x14ac:dyDescent="0.2">
      <c r="A908" s="19">
        <v>953</v>
      </c>
      <c r="B908" s="37" t="s">
        <v>3318</v>
      </c>
      <c r="C908" s="38" t="s">
        <v>3319</v>
      </c>
      <c r="D908" s="125">
        <v>986878919</v>
      </c>
      <c r="E908" s="124"/>
      <c r="F908" s="42"/>
      <c r="G908" s="39">
        <v>0</v>
      </c>
      <c r="H908" s="39">
        <v>0</v>
      </c>
    </row>
    <row r="909" spans="1:8" ht="15" hidden="1" x14ac:dyDescent="0.2">
      <c r="A909" s="19">
        <v>954</v>
      </c>
      <c r="B909" s="22" t="s">
        <v>3320</v>
      </c>
      <c r="C909" s="40" t="s">
        <v>3321</v>
      </c>
      <c r="D909" s="22">
        <v>983988340</v>
      </c>
      <c r="E909" s="22" t="s">
        <v>3322</v>
      </c>
      <c r="F909" s="22" t="s">
        <v>3323</v>
      </c>
      <c r="G909" s="41" t="s">
        <v>3324</v>
      </c>
      <c r="H909" s="41" t="s">
        <v>3325</v>
      </c>
    </row>
    <row r="910" spans="1:8" ht="15" hidden="1" x14ac:dyDescent="0.2">
      <c r="A910" s="19">
        <v>955</v>
      </c>
      <c r="B910" s="37" t="s">
        <v>3326</v>
      </c>
      <c r="C910" s="38" t="s">
        <v>3327</v>
      </c>
      <c r="D910" s="37" t="s">
        <v>3328</v>
      </c>
      <c r="E910" s="37" t="s">
        <v>3329</v>
      </c>
      <c r="F910" s="37" t="s">
        <v>3330</v>
      </c>
      <c r="G910" s="39">
        <v>0</v>
      </c>
      <c r="H910" s="39">
        <v>0</v>
      </c>
    </row>
    <row r="911" spans="1:8" ht="15" hidden="1" x14ac:dyDescent="0.2">
      <c r="A911" s="19">
        <v>956</v>
      </c>
      <c r="B911" s="22" t="s">
        <v>3331</v>
      </c>
      <c r="C911" s="40" t="s">
        <v>3332</v>
      </c>
      <c r="D911" s="22">
        <v>375272973</v>
      </c>
      <c r="E911" s="22" t="s">
        <v>3333</v>
      </c>
      <c r="F911" s="22" t="s">
        <v>3334</v>
      </c>
      <c r="G911" s="41">
        <v>0</v>
      </c>
      <c r="H911" s="41">
        <v>0</v>
      </c>
    </row>
    <row r="912" spans="1:8" ht="15" hidden="1" x14ac:dyDescent="0.2">
      <c r="A912" s="19">
        <v>957</v>
      </c>
      <c r="B912" s="37" t="s">
        <v>3335</v>
      </c>
      <c r="C912" s="38" t="s">
        <v>3336</v>
      </c>
      <c r="D912" s="37">
        <v>395089116</v>
      </c>
      <c r="E912" s="37" t="s">
        <v>3337</v>
      </c>
      <c r="F912" s="37" t="s">
        <v>3338</v>
      </c>
      <c r="G912" s="39">
        <v>0</v>
      </c>
      <c r="H912" s="39">
        <v>0</v>
      </c>
    </row>
    <row r="913" spans="1:8" ht="15" hidden="1" x14ac:dyDescent="0.2">
      <c r="A913" s="19">
        <v>958</v>
      </c>
      <c r="B913" s="22" t="s">
        <v>3339</v>
      </c>
      <c r="C913" s="40" t="s">
        <v>3340</v>
      </c>
      <c r="D913" s="22">
        <v>915122800</v>
      </c>
      <c r="E913" s="22" t="s">
        <v>3341</v>
      </c>
      <c r="F913" s="22" t="s">
        <v>188</v>
      </c>
      <c r="G913" s="41">
        <v>0</v>
      </c>
      <c r="H913" s="41">
        <v>0</v>
      </c>
    </row>
    <row r="914" spans="1:8" ht="15" hidden="1" x14ac:dyDescent="0.2">
      <c r="A914" s="19">
        <v>959</v>
      </c>
      <c r="B914" s="37" t="s">
        <v>3342</v>
      </c>
      <c r="C914" s="38" t="s">
        <v>3343</v>
      </c>
      <c r="D914" s="37">
        <v>914768766</v>
      </c>
      <c r="E914" s="37" t="s">
        <v>3344</v>
      </c>
      <c r="F914" s="37" t="s">
        <v>3345</v>
      </c>
      <c r="G914" s="39" t="s">
        <v>3346</v>
      </c>
      <c r="H914" s="39" t="s">
        <v>3347</v>
      </c>
    </row>
    <row r="915" spans="1:8" ht="15" hidden="1" x14ac:dyDescent="0.2">
      <c r="A915" s="19">
        <v>960</v>
      </c>
      <c r="B915" s="22" t="s">
        <v>3348</v>
      </c>
      <c r="C915" s="40" t="s">
        <v>3349</v>
      </c>
      <c r="D915" s="22">
        <v>962456556</v>
      </c>
      <c r="E915" s="22" t="s">
        <v>3350</v>
      </c>
      <c r="F915" s="22" t="s">
        <v>3351</v>
      </c>
      <c r="G915" s="41">
        <v>0</v>
      </c>
      <c r="H915" s="41" t="s">
        <v>3352</v>
      </c>
    </row>
    <row r="916" spans="1:8" ht="15" hidden="1" x14ac:dyDescent="0.2">
      <c r="A916" s="19">
        <v>961</v>
      </c>
      <c r="B916" s="37" t="s">
        <v>3353</v>
      </c>
      <c r="C916" s="38" t="s">
        <v>3354</v>
      </c>
      <c r="D916" s="37" t="s">
        <v>3355</v>
      </c>
      <c r="E916" s="37" t="s">
        <v>3356</v>
      </c>
      <c r="F916" s="37" t="s">
        <v>3357</v>
      </c>
      <c r="G916" s="39">
        <v>0</v>
      </c>
      <c r="H916" s="39" t="s">
        <v>3358</v>
      </c>
    </row>
    <row r="917" spans="1:8" ht="15" hidden="1" x14ac:dyDescent="0.2">
      <c r="A917" s="19">
        <v>962</v>
      </c>
      <c r="B917" s="22" t="s">
        <v>3359</v>
      </c>
      <c r="C917" s="40" t="s">
        <v>3360</v>
      </c>
      <c r="D917" s="22">
        <v>353260629</v>
      </c>
      <c r="E917" s="22" t="s">
        <v>3361</v>
      </c>
      <c r="F917" s="22" t="s">
        <v>188</v>
      </c>
      <c r="G917" s="41">
        <v>0</v>
      </c>
      <c r="H917" s="41">
        <v>0</v>
      </c>
    </row>
    <row r="918" spans="1:8" ht="15" hidden="1" x14ac:dyDescent="0.2">
      <c r="A918" s="19">
        <v>963</v>
      </c>
      <c r="B918" s="37" t="s">
        <v>3362</v>
      </c>
      <c r="C918" s="38" t="s">
        <v>3363</v>
      </c>
      <c r="D918" s="37">
        <v>886336830</v>
      </c>
      <c r="E918" s="37" t="s">
        <v>3364</v>
      </c>
      <c r="F918" s="37" t="s">
        <v>3365</v>
      </c>
      <c r="G918" s="39">
        <v>0</v>
      </c>
      <c r="H918" s="39">
        <v>0</v>
      </c>
    </row>
    <row r="919" spans="1:8" ht="15" hidden="1" x14ac:dyDescent="0.2">
      <c r="A919" s="19">
        <v>964</v>
      </c>
      <c r="B919" s="22" t="s">
        <v>3366</v>
      </c>
      <c r="C919" s="40" t="s">
        <v>3367</v>
      </c>
      <c r="D919" s="22">
        <v>866703833</v>
      </c>
      <c r="E919" s="22" t="s">
        <v>3368</v>
      </c>
      <c r="F919" s="43"/>
      <c r="G919" s="41">
        <v>0</v>
      </c>
      <c r="H919" s="41">
        <v>0</v>
      </c>
    </row>
    <row r="920" spans="1:8" ht="15" hidden="1" x14ac:dyDescent="0.2">
      <c r="A920" s="19">
        <v>965</v>
      </c>
      <c r="B920" s="37" t="s">
        <v>3369</v>
      </c>
      <c r="C920" s="38" t="s">
        <v>3370</v>
      </c>
      <c r="D920" s="37">
        <v>335682898</v>
      </c>
      <c r="E920" s="37" t="s">
        <v>3371</v>
      </c>
      <c r="F920" s="37" t="s">
        <v>188</v>
      </c>
      <c r="G920" s="39">
        <v>0</v>
      </c>
      <c r="H920" s="39">
        <v>0</v>
      </c>
    </row>
    <row r="921" spans="1:8" ht="15" hidden="1" x14ac:dyDescent="0.2">
      <c r="A921" s="19">
        <v>966</v>
      </c>
      <c r="B921" s="22" t="s">
        <v>3372</v>
      </c>
      <c r="C921" s="40" t="s">
        <v>3373</v>
      </c>
      <c r="D921" s="22">
        <v>839981984</v>
      </c>
      <c r="E921" s="22" t="s">
        <v>3374</v>
      </c>
      <c r="F921" s="43"/>
      <c r="G921" s="41">
        <v>0</v>
      </c>
      <c r="H921" s="41">
        <v>0</v>
      </c>
    </row>
    <row r="922" spans="1:8" ht="15" hidden="1" x14ac:dyDescent="0.2">
      <c r="A922" s="19">
        <v>967</v>
      </c>
      <c r="B922" s="37" t="s">
        <v>3375</v>
      </c>
      <c r="C922" s="38" t="s">
        <v>3376</v>
      </c>
      <c r="D922" s="37">
        <v>978119205</v>
      </c>
      <c r="E922" s="37" t="s">
        <v>3377</v>
      </c>
      <c r="F922" s="37" t="s">
        <v>3378</v>
      </c>
      <c r="G922" s="39">
        <v>0</v>
      </c>
      <c r="H922" s="39" t="s">
        <v>3379</v>
      </c>
    </row>
    <row r="923" spans="1:8" ht="15" hidden="1" x14ac:dyDescent="0.2">
      <c r="A923" s="19">
        <v>968</v>
      </c>
      <c r="B923" s="22" t="s">
        <v>3380</v>
      </c>
      <c r="C923" s="40" t="s">
        <v>3381</v>
      </c>
      <c r="D923" s="22"/>
      <c r="E923" s="43"/>
      <c r="F923" s="43"/>
      <c r="G923" s="41">
        <v>0</v>
      </c>
      <c r="H923" s="41">
        <v>0</v>
      </c>
    </row>
    <row r="924" spans="1:8" ht="15" hidden="1" x14ac:dyDescent="0.2">
      <c r="A924" s="19">
        <v>969</v>
      </c>
      <c r="B924" s="37" t="s">
        <v>3382</v>
      </c>
      <c r="C924" s="38" t="s">
        <v>3383</v>
      </c>
      <c r="D924" s="37">
        <v>987548970</v>
      </c>
      <c r="E924" s="37" t="s">
        <v>3384</v>
      </c>
      <c r="F924" s="37" t="s">
        <v>3385</v>
      </c>
      <c r="G924" s="39" t="s">
        <v>3386</v>
      </c>
      <c r="H924" s="39" t="s">
        <v>3387</v>
      </c>
    </row>
    <row r="925" spans="1:8" ht="15" hidden="1" x14ac:dyDescent="0.2">
      <c r="A925" s="19">
        <v>970</v>
      </c>
      <c r="B925" s="22" t="s">
        <v>3388</v>
      </c>
      <c r="C925" s="40" t="s">
        <v>3389</v>
      </c>
      <c r="D925" s="22">
        <v>915640266</v>
      </c>
      <c r="E925" s="22" t="s">
        <v>3390</v>
      </c>
      <c r="F925" s="22" t="s">
        <v>3391</v>
      </c>
      <c r="G925" s="41" t="s">
        <v>3392</v>
      </c>
      <c r="H925" s="41" t="s">
        <v>3393</v>
      </c>
    </row>
    <row r="926" spans="1:8" ht="15" hidden="1" x14ac:dyDescent="0.2">
      <c r="A926" s="19">
        <v>971</v>
      </c>
      <c r="B926" s="37" t="s">
        <v>3394</v>
      </c>
      <c r="C926" s="38" t="s">
        <v>3395</v>
      </c>
      <c r="D926" s="37">
        <v>969871456</v>
      </c>
      <c r="E926" s="37" t="s">
        <v>3396</v>
      </c>
      <c r="F926" s="37" t="s">
        <v>3397</v>
      </c>
      <c r="G926" s="39">
        <v>-114</v>
      </c>
      <c r="H926" s="39" t="s">
        <v>3398</v>
      </c>
    </row>
    <row r="927" spans="1:8" ht="15" hidden="1" x14ac:dyDescent="0.2">
      <c r="A927" s="19">
        <v>972</v>
      </c>
      <c r="B927" s="22" t="s">
        <v>3399</v>
      </c>
      <c r="C927" s="40" t="s">
        <v>3400</v>
      </c>
      <c r="D927" s="22">
        <v>862852500</v>
      </c>
      <c r="E927" s="22" t="s">
        <v>3401</v>
      </c>
      <c r="F927" s="43"/>
      <c r="G927" s="41">
        <v>0</v>
      </c>
      <c r="H927" s="41">
        <v>0</v>
      </c>
    </row>
    <row r="928" spans="1:8" ht="15" hidden="1" x14ac:dyDescent="0.2">
      <c r="A928" s="19">
        <v>973</v>
      </c>
      <c r="B928" s="37" t="s">
        <v>3402</v>
      </c>
      <c r="C928" s="38" t="s">
        <v>3403</v>
      </c>
      <c r="D928" s="37">
        <v>368440582</v>
      </c>
      <c r="E928" s="37" t="s">
        <v>3404</v>
      </c>
      <c r="F928" s="37" t="s">
        <v>3405</v>
      </c>
      <c r="G928" s="39">
        <v>0</v>
      </c>
      <c r="H928" s="39" t="s">
        <v>3406</v>
      </c>
    </row>
    <row r="929" spans="1:8" ht="15" hidden="1" x14ac:dyDescent="0.2">
      <c r="A929" s="19">
        <v>974</v>
      </c>
      <c r="B929" s="22" t="s">
        <v>3407</v>
      </c>
      <c r="C929" s="40" t="s">
        <v>3408</v>
      </c>
      <c r="D929" s="22">
        <v>827236784</v>
      </c>
      <c r="E929" s="22" t="s">
        <v>3409</v>
      </c>
      <c r="F929" s="22" t="s">
        <v>570</v>
      </c>
      <c r="G929" s="41">
        <v>0</v>
      </c>
      <c r="H929" s="41">
        <v>0</v>
      </c>
    </row>
    <row r="930" spans="1:8" ht="15" hidden="1" x14ac:dyDescent="0.2">
      <c r="A930" s="19">
        <v>975</v>
      </c>
      <c r="B930" s="37" t="s">
        <v>3410</v>
      </c>
      <c r="C930" s="38" t="s">
        <v>3411</v>
      </c>
      <c r="D930" s="37">
        <v>984263553</v>
      </c>
      <c r="E930" s="37" t="s">
        <v>3412</v>
      </c>
      <c r="F930" s="37" t="s">
        <v>3413</v>
      </c>
      <c r="G930" s="39">
        <v>0</v>
      </c>
      <c r="H930" s="39">
        <v>0</v>
      </c>
    </row>
    <row r="931" spans="1:8" ht="15" hidden="1" x14ac:dyDescent="0.2">
      <c r="A931" s="19">
        <v>976</v>
      </c>
      <c r="B931" s="22" t="s">
        <v>3414</v>
      </c>
      <c r="C931" s="40" t="s">
        <v>3415</v>
      </c>
      <c r="D931" s="43"/>
      <c r="E931" s="43"/>
      <c r="F931" s="43"/>
      <c r="G931" s="41">
        <v>0</v>
      </c>
      <c r="H931" s="41">
        <v>0</v>
      </c>
    </row>
    <row r="932" spans="1:8" ht="15" hidden="1" x14ac:dyDescent="0.2">
      <c r="A932" s="19">
        <v>977</v>
      </c>
      <c r="B932" s="37" t="s">
        <v>3416</v>
      </c>
      <c r="C932" s="38" t="s">
        <v>3417</v>
      </c>
      <c r="D932" s="37">
        <v>985632198</v>
      </c>
      <c r="E932" s="37" t="s">
        <v>3418</v>
      </c>
      <c r="F932" s="37" t="s">
        <v>3419</v>
      </c>
      <c r="G932" s="39">
        <v>0</v>
      </c>
      <c r="H932" s="39">
        <v>0</v>
      </c>
    </row>
    <row r="933" spans="1:8" ht="15" hidden="1" x14ac:dyDescent="0.2">
      <c r="A933" s="19">
        <v>978</v>
      </c>
      <c r="B933" s="22" t="s">
        <v>3420</v>
      </c>
      <c r="C933" s="40" t="s">
        <v>3421</v>
      </c>
      <c r="D933" s="22" t="s">
        <v>3422</v>
      </c>
      <c r="E933" s="22" t="s">
        <v>3423</v>
      </c>
      <c r="F933" s="22" t="s">
        <v>3424</v>
      </c>
      <c r="G933" s="41">
        <v>0</v>
      </c>
      <c r="H933" s="41">
        <v>0</v>
      </c>
    </row>
    <row r="934" spans="1:8" ht="15" hidden="1" x14ac:dyDescent="0.2">
      <c r="A934" s="19">
        <v>979</v>
      </c>
      <c r="B934" s="37" t="s">
        <v>3425</v>
      </c>
      <c r="C934" s="38" t="s">
        <v>3426</v>
      </c>
      <c r="D934" s="37">
        <v>962999890</v>
      </c>
      <c r="E934" s="37" t="s">
        <v>3427</v>
      </c>
      <c r="F934" s="37" t="s">
        <v>3428</v>
      </c>
      <c r="G934" s="39">
        <v>0</v>
      </c>
      <c r="H934" s="39" t="s">
        <v>3429</v>
      </c>
    </row>
    <row r="935" spans="1:8" ht="15" hidden="1" x14ac:dyDescent="0.2">
      <c r="A935" s="19">
        <v>980</v>
      </c>
      <c r="B935" s="22" t="s">
        <v>3430</v>
      </c>
      <c r="C935" s="40" t="s">
        <v>3431</v>
      </c>
      <c r="D935" s="22">
        <v>866616192</v>
      </c>
      <c r="E935" s="22" t="s">
        <v>3432</v>
      </c>
      <c r="F935" s="22" t="s">
        <v>3433</v>
      </c>
      <c r="G935" s="41" t="s">
        <v>3434</v>
      </c>
      <c r="H935" s="41" t="s">
        <v>3435</v>
      </c>
    </row>
    <row r="936" spans="1:8" ht="15" hidden="1" x14ac:dyDescent="0.2">
      <c r="A936" s="19">
        <v>981</v>
      </c>
      <c r="B936" s="37" t="s">
        <v>3436</v>
      </c>
      <c r="C936" s="38" t="s">
        <v>3437</v>
      </c>
      <c r="D936" s="37">
        <v>983285639</v>
      </c>
      <c r="E936" s="37" t="s">
        <v>3438</v>
      </c>
      <c r="F936" s="37" t="s">
        <v>3439</v>
      </c>
      <c r="G936" s="39">
        <v>0</v>
      </c>
      <c r="H936" s="39">
        <v>0</v>
      </c>
    </row>
    <row r="937" spans="1:8" ht="15" hidden="1" x14ac:dyDescent="0.2">
      <c r="A937" s="19">
        <v>982</v>
      </c>
      <c r="B937" s="22" t="s">
        <v>3440</v>
      </c>
      <c r="C937" s="40" t="s">
        <v>3441</v>
      </c>
      <c r="D937" s="123">
        <v>384595028</v>
      </c>
      <c r="E937" s="124"/>
      <c r="F937" s="22" t="s">
        <v>3442</v>
      </c>
      <c r="G937" s="41" t="s">
        <v>3443</v>
      </c>
      <c r="H937" s="41" t="s">
        <v>3444</v>
      </c>
    </row>
    <row r="938" spans="1:8" ht="15" hidden="1" x14ac:dyDescent="0.2">
      <c r="A938" s="19">
        <v>983</v>
      </c>
      <c r="B938" s="37" t="s">
        <v>3445</v>
      </c>
      <c r="C938" s="38" t="s">
        <v>3446</v>
      </c>
      <c r="D938" s="125"/>
      <c r="E938" s="124"/>
      <c r="F938" s="42"/>
      <c r="G938" s="39">
        <v>0</v>
      </c>
      <c r="H938" s="39">
        <v>0</v>
      </c>
    </row>
    <row r="939" spans="1:8" ht="15" hidden="1" x14ac:dyDescent="0.2">
      <c r="A939" s="19">
        <v>984</v>
      </c>
      <c r="B939" s="22" t="s">
        <v>3447</v>
      </c>
      <c r="C939" s="40" t="s">
        <v>3448</v>
      </c>
      <c r="D939" s="22">
        <v>966316165</v>
      </c>
      <c r="E939" s="22" t="s">
        <v>3449</v>
      </c>
      <c r="F939" s="22" t="s">
        <v>3450</v>
      </c>
      <c r="G939" s="41">
        <v>0</v>
      </c>
      <c r="H939" s="41">
        <v>0</v>
      </c>
    </row>
    <row r="940" spans="1:8" ht="15" hidden="1" x14ac:dyDescent="0.2">
      <c r="A940" s="19">
        <v>985</v>
      </c>
      <c r="B940" s="37" t="s">
        <v>3451</v>
      </c>
      <c r="C940" s="38" t="s">
        <v>3452</v>
      </c>
      <c r="D940" s="37"/>
      <c r="E940" s="42"/>
      <c r="F940" s="42"/>
      <c r="G940" s="39" t="s">
        <v>3453</v>
      </c>
      <c r="H940" s="39" t="s">
        <v>3453</v>
      </c>
    </row>
    <row r="941" spans="1:8" ht="15" hidden="1" x14ac:dyDescent="0.2">
      <c r="A941" s="19">
        <v>986</v>
      </c>
      <c r="B941" s="22" t="s">
        <v>3454</v>
      </c>
      <c r="C941" s="40" t="s">
        <v>3455</v>
      </c>
      <c r="D941" s="123">
        <v>936581266</v>
      </c>
      <c r="E941" s="124"/>
      <c r="F941" s="22" t="s">
        <v>3456</v>
      </c>
      <c r="G941" s="41">
        <v>0</v>
      </c>
      <c r="H941" s="41" t="s">
        <v>3457</v>
      </c>
    </row>
    <row r="942" spans="1:8" ht="15" hidden="1" x14ac:dyDescent="0.2">
      <c r="A942" s="19">
        <v>987</v>
      </c>
      <c r="B942" s="37" t="s">
        <v>3458</v>
      </c>
      <c r="C942" s="38" t="s">
        <v>3459</v>
      </c>
      <c r="D942" s="37">
        <v>915851525</v>
      </c>
      <c r="E942" s="37" t="s">
        <v>3460</v>
      </c>
      <c r="F942" s="37" t="s">
        <v>3461</v>
      </c>
      <c r="G942" s="39">
        <v>0</v>
      </c>
      <c r="H942" s="39">
        <v>0</v>
      </c>
    </row>
    <row r="943" spans="1:8" ht="15" hidden="1" x14ac:dyDescent="0.2">
      <c r="A943" s="19">
        <v>988</v>
      </c>
      <c r="B943" s="22" t="s">
        <v>3462</v>
      </c>
      <c r="C943" s="40" t="s">
        <v>3463</v>
      </c>
      <c r="D943" s="22">
        <v>794654768</v>
      </c>
      <c r="E943" s="22" t="s">
        <v>3464</v>
      </c>
      <c r="F943" s="22" t="s">
        <v>3465</v>
      </c>
      <c r="G943" s="41">
        <v>0</v>
      </c>
      <c r="H943" s="41" t="s">
        <v>3466</v>
      </c>
    </row>
    <row r="944" spans="1:8" ht="15" x14ac:dyDescent="0.2">
      <c r="A944" s="19">
        <v>989</v>
      </c>
      <c r="B944" s="37" t="s">
        <v>3467</v>
      </c>
      <c r="C944" s="38" t="s">
        <v>3468</v>
      </c>
      <c r="D944" s="37">
        <v>975214534</v>
      </c>
      <c r="E944" s="37" t="s">
        <v>3469</v>
      </c>
      <c r="F944" s="37" t="s">
        <v>3470</v>
      </c>
      <c r="G944" s="39">
        <v>12</v>
      </c>
      <c r="H944" s="39" t="s">
        <v>3471</v>
      </c>
    </row>
    <row r="945" spans="1:8" ht="15" hidden="1" x14ac:dyDescent="0.2">
      <c r="A945" s="19">
        <v>990</v>
      </c>
      <c r="B945" s="22" t="s">
        <v>3472</v>
      </c>
      <c r="C945" s="40" t="s">
        <v>3473</v>
      </c>
      <c r="D945" s="22">
        <v>387615508</v>
      </c>
      <c r="E945" s="22" t="s">
        <v>3474</v>
      </c>
      <c r="F945" s="22" t="s">
        <v>3475</v>
      </c>
      <c r="G945" s="41" t="s">
        <v>3476</v>
      </c>
      <c r="H945" s="41" t="s">
        <v>3477</v>
      </c>
    </row>
    <row r="946" spans="1:8" ht="15" hidden="1" x14ac:dyDescent="0.2">
      <c r="A946" s="19">
        <v>991</v>
      </c>
      <c r="B946" s="37" t="s">
        <v>3478</v>
      </c>
      <c r="C946" s="38" t="s">
        <v>3479</v>
      </c>
      <c r="D946" s="37">
        <v>982552660</v>
      </c>
      <c r="E946" s="37" t="s">
        <v>3480</v>
      </c>
      <c r="F946" s="37" t="s">
        <v>3481</v>
      </c>
      <c r="G946" s="39">
        <v>0</v>
      </c>
      <c r="H946" s="39" t="s">
        <v>3482</v>
      </c>
    </row>
    <row r="947" spans="1:8" ht="15" hidden="1" x14ac:dyDescent="0.2">
      <c r="A947" s="19">
        <v>992</v>
      </c>
      <c r="B947" s="22" t="s">
        <v>3483</v>
      </c>
      <c r="C947" s="40" t="s">
        <v>3484</v>
      </c>
      <c r="D947" s="22">
        <v>944118669</v>
      </c>
      <c r="E947" s="22" t="s">
        <v>3485</v>
      </c>
      <c r="F947" s="22" t="s">
        <v>2032</v>
      </c>
      <c r="G947" s="41">
        <v>0</v>
      </c>
      <c r="H947" s="41">
        <v>0</v>
      </c>
    </row>
    <row r="948" spans="1:8" ht="13" x14ac:dyDescent="0.15">
      <c r="C948" s="47"/>
    </row>
    <row r="949" spans="1:8" ht="13" x14ac:dyDescent="0.15">
      <c r="C949" s="47"/>
    </row>
    <row r="950" spans="1:8" ht="13" x14ac:dyDescent="0.15">
      <c r="C950" s="47"/>
    </row>
    <row r="951" spans="1:8" ht="13" x14ac:dyDescent="0.15">
      <c r="C951" s="47"/>
    </row>
    <row r="952" spans="1:8" ht="13" x14ac:dyDescent="0.15">
      <c r="C952" s="47"/>
    </row>
    <row r="953" spans="1:8" ht="13" x14ac:dyDescent="0.15">
      <c r="C953" s="47"/>
    </row>
    <row r="954" spans="1:8" ht="13" x14ac:dyDescent="0.15">
      <c r="C954" s="47"/>
    </row>
  </sheetData>
  <autoFilter ref="A1:H947" xr:uid="{00000000-0009-0000-0000-000004000000}">
    <filterColumn colId="6">
      <customFilters>
        <customFilter operator="greaterThan" val="0"/>
      </customFilters>
    </filterColumn>
  </autoFilter>
  <mergeCells count="110">
    <mergeCell ref="D900:E900"/>
    <mergeCell ref="D908:E908"/>
    <mergeCell ref="D937:E937"/>
    <mergeCell ref="D938:E938"/>
    <mergeCell ref="D941:E941"/>
    <mergeCell ref="D784:E784"/>
    <mergeCell ref="D786:E786"/>
    <mergeCell ref="D787:E787"/>
    <mergeCell ref="D789:E789"/>
    <mergeCell ref="D794:E794"/>
    <mergeCell ref="D795:E795"/>
    <mergeCell ref="D797:E797"/>
    <mergeCell ref="D799:E799"/>
    <mergeCell ref="D804:E804"/>
    <mergeCell ref="D830:E830"/>
    <mergeCell ref="D832:E832"/>
    <mergeCell ref="D835:E835"/>
    <mergeCell ref="D836:E836"/>
    <mergeCell ref="D840:E840"/>
    <mergeCell ref="D847:E847"/>
    <mergeCell ref="D855:E855"/>
    <mergeCell ref="D859:E859"/>
    <mergeCell ref="D878:E878"/>
    <mergeCell ref="D761:E761"/>
    <mergeCell ref="D762:E762"/>
    <mergeCell ref="D765:E765"/>
    <mergeCell ref="D767:E767"/>
    <mergeCell ref="D769:E769"/>
    <mergeCell ref="D770:E770"/>
    <mergeCell ref="D775:E775"/>
    <mergeCell ref="D778:E778"/>
    <mergeCell ref="D783:E783"/>
    <mergeCell ref="D743:E743"/>
    <mergeCell ref="D744:E744"/>
    <mergeCell ref="D746:E746"/>
    <mergeCell ref="D748:E748"/>
    <mergeCell ref="D749:E749"/>
    <mergeCell ref="D752:E752"/>
    <mergeCell ref="D753:E753"/>
    <mergeCell ref="D757:E757"/>
    <mergeCell ref="D759:E759"/>
    <mergeCell ref="D622:E622"/>
    <mergeCell ref="D632:E632"/>
    <mergeCell ref="D643:E643"/>
    <mergeCell ref="D648:E648"/>
    <mergeCell ref="D812:E812"/>
    <mergeCell ref="D817:E817"/>
    <mergeCell ref="D824:E824"/>
    <mergeCell ref="D825:E825"/>
    <mergeCell ref="D827:E827"/>
    <mergeCell ref="D655:E655"/>
    <mergeCell ref="D665:E665"/>
    <mergeCell ref="D666:E666"/>
    <mergeCell ref="D669:E669"/>
    <mergeCell ref="D671:E671"/>
    <mergeCell ref="D680:E680"/>
    <mergeCell ref="D681:E681"/>
    <mergeCell ref="D682:E682"/>
    <mergeCell ref="D683:E683"/>
    <mergeCell ref="D684:E684"/>
    <mergeCell ref="D685:E685"/>
    <mergeCell ref="D686:E686"/>
    <mergeCell ref="D688:E688"/>
    <mergeCell ref="D707:E707"/>
    <mergeCell ref="D727:E727"/>
    <mergeCell ref="D550:E550"/>
    <mergeCell ref="D551:E551"/>
    <mergeCell ref="D560:E560"/>
    <mergeCell ref="D568:E568"/>
    <mergeCell ref="D580:E580"/>
    <mergeCell ref="D583:E583"/>
    <mergeCell ref="D596:E596"/>
    <mergeCell ref="D599:E599"/>
    <mergeCell ref="D614:E614"/>
    <mergeCell ref="D414:E414"/>
    <mergeCell ref="D417:E417"/>
    <mergeCell ref="D454:E454"/>
    <mergeCell ref="D457:E457"/>
    <mergeCell ref="D493:E493"/>
    <mergeCell ref="D506:E506"/>
    <mergeCell ref="D511:E511"/>
    <mergeCell ref="D513:E513"/>
    <mergeCell ref="D546:E546"/>
    <mergeCell ref="D352:E352"/>
    <mergeCell ref="D356:E356"/>
    <mergeCell ref="D360:E360"/>
    <mergeCell ref="D365:E365"/>
    <mergeCell ref="D382:E382"/>
    <mergeCell ref="D396:E396"/>
    <mergeCell ref="D399:E399"/>
    <mergeCell ref="D400:E400"/>
    <mergeCell ref="D412:E412"/>
    <mergeCell ref="D223:E223"/>
    <mergeCell ref="D226:E226"/>
    <mergeCell ref="D234:E234"/>
    <mergeCell ref="D237:E237"/>
    <mergeCell ref="D242:E242"/>
    <mergeCell ref="D261:E261"/>
    <mergeCell ref="D262:E262"/>
    <mergeCell ref="D307:E307"/>
    <mergeCell ref="D319:E319"/>
    <mergeCell ref="D5:E5"/>
    <mergeCell ref="D69:E69"/>
    <mergeCell ref="D107:E107"/>
    <mergeCell ref="D115:E115"/>
    <mergeCell ref="D144:E144"/>
    <mergeCell ref="D165:E165"/>
    <mergeCell ref="D188:E188"/>
    <mergeCell ref="D207:E207"/>
    <mergeCell ref="D221:E2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M4061"/>
  <sheetViews>
    <sheetView workbookViewId="0"/>
  </sheetViews>
  <sheetFormatPr baseColWidth="10" defaultColWidth="12.6640625" defaultRowHeight="15.75" customHeight="1" x14ac:dyDescent="0.15"/>
  <cols>
    <col min="1" max="1" width="6.6640625" customWidth="1"/>
    <col min="2" max="2" width="24.5" customWidth="1"/>
    <col min="3" max="3" width="20.1640625" customWidth="1"/>
    <col min="4" max="4" width="64.6640625" customWidth="1"/>
    <col min="5" max="5" width="25.1640625" customWidth="1"/>
    <col min="7" max="7" width="12.6640625" hidden="1"/>
  </cols>
  <sheetData>
    <row r="1" spans="1:13" ht="24" x14ac:dyDescent="0.15">
      <c r="A1" s="48" t="s">
        <v>10</v>
      </c>
      <c r="B1" s="49" t="s">
        <v>3486</v>
      </c>
      <c r="C1" s="49" t="s">
        <v>3487</v>
      </c>
      <c r="D1" s="50" t="s">
        <v>3488</v>
      </c>
      <c r="E1" s="49" t="s">
        <v>3489</v>
      </c>
      <c r="F1" s="51" t="s">
        <v>3490</v>
      </c>
      <c r="G1" s="52" t="s">
        <v>3491</v>
      </c>
      <c r="H1" s="53" t="s">
        <v>3491</v>
      </c>
    </row>
    <row r="2" spans="1:13" ht="112.5" customHeight="1" x14ac:dyDescent="0.15">
      <c r="A2" s="54">
        <v>1948</v>
      </c>
      <c r="B2" s="55" t="s">
        <v>3492</v>
      </c>
      <c r="C2" s="55" t="s">
        <v>3493</v>
      </c>
      <c r="D2" s="56" t="s">
        <v>3494</v>
      </c>
      <c r="E2" s="2"/>
      <c r="F2" s="57"/>
      <c r="G2" s="58" t="s">
        <v>3495</v>
      </c>
      <c r="H2" s="59">
        <v>29885</v>
      </c>
      <c r="I2" s="29"/>
      <c r="J2" s="29"/>
      <c r="K2" s="29"/>
      <c r="L2" s="29"/>
      <c r="M2" s="29"/>
    </row>
    <row r="3" spans="1:13" ht="112.5" customHeight="1" x14ac:dyDescent="0.15">
      <c r="A3" s="54">
        <v>3256</v>
      </c>
      <c r="B3" s="55" t="s">
        <v>3496</v>
      </c>
      <c r="C3" s="55" t="s">
        <v>3497</v>
      </c>
      <c r="D3" s="56" t="s">
        <v>3498</v>
      </c>
      <c r="E3" s="2"/>
      <c r="F3" s="57"/>
      <c r="G3" s="32" t="e">
        <v>#NUM!</v>
      </c>
      <c r="H3" s="59">
        <v>29745</v>
      </c>
      <c r="I3" s="29"/>
      <c r="J3" s="29"/>
      <c r="K3" s="29"/>
      <c r="L3" s="29"/>
      <c r="M3" s="29"/>
    </row>
    <row r="4" spans="1:13" ht="112.5" customHeight="1" x14ac:dyDescent="0.15">
      <c r="A4" s="60">
        <v>3255</v>
      </c>
      <c r="B4" s="30" t="s">
        <v>3496</v>
      </c>
      <c r="C4" s="30" t="s">
        <v>3499</v>
      </c>
      <c r="D4" s="61" t="s">
        <v>3500</v>
      </c>
      <c r="E4" s="2"/>
      <c r="F4" s="57"/>
      <c r="G4" s="58" t="s">
        <v>3501</v>
      </c>
      <c r="H4" s="59">
        <v>30000</v>
      </c>
      <c r="I4" s="29"/>
      <c r="J4" s="29"/>
      <c r="K4" s="29"/>
      <c r="L4" s="29"/>
      <c r="M4" s="29"/>
    </row>
    <row r="5" spans="1:13" ht="112.5" customHeight="1" x14ac:dyDescent="0.15">
      <c r="A5" s="54">
        <v>3458</v>
      </c>
      <c r="B5" s="55" t="s">
        <v>3502</v>
      </c>
      <c r="C5" s="55" t="s">
        <v>3503</v>
      </c>
      <c r="D5" s="56" t="s">
        <v>3504</v>
      </c>
      <c r="E5" s="2"/>
      <c r="F5" s="57"/>
      <c r="G5" s="62" t="s">
        <v>3505</v>
      </c>
      <c r="H5" s="59">
        <v>30000</v>
      </c>
      <c r="I5" s="29"/>
      <c r="J5" s="29"/>
      <c r="K5" s="29"/>
      <c r="L5" s="29"/>
      <c r="M5" s="29"/>
    </row>
    <row r="6" spans="1:13" ht="112.5" customHeight="1" x14ac:dyDescent="0.15">
      <c r="A6" s="60">
        <v>3457</v>
      </c>
      <c r="B6" s="30" t="s">
        <v>3502</v>
      </c>
      <c r="C6" s="30" t="s">
        <v>3506</v>
      </c>
      <c r="D6" s="61" t="s">
        <v>3507</v>
      </c>
      <c r="E6" s="2"/>
      <c r="F6" s="57"/>
      <c r="G6" s="58" t="s">
        <v>3508</v>
      </c>
      <c r="H6" s="59">
        <v>30000</v>
      </c>
      <c r="I6" s="29"/>
      <c r="J6" s="29"/>
      <c r="K6" s="29"/>
      <c r="L6" s="29"/>
      <c r="M6" s="29"/>
    </row>
    <row r="7" spans="1:13" ht="112.5" customHeight="1" x14ac:dyDescent="0.15">
      <c r="A7" s="60">
        <v>483</v>
      </c>
      <c r="B7" s="30" t="s">
        <v>3509</v>
      </c>
      <c r="C7" s="30" t="s">
        <v>3510</v>
      </c>
      <c r="D7" s="61" t="s">
        <v>3511</v>
      </c>
      <c r="E7" s="2"/>
      <c r="F7" s="57"/>
      <c r="G7" s="63" t="s">
        <v>3512</v>
      </c>
      <c r="H7" s="59">
        <v>1</v>
      </c>
    </row>
    <row r="8" spans="1:13" ht="112.5" customHeight="1" x14ac:dyDescent="0.15">
      <c r="A8" s="54">
        <v>2946</v>
      </c>
      <c r="B8" s="55" t="s">
        <v>3513</v>
      </c>
      <c r="C8" s="55" t="s">
        <v>3514</v>
      </c>
      <c r="D8" s="56" t="s">
        <v>3515</v>
      </c>
      <c r="E8" s="2"/>
      <c r="F8" s="57"/>
      <c r="G8" s="58" t="s">
        <v>3516</v>
      </c>
      <c r="H8" s="59">
        <v>998</v>
      </c>
      <c r="I8" s="29"/>
      <c r="J8" s="29"/>
      <c r="K8" s="29"/>
      <c r="L8" s="29"/>
      <c r="M8" s="29"/>
    </row>
    <row r="9" spans="1:13" ht="112.5" customHeight="1" x14ac:dyDescent="0.15">
      <c r="A9" s="60">
        <v>2091</v>
      </c>
      <c r="B9" s="30" t="s">
        <v>3509</v>
      </c>
      <c r="C9" s="30" t="s">
        <v>3517</v>
      </c>
      <c r="D9" s="61" t="s">
        <v>3518</v>
      </c>
      <c r="E9" s="2"/>
      <c r="F9" s="57"/>
      <c r="G9" s="62" t="s">
        <v>3519</v>
      </c>
      <c r="H9" s="59">
        <v>1</v>
      </c>
      <c r="I9" s="29"/>
      <c r="J9" s="29"/>
      <c r="K9" s="29"/>
      <c r="L9" s="29"/>
      <c r="M9" s="29"/>
    </row>
    <row r="10" spans="1:13" ht="112.5" customHeight="1" x14ac:dyDescent="0.15">
      <c r="A10" s="60">
        <v>1635</v>
      </c>
      <c r="B10" s="30" t="s">
        <v>3496</v>
      </c>
      <c r="C10" s="30" t="s">
        <v>3520</v>
      </c>
      <c r="D10" s="61" t="s">
        <v>3521</v>
      </c>
      <c r="E10" s="2"/>
      <c r="F10" s="57"/>
      <c r="G10" s="58" t="s">
        <v>3522</v>
      </c>
      <c r="H10" s="59">
        <v>980</v>
      </c>
      <c r="I10" s="29"/>
      <c r="J10" s="29"/>
      <c r="K10" s="29"/>
      <c r="L10" s="29"/>
      <c r="M10" s="29"/>
    </row>
    <row r="11" spans="1:13" ht="112.5" customHeight="1" x14ac:dyDescent="0.15">
      <c r="A11" s="54">
        <v>2706</v>
      </c>
      <c r="B11" s="55" t="s">
        <v>3492</v>
      </c>
      <c r="C11" s="55" t="s">
        <v>3523</v>
      </c>
      <c r="D11" s="56" t="s">
        <v>3524</v>
      </c>
      <c r="E11" s="2"/>
      <c r="F11" s="57"/>
      <c r="G11" s="62" t="s">
        <v>3525</v>
      </c>
      <c r="H11" s="59">
        <v>995</v>
      </c>
      <c r="I11" s="29"/>
      <c r="J11" s="29"/>
      <c r="K11" s="29"/>
      <c r="L11" s="29"/>
      <c r="M11" s="29"/>
    </row>
    <row r="12" spans="1:13" ht="112.5" customHeight="1" x14ac:dyDescent="0.15">
      <c r="A12" s="54">
        <v>936</v>
      </c>
      <c r="B12" s="55" t="s">
        <v>3526</v>
      </c>
      <c r="C12" s="55" t="s">
        <v>3527</v>
      </c>
      <c r="D12" s="56" t="s">
        <v>3528</v>
      </c>
      <c r="E12" s="2"/>
      <c r="F12" s="57"/>
      <c r="G12" s="58" t="s">
        <v>3529</v>
      </c>
      <c r="H12" s="59">
        <v>79</v>
      </c>
      <c r="I12" s="29"/>
      <c r="J12" s="29"/>
      <c r="K12" s="29"/>
      <c r="L12" s="29"/>
      <c r="M12" s="29"/>
    </row>
    <row r="13" spans="1:13" ht="112.5" customHeight="1" x14ac:dyDescent="0.15">
      <c r="A13" s="54">
        <v>2096</v>
      </c>
      <c r="B13" s="55" t="s">
        <v>3509</v>
      </c>
      <c r="C13" s="55" t="s">
        <v>3530</v>
      </c>
      <c r="D13" s="56" t="s">
        <v>3531</v>
      </c>
      <c r="E13" s="2"/>
      <c r="F13" s="57"/>
      <c r="G13" s="62" t="s">
        <v>3532</v>
      </c>
      <c r="H13" s="59">
        <v>96</v>
      </c>
      <c r="I13" s="29"/>
      <c r="J13" s="29"/>
      <c r="K13" s="29"/>
      <c r="L13" s="29"/>
      <c r="M13" s="29"/>
    </row>
    <row r="14" spans="1:13" ht="112.5" customHeight="1" x14ac:dyDescent="0.15">
      <c r="A14" s="54">
        <v>2048</v>
      </c>
      <c r="B14" s="55" t="s">
        <v>3533</v>
      </c>
      <c r="C14" s="55" t="s">
        <v>3534</v>
      </c>
      <c r="D14" s="56" t="s">
        <v>3535</v>
      </c>
      <c r="E14" s="2"/>
      <c r="F14" s="57"/>
      <c r="G14" s="64" t="s">
        <v>3536</v>
      </c>
      <c r="H14" s="59">
        <v>966</v>
      </c>
    </row>
    <row r="15" spans="1:13" ht="112.5" customHeight="1" x14ac:dyDescent="0.15">
      <c r="A15" s="60">
        <v>2645</v>
      </c>
      <c r="B15" s="30" t="s">
        <v>3533</v>
      </c>
      <c r="C15" s="30" t="s">
        <v>3537</v>
      </c>
      <c r="D15" s="61" t="s">
        <v>3538</v>
      </c>
      <c r="E15" s="2"/>
      <c r="F15" s="57"/>
      <c r="G15" s="62" t="s">
        <v>3539</v>
      </c>
      <c r="H15" s="59">
        <v>890</v>
      </c>
      <c r="I15" s="29"/>
      <c r="J15" s="29"/>
      <c r="K15" s="29"/>
      <c r="L15" s="29"/>
      <c r="M15" s="29"/>
    </row>
    <row r="16" spans="1:13" ht="112.5" customHeight="1" x14ac:dyDescent="0.15">
      <c r="A16" s="60">
        <v>2627</v>
      </c>
      <c r="B16" s="30" t="s">
        <v>3526</v>
      </c>
      <c r="C16" s="30" t="s">
        <v>3540</v>
      </c>
      <c r="D16" s="61" t="s">
        <v>3541</v>
      </c>
      <c r="E16" s="2"/>
      <c r="F16" s="57"/>
      <c r="G16" s="58" t="s">
        <v>3542</v>
      </c>
      <c r="H16" s="59">
        <v>1</v>
      </c>
      <c r="I16" s="29"/>
      <c r="J16" s="29"/>
      <c r="K16" s="29"/>
      <c r="L16" s="29"/>
      <c r="M16" s="29"/>
    </row>
    <row r="17" spans="1:13" ht="112.5" customHeight="1" x14ac:dyDescent="0.15">
      <c r="A17" s="54">
        <v>3460</v>
      </c>
      <c r="B17" s="55" t="s">
        <v>3526</v>
      </c>
      <c r="C17" s="55" t="s">
        <v>3543</v>
      </c>
      <c r="D17" s="56" t="s">
        <v>3544</v>
      </c>
      <c r="E17" s="2"/>
      <c r="F17" s="57"/>
      <c r="G17" s="62" t="s">
        <v>3545</v>
      </c>
      <c r="H17" s="59">
        <v>1</v>
      </c>
      <c r="I17" s="29"/>
      <c r="J17" s="29"/>
      <c r="K17" s="29"/>
      <c r="L17" s="29"/>
      <c r="M17" s="29"/>
    </row>
    <row r="18" spans="1:13" ht="112.5" customHeight="1" x14ac:dyDescent="0.15">
      <c r="A18" s="54">
        <v>978</v>
      </c>
      <c r="B18" s="55" t="s">
        <v>3526</v>
      </c>
      <c r="C18" s="55" t="s">
        <v>3546</v>
      </c>
      <c r="D18" s="56" t="s">
        <v>3547</v>
      </c>
      <c r="E18" s="2"/>
      <c r="F18" s="57"/>
      <c r="G18" s="58" t="s">
        <v>3548</v>
      </c>
      <c r="H18" s="59">
        <v>931</v>
      </c>
      <c r="I18" s="29"/>
      <c r="J18" s="29"/>
      <c r="K18" s="29"/>
      <c r="L18" s="29"/>
      <c r="M18" s="29"/>
    </row>
    <row r="19" spans="1:13" ht="112.5" customHeight="1" x14ac:dyDescent="0.15">
      <c r="A19" s="60">
        <v>1347</v>
      </c>
      <c r="B19" s="30" t="s">
        <v>3549</v>
      </c>
      <c r="C19" s="30" t="s">
        <v>3550</v>
      </c>
      <c r="D19" s="61" t="s">
        <v>3551</v>
      </c>
      <c r="E19" s="2"/>
      <c r="F19" s="57"/>
      <c r="G19" s="62" t="s">
        <v>3552</v>
      </c>
      <c r="H19" s="59">
        <v>0</v>
      </c>
      <c r="I19" s="29"/>
      <c r="J19" s="29"/>
      <c r="K19" s="29"/>
      <c r="L19" s="29"/>
      <c r="M19" s="29"/>
    </row>
    <row r="20" spans="1:13" ht="112.5" customHeight="1" x14ac:dyDescent="0.15">
      <c r="A20" s="60">
        <v>3497</v>
      </c>
      <c r="B20" s="30" t="s">
        <v>3502</v>
      </c>
      <c r="C20" s="30" t="s">
        <v>3553</v>
      </c>
      <c r="D20" s="61" t="s">
        <v>3554</v>
      </c>
      <c r="E20" s="2"/>
      <c r="F20" s="57"/>
      <c r="G20" s="58" t="s">
        <v>3555</v>
      </c>
      <c r="H20" s="59">
        <v>109.86799999999999</v>
      </c>
      <c r="I20" s="29"/>
      <c r="J20" s="29"/>
      <c r="K20" s="29"/>
      <c r="L20" s="29"/>
      <c r="M20" s="29"/>
    </row>
    <row r="21" spans="1:13" ht="112.5" customHeight="1" x14ac:dyDescent="0.15">
      <c r="A21" s="54">
        <v>3340</v>
      </c>
      <c r="B21" s="55" t="s">
        <v>3556</v>
      </c>
      <c r="C21" s="55" t="s">
        <v>3557</v>
      </c>
      <c r="D21" s="56" t="s">
        <v>3558</v>
      </c>
      <c r="E21" s="2"/>
      <c r="F21" s="57"/>
      <c r="G21" s="62" t="s">
        <v>3559</v>
      </c>
      <c r="H21" s="59">
        <v>994</v>
      </c>
      <c r="I21" s="29"/>
      <c r="J21" s="29"/>
      <c r="K21" s="29"/>
      <c r="L21" s="29"/>
      <c r="M21" s="29"/>
    </row>
    <row r="22" spans="1:13" ht="112.5" customHeight="1" x14ac:dyDescent="0.15">
      <c r="A22" s="60">
        <v>3137</v>
      </c>
      <c r="B22" s="30" t="s">
        <v>3496</v>
      </c>
      <c r="C22" s="30" t="s">
        <v>3560</v>
      </c>
      <c r="D22" s="61" t="s">
        <v>3561</v>
      </c>
      <c r="E22" s="2"/>
      <c r="F22" s="57"/>
      <c r="G22" s="58" t="s">
        <v>3562</v>
      </c>
      <c r="H22" s="59">
        <v>916</v>
      </c>
      <c r="I22" s="29"/>
      <c r="J22" s="29"/>
      <c r="K22" s="29"/>
      <c r="L22" s="29"/>
      <c r="M22" s="29"/>
    </row>
    <row r="23" spans="1:13" ht="112.5" customHeight="1" x14ac:dyDescent="0.15">
      <c r="A23" s="54">
        <v>3350</v>
      </c>
      <c r="B23" s="55" t="s">
        <v>3496</v>
      </c>
      <c r="C23" s="55" t="s">
        <v>3563</v>
      </c>
      <c r="D23" s="56" t="s">
        <v>3564</v>
      </c>
      <c r="E23" s="2"/>
      <c r="F23" s="57"/>
      <c r="G23" s="62" t="s">
        <v>3565</v>
      </c>
      <c r="H23" s="59">
        <v>984</v>
      </c>
      <c r="I23" s="29"/>
      <c r="J23" s="29"/>
      <c r="K23" s="29"/>
      <c r="L23" s="29"/>
      <c r="M23" s="29"/>
    </row>
    <row r="24" spans="1:13" ht="112.5" customHeight="1" x14ac:dyDescent="0.15">
      <c r="A24" s="54">
        <v>3516</v>
      </c>
      <c r="B24" s="55" t="s">
        <v>3502</v>
      </c>
      <c r="C24" s="55" t="s">
        <v>3566</v>
      </c>
      <c r="D24" s="56" t="s">
        <v>3567</v>
      </c>
      <c r="E24" s="2"/>
      <c r="F24" s="57"/>
      <c r="G24" s="58" t="s">
        <v>3568</v>
      </c>
      <c r="H24" s="59">
        <v>95</v>
      </c>
      <c r="I24" s="29"/>
      <c r="J24" s="29"/>
      <c r="K24" s="29"/>
      <c r="L24" s="29"/>
      <c r="M24" s="29"/>
    </row>
    <row r="25" spans="1:13" ht="112.5" customHeight="1" x14ac:dyDescent="0.15">
      <c r="A25" s="60">
        <v>1761</v>
      </c>
      <c r="B25" s="30" t="s">
        <v>3509</v>
      </c>
      <c r="C25" s="30" t="s">
        <v>3569</v>
      </c>
      <c r="D25" s="61" t="s">
        <v>3570</v>
      </c>
      <c r="E25" s="2"/>
      <c r="F25" s="57"/>
      <c r="G25" s="62" t="s">
        <v>3571</v>
      </c>
      <c r="H25" s="59">
        <v>1</v>
      </c>
      <c r="I25" s="29"/>
      <c r="J25" s="29"/>
      <c r="K25" s="29"/>
      <c r="L25" s="29"/>
      <c r="M25" s="29"/>
    </row>
    <row r="26" spans="1:13" ht="112.5" customHeight="1" x14ac:dyDescent="0.15">
      <c r="A26" s="60">
        <v>3545</v>
      </c>
      <c r="B26" s="30" t="s">
        <v>3502</v>
      </c>
      <c r="C26" s="30" t="s">
        <v>3572</v>
      </c>
      <c r="D26" s="61" t="s">
        <v>3573</v>
      </c>
      <c r="E26" s="2"/>
      <c r="F26" s="57"/>
      <c r="G26" s="58" t="s">
        <v>3574</v>
      </c>
      <c r="H26" s="59">
        <v>998</v>
      </c>
      <c r="I26" s="29"/>
      <c r="J26" s="29"/>
      <c r="K26" s="29"/>
      <c r="L26" s="29"/>
      <c r="M26" s="29"/>
    </row>
    <row r="27" spans="1:13" ht="112.5" customHeight="1" x14ac:dyDescent="0.15">
      <c r="A27" s="60">
        <v>3387</v>
      </c>
      <c r="B27" s="30" t="s">
        <v>3502</v>
      </c>
      <c r="C27" s="30" t="s">
        <v>3575</v>
      </c>
      <c r="D27" s="61" t="s">
        <v>3576</v>
      </c>
      <c r="E27" s="2"/>
      <c r="F27" s="57"/>
      <c r="G27" s="62" t="s">
        <v>3577</v>
      </c>
      <c r="H27" s="59">
        <v>0</v>
      </c>
      <c r="I27" s="29"/>
      <c r="J27" s="29"/>
      <c r="K27" s="29"/>
      <c r="L27" s="29"/>
      <c r="M27" s="29"/>
    </row>
    <row r="28" spans="1:13" ht="112.5" customHeight="1" x14ac:dyDescent="0.15">
      <c r="A28" s="54">
        <v>3190</v>
      </c>
      <c r="B28" s="55" t="s">
        <v>3502</v>
      </c>
      <c r="C28" s="55" t="s">
        <v>3578</v>
      </c>
      <c r="D28" s="56" t="s">
        <v>3579</v>
      </c>
      <c r="E28" s="2"/>
      <c r="F28" s="57"/>
      <c r="G28" s="58" t="s">
        <v>3580</v>
      </c>
      <c r="H28" s="59">
        <v>989</v>
      </c>
      <c r="I28" s="29"/>
      <c r="J28" s="29"/>
      <c r="K28" s="29"/>
      <c r="L28" s="29"/>
      <c r="M28" s="29"/>
    </row>
    <row r="29" spans="1:13" ht="112.5" customHeight="1" x14ac:dyDescent="0.15">
      <c r="A29" s="54">
        <v>920</v>
      </c>
      <c r="B29" s="55" t="s">
        <v>3513</v>
      </c>
      <c r="C29" s="55" t="s">
        <v>3581</v>
      </c>
      <c r="D29" s="56" t="s">
        <v>3582</v>
      </c>
      <c r="E29" s="2"/>
      <c r="F29" s="57"/>
      <c r="G29" s="62" t="s">
        <v>3583</v>
      </c>
      <c r="H29" s="59">
        <v>924</v>
      </c>
      <c r="I29" s="29"/>
      <c r="J29" s="29"/>
      <c r="K29" s="29"/>
      <c r="L29" s="29"/>
      <c r="M29" s="29"/>
    </row>
    <row r="30" spans="1:13" ht="112.5" customHeight="1" x14ac:dyDescent="0.15">
      <c r="A30" s="60">
        <v>3189</v>
      </c>
      <c r="B30" s="30" t="s">
        <v>3502</v>
      </c>
      <c r="C30" s="30" t="s">
        <v>3584</v>
      </c>
      <c r="D30" s="61" t="s">
        <v>3585</v>
      </c>
      <c r="E30" s="2"/>
      <c r="F30" s="57"/>
      <c r="G30" s="58" t="s">
        <v>3586</v>
      </c>
      <c r="H30" s="59">
        <v>0</v>
      </c>
      <c r="I30" s="29"/>
      <c r="J30" s="29"/>
      <c r="K30" s="29"/>
      <c r="L30" s="29"/>
      <c r="M30" s="29"/>
    </row>
    <row r="31" spans="1:13" ht="112.5" customHeight="1" x14ac:dyDescent="0.15">
      <c r="A31" s="54">
        <v>3188</v>
      </c>
      <c r="B31" s="55" t="s">
        <v>3496</v>
      </c>
      <c r="C31" s="55" t="s">
        <v>3587</v>
      </c>
      <c r="D31" s="56" t="s">
        <v>3588</v>
      </c>
      <c r="E31" s="2"/>
      <c r="F31" s="57"/>
      <c r="G31" s="62" t="s">
        <v>3589</v>
      </c>
      <c r="H31" s="59">
        <v>0</v>
      </c>
      <c r="I31" s="29"/>
      <c r="J31" s="29"/>
      <c r="K31" s="29"/>
      <c r="L31" s="29"/>
      <c r="M31" s="29"/>
    </row>
    <row r="32" spans="1:13" ht="112.5" customHeight="1" x14ac:dyDescent="0.15">
      <c r="A32" s="60">
        <v>3165</v>
      </c>
      <c r="B32" s="30" t="s">
        <v>3496</v>
      </c>
      <c r="C32" s="30" t="s">
        <v>3590</v>
      </c>
      <c r="D32" s="61" t="s">
        <v>3591</v>
      </c>
      <c r="E32" s="2"/>
      <c r="F32" s="57"/>
      <c r="G32" s="58" t="s">
        <v>3592</v>
      </c>
      <c r="H32" s="59">
        <v>920</v>
      </c>
      <c r="I32" s="29"/>
      <c r="J32" s="29"/>
      <c r="K32" s="29"/>
      <c r="L32" s="29"/>
      <c r="M32" s="29"/>
    </row>
    <row r="33" spans="1:13" ht="112.5" customHeight="1" x14ac:dyDescent="0.15">
      <c r="A33" s="60">
        <v>3187</v>
      </c>
      <c r="B33" s="30" t="s">
        <v>3502</v>
      </c>
      <c r="C33" s="30" t="s">
        <v>3593</v>
      </c>
      <c r="D33" s="61" t="s">
        <v>3594</v>
      </c>
      <c r="E33" s="2"/>
      <c r="F33" s="57"/>
      <c r="G33" s="62" t="s">
        <v>3595</v>
      </c>
      <c r="H33" s="59">
        <v>835</v>
      </c>
      <c r="I33" s="29"/>
      <c r="J33" s="29"/>
      <c r="K33" s="29"/>
      <c r="L33" s="29"/>
      <c r="M33" s="29"/>
    </row>
    <row r="34" spans="1:13" ht="112.5" customHeight="1" x14ac:dyDescent="0.15">
      <c r="A34" s="54">
        <v>3184</v>
      </c>
      <c r="B34" s="55" t="s">
        <v>3502</v>
      </c>
      <c r="C34" s="55" t="s">
        <v>3596</v>
      </c>
      <c r="D34" s="56" t="s">
        <v>3597</v>
      </c>
      <c r="E34" s="2"/>
      <c r="F34" s="57"/>
      <c r="G34" s="58" t="s">
        <v>3598</v>
      </c>
      <c r="H34" s="59">
        <v>999</v>
      </c>
      <c r="I34" s="29"/>
      <c r="J34" s="29"/>
      <c r="K34" s="29"/>
      <c r="L34" s="29"/>
      <c r="M34" s="29"/>
    </row>
    <row r="35" spans="1:13" ht="112.5" customHeight="1" x14ac:dyDescent="0.15">
      <c r="A35" s="54">
        <v>3186</v>
      </c>
      <c r="B35" s="55" t="s">
        <v>3599</v>
      </c>
      <c r="C35" s="55" t="s">
        <v>3600</v>
      </c>
      <c r="D35" s="56" t="s">
        <v>3601</v>
      </c>
      <c r="E35" s="2"/>
      <c r="F35" s="57"/>
      <c r="G35" s="62" t="s">
        <v>3602</v>
      </c>
      <c r="H35" s="59">
        <v>8.8849999999999998</v>
      </c>
      <c r="I35" s="29"/>
      <c r="J35" s="29"/>
      <c r="K35" s="29"/>
      <c r="L35" s="29"/>
      <c r="M35" s="29"/>
    </row>
    <row r="36" spans="1:13" ht="112.5" customHeight="1" x14ac:dyDescent="0.15">
      <c r="A36" s="54">
        <v>3182</v>
      </c>
      <c r="B36" s="55" t="s">
        <v>3502</v>
      </c>
      <c r="C36" s="55" t="s">
        <v>3603</v>
      </c>
      <c r="D36" s="56" t="s">
        <v>3604</v>
      </c>
      <c r="E36" s="2"/>
      <c r="F36" s="57"/>
      <c r="G36" s="58" t="s">
        <v>3605</v>
      </c>
      <c r="H36" s="59">
        <v>118.776</v>
      </c>
      <c r="I36" s="29"/>
      <c r="J36" s="29"/>
      <c r="K36" s="29"/>
      <c r="L36" s="29"/>
      <c r="M36" s="29"/>
    </row>
    <row r="37" spans="1:13" ht="112.5" customHeight="1" x14ac:dyDescent="0.15">
      <c r="A37" s="60">
        <v>3183</v>
      </c>
      <c r="B37" s="30" t="s">
        <v>3502</v>
      </c>
      <c r="C37" s="30" t="s">
        <v>3606</v>
      </c>
      <c r="D37" s="61" t="s">
        <v>3607</v>
      </c>
      <c r="E37" s="2"/>
      <c r="F37" s="57"/>
      <c r="G37" s="62" t="s">
        <v>3608</v>
      </c>
      <c r="H37" s="59">
        <v>0</v>
      </c>
      <c r="I37" s="29"/>
      <c r="J37" s="29"/>
      <c r="K37" s="29"/>
      <c r="L37" s="29"/>
      <c r="M37" s="29"/>
    </row>
    <row r="38" spans="1:13" ht="112.5" customHeight="1" x14ac:dyDescent="0.15">
      <c r="A38" s="60">
        <v>3181</v>
      </c>
      <c r="B38" s="30" t="s">
        <v>3502</v>
      </c>
      <c r="C38" s="30" t="s">
        <v>3609</v>
      </c>
      <c r="D38" s="61" t="s">
        <v>3610</v>
      </c>
      <c r="E38" s="2"/>
      <c r="F38" s="57"/>
      <c r="G38" s="58" t="s">
        <v>3611</v>
      </c>
      <c r="H38" s="59">
        <v>93</v>
      </c>
      <c r="I38" s="29"/>
      <c r="J38" s="29"/>
      <c r="K38" s="29"/>
      <c r="L38" s="29"/>
      <c r="M38" s="29"/>
    </row>
    <row r="39" spans="1:13" ht="112.5" customHeight="1" x14ac:dyDescent="0.15">
      <c r="A39" s="54">
        <v>3180</v>
      </c>
      <c r="B39" s="55" t="s">
        <v>3502</v>
      </c>
      <c r="C39" s="55" t="s">
        <v>3612</v>
      </c>
      <c r="D39" s="56" t="s">
        <v>3613</v>
      </c>
      <c r="E39" s="2"/>
      <c r="F39" s="57"/>
      <c r="G39" s="62" t="s">
        <v>3614</v>
      </c>
      <c r="H39" s="59">
        <v>100</v>
      </c>
      <c r="I39" s="29"/>
      <c r="J39" s="29"/>
      <c r="K39" s="29"/>
      <c r="L39" s="29"/>
      <c r="M39" s="29"/>
    </row>
    <row r="40" spans="1:13" ht="112.5" customHeight="1" x14ac:dyDescent="0.15">
      <c r="A40" s="60">
        <v>3179</v>
      </c>
      <c r="B40" s="30" t="s">
        <v>3502</v>
      </c>
      <c r="C40" s="30" t="s">
        <v>3615</v>
      </c>
      <c r="D40" s="61" t="s">
        <v>3616</v>
      </c>
      <c r="E40" s="2"/>
      <c r="F40" s="57"/>
      <c r="G40" s="58" t="s">
        <v>3617</v>
      </c>
      <c r="H40" s="59">
        <v>0</v>
      </c>
      <c r="I40" s="29"/>
      <c r="J40" s="29"/>
      <c r="K40" s="29"/>
      <c r="L40" s="29"/>
      <c r="M40" s="29"/>
    </row>
    <row r="41" spans="1:13" ht="112.5" customHeight="1" x14ac:dyDescent="0.15">
      <c r="A41" s="60">
        <v>3175</v>
      </c>
      <c r="B41" s="30" t="s">
        <v>3496</v>
      </c>
      <c r="C41" s="30" t="s">
        <v>3618</v>
      </c>
      <c r="D41" s="61" t="s">
        <v>3619</v>
      </c>
      <c r="E41" s="2"/>
      <c r="F41" s="57"/>
      <c r="G41" s="62" t="s">
        <v>3620</v>
      </c>
      <c r="H41" s="59">
        <v>100</v>
      </c>
      <c r="I41" s="29"/>
      <c r="J41" s="29"/>
      <c r="K41" s="29"/>
      <c r="L41" s="29"/>
      <c r="M41" s="29"/>
    </row>
    <row r="42" spans="1:13" ht="112.5" customHeight="1" x14ac:dyDescent="0.15">
      <c r="A42" s="60">
        <v>3177</v>
      </c>
      <c r="B42" s="30" t="s">
        <v>3502</v>
      </c>
      <c r="C42" s="30" t="s">
        <v>3621</v>
      </c>
      <c r="D42" s="61" t="s">
        <v>3622</v>
      </c>
      <c r="E42" s="2"/>
      <c r="F42" s="57"/>
      <c r="G42" s="58" t="s">
        <v>3623</v>
      </c>
      <c r="H42" s="59">
        <v>970</v>
      </c>
      <c r="I42" s="29"/>
      <c r="J42" s="29"/>
      <c r="K42" s="29"/>
      <c r="L42" s="29"/>
      <c r="M42" s="29"/>
    </row>
    <row r="43" spans="1:13" ht="112.5" customHeight="1" x14ac:dyDescent="0.15">
      <c r="A43" s="54">
        <v>3176</v>
      </c>
      <c r="B43" s="55" t="s">
        <v>3502</v>
      </c>
      <c r="C43" s="55" t="s">
        <v>3624</v>
      </c>
      <c r="D43" s="56" t="s">
        <v>3625</v>
      </c>
      <c r="E43" s="2"/>
      <c r="F43" s="57"/>
      <c r="G43" s="62" t="s">
        <v>3626</v>
      </c>
      <c r="H43" s="59">
        <v>840</v>
      </c>
      <c r="I43" s="29"/>
      <c r="J43" s="29"/>
      <c r="K43" s="29"/>
      <c r="L43" s="29"/>
      <c r="M43" s="29"/>
    </row>
    <row r="44" spans="1:13" ht="112.5" customHeight="1" x14ac:dyDescent="0.15">
      <c r="A44" s="54">
        <v>3174</v>
      </c>
      <c r="B44" s="55" t="s">
        <v>3496</v>
      </c>
      <c r="C44" s="55" t="s">
        <v>3627</v>
      </c>
      <c r="D44" s="56" t="s">
        <v>3628</v>
      </c>
      <c r="E44" s="2"/>
      <c r="F44" s="57"/>
      <c r="G44" s="58" t="s">
        <v>3629</v>
      </c>
      <c r="H44" s="59">
        <v>713</v>
      </c>
      <c r="I44" s="29"/>
      <c r="J44" s="29"/>
      <c r="K44" s="29"/>
      <c r="L44" s="29"/>
      <c r="M44" s="29"/>
    </row>
    <row r="45" spans="1:13" ht="112.5" customHeight="1" x14ac:dyDescent="0.15">
      <c r="A45" s="54">
        <v>3164</v>
      </c>
      <c r="B45" s="55" t="s">
        <v>3630</v>
      </c>
      <c r="C45" s="55" t="s">
        <v>3631</v>
      </c>
      <c r="D45" s="56" t="s">
        <v>3632</v>
      </c>
      <c r="E45" s="2"/>
      <c r="F45" s="57"/>
      <c r="G45" s="62" t="s">
        <v>3633</v>
      </c>
      <c r="H45" s="59">
        <v>995</v>
      </c>
      <c r="I45" s="29"/>
      <c r="J45" s="29"/>
      <c r="K45" s="29"/>
      <c r="L45" s="29"/>
      <c r="M45" s="29"/>
    </row>
    <row r="46" spans="1:13" ht="112.5" customHeight="1" x14ac:dyDescent="0.15">
      <c r="A46" s="60">
        <v>3173</v>
      </c>
      <c r="B46" s="30" t="s">
        <v>3496</v>
      </c>
      <c r="C46" s="30" t="s">
        <v>3634</v>
      </c>
      <c r="D46" s="61" t="s">
        <v>3635</v>
      </c>
      <c r="E46" s="2"/>
      <c r="F46" s="57"/>
      <c r="G46" s="58" t="s">
        <v>3636</v>
      </c>
      <c r="H46" s="59">
        <v>0</v>
      </c>
      <c r="I46" s="29"/>
      <c r="J46" s="29"/>
      <c r="K46" s="29"/>
      <c r="L46" s="29"/>
      <c r="M46" s="29"/>
    </row>
    <row r="47" spans="1:13" ht="112.5" customHeight="1" x14ac:dyDescent="0.15">
      <c r="A47" s="60">
        <v>3171</v>
      </c>
      <c r="B47" s="30" t="s">
        <v>3630</v>
      </c>
      <c r="C47" s="30" t="s">
        <v>3637</v>
      </c>
      <c r="D47" s="61" t="s">
        <v>3638</v>
      </c>
      <c r="E47" s="2"/>
      <c r="F47" s="57"/>
      <c r="G47" s="62" t="s">
        <v>3639</v>
      </c>
      <c r="H47" s="59">
        <v>0</v>
      </c>
      <c r="I47" s="29"/>
      <c r="J47" s="29"/>
      <c r="K47" s="29"/>
      <c r="L47" s="29"/>
      <c r="M47" s="29"/>
    </row>
    <row r="48" spans="1:13" ht="112.5" customHeight="1" x14ac:dyDescent="0.15">
      <c r="A48" s="54">
        <v>3170</v>
      </c>
      <c r="B48" s="55" t="s">
        <v>3630</v>
      </c>
      <c r="C48" s="55" t="s">
        <v>3640</v>
      </c>
      <c r="D48" s="56" t="s">
        <v>3641</v>
      </c>
      <c r="E48" s="2"/>
      <c r="F48" s="57"/>
      <c r="G48" s="58" t="s">
        <v>3642</v>
      </c>
      <c r="H48" s="59">
        <v>0</v>
      </c>
      <c r="I48" s="29"/>
      <c r="J48" s="29"/>
      <c r="K48" s="29"/>
      <c r="L48" s="29"/>
      <c r="M48" s="29"/>
    </row>
    <row r="49" spans="1:13" ht="112.5" customHeight="1" x14ac:dyDescent="0.15">
      <c r="A49" s="60">
        <v>3169</v>
      </c>
      <c r="B49" s="30" t="s">
        <v>3599</v>
      </c>
      <c r="C49" s="30" t="s">
        <v>3643</v>
      </c>
      <c r="D49" s="61" t="s">
        <v>3644</v>
      </c>
      <c r="E49" s="2"/>
      <c r="F49" s="57"/>
      <c r="G49" s="62" t="s">
        <v>3645</v>
      </c>
      <c r="H49" s="59">
        <v>0</v>
      </c>
      <c r="I49" s="29"/>
      <c r="J49" s="29"/>
      <c r="K49" s="29"/>
      <c r="L49" s="29"/>
      <c r="M49" s="29"/>
    </row>
    <row r="50" spans="1:13" ht="112.5" customHeight="1" x14ac:dyDescent="0.15">
      <c r="A50" s="54">
        <v>3168</v>
      </c>
      <c r="B50" s="55" t="s">
        <v>3496</v>
      </c>
      <c r="C50" s="55" t="s">
        <v>3646</v>
      </c>
      <c r="D50" s="56" t="s">
        <v>3647</v>
      </c>
      <c r="E50" s="2"/>
      <c r="F50" s="57"/>
      <c r="G50" s="58" t="s">
        <v>3648</v>
      </c>
      <c r="H50" s="59">
        <v>0</v>
      </c>
      <c r="I50" s="29"/>
      <c r="J50" s="29"/>
      <c r="K50" s="29"/>
      <c r="L50" s="29"/>
      <c r="M50" s="29"/>
    </row>
    <row r="51" spans="1:13" ht="112.5" customHeight="1" x14ac:dyDescent="0.15">
      <c r="A51" s="60">
        <v>3167</v>
      </c>
      <c r="B51" s="30" t="s">
        <v>3496</v>
      </c>
      <c r="C51" s="30" t="s">
        <v>3649</v>
      </c>
      <c r="D51" s="61" t="s">
        <v>3650</v>
      </c>
      <c r="E51" s="2"/>
      <c r="F51" s="57"/>
      <c r="G51" s="62" t="s">
        <v>3651</v>
      </c>
      <c r="H51" s="59">
        <v>0</v>
      </c>
      <c r="I51" s="29"/>
      <c r="J51" s="29"/>
      <c r="K51" s="29"/>
      <c r="L51" s="29"/>
      <c r="M51" s="29"/>
    </row>
    <row r="52" spans="1:13" ht="112.5" customHeight="1" x14ac:dyDescent="0.15">
      <c r="A52" s="54">
        <v>3166</v>
      </c>
      <c r="B52" s="55" t="s">
        <v>3502</v>
      </c>
      <c r="C52" s="55" t="s">
        <v>3652</v>
      </c>
      <c r="D52" s="56" t="s">
        <v>3653</v>
      </c>
      <c r="E52" s="2"/>
      <c r="F52" s="57"/>
      <c r="G52" s="58" t="s">
        <v>3654</v>
      </c>
      <c r="H52" s="59">
        <v>0</v>
      </c>
      <c r="I52" s="29"/>
      <c r="J52" s="29"/>
      <c r="K52" s="29"/>
      <c r="L52" s="29"/>
      <c r="M52" s="29"/>
    </row>
    <row r="53" spans="1:13" ht="112.5" customHeight="1" x14ac:dyDescent="0.15">
      <c r="A53" s="54">
        <v>3082</v>
      </c>
      <c r="B53" s="55" t="s">
        <v>3509</v>
      </c>
      <c r="C53" s="55" t="s">
        <v>3655</v>
      </c>
      <c r="D53" s="56" t="s">
        <v>3656</v>
      </c>
      <c r="E53" s="2"/>
      <c r="F53" s="57"/>
      <c r="G53" s="62" t="s">
        <v>3657</v>
      </c>
      <c r="H53" s="59">
        <v>0</v>
      </c>
      <c r="I53" s="29"/>
      <c r="J53" s="29"/>
      <c r="K53" s="29"/>
      <c r="L53" s="29"/>
      <c r="M53" s="29"/>
    </row>
    <row r="54" spans="1:13" ht="112.5" customHeight="1" x14ac:dyDescent="0.15">
      <c r="A54" s="54">
        <v>3162</v>
      </c>
      <c r="B54" s="55" t="s">
        <v>3496</v>
      </c>
      <c r="C54" s="55" t="s">
        <v>3658</v>
      </c>
      <c r="D54" s="56" t="s">
        <v>3659</v>
      </c>
      <c r="E54" s="2"/>
      <c r="F54" s="57"/>
      <c r="G54" s="58" t="s">
        <v>3660</v>
      </c>
      <c r="H54" s="59">
        <v>0</v>
      </c>
      <c r="I54" s="29"/>
      <c r="J54" s="29"/>
      <c r="K54" s="29"/>
      <c r="L54" s="29"/>
      <c r="M54" s="29"/>
    </row>
    <row r="55" spans="1:13" ht="112.5" customHeight="1" x14ac:dyDescent="0.15">
      <c r="A55" s="60">
        <v>3161</v>
      </c>
      <c r="B55" s="30" t="s">
        <v>3526</v>
      </c>
      <c r="C55" s="30" t="s">
        <v>3661</v>
      </c>
      <c r="D55" s="61" t="s">
        <v>3662</v>
      </c>
      <c r="E55" s="2"/>
      <c r="F55" s="57"/>
      <c r="G55" s="62" t="s">
        <v>3663</v>
      </c>
      <c r="H55" s="59">
        <v>0</v>
      </c>
      <c r="I55" s="29"/>
      <c r="J55" s="29"/>
      <c r="K55" s="29"/>
      <c r="L55" s="29"/>
      <c r="M55" s="29"/>
    </row>
    <row r="56" spans="1:13" ht="112.5" customHeight="1" x14ac:dyDescent="0.15">
      <c r="A56" s="60">
        <v>3159</v>
      </c>
      <c r="B56" s="30" t="s">
        <v>3502</v>
      </c>
      <c r="C56" s="30" t="s">
        <v>3664</v>
      </c>
      <c r="D56" s="61" t="s">
        <v>3665</v>
      </c>
      <c r="E56" s="2"/>
      <c r="F56" s="57"/>
      <c r="G56" s="58" t="s">
        <v>3666</v>
      </c>
      <c r="H56" s="59">
        <v>88</v>
      </c>
      <c r="I56" s="29"/>
      <c r="J56" s="29"/>
      <c r="K56" s="29"/>
      <c r="L56" s="29"/>
      <c r="M56" s="29"/>
    </row>
    <row r="57" spans="1:13" ht="112.5" customHeight="1" x14ac:dyDescent="0.15">
      <c r="A57" s="54">
        <v>3158</v>
      </c>
      <c r="B57" s="55" t="s">
        <v>3549</v>
      </c>
      <c r="C57" s="55" t="s">
        <v>3667</v>
      </c>
      <c r="D57" s="56" t="s">
        <v>3668</v>
      </c>
      <c r="E57" s="2"/>
      <c r="F57" s="57"/>
      <c r="G57" s="62" t="s">
        <v>3669</v>
      </c>
      <c r="H57" s="59">
        <v>761</v>
      </c>
      <c r="I57" s="29"/>
      <c r="J57" s="29"/>
      <c r="K57" s="29"/>
      <c r="L57" s="29"/>
      <c r="M57" s="29"/>
    </row>
    <row r="58" spans="1:13" ht="112.5" customHeight="1" x14ac:dyDescent="0.15">
      <c r="A58" s="60">
        <v>3157</v>
      </c>
      <c r="B58" s="30" t="s">
        <v>3670</v>
      </c>
      <c r="C58" s="30" t="s">
        <v>3671</v>
      </c>
      <c r="D58" s="61" t="s">
        <v>3672</v>
      </c>
      <c r="E58" s="2"/>
      <c r="F58" s="57"/>
      <c r="G58" s="58" t="s">
        <v>3673</v>
      </c>
      <c r="H58" s="59">
        <v>0</v>
      </c>
      <c r="I58" s="29"/>
      <c r="J58" s="29"/>
      <c r="K58" s="29"/>
      <c r="L58" s="29"/>
      <c r="M58" s="29"/>
    </row>
    <row r="59" spans="1:13" ht="112.5" customHeight="1" x14ac:dyDescent="0.15">
      <c r="A59" s="54">
        <v>3156</v>
      </c>
      <c r="B59" s="55" t="s">
        <v>3502</v>
      </c>
      <c r="C59" s="55" t="s">
        <v>3674</v>
      </c>
      <c r="D59" s="56" t="s">
        <v>3675</v>
      </c>
      <c r="E59" s="2"/>
      <c r="F59" s="57"/>
      <c r="G59" s="62" t="s">
        <v>3676</v>
      </c>
      <c r="H59" s="59">
        <v>0</v>
      </c>
      <c r="I59" s="29"/>
      <c r="J59" s="29"/>
      <c r="K59" s="29"/>
      <c r="L59" s="29"/>
      <c r="M59" s="29"/>
    </row>
    <row r="60" spans="1:13" ht="112.5" customHeight="1" x14ac:dyDescent="0.15">
      <c r="A60" s="60">
        <v>3155</v>
      </c>
      <c r="B60" s="30" t="s">
        <v>3502</v>
      </c>
      <c r="C60" s="30" t="s">
        <v>3677</v>
      </c>
      <c r="D60" s="61" t="s">
        <v>3678</v>
      </c>
      <c r="E60" s="2"/>
      <c r="F60" s="57"/>
      <c r="G60" s="58" t="s">
        <v>3679</v>
      </c>
      <c r="H60" s="59">
        <v>932</v>
      </c>
      <c r="I60" s="29"/>
      <c r="J60" s="29"/>
      <c r="K60" s="29"/>
      <c r="L60" s="29"/>
      <c r="M60" s="29"/>
    </row>
    <row r="61" spans="1:13" ht="112.5" customHeight="1" x14ac:dyDescent="0.15">
      <c r="A61" s="54">
        <v>3154</v>
      </c>
      <c r="B61" s="55" t="s">
        <v>3496</v>
      </c>
      <c r="C61" s="55" t="s">
        <v>3680</v>
      </c>
      <c r="D61" s="56" t="s">
        <v>3681</v>
      </c>
      <c r="E61" s="2"/>
      <c r="F61" s="57"/>
      <c r="G61" s="62" t="s">
        <v>3682</v>
      </c>
      <c r="H61" s="59">
        <v>0</v>
      </c>
      <c r="I61" s="29"/>
      <c r="J61" s="29"/>
      <c r="K61" s="29"/>
      <c r="L61" s="29"/>
      <c r="M61" s="29"/>
    </row>
    <row r="62" spans="1:13" ht="112.5" customHeight="1" x14ac:dyDescent="0.15">
      <c r="A62" s="60">
        <v>3153</v>
      </c>
      <c r="B62" s="30" t="s">
        <v>3670</v>
      </c>
      <c r="C62" s="30" t="s">
        <v>3683</v>
      </c>
      <c r="D62" s="61" t="s">
        <v>3684</v>
      </c>
      <c r="E62" s="2"/>
      <c r="F62" s="57"/>
      <c r="G62" s="58" t="s">
        <v>3685</v>
      </c>
      <c r="H62" s="59">
        <v>0</v>
      </c>
      <c r="I62" s="29"/>
      <c r="J62" s="29"/>
      <c r="K62" s="29"/>
      <c r="L62" s="29"/>
      <c r="M62" s="29"/>
    </row>
    <row r="63" spans="1:13" ht="112.5" customHeight="1" x14ac:dyDescent="0.15">
      <c r="A63" s="54">
        <v>3152</v>
      </c>
      <c r="B63" s="55" t="s">
        <v>3496</v>
      </c>
      <c r="C63" s="55" t="s">
        <v>3686</v>
      </c>
      <c r="D63" s="56" t="s">
        <v>3687</v>
      </c>
      <c r="E63" s="2"/>
      <c r="F63" s="57"/>
      <c r="G63" s="62" t="s">
        <v>3688</v>
      </c>
      <c r="H63" s="59">
        <v>978</v>
      </c>
      <c r="I63" s="29"/>
      <c r="J63" s="29"/>
      <c r="K63" s="29"/>
      <c r="L63" s="29"/>
      <c r="M63" s="29"/>
    </row>
    <row r="64" spans="1:13" ht="112.5" customHeight="1" x14ac:dyDescent="0.15">
      <c r="A64" s="60">
        <v>3151</v>
      </c>
      <c r="B64" s="30" t="s">
        <v>3670</v>
      </c>
      <c r="C64" s="30" t="s">
        <v>3689</v>
      </c>
      <c r="D64" s="61" t="s">
        <v>3690</v>
      </c>
      <c r="E64" s="2"/>
      <c r="F64" s="57"/>
      <c r="G64" s="58" t="s">
        <v>3691</v>
      </c>
      <c r="H64" s="59">
        <v>0</v>
      </c>
      <c r="I64" s="29"/>
      <c r="J64" s="29"/>
      <c r="K64" s="29"/>
      <c r="L64" s="29"/>
      <c r="M64" s="29"/>
    </row>
    <row r="65" spans="1:13" ht="112.5" customHeight="1" x14ac:dyDescent="0.15">
      <c r="A65" s="54">
        <v>3150</v>
      </c>
      <c r="B65" s="55" t="s">
        <v>3670</v>
      </c>
      <c r="C65" s="55" t="s">
        <v>3692</v>
      </c>
      <c r="D65" s="56" t="s">
        <v>3693</v>
      </c>
      <c r="E65" s="2"/>
      <c r="F65" s="57"/>
      <c r="G65" s="62" t="s">
        <v>3694</v>
      </c>
      <c r="H65" s="59">
        <v>0</v>
      </c>
      <c r="I65" s="29"/>
      <c r="J65" s="29"/>
      <c r="K65" s="29"/>
      <c r="L65" s="29"/>
      <c r="M65" s="29"/>
    </row>
    <row r="66" spans="1:13" ht="112.5" customHeight="1" x14ac:dyDescent="0.15">
      <c r="A66" s="60">
        <v>3147</v>
      </c>
      <c r="B66" s="30" t="s">
        <v>3670</v>
      </c>
      <c r="C66" s="30" t="s">
        <v>3695</v>
      </c>
      <c r="D66" s="61" t="s">
        <v>3696</v>
      </c>
      <c r="E66" s="2"/>
      <c r="F66" s="57"/>
      <c r="G66" s="58" t="s">
        <v>3697</v>
      </c>
      <c r="H66" s="59">
        <v>980</v>
      </c>
      <c r="I66" s="29"/>
      <c r="J66" s="29"/>
      <c r="K66" s="29"/>
      <c r="L66" s="29"/>
      <c r="M66" s="29"/>
    </row>
    <row r="67" spans="1:13" ht="112.5" customHeight="1" x14ac:dyDescent="0.15">
      <c r="A67" s="60">
        <v>3455</v>
      </c>
      <c r="B67" s="30" t="s">
        <v>3670</v>
      </c>
      <c r="C67" s="30" t="s">
        <v>3698</v>
      </c>
      <c r="D67" s="61" t="s">
        <v>3699</v>
      </c>
      <c r="E67" s="2"/>
      <c r="F67" s="57"/>
      <c r="G67" s="62" t="s">
        <v>3700</v>
      </c>
      <c r="H67" s="59">
        <v>990</v>
      </c>
      <c r="I67" s="29"/>
      <c r="J67" s="29"/>
      <c r="K67" s="29"/>
      <c r="L67" s="29"/>
      <c r="M67" s="29"/>
    </row>
    <row r="68" spans="1:13" ht="112.5" customHeight="1" x14ac:dyDescent="0.15">
      <c r="A68" s="54">
        <v>3454</v>
      </c>
      <c r="B68" s="55" t="s">
        <v>3670</v>
      </c>
      <c r="C68" s="55" t="s">
        <v>3701</v>
      </c>
      <c r="D68" s="56" t="s">
        <v>3702</v>
      </c>
      <c r="E68" s="2"/>
      <c r="F68" s="57"/>
      <c r="G68" s="58" t="s">
        <v>3703</v>
      </c>
      <c r="H68" s="59">
        <v>1</v>
      </c>
      <c r="I68" s="29"/>
      <c r="J68" s="29"/>
      <c r="K68" s="29"/>
      <c r="L68" s="29"/>
      <c r="M68" s="29"/>
    </row>
    <row r="69" spans="1:13" ht="112.5" customHeight="1" x14ac:dyDescent="0.15">
      <c r="A69" s="54">
        <v>3436</v>
      </c>
      <c r="B69" s="55" t="s">
        <v>3670</v>
      </c>
      <c r="C69" s="55" t="s">
        <v>3704</v>
      </c>
      <c r="D69" s="56" t="s">
        <v>3705</v>
      </c>
      <c r="E69" s="2"/>
      <c r="F69" s="57"/>
      <c r="G69" s="62" t="s">
        <v>3706</v>
      </c>
      <c r="H69" s="59">
        <v>0</v>
      </c>
      <c r="I69" s="29"/>
      <c r="J69" s="29"/>
      <c r="K69" s="29"/>
      <c r="L69" s="29"/>
      <c r="M69" s="29"/>
    </row>
    <row r="70" spans="1:13" ht="112.5" customHeight="1" x14ac:dyDescent="0.15">
      <c r="A70" s="60">
        <v>3145</v>
      </c>
      <c r="B70" s="30" t="s">
        <v>3670</v>
      </c>
      <c r="C70" s="30" t="s">
        <v>3707</v>
      </c>
      <c r="D70" s="61" t="s">
        <v>3708</v>
      </c>
      <c r="E70" s="2"/>
      <c r="F70" s="57"/>
      <c r="G70" s="58" t="s">
        <v>3709</v>
      </c>
      <c r="H70" s="59">
        <v>0</v>
      </c>
      <c r="I70" s="29"/>
      <c r="J70" s="29"/>
      <c r="K70" s="29"/>
      <c r="L70" s="29"/>
      <c r="M70" s="29"/>
    </row>
    <row r="71" spans="1:13" ht="112.5" customHeight="1" x14ac:dyDescent="0.15">
      <c r="A71" s="54">
        <v>3146</v>
      </c>
      <c r="B71" s="55" t="s">
        <v>3670</v>
      </c>
      <c r="C71" s="55" t="s">
        <v>3710</v>
      </c>
      <c r="D71" s="56" t="s">
        <v>3711</v>
      </c>
      <c r="E71" s="2"/>
      <c r="F71" s="57"/>
      <c r="G71" s="62" t="s">
        <v>3712</v>
      </c>
      <c r="H71" s="59">
        <v>0</v>
      </c>
      <c r="I71" s="29"/>
      <c r="J71" s="29"/>
      <c r="K71" s="29"/>
      <c r="L71" s="29"/>
      <c r="M71" s="29"/>
    </row>
    <row r="72" spans="1:13" ht="112.5" customHeight="1" x14ac:dyDescent="0.15">
      <c r="A72" s="54">
        <v>3144</v>
      </c>
      <c r="B72" s="55" t="s">
        <v>3502</v>
      </c>
      <c r="C72" s="55" t="s">
        <v>3713</v>
      </c>
      <c r="D72" s="56" t="s">
        <v>3714</v>
      </c>
      <c r="E72" s="2"/>
      <c r="F72" s="57"/>
      <c r="G72" s="58" t="s">
        <v>3715</v>
      </c>
      <c r="H72" s="59">
        <v>980</v>
      </c>
      <c r="I72" s="29"/>
      <c r="J72" s="29"/>
      <c r="K72" s="29"/>
      <c r="L72" s="29"/>
      <c r="M72" s="29"/>
    </row>
    <row r="73" spans="1:13" ht="112.5" customHeight="1" x14ac:dyDescent="0.15">
      <c r="A73" s="60">
        <v>3143</v>
      </c>
      <c r="B73" s="30" t="s">
        <v>3496</v>
      </c>
      <c r="C73" s="30" t="s">
        <v>3716</v>
      </c>
      <c r="D73" s="61" t="s">
        <v>3717</v>
      </c>
      <c r="E73" s="2"/>
      <c r="F73" s="57"/>
      <c r="G73" s="62" t="s">
        <v>3718</v>
      </c>
      <c r="H73" s="59">
        <v>0</v>
      </c>
      <c r="I73" s="29"/>
      <c r="J73" s="29"/>
      <c r="K73" s="29"/>
      <c r="L73" s="29"/>
      <c r="M73" s="29"/>
    </row>
    <row r="74" spans="1:13" ht="112.5" customHeight="1" x14ac:dyDescent="0.15">
      <c r="A74" s="54">
        <v>3142</v>
      </c>
      <c r="B74" s="55" t="s">
        <v>3496</v>
      </c>
      <c r="C74" s="55" t="s">
        <v>3719</v>
      </c>
      <c r="D74" s="56" t="s">
        <v>3720</v>
      </c>
      <c r="E74" s="2"/>
      <c r="F74" s="57"/>
      <c r="G74" s="58" t="s">
        <v>3721</v>
      </c>
      <c r="H74" s="59">
        <v>585</v>
      </c>
      <c r="I74" s="29"/>
      <c r="J74" s="29"/>
      <c r="K74" s="29"/>
      <c r="L74" s="29"/>
      <c r="M74" s="29"/>
    </row>
    <row r="75" spans="1:13" ht="112.5" customHeight="1" x14ac:dyDescent="0.15">
      <c r="A75" s="60">
        <v>3077</v>
      </c>
      <c r="B75" s="30" t="s">
        <v>3670</v>
      </c>
      <c r="C75" s="30" t="s">
        <v>3722</v>
      </c>
      <c r="D75" s="61" t="s">
        <v>3723</v>
      </c>
      <c r="E75" s="2"/>
      <c r="F75" s="57"/>
      <c r="G75" s="62" t="s">
        <v>3724</v>
      </c>
      <c r="H75" s="59">
        <v>9.0839999999999996</v>
      </c>
      <c r="I75" s="29"/>
      <c r="J75" s="29"/>
      <c r="K75" s="29"/>
      <c r="L75" s="29"/>
      <c r="M75" s="29"/>
    </row>
    <row r="76" spans="1:13" ht="112.5" customHeight="1" x14ac:dyDescent="0.15">
      <c r="A76" s="54">
        <v>3080</v>
      </c>
      <c r="B76" s="55" t="s">
        <v>3670</v>
      </c>
      <c r="C76" s="55" t="s">
        <v>3725</v>
      </c>
      <c r="D76" s="56" t="s">
        <v>3726</v>
      </c>
      <c r="E76" s="2"/>
      <c r="F76" s="57"/>
      <c r="G76" s="58" t="s">
        <v>3727</v>
      </c>
      <c r="H76" s="59">
        <v>0</v>
      </c>
      <c r="I76" s="29"/>
      <c r="J76" s="29"/>
      <c r="K76" s="29"/>
      <c r="L76" s="29"/>
      <c r="M76" s="29"/>
    </row>
    <row r="77" spans="1:13" ht="112.5" customHeight="1" x14ac:dyDescent="0.15">
      <c r="A77" s="60">
        <v>3081</v>
      </c>
      <c r="B77" s="30" t="s">
        <v>3670</v>
      </c>
      <c r="C77" s="30" t="s">
        <v>3728</v>
      </c>
      <c r="D77" s="61" t="s">
        <v>3729</v>
      </c>
      <c r="E77" s="2"/>
      <c r="F77" s="57"/>
      <c r="G77" s="62" t="s">
        <v>3730</v>
      </c>
      <c r="H77" s="59">
        <v>0</v>
      </c>
      <c r="I77" s="29"/>
      <c r="J77" s="29"/>
      <c r="K77" s="29"/>
      <c r="L77" s="29"/>
      <c r="M77" s="29"/>
    </row>
    <row r="78" spans="1:13" ht="112.5" customHeight="1" x14ac:dyDescent="0.15">
      <c r="A78" s="60">
        <v>3079</v>
      </c>
      <c r="B78" s="30" t="s">
        <v>3670</v>
      </c>
      <c r="C78" s="30" t="s">
        <v>3731</v>
      </c>
      <c r="D78" s="61" t="s">
        <v>3732</v>
      </c>
      <c r="E78" s="2"/>
      <c r="F78" s="57"/>
      <c r="G78" s="58" t="s">
        <v>3733</v>
      </c>
      <c r="H78" s="59">
        <v>0</v>
      </c>
      <c r="I78" s="29"/>
      <c r="J78" s="29"/>
      <c r="K78" s="29"/>
      <c r="L78" s="29"/>
      <c r="M78" s="29"/>
    </row>
    <row r="79" spans="1:13" ht="112.5" customHeight="1" x14ac:dyDescent="0.15">
      <c r="A79" s="54">
        <v>3078</v>
      </c>
      <c r="B79" s="55" t="s">
        <v>3670</v>
      </c>
      <c r="C79" s="55" t="s">
        <v>3734</v>
      </c>
      <c r="D79" s="56" t="s">
        <v>3735</v>
      </c>
      <c r="E79" s="2"/>
      <c r="F79" s="57"/>
      <c r="G79" s="62" t="s">
        <v>3736</v>
      </c>
      <c r="H79" s="59">
        <v>0</v>
      </c>
      <c r="I79" s="29"/>
      <c r="J79" s="29"/>
      <c r="K79" s="29"/>
      <c r="L79" s="29"/>
      <c r="M79" s="29"/>
    </row>
    <row r="80" spans="1:13" ht="112.5" customHeight="1" x14ac:dyDescent="0.15">
      <c r="A80" s="54">
        <v>3076</v>
      </c>
      <c r="B80" s="55" t="s">
        <v>3670</v>
      </c>
      <c r="C80" s="55" t="s">
        <v>3737</v>
      </c>
      <c r="D80" s="56" t="s">
        <v>3738</v>
      </c>
      <c r="E80" s="2"/>
      <c r="F80" s="57"/>
      <c r="G80" s="58" t="s">
        <v>3739</v>
      </c>
      <c r="H80" s="59">
        <v>0</v>
      </c>
      <c r="I80" s="29"/>
      <c r="J80" s="29"/>
      <c r="K80" s="29"/>
      <c r="L80" s="29"/>
      <c r="M80" s="29"/>
    </row>
    <row r="81" spans="1:13" ht="112.5" customHeight="1" x14ac:dyDescent="0.15">
      <c r="A81" s="60">
        <v>3075</v>
      </c>
      <c r="B81" s="30" t="s">
        <v>3599</v>
      </c>
      <c r="C81" s="30" t="s">
        <v>3740</v>
      </c>
      <c r="D81" s="61" t="s">
        <v>3741</v>
      </c>
      <c r="E81" s="2"/>
      <c r="F81" s="57"/>
      <c r="G81" s="62" t="s">
        <v>3742</v>
      </c>
      <c r="H81" s="59">
        <v>875</v>
      </c>
      <c r="I81" s="29"/>
      <c r="J81" s="29"/>
      <c r="K81" s="29"/>
      <c r="L81" s="29"/>
      <c r="M81" s="29"/>
    </row>
    <row r="82" spans="1:13" ht="112.5" customHeight="1" x14ac:dyDescent="0.15">
      <c r="A82" s="54">
        <v>3074</v>
      </c>
      <c r="B82" s="55" t="s">
        <v>3556</v>
      </c>
      <c r="C82" s="55" t="s">
        <v>3743</v>
      </c>
      <c r="D82" s="56" t="s">
        <v>3744</v>
      </c>
      <c r="E82" s="2"/>
      <c r="F82" s="57"/>
      <c r="G82" s="58" t="s">
        <v>3745</v>
      </c>
      <c r="H82" s="59">
        <v>0</v>
      </c>
      <c r="I82" s="29"/>
      <c r="J82" s="29"/>
      <c r="K82" s="29"/>
      <c r="L82" s="29"/>
      <c r="M82" s="29"/>
    </row>
    <row r="83" spans="1:13" ht="112.5" customHeight="1" x14ac:dyDescent="0.15">
      <c r="A83" s="60">
        <v>3073</v>
      </c>
      <c r="B83" s="30" t="s">
        <v>3556</v>
      </c>
      <c r="C83" s="30" t="s">
        <v>3746</v>
      </c>
      <c r="D83" s="61" t="s">
        <v>3747</v>
      </c>
      <c r="E83" s="2"/>
      <c r="F83" s="57"/>
      <c r="G83" s="62" t="s">
        <v>3748</v>
      </c>
      <c r="H83" s="59">
        <v>0</v>
      </c>
      <c r="I83" s="29"/>
      <c r="J83" s="29"/>
      <c r="K83" s="29"/>
      <c r="L83" s="29"/>
      <c r="M83" s="29"/>
    </row>
    <row r="84" spans="1:13" ht="112.5" customHeight="1" x14ac:dyDescent="0.15">
      <c r="A84" s="54">
        <v>3072</v>
      </c>
      <c r="B84" s="55" t="s">
        <v>3749</v>
      </c>
      <c r="C84" s="55" t="s">
        <v>3750</v>
      </c>
      <c r="D84" s="56" t="s">
        <v>3751</v>
      </c>
      <c r="E84" s="2"/>
      <c r="F84" s="57"/>
      <c r="G84" s="58" t="s">
        <v>3752</v>
      </c>
      <c r="H84" s="59">
        <v>0</v>
      </c>
      <c r="I84" s="29"/>
      <c r="J84" s="29"/>
      <c r="K84" s="29"/>
      <c r="L84" s="29"/>
      <c r="M84" s="29"/>
    </row>
    <row r="85" spans="1:13" ht="112.5" customHeight="1" x14ac:dyDescent="0.15">
      <c r="A85" s="60">
        <v>3071</v>
      </c>
      <c r="B85" s="30" t="s">
        <v>3556</v>
      </c>
      <c r="C85" s="30" t="s">
        <v>3753</v>
      </c>
      <c r="D85" s="61" t="s">
        <v>3754</v>
      </c>
      <c r="E85" s="2"/>
      <c r="F85" s="57"/>
      <c r="G85" s="62" t="s">
        <v>3755</v>
      </c>
      <c r="H85" s="59">
        <v>0</v>
      </c>
      <c r="I85" s="29"/>
      <c r="J85" s="29"/>
      <c r="K85" s="29"/>
      <c r="L85" s="29"/>
      <c r="M85" s="29"/>
    </row>
    <row r="86" spans="1:13" ht="112.5" customHeight="1" x14ac:dyDescent="0.15">
      <c r="A86" s="54">
        <v>3070</v>
      </c>
      <c r="B86" s="55" t="s">
        <v>3556</v>
      </c>
      <c r="C86" s="55" t="s">
        <v>3756</v>
      </c>
      <c r="D86" s="56" t="s">
        <v>3757</v>
      </c>
      <c r="E86" s="2"/>
      <c r="F86" s="57"/>
      <c r="G86" s="58" t="s">
        <v>3758</v>
      </c>
      <c r="H86" s="59">
        <v>0</v>
      </c>
      <c r="I86" s="29"/>
      <c r="J86" s="29"/>
      <c r="K86" s="29"/>
      <c r="L86" s="29"/>
      <c r="M86" s="29"/>
    </row>
    <row r="87" spans="1:13" ht="112.5" customHeight="1" x14ac:dyDescent="0.15">
      <c r="A87" s="60">
        <v>3069</v>
      </c>
      <c r="B87" s="30" t="s">
        <v>3502</v>
      </c>
      <c r="C87" s="30" t="s">
        <v>3759</v>
      </c>
      <c r="D87" s="61" t="s">
        <v>3760</v>
      </c>
      <c r="E87" s="2"/>
      <c r="F87" s="57"/>
      <c r="G87" s="62" t="s">
        <v>3761</v>
      </c>
      <c r="H87" s="59">
        <v>950</v>
      </c>
      <c r="I87" s="29"/>
      <c r="J87" s="29"/>
      <c r="K87" s="29"/>
      <c r="L87" s="29"/>
      <c r="M87" s="29"/>
    </row>
    <row r="88" spans="1:13" ht="112.5" customHeight="1" x14ac:dyDescent="0.15">
      <c r="A88" s="54">
        <v>3068</v>
      </c>
      <c r="B88" s="55" t="s">
        <v>3556</v>
      </c>
      <c r="C88" s="55" t="s">
        <v>3762</v>
      </c>
      <c r="D88" s="56" t="s">
        <v>3763</v>
      </c>
      <c r="E88" s="2"/>
      <c r="F88" s="57"/>
      <c r="G88" s="58" t="s">
        <v>3764</v>
      </c>
      <c r="H88" s="59">
        <v>0</v>
      </c>
      <c r="I88" s="29"/>
      <c r="J88" s="29"/>
      <c r="K88" s="29"/>
      <c r="L88" s="29"/>
      <c r="M88" s="29"/>
    </row>
    <row r="89" spans="1:13" ht="112.5" customHeight="1" x14ac:dyDescent="0.15">
      <c r="A89" s="60">
        <v>3067</v>
      </c>
      <c r="B89" s="30" t="s">
        <v>3556</v>
      </c>
      <c r="C89" s="30" t="s">
        <v>3765</v>
      </c>
      <c r="D89" s="61" t="s">
        <v>3766</v>
      </c>
      <c r="E89" s="2"/>
      <c r="F89" s="57"/>
      <c r="G89" s="62" t="s">
        <v>3767</v>
      </c>
      <c r="H89" s="59">
        <v>970</v>
      </c>
      <c r="I89" s="29"/>
      <c r="J89" s="29"/>
      <c r="K89" s="29"/>
      <c r="L89" s="29"/>
      <c r="M89" s="29"/>
    </row>
    <row r="90" spans="1:13" ht="112.5" customHeight="1" x14ac:dyDescent="0.15">
      <c r="A90" s="54">
        <v>3066</v>
      </c>
      <c r="B90" s="55" t="s">
        <v>3556</v>
      </c>
      <c r="C90" s="55" t="s">
        <v>3768</v>
      </c>
      <c r="D90" s="56" t="s">
        <v>3769</v>
      </c>
      <c r="E90" s="2"/>
      <c r="F90" s="57"/>
      <c r="G90" s="58" t="s">
        <v>3770</v>
      </c>
      <c r="H90" s="59">
        <v>0</v>
      </c>
      <c r="I90" s="29"/>
      <c r="J90" s="29"/>
      <c r="K90" s="29"/>
      <c r="L90" s="29"/>
      <c r="M90" s="29"/>
    </row>
    <row r="91" spans="1:13" ht="112.5" customHeight="1" x14ac:dyDescent="0.15">
      <c r="A91" s="60">
        <v>3065</v>
      </c>
      <c r="B91" s="30" t="s">
        <v>3749</v>
      </c>
      <c r="C91" s="30" t="s">
        <v>3771</v>
      </c>
      <c r="D91" s="61" t="s">
        <v>3772</v>
      </c>
      <c r="E91" s="2"/>
      <c r="F91" s="57"/>
      <c r="G91" s="62" t="s">
        <v>3773</v>
      </c>
      <c r="H91" s="59">
        <v>0</v>
      </c>
      <c r="I91" s="29"/>
      <c r="J91" s="29"/>
      <c r="K91" s="29"/>
      <c r="L91" s="29"/>
      <c r="M91" s="29"/>
    </row>
    <row r="92" spans="1:13" ht="112.5" customHeight="1" x14ac:dyDescent="0.15">
      <c r="A92" s="54">
        <v>3064</v>
      </c>
      <c r="B92" s="55" t="s">
        <v>3749</v>
      </c>
      <c r="C92" s="55" t="s">
        <v>3774</v>
      </c>
      <c r="D92" s="56" t="s">
        <v>3775</v>
      </c>
      <c r="E92" s="2"/>
      <c r="F92" s="57"/>
      <c r="G92" s="58" t="s">
        <v>3776</v>
      </c>
      <c r="H92" s="59">
        <v>0</v>
      </c>
      <c r="I92" s="29"/>
      <c r="J92" s="29"/>
      <c r="K92" s="29"/>
      <c r="L92" s="29"/>
      <c r="M92" s="29"/>
    </row>
    <row r="93" spans="1:13" ht="112.5" customHeight="1" x14ac:dyDescent="0.15">
      <c r="A93" s="60">
        <v>3063</v>
      </c>
      <c r="B93" s="30" t="s">
        <v>3556</v>
      </c>
      <c r="C93" s="30" t="s">
        <v>3777</v>
      </c>
      <c r="D93" s="61" t="s">
        <v>3778</v>
      </c>
      <c r="E93" s="2"/>
      <c r="F93" s="57"/>
      <c r="G93" s="62" t="s">
        <v>3779</v>
      </c>
      <c r="H93" s="59">
        <v>0</v>
      </c>
      <c r="I93" s="29"/>
      <c r="J93" s="29"/>
      <c r="K93" s="29"/>
      <c r="L93" s="29"/>
      <c r="M93" s="29"/>
    </row>
    <row r="94" spans="1:13" ht="112.5" customHeight="1" x14ac:dyDescent="0.15">
      <c r="A94" s="54">
        <v>3062</v>
      </c>
      <c r="B94" s="55" t="s">
        <v>3556</v>
      </c>
      <c r="C94" s="55" t="s">
        <v>3780</v>
      </c>
      <c r="D94" s="56" t="s">
        <v>3781</v>
      </c>
      <c r="E94" s="2"/>
      <c r="F94" s="57"/>
      <c r="G94" s="58" t="s">
        <v>3782</v>
      </c>
      <c r="H94" s="59">
        <v>0</v>
      </c>
      <c r="I94" s="29"/>
      <c r="J94" s="29"/>
      <c r="K94" s="29"/>
      <c r="L94" s="29"/>
      <c r="M94" s="29"/>
    </row>
    <row r="95" spans="1:13" ht="112.5" customHeight="1" x14ac:dyDescent="0.15">
      <c r="A95" s="60">
        <v>3061</v>
      </c>
      <c r="B95" s="30" t="s">
        <v>3556</v>
      </c>
      <c r="C95" s="30" t="s">
        <v>3783</v>
      </c>
      <c r="D95" s="61" t="s">
        <v>3784</v>
      </c>
      <c r="E95" s="2"/>
      <c r="F95" s="57"/>
      <c r="G95" s="62" t="s">
        <v>3785</v>
      </c>
      <c r="H95" s="59">
        <v>9.74</v>
      </c>
      <c r="I95" s="29"/>
      <c r="J95" s="29"/>
      <c r="K95" s="29"/>
      <c r="L95" s="29"/>
      <c r="M95" s="29"/>
    </row>
    <row r="96" spans="1:13" ht="112.5" customHeight="1" x14ac:dyDescent="0.15">
      <c r="A96" s="54">
        <v>3060</v>
      </c>
      <c r="B96" s="55" t="s">
        <v>3749</v>
      </c>
      <c r="C96" s="55" t="s">
        <v>3786</v>
      </c>
      <c r="D96" s="56" t="s">
        <v>3787</v>
      </c>
      <c r="E96" s="2"/>
      <c r="F96" s="57"/>
      <c r="G96" s="58" t="s">
        <v>3788</v>
      </c>
      <c r="H96" s="59">
        <v>0</v>
      </c>
      <c r="I96" s="29"/>
      <c r="J96" s="29"/>
      <c r="K96" s="29"/>
      <c r="L96" s="29"/>
      <c r="M96" s="29"/>
    </row>
    <row r="97" spans="1:13" ht="112.5" customHeight="1" x14ac:dyDescent="0.15">
      <c r="A97" s="60">
        <v>3059</v>
      </c>
      <c r="B97" s="30" t="s">
        <v>3749</v>
      </c>
      <c r="C97" s="30" t="s">
        <v>3789</v>
      </c>
      <c r="D97" s="61" t="s">
        <v>3790</v>
      </c>
      <c r="E97" s="2"/>
      <c r="F97" s="57"/>
      <c r="G97" s="62" t="s">
        <v>3791</v>
      </c>
      <c r="H97" s="59">
        <v>0</v>
      </c>
      <c r="I97" s="29"/>
      <c r="J97" s="29"/>
      <c r="K97" s="29"/>
      <c r="L97" s="29"/>
      <c r="M97" s="29"/>
    </row>
    <row r="98" spans="1:13" ht="112.5" customHeight="1" x14ac:dyDescent="0.15">
      <c r="A98" s="54">
        <v>3058</v>
      </c>
      <c r="B98" s="55" t="s">
        <v>3502</v>
      </c>
      <c r="C98" s="55" t="s">
        <v>3792</v>
      </c>
      <c r="D98" s="56" t="s">
        <v>3793</v>
      </c>
      <c r="E98" s="2"/>
      <c r="F98" s="57"/>
      <c r="G98" s="58" t="s">
        <v>3794</v>
      </c>
      <c r="H98" s="59">
        <v>0</v>
      </c>
      <c r="I98" s="29"/>
      <c r="J98" s="29"/>
      <c r="K98" s="29"/>
      <c r="L98" s="29"/>
      <c r="M98" s="29"/>
    </row>
    <row r="99" spans="1:13" ht="112.5" customHeight="1" x14ac:dyDescent="0.15">
      <c r="A99" s="60">
        <v>3057</v>
      </c>
      <c r="B99" s="30" t="s">
        <v>3496</v>
      </c>
      <c r="C99" s="30" t="s">
        <v>3795</v>
      </c>
      <c r="D99" s="61" t="s">
        <v>3796</v>
      </c>
      <c r="E99" s="2"/>
      <c r="F99" s="57"/>
      <c r="G99" s="62" t="s">
        <v>3797</v>
      </c>
      <c r="H99" s="59">
        <v>0</v>
      </c>
      <c r="I99" s="29"/>
      <c r="J99" s="29"/>
      <c r="K99" s="29"/>
      <c r="L99" s="29"/>
      <c r="M99" s="29"/>
    </row>
    <row r="100" spans="1:13" ht="112.5" customHeight="1" x14ac:dyDescent="0.15">
      <c r="A100" s="54">
        <v>3056</v>
      </c>
      <c r="B100" s="55" t="s">
        <v>3496</v>
      </c>
      <c r="C100" s="55" t="s">
        <v>3798</v>
      </c>
      <c r="D100" s="56" t="s">
        <v>3799</v>
      </c>
      <c r="E100" s="2"/>
      <c r="F100" s="57"/>
      <c r="G100" s="58" t="s">
        <v>3800</v>
      </c>
      <c r="H100" s="59">
        <v>0</v>
      </c>
      <c r="I100" s="29"/>
      <c r="J100" s="29"/>
      <c r="K100" s="29"/>
      <c r="L100" s="29"/>
      <c r="M100" s="29"/>
    </row>
    <row r="101" spans="1:13" ht="112.5" customHeight="1" x14ac:dyDescent="0.15">
      <c r="A101" s="54">
        <v>2144</v>
      </c>
      <c r="B101" s="55" t="s">
        <v>3801</v>
      </c>
      <c r="C101" s="55" t="s">
        <v>3802</v>
      </c>
      <c r="D101" s="56" t="s">
        <v>3803</v>
      </c>
      <c r="E101" s="2"/>
      <c r="F101" s="57"/>
      <c r="G101" s="62" t="s">
        <v>3804</v>
      </c>
      <c r="H101" s="59">
        <v>0</v>
      </c>
      <c r="I101" s="29"/>
      <c r="J101" s="29"/>
      <c r="K101" s="29"/>
      <c r="L101" s="29"/>
      <c r="M101" s="29"/>
    </row>
    <row r="102" spans="1:13" ht="112.5" customHeight="1" x14ac:dyDescent="0.15">
      <c r="A102" s="60">
        <v>3055</v>
      </c>
      <c r="B102" s="30" t="s">
        <v>3801</v>
      </c>
      <c r="C102" s="30" t="s">
        <v>3805</v>
      </c>
      <c r="D102" s="61" t="s">
        <v>3806</v>
      </c>
      <c r="E102" s="2"/>
      <c r="F102" s="57"/>
      <c r="G102" s="58" t="s">
        <v>3807</v>
      </c>
      <c r="H102" s="59">
        <v>237</v>
      </c>
      <c r="I102" s="29"/>
      <c r="J102" s="29"/>
      <c r="K102" s="29"/>
      <c r="L102" s="29"/>
      <c r="M102" s="29"/>
    </row>
    <row r="103" spans="1:13" ht="112.5" customHeight="1" x14ac:dyDescent="0.15">
      <c r="A103" s="54">
        <v>3054</v>
      </c>
      <c r="B103" s="55" t="s">
        <v>3599</v>
      </c>
      <c r="C103" s="55" t="s">
        <v>3808</v>
      </c>
      <c r="D103" s="56" t="s">
        <v>3809</v>
      </c>
      <c r="E103" s="2"/>
      <c r="F103" s="57"/>
      <c r="G103" s="62" t="s">
        <v>3810</v>
      </c>
      <c r="H103" s="59">
        <v>49</v>
      </c>
      <c r="I103" s="29"/>
      <c r="J103" s="29"/>
      <c r="K103" s="29"/>
      <c r="L103" s="29"/>
      <c r="M103" s="29"/>
    </row>
    <row r="104" spans="1:13" ht="112.5" customHeight="1" x14ac:dyDescent="0.15">
      <c r="A104" s="60">
        <v>3053</v>
      </c>
      <c r="B104" s="30" t="s">
        <v>3599</v>
      </c>
      <c r="C104" s="30" t="s">
        <v>3811</v>
      </c>
      <c r="D104" s="61" t="s">
        <v>3812</v>
      </c>
      <c r="E104" s="2"/>
      <c r="F104" s="57"/>
      <c r="G104" s="58" t="s">
        <v>3813</v>
      </c>
      <c r="H104" s="59">
        <v>0</v>
      </c>
      <c r="I104" s="29"/>
      <c r="J104" s="29"/>
      <c r="K104" s="29"/>
      <c r="L104" s="29"/>
      <c r="M104" s="29"/>
    </row>
    <row r="105" spans="1:13" ht="112.5" customHeight="1" x14ac:dyDescent="0.15">
      <c r="A105" s="54">
        <v>3052</v>
      </c>
      <c r="B105" s="55" t="s">
        <v>3814</v>
      </c>
      <c r="C105" s="55" t="s">
        <v>3815</v>
      </c>
      <c r="D105" s="56" t="s">
        <v>3816</v>
      </c>
      <c r="E105" s="2"/>
      <c r="F105" s="57"/>
      <c r="G105" s="62" t="s">
        <v>3817</v>
      </c>
      <c r="H105" s="59">
        <v>0</v>
      </c>
      <c r="I105" s="29"/>
      <c r="J105" s="29"/>
      <c r="K105" s="29"/>
      <c r="L105" s="29"/>
      <c r="M105" s="29"/>
    </row>
    <row r="106" spans="1:13" ht="112.5" customHeight="1" x14ac:dyDescent="0.15">
      <c r="A106" s="54">
        <v>2142</v>
      </c>
      <c r="B106" s="55" t="s">
        <v>3818</v>
      </c>
      <c r="C106" s="55" t="s">
        <v>3819</v>
      </c>
      <c r="D106" s="56" t="s">
        <v>3820</v>
      </c>
      <c r="E106" s="2"/>
      <c r="F106" s="57"/>
      <c r="G106" s="58" t="s">
        <v>3821</v>
      </c>
      <c r="H106" s="59">
        <v>0</v>
      </c>
      <c r="I106" s="29"/>
      <c r="J106" s="29"/>
      <c r="K106" s="29"/>
      <c r="L106" s="29"/>
      <c r="M106" s="29"/>
    </row>
    <row r="107" spans="1:13" ht="112.5" customHeight="1" x14ac:dyDescent="0.15">
      <c r="A107" s="60">
        <v>3051</v>
      </c>
      <c r="B107" s="30" t="s">
        <v>3822</v>
      </c>
      <c r="C107" s="30" t="s">
        <v>3823</v>
      </c>
      <c r="D107" s="61" t="s">
        <v>3824</v>
      </c>
      <c r="E107" s="2"/>
      <c r="F107" s="57"/>
      <c r="G107" s="62" t="s">
        <v>3825</v>
      </c>
      <c r="H107" s="59">
        <v>0</v>
      </c>
      <c r="I107" s="29"/>
      <c r="J107" s="29"/>
      <c r="K107" s="29"/>
      <c r="L107" s="29"/>
      <c r="M107" s="29"/>
    </row>
    <row r="108" spans="1:13" ht="112.5" customHeight="1" x14ac:dyDescent="0.15">
      <c r="A108" s="54">
        <v>3050</v>
      </c>
      <c r="B108" s="55" t="s">
        <v>3822</v>
      </c>
      <c r="C108" s="55" t="s">
        <v>3826</v>
      </c>
      <c r="D108" s="56" t="s">
        <v>3827</v>
      </c>
      <c r="E108" s="2"/>
      <c r="F108" s="57"/>
      <c r="G108" s="58" t="s">
        <v>3828</v>
      </c>
      <c r="H108" s="59">
        <v>0</v>
      </c>
      <c r="I108" s="29"/>
      <c r="J108" s="29"/>
      <c r="K108" s="29"/>
      <c r="L108" s="29"/>
      <c r="M108" s="29"/>
    </row>
    <row r="109" spans="1:13" ht="112.5" customHeight="1" x14ac:dyDescent="0.15">
      <c r="A109" s="60">
        <v>3049</v>
      </c>
      <c r="B109" s="30" t="s">
        <v>3556</v>
      </c>
      <c r="C109" s="30" t="s">
        <v>3829</v>
      </c>
      <c r="D109" s="61" t="s">
        <v>3830</v>
      </c>
      <c r="E109" s="2"/>
      <c r="F109" s="57"/>
      <c r="G109" s="62" t="s">
        <v>3831</v>
      </c>
      <c r="H109" s="59">
        <v>0</v>
      </c>
      <c r="I109" s="29"/>
      <c r="J109" s="29"/>
      <c r="K109" s="29"/>
      <c r="L109" s="29"/>
      <c r="M109" s="29"/>
    </row>
    <row r="110" spans="1:13" ht="112.5" customHeight="1" x14ac:dyDescent="0.15">
      <c r="A110" s="54">
        <v>3048</v>
      </c>
      <c r="B110" s="55" t="s">
        <v>3822</v>
      </c>
      <c r="C110" s="55" t="s">
        <v>3832</v>
      </c>
      <c r="D110" s="56" t="s">
        <v>3833</v>
      </c>
      <c r="E110" s="2"/>
      <c r="F110" s="57"/>
      <c r="G110" s="58" t="s">
        <v>3834</v>
      </c>
      <c r="H110" s="59">
        <v>0</v>
      </c>
      <c r="I110" s="29"/>
      <c r="J110" s="29"/>
      <c r="K110" s="29"/>
      <c r="L110" s="29"/>
      <c r="M110" s="29"/>
    </row>
    <row r="111" spans="1:13" ht="112.5" customHeight="1" x14ac:dyDescent="0.15">
      <c r="A111" s="60">
        <v>3047</v>
      </c>
      <c r="B111" s="30" t="s">
        <v>3822</v>
      </c>
      <c r="C111" s="30" t="s">
        <v>3835</v>
      </c>
      <c r="D111" s="61" t="s">
        <v>3836</v>
      </c>
      <c r="E111" s="2"/>
      <c r="F111" s="57"/>
      <c r="G111" s="62" t="s">
        <v>3837</v>
      </c>
      <c r="H111" s="59">
        <v>940</v>
      </c>
      <c r="I111" s="29"/>
      <c r="J111" s="29"/>
      <c r="K111" s="29"/>
      <c r="L111" s="29"/>
      <c r="M111" s="29"/>
    </row>
    <row r="112" spans="1:13" ht="112.5" customHeight="1" x14ac:dyDescent="0.15">
      <c r="A112" s="54">
        <v>3046</v>
      </c>
      <c r="B112" s="55" t="s">
        <v>3822</v>
      </c>
      <c r="C112" s="55" t="s">
        <v>3838</v>
      </c>
      <c r="D112" s="56" t="s">
        <v>3839</v>
      </c>
      <c r="E112" s="2"/>
      <c r="F112" s="57"/>
      <c r="G112" s="58" t="s">
        <v>3840</v>
      </c>
      <c r="H112" s="59">
        <v>998</v>
      </c>
      <c r="I112" s="29"/>
      <c r="J112" s="29"/>
      <c r="K112" s="29"/>
      <c r="L112" s="29"/>
      <c r="M112" s="29"/>
    </row>
    <row r="113" spans="1:13" ht="112.5" customHeight="1" x14ac:dyDescent="0.15">
      <c r="A113" s="60">
        <v>3045</v>
      </c>
      <c r="B113" s="30" t="s">
        <v>3556</v>
      </c>
      <c r="C113" s="30" t="s">
        <v>3841</v>
      </c>
      <c r="D113" s="61" t="s">
        <v>3842</v>
      </c>
      <c r="E113" s="2"/>
      <c r="F113" s="57"/>
      <c r="G113" s="62" t="s">
        <v>3843</v>
      </c>
      <c r="H113" s="59">
        <v>983</v>
      </c>
      <c r="I113" s="29"/>
      <c r="J113" s="29"/>
      <c r="K113" s="29"/>
      <c r="L113" s="29"/>
      <c r="M113" s="29"/>
    </row>
    <row r="114" spans="1:13" ht="112.5" customHeight="1" x14ac:dyDescent="0.15">
      <c r="A114" s="54">
        <v>3044</v>
      </c>
      <c r="B114" s="55" t="s">
        <v>3556</v>
      </c>
      <c r="C114" s="55" t="s">
        <v>3844</v>
      </c>
      <c r="D114" s="56" t="s">
        <v>3845</v>
      </c>
      <c r="E114" s="2"/>
      <c r="F114" s="57"/>
      <c r="G114" s="58" t="s">
        <v>3846</v>
      </c>
      <c r="H114" s="59">
        <v>0</v>
      </c>
      <c r="I114" s="29"/>
      <c r="J114" s="29"/>
      <c r="K114" s="29"/>
      <c r="L114" s="29"/>
      <c r="M114" s="29"/>
    </row>
    <row r="115" spans="1:13" ht="112.5" customHeight="1" x14ac:dyDescent="0.15">
      <c r="A115" s="60">
        <v>3043</v>
      </c>
      <c r="B115" s="30" t="s">
        <v>3814</v>
      </c>
      <c r="C115" s="30" t="s">
        <v>3847</v>
      </c>
      <c r="D115" s="61" t="s">
        <v>3848</v>
      </c>
      <c r="E115" s="2"/>
      <c r="F115" s="57"/>
      <c r="G115" s="62" t="s">
        <v>3849</v>
      </c>
      <c r="H115" s="59">
        <v>0</v>
      </c>
      <c r="I115" s="29"/>
      <c r="J115" s="29"/>
      <c r="K115" s="29"/>
      <c r="L115" s="29"/>
      <c r="M115" s="29"/>
    </row>
    <row r="116" spans="1:13" ht="112.5" customHeight="1" x14ac:dyDescent="0.15">
      <c r="A116" s="54">
        <v>3042</v>
      </c>
      <c r="B116" s="55" t="s">
        <v>3749</v>
      </c>
      <c r="C116" s="55" t="s">
        <v>3850</v>
      </c>
      <c r="D116" s="56" t="s">
        <v>3851</v>
      </c>
      <c r="E116" s="2"/>
      <c r="F116" s="57"/>
      <c r="G116" s="58" t="s">
        <v>3852</v>
      </c>
      <c r="H116" s="59">
        <v>109.60299999999999</v>
      </c>
      <c r="I116" s="29"/>
      <c r="J116" s="29"/>
      <c r="K116" s="29"/>
      <c r="L116" s="29"/>
      <c r="M116" s="29"/>
    </row>
    <row r="117" spans="1:13" ht="112.5" customHeight="1" x14ac:dyDescent="0.15">
      <c r="A117" s="60">
        <v>3041</v>
      </c>
      <c r="B117" s="30" t="s">
        <v>3556</v>
      </c>
      <c r="C117" s="30" t="s">
        <v>3853</v>
      </c>
      <c r="D117" s="61" t="s">
        <v>3854</v>
      </c>
      <c r="E117" s="2"/>
      <c r="F117" s="57"/>
      <c r="G117" s="62" t="s">
        <v>3855</v>
      </c>
      <c r="H117" s="59">
        <v>548</v>
      </c>
      <c r="I117" s="29"/>
      <c r="J117" s="29"/>
      <c r="K117" s="29"/>
      <c r="L117" s="29"/>
      <c r="M117" s="29"/>
    </row>
    <row r="118" spans="1:13" ht="112.5" customHeight="1" x14ac:dyDescent="0.15">
      <c r="A118" s="60">
        <v>3471</v>
      </c>
      <c r="B118" s="30" t="s">
        <v>3496</v>
      </c>
      <c r="C118" s="30" t="s">
        <v>3856</v>
      </c>
      <c r="D118" s="61" t="s">
        <v>3857</v>
      </c>
      <c r="E118" s="2"/>
      <c r="F118" s="57"/>
      <c r="G118" s="58" t="s">
        <v>3858</v>
      </c>
      <c r="H118" s="59">
        <v>1</v>
      </c>
      <c r="I118" s="29"/>
      <c r="J118" s="29"/>
      <c r="K118" s="29"/>
      <c r="L118" s="29"/>
      <c r="M118" s="29"/>
    </row>
    <row r="119" spans="1:13" ht="112.5" customHeight="1" x14ac:dyDescent="0.15">
      <c r="A119" s="54">
        <v>3040</v>
      </c>
      <c r="B119" s="55" t="s">
        <v>3818</v>
      </c>
      <c r="C119" s="55" t="s">
        <v>3859</v>
      </c>
      <c r="D119" s="56" t="s">
        <v>3860</v>
      </c>
      <c r="E119" s="2"/>
      <c r="F119" s="57"/>
      <c r="G119" s="62" t="s">
        <v>3861</v>
      </c>
      <c r="H119" s="59">
        <v>0</v>
      </c>
      <c r="I119" s="29"/>
      <c r="J119" s="29"/>
      <c r="K119" s="29"/>
      <c r="L119" s="29"/>
      <c r="M119" s="29"/>
    </row>
    <row r="120" spans="1:13" ht="112.5" customHeight="1" x14ac:dyDescent="0.15">
      <c r="A120" s="60">
        <v>3039</v>
      </c>
      <c r="B120" s="30" t="s">
        <v>3630</v>
      </c>
      <c r="C120" s="30" t="s">
        <v>3862</v>
      </c>
      <c r="D120" s="61" t="s">
        <v>3863</v>
      </c>
      <c r="E120" s="2"/>
      <c r="F120" s="57"/>
      <c r="G120" s="58" t="s">
        <v>3864</v>
      </c>
      <c r="H120" s="59">
        <v>0</v>
      </c>
      <c r="I120" s="29"/>
      <c r="J120" s="29"/>
      <c r="K120" s="29"/>
      <c r="L120" s="29"/>
      <c r="M120" s="29"/>
    </row>
    <row r="121" spans="1:13" ht="112.5" customHeight="1" x14ac:dyDescent="0.15">
      <c r="A121" s="54">
        <v>1772</v>
      </c>
      <c r="B121" s="55" t="s">
        <v>3630</v>
      </c>
      <c r="C121" s="55" t="s">
        <v>3865</v>
      </c>
      <c r="D121" s="56" t="s">
        <v>3866</v>
      </c>
      <c r="E121" s="2"/>
      <c r="F121" s="57"/>
      <c r="G121" s="62" t="s">
        <v>3867</v>
      </c>
      <c r="H121" s="59">
        <v>91</v>
      </c>
      <c r="I121" s="29"/>
      <c r="J121" s="29"/>
      <c r="K121" s="29"/>
      <c r="L121" s="29"/>
      <c r="M121" s="29"/>
    </row>
    <row r="122" spans="1:13" ht="112.5" customHeight="1" x14ac:dyDescent="0.15">
      <c r="A122" s="54">
        <v>3038</v>
      </c>
      <c r="B122" s="55" t="s">
        <v>3630</v>
      </c>
      <c r="C122" s="55" t="s">
        <v>3868</v>
      </c>
      <c r="D122" s="56" t="s">
        <v>3866</v>
      </c>
      <c r="E122" s="2"/>
      <c r="F122" s="57"/>
      <c r="G122" s="58" t="s">
        <v>3869</v>
      </c>
      <c r="H122" s="59">
        <v>100</v>
      </c>
      <c r="I122" s="29"/>
      <c r="J122" s="29"/>
      <c r="K122" s="29"/>
      <c r="L122" s="29"/>
      <c r="M122" s="29"/>
    </row>
    <row r="123" spans="1:13" ht="112.5" customHeight="1" x14ac:dyDescent="0.15">
      <c r="A123" s="60">
        <v>3037</v>
      </c>
      <c r="B123" s="30" t="s">
        <v>3526</v>
      </c>
      <c r="C123" s="30" t="s">
        <v>3870</v>
      </c>
      <c r="D123" s="61" t="s">
        <v>3871</v>
      </c>
      <c r="E123" s="2"/>
      <c r="F123" s="57"/>
      <c r="G123" s="62" t="s">
        <v>3872</v>
      </c>
      <c r="H123" s="59">
        <v>0</v>
      </c>
      <c r="I123" s="29"/>
      <c r="J123" s="29"/>
      <c r="K123" s="29"/>
      <c r="L123" s="29"/>
      <c r="M123" s="29"/>
    </row>
    <row r="124" spans="1:13" ht="112.5" customHeight="1" x14ac:dyDescent="0.15">
      <c r="A124" s="54">
        <v>3036</v>
      </c>
      <c r="B124" s="55" t="s">
        <v>3526</v>
      </c>
      <c r="C124" s="55" t="s">
        <v>3873</v>
      </c>
      <c r="D124" s="56" t="s">
        <v>3874</v>
      </c>
      <c r="E124" s="2"/>
      <c r="F124" s="57"/>
      <c r="G124" s="58" t="s">
        <v>3875</v>
      </c>
      <c r="H124" s="59">
        <v>0</v>
      </c>
      <c r="I124" s="29"/>
      <c r="J124" s="29"/>
      <c r="K124" s="29"/>
      <c r="L124" s="29"/>
      <c r="M124" s="29"/>
    </row>
    <row r="125" spans="1:13" ht="112.5" customHeight="1" x14ac:dyDescent="0.15">
      <c r="A125" s="60">
        <v>3035</v>
      </c>
      <c r="B125" s="30" t="s">
        <v>3876</v>
      </c>
      <c r="C125" s="30" t="s">
        <v>3877</v>
      </c>
      <c r="D125" s="61" t="s">
        <v>3878</v>
      </c>
      <c r="E125" s="2"/>
      <c r="F125" s="57"/>
      <c r="G125" s="62" t="s">
        <v>3879</v>
      </c>
      <c r="H125" s="59">
        <v>0</v>
      </c>
      <c r="I125" s="29"/>
      <c r="J125" s="29"/>
      <c r="K125" s="29"/>
      <c r="L125" s="29"/>
      <c r="M125" s="29"/>
    </row>
    <row r="126" spans="1:13" ht="112.5" customHeight="1" x14ac:dyDescent="0.15">
      <c r="A126" s="54">
        <v>3034</v>
      </c>
      <c r="B126" s="55" t="s">
        <v>3749</v>
      </c>
      <c r="C126" s="55" t="s">
        <v>3880</v>
      </c>
      <c r="D126" s="56" t="s">
        <v>3881</v>
      </c>
      <c r="E126" s="2"/>
      <c r="F126" s="57"/>
      <c r="G126" s="58" t="s">
        <v>3882</v>
      </c>
      <c r="H126" s="59">
        <v>0</v>
      </c>
      <c r="I126" s="29"/>
      <c r="J126" s="29"/>
      <c r="K126" s="29"/>
      <c r="L126" s="29"/>
      <c r="M126" s="29"/>
    </row>
    <row r="127" spans="1:13" ht="112.5" customHeight="1" x14ac:dyDescent="0.15">
      <c r="A127" s="60">
        <v>3033</v>
      </c>
      <c r="B127" s="30" t="s">
        <v>3502</v>
      </c>
      <c r="C127" s="30" t="s">
        <v>3883</v>
      </c>
      <c r="D127" s="61" t="s">
        <v>3884</v>
      </c>
      <c r="E127" s="2"/>
      <c r="F127" s="57"/>
      <c r="G127" s="62" t="s">
        <v>3885</v>
      </c>
      <c r="H127" s="59">
        <v>0</v>
      </c>
      <c r="I127" s="29"/>
      <c r="J127" s="29"/>
      <c r="K127" s="29"/>
      <c r="L127" s="29"/>
      <c r="M127" s="29"/>
    </row>
    <row r="128" spans="1:13" ht="112.5" customHeight="1" x14ac:dyDescent="0.15">
      <c r="A128" s="54">
        <v>3032</v>
      </c>
      <c r="B128" s="55" t="s">
        <v>3822</v>
      </c>
      <c r="C128" s="55" t="s">
        <v>3886</v>
      </c>
      <c r="D128" s="56" t="s">
        <v>3887</v>
      </c>
      <c r="E128" s="2"/>
      <c r="F128" s="57"/>
      <c r="G128" s="58" t="s">
        <v>3888</v>
      </c>
      <c r="H128" s="59">
        <v>814</v>
      </c>
      <c r="I128" s="29"/>
      <c r="J128" s="29"/>
      <c r="K128" s="29"/>
      <c r="L128" s="29"/>
      <c r="M128" s="29"/>
    </row>
    <row r="129" spans="1:13" ht="112.5" customHeight="1" x14ac:dyDescent="0.15">
      <c r="A129" s="60">
        <v>3031</v>
      </c>
      <c r="B129" s="30" t="s">
        <v>3496</v>
      </c>
      <c r="C129" s="30" t="s">
        <v>3889</v>
      </c>
      <c r="D129" s="61" t="s">
        <v>3890</v>
      </c>
      <c r="E129" s="2"/>
      <c r="F129" s="57"/>
      <c r="G129" s="62" t="s">
        <v>3891</v>
      </c>
      <c r="H129" s="59">
        <v>0</v>
      </c>
      <c r="I129" s="29"/>
      <c r="J129" s="29"/>
      <c r="K129" s="29"/>
      <c r="L129" s="29"/>
      <c r="M129" s="29"/>
    </row>
    <row r="130" spans="1:13" ht="112.5" customHeight="1" x14ac:dyDescent="0.15">
      <c r="A130" s="54">
        <v>3030</v>
      </c>
      <c r="B130" s="55" t="s">
        <v>3801</v>
      </c>
      <c r="C130" s="55" t="s">
        <v>3892</v>
      </c>
      <c r="D130" s="56" t="s">
        <v>3893</v>
      </c>
      <c r="E130" s="2"/>
      <c r="F130" s="57"/>
      <c r="G130" s="58" t="s">
        <v>3894</v>
      </c>
      <c r="H130" s="59">
        <v>0</v>
      </c>
      <c r="I130" s="29"/>
      <c r="J130" s="29"/>
      <c r="K130" s="29"/>
      <c r="L130" s="29"/>
      <c r="M130" s="29"/>
    </row>
    <row r="131" spans="1:13" ht="112.5" customHeight="1" x14ac:dyDescent="0.15">
      <c r="A131" s="60">
        <v>3029</v>
      </c>
      <c r="B131" s="30" t="s">
        <v>3533</v>
      </c>
      <c r="C131" s="30" t="s">
        <v>3895</v>
      </c>
      <c r="D131" s="61" t="s">
        <v>3896</v>
      </c>
      <c r="E131" s="2"/>
      <c r="F131" s="57"/>
      <c r="G131" s="62" t="s">
        <v>3897</v>
      </c>
      <c r="H131" s="59">
        <v>100</v>
      </c>
      <c r="I131" s="29"/>
      <c r="J131" s="29"/>
      <c r="K131" s="29"/>
      <c r="L131" s="29"/>
      <c r="M131" s="29"/>
    </row>
    <row r="132" spans="1:13" ht="112.5" customHeight="1" x14ac:dyDescent="0.15">
      <c r="A132" s="60">
        <v>3027</v>
      </c>
      <c r="B132" s="30" t="s">
        <v>3898</v>
      </c>
      <c r="C132" s="30" t="s">
        <v>3899</v>
      </c>
      <c r="D132" s="61" t="s">
        <v>3900</v>
      </c>
      <c r="E132" s="2"/>
      <c r="F132" s="57"/>
      <c r="G132" s="58" t="s">
        <v>3901</v>
      </c>
      <c r="H132" s="59">
        <v>98</v>
      </c>
      <c r="I132" s="29"/>
      <c r="J132" s="29"/>
      <c r="K132" s="29"/>
      <c r="L132" s="29"/>
      <c r="M132" s="29"/>
    </row>
    <row r="133" spans="1:13" ht="112.5" customHeight="1" x14ac:dyDescent="0.15">
      <c r="A133" s="54">
        <v>3026</v>
      </c>
      <c r="B133" s="55" t="s">
        <v>3526</v>
      </c>
      <c r="C133" s="55" t="s">
        <v>3902</v>
      </c>
      <c r="D133" s="56" t="s">
        <v>3903</v>
      </c>
      <c r="E133" s="2"/>
      <c r="F133" s="57"/>
      <c r="G133" s="62" t="s">
        <v>3904</v>
      </c>
      <c r="H133" s="59">
        <v>0</v>
      </c>
      <c r="I133" s="29"/>
      <c r="J133" s="29"/>
      <c r="K133" s="29"/>
      <c r="L133" s="29"/>
      <c r="M133" s="29"/>
    </row>
    <row r="134" spans="1:13" ht="112.5" customHeight="1" x14ac:dyDescent="0.15">
      <c r="A134" s="60">
        <v>3025</v>
      </c>
      <c r="B134" s="30" t="s">
        <v>3509</v>
      </c>
      <c r="C134" s="30" t="s">
        <v>3905</v>
      </c>
      <c r="D134" s="61" t="s">
        <v>3906</v>
      </c>
      <c r="E134" s="2"/>
      <c r="F134" s="57"/>
      <c r="G134" s="58" t="s">
        <v>3907</v>
      </c>
      <c r="H134" s="59">
        <v>0</v>
      </c>
      <c r="I134" s="29"/>
      <c r="J134" s="29"/>
      <c r="K134" s="29"/>
      <c r="L134" s="29"/>
      <c r="M134" s="29"/>
    </row>
    <row r="135" spans="1:13" ht="112.5" customHeight="1" x14ac:dyDescent="0.15">
      <c r="A135" s="54">
        <v>3024</v>
      </c>
      <c r="B135" s="55" t="s">
        <v>3876</v>
      </c>
      <c r="C135" s="55" t="s">
        <v>3908</v>
      </c>
      <c r="D135" s="56" t="s">
        <v>3909</v>
      </c>
      <c r="E135" s="2"/>
      <c r="F135" s="57"/>
      <c r="G135" s="62" t="s">
        <v>3910</v>
      </c>
      <c r="H135" s="59">
        <v>0</v>
      </c>
      <c r="I135" s="29"/>
      <c r="J135" s="29"/>
      <c r="K135" s="29"/>
      <c r="L135" s="29"/>
      <c r="M135" s="29"/>
    </row>
    <row r="136" spans="1:13" ht="112.5" customHeight="1" x14ac:dyDescent="0.15">
      <c r="A136" s="60">
        <v>3023</v>
      </c>
      <c r="B136" s="30" t="s">
        <v>3496</v>
      </c>
      <c r="C136" s="30" t="s">
        <v>3911</v>
      </c>
      <c r="D136" s="61" t="s">
        <v>3912</v>
      </c>
      <c r="E136" s="2"/>
      <c r="F136" s="57"/>
      <c r="G136" s="58" t="s">
        <v>3913</v>
      </c>
      <c r="H136" s="59">
        <v>0</v>
      </c>
      <c r="I136" s="29"/>
      <c r="J136" s="29"/>
      <c r="K136" s="29"/>
      <c r="L136" s="29"/>
      <c r="M136" s="29"/>
    </row>
    <row r="137" spans="1:13" ht="112.5" customHeight="1" x14ac:dyDescent="0.15">
      <c r="A137" s="54">
        <v>3022</v>
      </c>
      <c r="B137" s="55" t="s">
        <v>3513</v>
      </c>
      <c r="C137" s="55" t="s">
        <v>3914</v>
      </c>
      <c r="D137" s="56" t="s">
        <v>3915</v>
      </c>
      <c r="E137" s="2"/>
      <c r="F137" s="57"/>
      <c r="G137" s="62" t="s">
        <v>3916</v>
      </c>
      <c r="H137" s="59">
        <v>0</v>
      </c>
      <c r="I137" s="29"/>
      <c r="J137" s="29"/>
      <c r="K137" s="29"/>
      <c r="L137" s="29"/>
      <c r="M137" s="29"/>
    </row>
    <row r="138" spans="1:13" ht="112.5" customHeight="1" x14ac:dyDescent="0.15">
      <c r="A138" s="60">
        <v>3021</v>
      </c>
      <c r="B138" s="30" t="s">
        <v>3513</v>
      </c>
      <c r="C138" s="30" t="s">
        <v>3917</v>
      </c>
      <c r="D138" s="61" t="s">
        <v>3918</v>
      </c>
      <c r="E138" s="2"/>
      <c r="F138" s="57"/>
      <c r="G138" s="58" t="s">
        <v>3919</v>
      </c>
      <c r="H138" s="59">
        <v>0</v>
      </c>
      <c r="I138" s="29"/>
      <c r="J138" s="29"/>
      <c r="K138" s="29"/>
      <c r="L138" s="29"/>
      <c r="M138" s="29"/>
    </row>
    <row r="139" spans="1:13" ht="112.5" customHeight="1" x14ac:dyDescent="0.15">
      <c r="A139" s="54">
        <v>3020</v>
      </c>
      <c r="B139" s="55" t="s">
        <v>3526</v>
      </c>
      <c r="C139" s="55" t="s">
        <v>3920</v>
      </c>
      <c r="D139" s="56" t="s">
        <v>3921</v>
      </c>
      <c r="E139" s="2"/>
      <c r="F139" s="57"/>
      <c r="G139" s="62" t="s">
        <v>3922</v>
      </c>
      <c r="H139" s="59">
        <v>0</v>
      </c>
      <c r="I139" s="29"/>
      <c r="J139" s="29"/>
      <c r="K139" s="29"/>
      <c r="L139" s="29"/>
      <c r="M139" s="29"/>
    </row>
    <row r="140" spans="1:13" ht="112.5" customHeight="1" x14ac:dyDescent="0.15">
      <c r="A140" s="60">
        <v>2141</v>
      </c>
      <c r="B140" s="30" t="s">
        <v>3630</v>
      </c>
      <c r="C140" s="30" t="s">
        <v>3923</v>
      </c>
      <c r="D140" s="61" t="s">
        <v>3924</v>
      </c>
      <c r="E140" s="2"/>
      <c r="F140" s="57"/>
      <c r="G140" s="58" t="s">
        <v>3925</v>
      </c>
      <c r="H140" s="59">
        <v>0</v>
      </c>
      <c r="I140" s="29"/>
      <c r="J140" s="29"/>
      <c r="K140" s="29"/>
      <c r="L140" s="29"/>
      <c r="M140" s="29"/>
    </row>
    <row r="141" spans="1:13" ht="112.5" customHeight="1" x14ac:dyDescent="0.15">
      <c r="A141" s="60">
        <v>3019</v>
      </c>
      <c r="B141" s="30" t="s">
        <v>3630</v>
      </c>
      <c r="C141" s="30" t="s">
        <v>3926</v>
      </c>
      <c r="D141" s="61" t="s">
        <v>3927</v>
      </c>
      <c r="E141" s="2"/>
      <c r="F141" s="57"/>
      <c r="G141" s="62" t="s">
        <v>3928</v>
      </c>
      <c r="H141" s="59">
        <v>836</v>
      </c>
      <c r="I141" s="29"/>
      <c r="J141" s="29"/>
      <c r="K141" s="29"/>
      <c r="L141" s="29"/>
      <c r="M141" s="29"/>
    </row>
    <row r="142" spans="1:13" ht="112.5" customHeight="1" x14ac:dyDescent="0.15">
      <c r="A142" s="54">
        <v>3018</v>
      </c>
      <c r="B142" s="55" t="s">
        <v>3513</v>
      </c>
      <c r="C142" s="55" t="s">
        <v>3929</v>
      </c>
      <c r="D142" s="56" t="s">
        <v>3930</v>
      </c>
      <c r="E142" s="2"/>
      <c r="F142" s="57"/>
      <c r="G142" s="58" t="s">
        <v>3931</v>
      </c>
      <c r="H142" s="59">
        <v>1</v>
      </c>
      <c r="I142" s="29"/>
      <c r="J142" s="29"/>
      <c r="K142" s="29"/>
      <c r="L142" s="29"/>
      <c r="M142" s="29"/>
    </row>
    <row r="143" spans="1:13" ht="112.5" customHeight="1" x14ac:dyDescent="0.15">
      <c r="A143" s="60">
        <v>3017</v>
      </c>
      <c r="B143" s="30" t="s">
        <v>3496</v>
      </c>
      <c r="C143" s="30" t="s">
        <v>3932</v>
      </c>
      <c r="D143" s="61" t="s">
        <v>3933</v>
      </c>
      <c r="E143" s="2"/>
      <c r="F143" s="57"/>
      <c r="G143" s="62" t="s">
        <v>3934</v>
      </c>
      <c r="H143" s="59">
        <v>93</v>
      </c>
      <c r="I143" s="29"/>
      <c r="J143" s="29"/>
      <c r="K143" s="29"/>
      <c r="L143" s="29"/>
      <c r="M143" s="29"/>
    </row>
    <row r="144" spans="1:13" ht="112.5" customHeight="1" x14ac:dyDescent="0.15">
      <c r="A144" s="54">
        <v>3016</v>
      </c>
      <c r="B144" s="55" t="s">
        <v>3492</v>
      </c>
      <c r="C144" s="55" t="s">
        <v>3935</v>
      </c>
      <c r="D144" s="56" t="s">
        <v>3936</v>
      </c>
      <c r="E144" s="2"/>
      <c r="F144" s="57"/>
      <c r="G144" s="58" t="s">
        <v>3937</v>
      </c>
      <c r="H144" s="59">
        <v>847</v>
      </c>
      <c r="I144" s="29"/>
      <c r="J144" s="29"/>
      <c r="K144" s="29"/>
      <c r="L144" s="29"/>
      <c r="M144" s="29"/>
    </row>
    <row r="145" spans="1:13" ht="112.5" customHeight="1" x14ac:dyDescent="0.15">
      <c r="A145" s="60">
        <v>3015</v>
      </c>
      <c r="B145" s="30" t="s">
        <v>3822</v>
      </c>
      <c r="C145" s="30" t="s">
        <v>3938</v>
      </c>
      <c r="D145" s="61" t="s">
        <v>3939</v>
      </c>
      <c r="E145" s="2"/>
      <c r="F145" s="57"/>
      <c r="G145" s="62" t="s">
        <v>3940</v>
      </c>
      <c r="H145" s="59">
        <v>999</v>
      </c>
      <c r="I145" s="29"/>
      <c r="J145" s="29"/>
      <c r="K145" s="29"/>
      <c r="L145" s="29"/>
      <c r="M145" s="29"/>
    </row>
    <row r="146" spans="1:13" ht="112.5" customHeight="1" x14ac:dyDescent="0.15">
      <c r="A146" s="54">
        <v>3014</v>
      </c>
      <c r="B146" s="55" t="s">
        <v>3556</v>
      </c>
      <c r="C146" s="55" t="s">
        <v>3941</v>
      </c>
      <c r="D146" s="56" t="s">
        <v>3942</v>
      </c>
      <c r="E146" s="2"/>
      <c r="F146" s="57"/>
      <c r="G146" s="58" t="s">
        <v>3943</v>
      </c>
      <c r="H146" s="59">
        <v>89</v>
      </c>
      <c r="I146" s="29"/>
      <c r="J146" s="29"/>
      <c r="K146" s="29"/>
      <c r="L146" s="29"/>
      <c r="M146" s="29"/>
    </row>
    <row r="147" spans="1:13" ht="112.5" customHeight="1" x14ac:dyDescent="0.15">
      <c r="A147" s="60">
        <v>3013</v>
      </c>
      <c r="B147" s="30" t="s">
        <v>3513</v>
      </c>
      <c r="C147" s="30" t="s">
        <v>3944</v>
      </c>
      <c r="D147" s="61" t="s">
        <v>3945</v>
      </c>
      <c r="E147" s="2"/>
      <c r="F147" s="57"/>
      <c r="G147" s="62" t="s">
        <v>3946</v>
      </c>
      <c r="H147" s="59">
        <v>0</v>
      </c>
      <c r="I147" s="29"/>
      <c r="J147" s="29"/>
      <c r="K147" s="29"/>
      <c r="L147" s="29"/>
      <c r="M147" s="29"/>
    </row>
    <row r="148" spans="1:13" ht="112.5" customHeight="1" x14ac:dyDescent="0.15">
      <c r="A148" s="54">
        <v>3012</v>
      </c>
      <c r="B148" s="55" t="s">
        <v>3749</v>
      </c>
      <c r="C148" s="55" t="s">
        <v>3947</v>
      </c>
      <c r="D148" s="56" t="s">
        <v>3948</v>
      </c>
      <c r="E148" s="2"/>
      <c r="F148" s="57"/>
      <c r="G148" s="58" t="s">
        <v>3949</v>
      </c>
      <c r="H148" s="59">
        <v>860</v>
      </c>
      <c r="I148" s="29"/>
      <c r="J148" s="29"/>
      <c r="K148" s="29"/>
      <c r="L148" s="29"/>
      <c r="M148" s="29"/>
    </row>
    <row r="149" spans="1:13" ht="112.5" customHeight="1" x14ac:dyDescent="0.15">
      <c r="A149" s="60">
        <v>3011</v>
      </c>
      <c r="B149" s="30" t="s">
        <v>3549</v>
      </c>
      <c r="C149" s="30" t="s">
        <v>3950</v>
      </c>
      <c r="D149" s="61" t="s">
        <v>3951</v>
      </c>
      <c r="E149" s="2"/>
      <c r="F149" s="57"/>
      <c r="G149" s="62" t="s">
        <v>3952</v>
      </c>
      <c r="H149" s="59">
        <v>0</v>
      </c>
      <c r="I149" s="29"/>
      <c r="J149" s="29"/>
      <c r="K149" s="29"/>
      <c r="L149" s="29"/>
      <c r="M149" s="29"/>
    </row>
    <row r="150" spans="1:13" ht="112.5" customHeight="1" x14ac:dyDescent="0.15">
      <c r="A150" s="54">
        <v>3010</v>
      </c>
      <c r="B150" s="55" t="s">
        <v>3801</v>
      </c>
      <c r="C150" s="55" t="s">
        <v>3953</v>
      </c>
      <c r="D150" s="56" t="s">
        <v>3954</v>
      </c>
      <c r="E150" s="2"/>
      <c r="F150" s="57"/>
      <c r="G150" s="58" t="s">
        <v>3955</v>
      </c>
      <c r="H150" s="59">
        <v>0</v>
      </c>
      <c r="I150" s="29"/>
      <c r="J150" s="29"/>
      <c r="K150" s="29"/>
      <c r="L150" s="29"/>
      <c r="M150" s="29"/>
    </row>
    <row r="151" spans="1:13" ht="112.5" customHeight="1" x14ac:dyDescent="0.15">
      <c r="A151" s="60">
        <v>3311</v>
      </c>
      <c r="B151" s="30" t="s">
        <v>3801</v>
      </c>
      <c r="C151" s="30" t="s">
        <v>3956</v>
      </c>
      <c r="D151" s="61" t="s">
        <v>3957</v>
      </c>
      <c r="E151" s="2"/>
      <c r="F151" s="57"/>
      <c r="G151" s="62" t="s">
        <v>3958</v>
      </c>
      <c r="H151" s="59">
        <v>0</v>
      </c>
      <c r="I151" s="29"/>
      <c r="J151" s="29"/>
      <c r="K151" s="29"/>
      <c r="L151" s="29"/>
      <c r="M151" s="29"/>
    </row>
    <row r="152" spans="1:13" ht="112.5" customHeight="1" x14ac:dyDescent="0.15">
      <c r="A152" s="54">
        <v>3310</v>
      </c>
      <c r="B152" s="55" t="s">
        <v>3801</v>
      </c>
      <c r="C152" s="55" t="s">
        <v>3959</v>
      </c>
      <c r="D152" s="56" t="s">
        <v>3960</v>
      </c>
      <c r="E152" s="2"/>
      <c r="F152" s="57"/>
      <c r="G152" s="58" t="s">
        <v>3961</v>
      </c>
      <c r="H152" s="59">
        <v>877</v>
      </c>
      <c r="I152" s="29"/>
      <c r="J152" s="29"/>
      <c r="K152" s="29"/>
      <c r="L152" s="29"/>
      <c r="M152" s="29"/>
    </row>
    <row r="153" spans="1:13" ht="112.5" customHeight="1" x14ac:dyDescent="0.15">
      <c r="A153" s="60">
        <v>3009</v>
      </c>
      <c r="B153" s="30" t="s">
        <v>3496</v>
      </c>
      <c r="C153" s="30" t="s">
        <v>3962</v>
      </c>
      <c r="D153" s="61" t="s">
        <v>3963</v>
      </c>
      <c r="E153" s="2"/>
      <c r="F153" s="57"/>
      <c r="G153" s="62" t="s">
        <v>3964</v>
      </c>
      <c r="H153" s="59">
        <v>0</v>
      </c>
      <c r="I153" s="29"/>
      <c r="J153" s="29"/>
      <c r="K153" s="29"/>
      <c r="L153" s="29"/>
      <c r="M153" s="29"/>
    </row>
    <row r="154" spans="1:13" ht="112.5" customHeight="1" x14ac:dyDescent="0.15">
      <c r="A154" s="54">
        <v>3008</v>
      </c>
      <c r="B154" s="55" t="s">
        <v>3749</v>
      </c>
      <c r="C154" s="55" t="s">
        <v>3965</v>
      </c>
      <c r="D154" s="56" t="s">
        <v>3966</v>
      </c>
      <c r="E154" s="2"/>
      <c r="F154" s="57"/>
      <c r="G154" s="58" t="s">
        <v>3967</v>
      </c>
      <c r="H154" s="59">
        <v>0</v>
      </c>
      <c r="I154" s="29"/>
      <c r="J154" s="29"/>
      <c r="K154" s="29"/>
      <c r="L154" s="29"/>
      <c r="M154" s="29"/>
    </row>
    <row r="155" spans="1:13" ht="112.5" customHeight="1" x14ac:dyDescent="0.15">
      <c r="A155" s="60">
        <v>3007</v>
      </c>
      <c r="B155" s="30" t="s">
        <v>3556</v>
      </c>
      <c r="C155" s="30" t="s">
        <v>3968</v>
      </c>
      <c r="D155" s="61" t="s">
        <v>3969</v>
      </c>
      <c r="E155" s="2"/>
      <c r="F155" s="57"/>
      <c r="G155" s="62" t="s">
        <v>3970</v>
      </c>
      <c r="H155" s="59">
        <v>859</v>
      </c>
      <c r="I155" s="29"/>
      <c r="J155" s="29"/>
      <c r="K155" s="29"/>
      <c r="L155" s="29"/>
      <c r="M155" s="29"/>
    </row>
    <row r="156" spans="1:13" ht="112.5" customHeight="1" x14ac:dyDescent="0.15">
      <c r="A156" s="54">
        <v>3006</v>
      </c>
      <c r="B156" s="55" t="s">
        <v>3549</v>
      </c>
      <c r="C156" s="55" t="s">
        <v>3971</v>
      </c>
      <c r="D156" s="56" t="s">
        <v>3972</v>
      </c>
      <c r="E156" s="2"/>
      <c r="F156" s="57"/>
      <c r="G156" s="58" t="s">
        <v>3973</v>
      </c>
      <c r="H156" s="59">
        <v>1</v>
      </c>
      <c r="I156" s="29"/>
      <c r="J156" s="29"/>
      <c r="K156" s="29"/>
      <c r="L156" s="29"/>
      <c r="M156" s="29"/>
    </row>
    <row r="157" spans="1:13" ht="112.5" customHeight="1" x14ac:dyDescent="0.15">
      <c r="A157" s="60">
        <v>3005</v>
      </c>
      <c r="B157" s="30" t="s">
        <v>3533</v>
      </c>
      <c r="C157" s="30" t="s">
        <v>3974</v>
      </c>
      <c r="D157" s="61" t="s">
        <v>3975</v>
      </c>
      <c r="E157" s="2"/>
      <c r="F157" s="57"/>
      <c r="G157" s="62" t="s">
        <v>3976</v>
      </c>
      <c r="H157" s="59">
        <v>0</v>
      </c>
      <c r="I157" s="29"/>
      <c r="J157" s="29"/>
      <c r="K157" s="29"/>
      <c r="L157" s="29"/>
      <c r="M157" s="29"/>
    </row>
    <row r="158" spans="1:13" ht="112.5" customHeight="1" x14ac:dyDescent="0.15">
      <c r="A158" s="54">
        <v>3004</v>
      </c>
      <c r="B158" s="55" t="s">
        <v>3513</v>
      </c>
      <c r="C158" s="55" t="s">
        <v>3977</v>
      </c>
      <c r="D158" s="56" t="s">
        <v>3978</v>
      </c>
      <c r="E158" s="2"/>
      <c r="F158" s="57"/>
      <c r="G158" s="58" t="s">
        <v>3979</v>
      </c>
      <c r="H158" s="59">
        <v>81</v>
      </c>
      <c r="I158" s="29"/>
      <c r="J158" s="29"/>
      <c r="K158" s="29"/>
      <c r="L158" s="29"/>
      <c r="M158" s="29"/>
    </row>
    <row r="159" spans="1:13" ht="112.5" customHeight="1" x14ac:dyDescent="0.15">
      <c r="A159" s="60">
        <v>3003</v>
      </c>
      <c r="B159" s="30" t="s">
        <v>3670</v>
      </c>
      <c r="C159" s="30" t="s">
        <v>3980</v>
      </c>
      <c r="D159" s="61" t="s">
        <v>3981</v>
      </c>
      <c r="E159" s="2"/>
      <c r="F159" s="57"/>
      <c r="G159" s="62" t="s">
        <v>3982</v>
      </c>
      <c r="H159" s="59">
        <v>991</v>
      </c>
      <c r="I159" s="29"/>
      <c r="J159" s="29"/>
      <c r="K159" s="29"/>
      <c r="L159" s="29"/>
      <c r="M159" s="29"/>
    </row>
    <row r="160" spans="1:13" ht="112.5" customHeight="1" x14ac:dyDescent="0.15">
      <c r="A160" s="54">
        <v>3002</v>
      </c>
      <c r="B160" s="55" t="s">
        <v>3533</v>
      </c>
      <c r="C160" s="55" t="s">
        <v>3983</v>
      </c>
      <c r="D160" s="56" t="s">
        <v>3984</v>
      </c>
      <c r="E160" s="2"/>
      <c r="F160" s="57"/>
      <c r="G160" s="58" t="s">
        <v>3985</v>
      </c>
      <c r="H160" s="59">
        <v>0</v>
      </c>
      <c r="I160" s="29"/>
      <c r="J160" s="29"/>
      <c r="K160" s="29"/>
      <c r="L160" s="29"/>
      <c r="M160" s="29"/>
    </row>
    <row r="161" spans="1:13" ht="112.5" customHeight="1" x14ac:dyDescent="0.15">
      <c r="A161" s="60">
        <v>2999</v>
      </c>
      <c r="B161" s="30" t="s">
        <v>3814</v>
      </c>
      <c r="C161" s="30" t="s">
        <v>3986</v>
      </c>
      <c r="D161" s="61" t="s">
        <v>3987</v>
      </c>
      <c r="E161" s="2"/>
      <c r="F161" s="57"/>
      <c r="G161" s="62" t="s">
        <v>3988</v>
      </c>
      <c r="H161" s="59">
        <v>0</v>
      </c>
      <c r="I161" s="29"/>
      <c r="J161" s="29"/>
      <c r="K161" s="29"/>
      <c r="L161" s="29"/>
      <c r="M161" s="29"/>
    </row>
    <row r="162" spans="1:13" ht="112.5" customHeight="1" x14ac:dyDescent="0.15">
      <c r="A162" s="60">
        <v>3001</v>
      </c>
      <c r="B162" s="30" t="s">
        <v>3496</v>
      </c>
      <c r="C162" s="30" t="s">
        <v>3989</v>
      </c>
      <c r="D162" s="61" t="s">
        <v>3990</v>
      </c>
      <c r="E162" s="2"/>
      <c r="F162" s="57"/>
      <c r="G162" s="58" t="s">
        <v>3991</v>
      </c>
      <c r="H162" s="59">
        <v>0</v>
      </c>
      <c r="I162" s="29"/>
      <c r="J162" s="29"/>
      <c r="K162" s="29"/>
      <c r="L162" s="29"/>
      <c r="M162" s="29"/>
    </row>
    <row r="163" spans="1:13" ht="112.5" customHeight="1" x14ac:dyDescent="0.15">
      <c r="A163" s="54">
        <v>3000</v>
      </c>
      <c r="B163" s="55" t="s">
        <v>3814</v>
      </c>
      <c r="C163" s="55" t="s">
        <v>3992</v>
      </c>
      <c r="D163" s="56" t="s">
        <v>3993</v>
      </c>
      <c r="E163" s="2"/>
      <c r="F163" s="57"/>
      <c r="G163" s="62" t="s">
        <v>3994</v>
      </c>
      <c r="H163" s="59">
        <v>0</v>
      </c>
      <c r="I163" s="29"/>
      <c r="J163" s="29"/>
      <c r="K163" s="29"/>
      <c r="L163" s="29"/>
      <c r="M163" s="29"/>
    </row>
    <row r="164" spans="1:13" ht="112.5" customHeight="1" x14ac:dyDescent="0.15">
      <c r="A164" s="60">
        <v>2997</v>
      </c>
      <c r="B164" s="30" t="s">
        <v>3526</v>
      </c>
      <c r="C164" s="30" t="s">
        <v>3995</v>
      </c>
      <c r="D164" s="61" t="s">
        <v>3996</v>
      </c>
      <c r="E164" s="2"/>
      <c r="F164" s="57"/>
      <c r="G164" s="58" t="s">
        <v>3997</v>
      </c>
      <c r="H164" s="59">
        <v>0</v>
      </c>
      <c r="I164" s="29"/>
      <c r="J164" s="29"/>
      <c r="K164" s="29"/>
      <c r="L164" s="29"/>
      <c r="M164" s="29"/>
    </row>
    <row r="165" spans="1:13" ht="112.5" customHeight="1" x14ac:dyDescent="0.15">
      <c r="A165" s="54">
        <v>2996</v>
      </c>
      <c r="B165" s="55" t="s">
        <v>3526</v>
      </c>
      <c r="C165" s="55" t="s">
        <v>3998</v>
      </c>
      <c r="D165" s="56" t="s">
        <v>3999</v>
      </c>
      <c r="E165" s="2"/>
      <c r="F165" s="57"/>
      <c r="G165" s="62" t="s">
        <v>4000</v>
      </c>
      <c r="H165" s="59">
        <v>9.7370000000000001</v>
      </c>
      <c r="I165" s="29"/>
      <c r="J165" s="29"/>
      <c r="K165" s="29"/>
      <c r="L165" s="29"/>
      <c r="M165" s="29"/>
    </row>
    <row r="166" spans="1:13" ht="112.5" customHeight="1" x14ac:dyDescent="0.15">
      <c r="A166" s="60">
        <v>2995</v>
      </c>
      <c r="B166" s="30" t="s">
        <v>3526</v>
      </c>
      <c r="C166" s="30" t="s">
        <v>4001</v>
      </c>
      <c r="D166" s="61" t="s">
        <v>4002</v>
      </c>
      <c r="E166" s="2"/>
      <c r="F166" s="57"/>
      <c r="G166" s="58" t="s">
        <v>4003</v>
      </c>
      <c r="H166" s="59">
        <v>0</v>
      </c>
      <c r="I166" s="29"/>
      <c r="J166" s="29"/>
      <c r="K166" s="29"/>
      <c r="L166" s="29"/>
      <c r="M166" s="29"/>
    </row>
    <row r="167" spans="1:13" ht="112.5" customHeight="1" x14ac:dyDescent="0.15">
      <c r="A167" s="60">
        <v>2143</v>
      </c>
      <c r="B167" s="30" t="s">
        <v>3526</v>
      </c>
      <c r="C167" s="30" t="s">
        <v>4004</v>
      </c>
      <c r="D167" s="61" t="s">
        <v>4005</v>
      </c>
      <c r="E167" s="2"/>
      <c r="F167" s="57"/>
      <c r="G167" s="62" t="s">
        <v>4006</v>
      </c>
      <c r="H167" s="59">
        <v>950</v>
      </c>
      <c r="I167" s="29"/>
      <c r="J167" s="29"/>
      <c r="K167" s="29"/>
      <c r="L167" s="29"/>
      <c r="M167" s="29"/>
    </row>
    <row r="168" spans="1:13" ht="112.5" customHeight="1" x14ac:dyDescent="0.15">
      <c r="A168" s="54">
        <v>2994</v>
      </c>
      <c r="B168" s="55" t="s">
        <v>3526</v>
      </c>
      <c r="C168" s="55" t="s">
        <v>4007</v>
      </c>
      <c r="D168" s="56" t="s">
        <v>4008</v>
      </c>
      <c r="E168" s="2"/>
      <c r="F168" s="57"/>
      <c r="G168" s="58" t="s">
        <v>4009</v>
      </c>
      <c r="H168" s="59">
        <v>89</v>
      </c>
      <c r="I168" s="29"/>
      <c r="J168" s="29"/>
      <c r="K168" s="29"/>
      <c r="L168" s="29"/>
      <c r="M168" s="29"/>
    </row>
    <row r="169" spans="1:13" ht="112.5" customHeight="1" x14ac:dyDescent="0.15">
      <c r="A169" s="54">
        <v>2140</v>
      </c>
      <c r="B169" s="55" t="s">
        <v>3526</v>
      </c>
      <c r="C169" s="55" t="s">
        <v>4010</v>
      </c>
      <c r="D169" s="56" t="s">
        <v>4011</v>
      </c>
      <c r="E169" s="2"/>
      <c r="F169" s="57"/>
      <c r="G169" s="62" t="s">
        <v>4012</v>
      </c>
      <c r="H169" s="59">
        <v>0</v>
      </c>
      <c r="I169" s="29"/>
      <c r="J169" s="29"/>
      <c r="K169" s="29"/>
      <c r="L169" s="29"/>
      <c r="M169" s="29"/>
    </row>
    <row r="170" spans="1:13" ht="112.5" customHeight="1" x14ac:dyDescent="0.15">
      <c r="A170" s="60">
        <v>2139</v>
      </c>
      <c r="B170" s="30" t="s">
        <v>3526</v>
      </c>
      <c r="C170" s="30" t="s">
        <v>4013</v>
      </c>
      <c r="D170" s="61" t="s">
        <v>4014</v>
      </c>
      <c r="E170" s="2"/>
      <c r="F170" s="57"/>
      <c r="G170" s="58" t="s">
        <v>4015</v>
      </c>
      <c r="H170" s="59">
        <v>579</v>
      </c>
      <c r="I170" s="29"/>
      <c r="J170" s="29"/>
      <c r="K170" s="29"/>
      <c r="L170" s="29"/>
      <c r="M170" s="29"/>
    </row>
    <row r="171" spans="1:13" ht="112.5" customHeight="1" x14ac:dyDescent="0.15">
      <c r="A171" s="54">
        <v>2138</v>
      </c>
      <c r="B171" s="55" t="s">
        <v>3526</v>
      </c>
      <c r="C171" s="55" t="s">
        <v>4016</v>
      </c>
      <c r="D171" s="56" t="s">
        <v>4017</v>
      </c>
      <c r="E171" s="2"/>
      <c r="F171" s="57"/>
      <c r="G171" s="62" t="s">
        <v>4018</v>
      </c>
      <c r="H171" s="59">
        <v>0</v>
      </c>
      <c r="I171" s="29"/>
      <c r="J171" s="29"/>
      <c r="K171" s="29"/>
      <c r="L171" s="29"/>
      <c r="M171" s="29"/>
    </row>
    <row r="172" spans="1:13" ht="112.5" customHeight="1" x14ac:dyDescent="0.15">
      <c r="A172" s="60">
        <v>2137</v>
      </c>
      <c r="B172" s="30" t="s">
        <v>3526</v>
      </c>
      <c r="C172" s="30" t="s">
        <v>4019</v>
      </c>
      <c r="D172" s="61" t="s">
        <v>4020</v>
      </c>
      <c r="E172" s="2"/>
      <c r="F172" s="57"/>
      <c r="G172" s="58" t="s">
        <v>4021</v>
      </c>
      <c r="H172" s="59">
        <v>138.001</v>
      </c>
      <c r="I172" s="29"/>
      <c r="J172" s="29"/>
      <c r="K172" s="29"/>
      <c r="L172" s="29"/>
      <c r="M172" s="29"/>
    </row>
    <row r="173" spans="1:13" ht="112.5" customHeight="1" x14ac:dyDescent="0.15">
      <c r="A173" s="54">
        <v>2136</v>
      </c>
      <c r="B173" s="55" t="s">
        <v>3526</v>
      </c>
      <c r="C173" s="55" t="s">
        <v>4022</v>
      </c>
      <c r="D173" s="56" t="s">
        <v>4023</v>
      </c>
      <c r="E173" s="2"/>
      <c r="F173" s="57"/>
      <c r="G173" s="62" t="s">
        <v>4024</v>
      </c>
      <c r="H173" s="59">
        <v>0</v>
      </c>
      <c r="I173" s="29"/>
      <c r="J173" s="29"/>
      <c r="K173" s="29"/>
      <c r="L173" s="29"/>
      <c r="M173" s="29"/>
    </row>
    <row r="174" spans="1:13" ht="112.5" customHeight="1" x14ac:dyDescent="0.15">
      <c r="A174" s="60">
        <v>2135</v>
      </c>
      <c r="B174" s="30" t="s">
        <v>3526</v>
      </c>
      <c r="C174" s="30" t="s">
        <v>4025</v>
      </c>
      <c r="D174" s="61" t="s">
        <v>4026</v>
      </c>
      <c r="E174" s="2"/>
      <c r="F174" s="57"/>
      <c r="G174" s="58" t="s">
        <v>4027</v>
      </c>
      <c r="H174" s="59">
        <v>0</v>
      </c>
      <c r="I174" s="29"/>
      <c r="J174" s="29"/>
      <c r="K174" s="29"/>
      <c r="L174" s="29"/>
      <c r="M174" s="29"/>
    </row>
    <row r="175" spans="1:13" ht="112.5" customHeight="1" x14ac:dyDescent="0.15">
      <c r="A175" s="54">
        <v>2134</v>
      </c>
      <c r="B175" s="55" t="s">
        <v>3526</v>
      </c>
      <c r="C175" s="55" t="s">
        <v>4028</v>
      </c>
      <c r="D175" s="56" t="s">
        <v>4029</v>
      </c>
      <c r="E175" s="2"/>
      <c r="F175" s="57"/>
      <c r="G175" s="62" t="s">
        <v>4030</v>
      </c>
      <c r="H175" s="59">
        <v>0</v>
      </c>
      <c r="I175" s="29"/>
      <c r="J175" s="29"/>
      <c r="K175" s="29"/>
      <c r="L175" s="29"/>
      <c r="M175" s="29"/>
    </row>
    <row r="176" spans="1:13" ht="112.5" customHeight="1" x14ac:dyDescent="0.15">
      <c r="A176" s="54">
        <v>264</v>
      </c>
      <c r="B176" s="55" t="s">
        <v>3526</v>
      </c>
      <c r="C176" s="55" t="s">
        <v>4031</v>
      </c>
      <c r="D176" s="56" t="s">
        <v>4032</v>
      </c>
      <c r="E176" s="2"/>
      <c r="F176" s="57"/>
      <c r="G176" s="58" t="s">
        <v>4033</v>
      </c>
      <c r="H176" s="59">
        <v>0</v>
      </c>
      <c r="I176" s="29"/>
      <c r="J176" s="29"/>
      <c r="K176" s="29"/>
      <c r="L176" s="29"/>
      <c r="M176" s="29"/>
    </row>
    <row r="177" spans="1:13" ht="112.5" customHeight="1" x14ac:dyDescent="0.15">
      <c r="A177" s="54">
        <v>2132</v>
      </c>
      <c r="B177" s="55" t="s">
        <v>3526</v>
      </c>
      <c r="C177" s="55" t="s">
        <v>4034</v>
      </c>
      <c r="D177" s="56" t="s">
        <v>4035</v>
      </c>
      <c r="E177" s="2"/>
      <c r="F177" s="57"/>
      <c r="G177" s="62" t="s">
        <v>4036</v>
      </c>
      <c r="H177" s="59">
        <v>0</v>
      </c>
      <c r="I177" s="29"/>
      <c r="J177" s="29"/>
      <c r="K177" s="29"/>
      <c r="L177" s="29"/>
      <c r="M177" s="29"/>
    </row>
    <row r="178" spans="1:13" ht="112.5" customHeight="1" x14ac:dyDescent="0.15">
      <c r="A178" s="54">
        <v>2130</v>
      </c>
      <c r="B178" s="55" t="s">
        <v>3526</v>
      </c>
      <c r="C178" s="55" t="s">
        <v>4037</v>
      </c>
      <c r="D178" s="56" t="s">
        <v>4038</v>
      </c>
      <c r="E178" s="2"/>
      <c r="F178" s="57"/>
      <c r="G178" s="58" t="s">
        <v>4039</v>
      </c>
      <c r="H178" s="59">
        <v>0</v>
      </c>
      <c r="I178" s="29"/>
      <c r="J178" s="29"/>
      <c r="K178" s="29"/>
      <c r="L178" s="29"/>
      <c r="M178" s="29"/>
    </row>
    <row r="179" spans="1:13" ht="112.5" customHeight="1" x14ac:dyDescent="0.15">
      <c r="A179" s="54">
        <v>2758</v>
      </c>
      <c r="B179" s="55" t="s">
        <v>3526</v>
      </c>
      <c r="C179" s="55" t="s">
        <v>4040</v>
      </c>
      <c r="D179" s="56" t="s">
        <v>4041</v>
      </c>
      <c r="E179" s="2"/>
      <c r="F179" s="57"/>
      <c r="G179" s="62" t="s">
        <v>4042</v>
      </c>
      <c r="H179" s="59">
        <v>0</v>
      </c>
      <c r="I179" s="29"/>
      <c r="J179" s="29"/>
      <c r="K179" s="29"/>
      <c r="L179" s="29"/>
      <c r="M179" s="29"/>
    </row>
    <row r="180" spans="1:13" ht="112.5" customHeight="1" x14ac:dyDescent="0.15">
      <c r="A180" s="60">
        <v>2133</v>
      </c>
      <c r="B180" s="30" t="s">
        <v>3526</v>
      </c>
      <c r="C180" s="30" t="s">
        <v>4043</v>
      </c>
      <c r="D180" s="61" t="s">
        <v>4044</v>
      </c>
      <c r="E180" s="2"/>
      <c r="F180" s="57"/>
      <c r="G180" s="58" t="s">
        <v>4045</v>
      </c>
      <c r="H180" s="59">
        <v>0</v>
      </c>
      <c r="I180" s="29"/>
      <c r="J180" s="29"/>
      <c r="K180" s="29"/>
      <c r="L180" s="29"/>
      <c r="M180" s="29"/>
    </row>
    <row r="181" spans="1:13" ht="112.5" customHeight="1" x14ac:dyDescent="0.15">
      <c r="A181" s="60">
        <v>2131</v>
      </c>
      <c r="B181" s="30" t="s">
        <v>3526</v>
      </c>
      <c r="C181" s="30" t="s">
        <v>4046</v>
      </c>
      <c r="D181" s="61" t="s">
        <v>4047</v>
      </c>
      <c r="E181" s="2"/>
      <c r="F181" s="57"/>
      <c r="G181" s="62" t="s">
        <v>4048</v>
      </c>
      <c r="H181" s="59">
        <v>0</v>
      </c>
      <c r="I181" s="29"/>
      <c r="J181" s="29"/>
      <c r="K181" s="29"/>
      <c r="L181" s="29"/>
      <c r="M181" s="29"/>
    </row>
    <row r="182" spans="1:13" ht="112.5" customHeight="1" x14ac:dyDescent="0.15">
      <c r="A182" s="60">
        <v>2129</v>
      </c>
      <c r="B182" s="30" t="s">
        <v>3818</v>
      </c>
      <c r="C182" s="30" t="s">
        <v>4049</v>
      </c>
      <c r="D182" s="61" t="s">
        <v>4050</v>
      </c>
      <c r="E182" s="2"/>
      <c r="F182" s="57"/>
      <c r="G182" s="58" t="s">
        <v>4051</v>
      </c>
      <c r="H182" s="59">
        <v>0</v>
      </c>
      <c r="I182" s="29"/>
      <c r="J182" s="29"/>
      <c r="K182" s="29"/>
      <c r="L182" s="29"/>
      <c r="M182" s="29"/>
    </row>
    <row r="183" spans="1:13" ht="112.5" customHeight="1" x14ac:dyDescent="0.15">
      <c r="A183" s="54">
        <v>3198</v>
      </c>
      <c r="B183" s="55" t="s">
        <v>3526</v>
      </c>
      <c r="C183" s="55" t="s">
        <v>4052</v>
      </c>
      <c r="D183" s="56" t="s">
        <v>4053</v>
      </c>
      <c r="E183" s="2"/>
      <c r="F183" s="57"/>
      <c r="G183" s="62" t="s">
        <v>4054</v>
      </c>
      <c r="H183" s="59">
        <v>980</v>
      </c>
      <c r="I183" s="29"/>
      <c r="J183" s="29"/>
      <c r="K183" s="29"/>
      <c r="L183" s="29"/>
      <c r="M183" s="29"/>
    </row>
    <row r="184" spans="1:13" ht="112.5" customHeight="1" x14ac:dyDescent="0.15">
      <c r="A184" s="60">
        <v>3213</v>
      </c>
      <c r="B184" s="30" t="s">
        <v>3526</v>
      </c>
      <c r="C184" s="30" t="s">
        <v>4055</v>
      </c>
      <c r="D184" s="61" t="s">
        <v>4056</v>
      </c>
      <c r="E184" s="2"/>
      <c r="F184" s="57"/>
      <c r="G184" s="58" t="s">
        <v>4057</v>
      </c>
      <c r="H184" s="59">
        <v>3.532</v>
      </c>
      <c r="I184" s="29"/>
      <c r="J184" s="29"/>
      <c r="K184" s="29"/>
      <c r="L184" s="29"/>
      <c r="M184" s="29"/>
    </row>
    <row r="185" spans="1:13" ht="112.5" customHeight="1" x14ac:dyDescent="0.15">
      <c r="A185" s="54">
        <v>2128</v>
      </c>
      <c r="B185" s="55" t="s">
        <v>3526</v>
      </c>
      <c r="C185" s="55" t="s">
        <v>4058</v>
      </c>
      <c r="D185" s="56" t="s">
        <v>4059</v>
      </c>
      <c r="E185" s="2"/>
      <c r="F185" s="57"/>
      <c r="G185" s="62" t="s">
        <v>4060</v>
      </c>
      <c r="H185" s="59">
        <v>0</v>
      </c>
      <c r="I185" s="29"/>
      <c r="J185" s="29"/>
      <c r="K185" s="29"/>
      <c r="L185" s="29"/>
      <c r="M185" s="29"/>
    </row>
    <row r="186" spans="1:13" ht="112.5" customHeight="1" x14ac:dyDescent="0.15">
      <c r="A186" s="60">
        <v>2127</v>
      </c>
      <c r="B186" s="30" t="s">
        <v>3526</v>
      </c>
      <c r="C186" s="30" t="s">
        <v>4061</v>
      </c>
      <c r="D186" s="61" t="s">
        <v>4062</v>
      </c>
      <c r="E186" s="2"/>
      <c r="F186" s="57"/>
      <c r="G186" s="58" t="s">
        <v>4063</v>
      </c>
      <c r="H186" s="59">
        <v>98</v>
      </c>
      <c r="I186" s="29"/>
      <c r="J186" s="29"/>
      <c r="K186" s="29"/>
      <c r="L186" s="29"/>
      <c r="M186" s="29"/>
    </row>
    <row r="187" spans="1:13" ht="112.5" customHeight="1" x14ac:dyDescent="0.15">
      <c r="A187" s="54">
        <v>2126</v>
      </c>
      <c r="B187" s="55" t="s">
        <v>3526</v>
      </c>
      <c r="C187" s="55" t="s">
        <v>4064</v>
      </c>
      <c r="D187" s="56" t="s">
        <v>4065</v>
      </c>
      <c r="E187" s="2"/>
      <c r="F187" s="57"/>
      <c r="G187" s="62" t="s">
        <v>4066</v>
      </c>
      <c r="H187" s="59">
        <v>87</v>
      </c>
      <c r="I187" s="29"/>
      <c r="J187" s="29"/>
      <c r="K187" s="29"/>
      <c r="L187" s="29"/>
      <c r="M187" s="29"/>
    </row>
    <row r="188" spans="1:13" ht="112.5" customHeight="1" x14ac:dyDescent="0.15">
      <c r="A188" s="60">
        <v>2125</v>
      </c>
      <c r="B188" s="30" t="s">
        <v>3526</v>
      </c>
      <c r="C188" s="30" t="s">
        <v>4067</v>
      </c>
      <c r="D188" s="61" t="s">
        <v>4068</v>
      </c>
      <c r="E188" s="2"/>
      <c r="F188" s="57"/>
      <c r="G188" s="58" t="s">
        <v>4069</v>
      </c>
      <c r="H188" s="59">
        <v>99</v>
      </c>
      <c r="I188" s="29"/>
      <c r="J188" s="29"/>
      <c r="K188" s="29"/>
      <c r="L188" s="29"/>
      <c r="M188" s="29"/>
    </row>
    <row r="189" spans="1:13" ht="112.5" customHeight="1" x14ac:dyDescent="0.15">
      <c r="A189" s="54">
        <v>2124</v>
      </c>
      <c r="B189" s="55" t="s">
        <v>3526</v>
      </c>
      <c r="C189" s="55" t="s">
        <v>4070</v>
      </c>
      <c r="D189" s="56" t="s">
        <v>4071</v>
      </c>
      <c r="E189" s="2"/>
      <c r="F189" s="57"/>
      <c r="G189" s="62" t="s">
        <v>4072</v>
      </c>
      <c r="H189" s="59">
        <v>95</v>
      </c>
      <c r="I189" s="29"/>
      <c r="J189" s="29"/>
      <c r="K189" s="29"/>
      <c r="L189" s="29"/>
      <c r="M189" s="29"/>
    </row>
    <row r="190" spans="1:13" ht="112.5" customHeight="1" x14ac:dyDescent="0.15">
      <c r="A190" s="60">
        <v>2123</v>
      </c>
      <c r="B190" s="30" t="s">
        <v>3526</v>
      </c>
      <c r="C190" s="30" t="s">
        <v>4073</v>
      </c>
      <c r="D190" s="61" t="s">
        <v>4074</v>
      </c>
      <c r="E190" s="2"/>
      <c r="F190" s="57"/>
      <c r="G190" s="58" t="s">
        <v>4075</v>
      </c>
      <c r="H190" s="59">
        <v>95</v>
      </c>
      <c r="I190" s="29"/>
      <c r="J190" s="29"/>
      <c r="K190" s="29"/>
      <c r="L190" s="29"/>
      <c r="M190" s="29"/>
    </row>
    <row r="191" spans="1:13" ht="112.5" customHeight="1" x14ac:dyDescent="0.15">
      <c r="A191" s="54">
        <v>2122</v>
      </c>
      <c r="B191" s="55" t="s">
        <v>3526</v>
      </c>
      <c r="C191" s="55" t="s">
        <v>4076</v>
      </c>
      <c r="D191" s="56" t="s">
        <v>4077</v>
      </c>
      <c r="E191" s="2"/>
      <c r="F191" s="57"/>
      <c r="G191" s="62" t="s">
        <v>4078</v>
      </c>
      <c r="H191" s="59">
        <v>969</v>
      </c>
      <c r="I191" s="29"/>
      <c r="J191" s="29"/>
      <c r="K191" s="29"/>
      <c r="L191" s="29"/>
      <c r="M191" s="29"/>
    </row>
    <row r="192" spans="1:13" ht="112.5" customHeight="1" x14ac:dyDescent="0.15">
      <c r="A192" s="60">
        <v>2121</v>
      </c>
      <c r="B192" s="30" t="s">
        <v>3502</v>
      </c>
      <c r="C192" s="30" t="s">
        <v>4079</v>
      </c>
      <c r="D192" s="61" t="s">
        <v>4080</v>
      </c>
      <c r="E192" s="2"/>
      <c r="F192" s="57"/>
      <c r="G192" s="58" t="s">
        <v>4081</v>
      </c>
      <c r="H192" s="59">
        <v>47</v>
      </c>
      <c r="I192" s="29"/>
      <c r="J192" s="29"/>
      <c r="K192" s="29"/>
      <c r="L192" s="29"/>
      <c r="M192" s="29"/>
    </row>
    <row r="193" spans="1:13" ht="112.5" customHeight="1" x14ac:dyDescent="0.15">
      <c r="A193" s="54">
        <v>2120</v>
      </c>
      <c r="B193" s="55" t="s">
        <v>3513</v>
      </c>
      <c r="C193" s="55" t="s">
        <v>4082</v>
      </c>
      <c r="D193" s="56" t="s">
        <v>4083</v>
      </c>
      <c r="E193" s="2"/>
      <c r="F193" s="57"/>
      <c r="G193" s="62" t="s">
        <v>4084</v>
      </c>
      <c r="H193" s="59">
        <v>927</v>
      </c>
      <c r="I193" s="29"/>
      <c r="J193" s="29"/>
      <c r="K193" s="29"/>
      <c r="L193" s="29"/>
      <c r="M193" s="29"/>
    </row>
    <row r="194" spans="1:13" ht="112.5" customHeight="1" x14ac:dyDescent="0.15">
      <c r="A194" s="60">
        <v>2119</v>
      </c>
      <c r="B194" s="30" t="s">
        <v>3513</v>
      </c>
      <c r="C194" s="30" t="s">
        <v>4085</v>
      </c>
      <c r="D194" s="61" t="s">
        <v>4086</v>
      </c>
      <c r="E194" s="2"/>
      <c r="F194" s="57"/>
      <c r="G194" s="58" t="s">
        <v>4087</v>
      </c>
      <c r="H194" s="59">
        <v>895</v>
      </c>
      <c r="I194" s="29"/>
      <c r="J194" s="29"/>
      <c r="K194" s="29"/>
      <c r="L194" s="29"/>
      <c r="M194" s="29"/>
    </row>
    <row r="195" spans="1:13" ht="112.5" customHeight="1" x14ac:dyDescent="0.15">
      <c r="A195" s="54">
        <v>2118</v>
      </c>
      <c r="B195" s="55" t="s">
        <v>3513</v>
      </c>
      <c r="C195" s="55" t="s">
        <v>4088</v>
      </c>
      <c r="D195" s="56" t="s">
        <v>4089</v>
      </c>
      <c r="E195" s="2"/>
      <c r="F195" s="57"/>
      <c r="G195" s="62" t="s">
        <v>4090</v>
      </c>
      <c r="H195" s="59">
        <v>9.3000000000000007</v>
      </c>
      <c r="I195" s="29"/>
      <c r="J195" s="29"/>
      <c r="K195" s="29"/>
      <c r="L195" s="29"/>
      <c r="M195" s="29"/>
    </row>
    <row r="196" spans="1:13" ht="112.5" customHeight="1" x14ac:dyDescent="0.15">
      <c r="A196" s="60">
        <v>2117</v>
      </c>
      <c r="B196" s="30" t="s">
        <v>3556</v>
      </c>
      <c r="C196" s="30" t="s">
        <v>4091</v>
      </c>
      <c r="D196" s="61" t="s">
        <v>4092</v>
      </c>
      <c r="E196" s="2"/>
      <c r="F196" s="57"/>
      <c r="G196" s="58" t="s">
        <v>4093</v>
      </c>
      <c r="H196" s="59">
        <v>0</v>
      </c>
      <c r="I196" s="29"/>
      <c r="J196" s="29"/>
      <c r="K196" s="29"/>
      <c r="L196" s="29"/>
      <c r="M196" s="29"/>
    </row>
    <row r="197" spans="1:13" ht="112.5" customHeight="1" x14ac:dyDescent="0.15">
      <c r="A197" s="54">
        <v>2116</v>
      </c>
      <c r="B197" s="55" t="s">
        <v>3492</v>
      </c>
      <c r="C197" s="55" t="s">
        <v>4094</v>
      </c>
      <c r="D197" s="56" t="s">
        <v>4095</v>
      </c>
      <c r="E197" s="2"/>
      <c r="F197" s="57"/>
      <c r="G197" s="65"/>
      <c r="H197" s="59">
        <v>0</v>
      </c>
      <c r="I197" s="29"/>
      <c r="J197" s="29"/>
      <c r="K197" s="29"/>
      <c r="L197" s="29"/>
      <c r="M197" s="29"/>
    </row>
    <row r="198" spans="1:13" ht="112.5" customHeight="1" x14ac:dyDescent="0.15">
      <c r="A198" s="60">
        <v>2115</v>
      </c>
      <c r="B198" s="30" t="s">
        <v>3670</v>
      </c>
      <c r="C198" s="30" t="s">
        <v>4096</v>
      </c>
      <c r="D198" s="61" t="s">
        <v>4097</v>
      </c>
      <c r="E198" s="2"/>
      <c r="F198" s="57"/>
      <c r="G198" s="58" t="s">
        <v>4098</v>
      </c>
      <c r="H198" s="59">
        <v>999</v>
      </c>
      <c r="I198" s="29"/>
      <c r="J198" s="29"/>
      <c r="K198" s="29"/>
      <c r="L198" s="29"/>
      <c r="M198" s="29"/>
    </row>
    <row r="199" spans="1:13" ht="112.5" customHeight="1" x14ac:dyDescent="0.15">
      <c r="A199" s="54">
        <v>2112</v>
      </c>
      <c r="B199" s="55" t="s">
        <v>3670</v>
      </c>
      <c r="C199" s="55" t="s">
        <v>4099</v>
      </c>
      <c r="D199" s="56" t="s">
        <v>4100</v>
      </c>
      <c r="E199" s="2"/>
      <c r="F199" s="57"/>
      <c r="G199" s="62" t="s">
        <v>4101</v>
      </c>
      <c r="H199" s="59">
        <v>0</v>
      </c>
      <c r="I199" s="29"/>
      <c r="J199" s="29"/>
      <c r="K199" s="29"/>
      <c r="L199" s="29"/>
      <c r="M199" s="29"/>
    </row>
    <row r="200" spans="1:13" ht="112.5" customHeight="1" x14ac:dyDescent="0.15">
      <c r="A200" s="60">
        <v>2113</v>
      </c>
      <c r="B200" s="30" t="s">
        <v>3670</v>
      </c>
      <c r="C200" s="30" t="s">
        <v>4102</v>
      </c>
      <c r="D200" s="61" t="s">
        <v>4103</v>
      </c>
      <c r="E200" s="2"/>
      <c r="F200" s="57"/>
      <c r="G200" s="58" t="s">
        <v>4104</v>
      </c>
      <c r="H200" s="59">
        <v>1</v>
      </c>
      <c r="I200" s="29"/>
      <c r="J200" s="29"/>
      <c r="K200" s="29"/>
      <c r="L200" s="29"/>
      <c r="M200" s="29"/>
    </row>
    <row r="201" spans="1:13" ht="112.5" customHeight="1" x14ac:dyDescent="0.15">
      <c r="A201" s="54">
        <v>2114</v>
      </c>
      <c r="B201" s="55" t="s">
        <v>3670</v>
      </c>
      <c r="C201" s="55" t="s">
        <v>4105</v>
      </c>
      <c r="D201" s="56" t="s">
        <v>4106</v>
      </c>
      <c r="E201" s="2"/>
      <c r="F201" s="57"/>
      <c r="G201" s="62" t="s">
        <v>4107</v>
      </c>
      <c r="H201" s="59">
        <v>0</v>
      </c>
      <c r="I201" s="29"/>
      <c r="J201" s="29"/>
      <c r="K201" s="29"/>
      <c r="L201" s="29"/>
      <c r="M201" s="29"/>
    </row>
    <row r="202" spans="1:13" ht="112.5" customHeight="1" x14ac:dyDescent="0.15">
      <c r="A202" s="54">
        <v>216</v>
      </c>
      <c r="B202" s="55" t="s">
        <v>3670</v>
      </c>
      <c r="C202" s="55" t="s">
        <v>4108</v>
      </c>
      <c r="D202" s="56" t="s">
        <v>4109</v>
      </c>
      <c r="E202" s="2"/>
      <c r="F202" s="57"/>
      <c r="G202" s="58" t="s">
        <v>4110</v>
      </c>
      <c r="H202" s="59">
        <v>0</v>
      </c>
      <c r="I202" s="29"/>
      <c r="J202" s="29"/>
      <c r="K202" s="29"/>
      <c r="L202" s="29"/>
      <c r="M202" s="29"/>
    </row>
    <row r="203" spans="1:13" ht="112.5" customHeight="1" x14ac:dyDescent="0.15">
      <c r="A203" s="60">
        <v>2111</v>
      </c>
      <c r="B203" s="30" t="s">
        <v>3670</v>
      </c>
      <c r="C203" s="30" t="s">
        <v>4111</v>
      </c>
      <c r="D203" s="61" t="s">
        <v>4112</v>
      </c>
      <c r="E203" s="2"/>
      <c r="F203" s="57"/>
      <c r="G203" s="62" t="s">
        <v>4113</v>
      </c>
      <c r="H203" s="59">
        <v>972</v>
      </c>
      <c r="I203" s="29"/>
      <c r="J203" s="29"/>
      <c r="K203" s="29"/>
      <c r="L203" s="29"/>
      <c r="M203" s="29"/>
    </row>
    <row r="204" spans="1:13" ht="112.5" customHeight="1" x14ac:dyDescent="0.15">
      <c r="A204" s="60">
        <v>2109</v>
      </c>
      <c r="B204" s="30" t="s">
        <v>3670</v>
      </c>
      <c r="C204" s="30" t="s">
        <v>4114</v>
      </c>
      <c r="D204" s="61" t="s">
        <v>4115</v>
      </c>
      <c r="E204" s="2"/>
      <c r="F204" s="57"/>
      <c r="G204" s="58" t="s">
        <v>4116</v>
      </c>
      <c r="H204" s="59">
        <v>0</v>
      </c>
      <c r="I204" s="29"/>
      <c r="J204" s="29"/>
      <c r="K204" s="29"/>
      <c r="L204" s="29"/>
      <c r="M204" s="29"/>
    </row>
    <row r="205" spans="1:13" ht="112.5" customHeight="1" x14ac:dyDescent="0.15">
      <c r="A205" s="54">
        <v>2110</v>
      </c>
      <c r="B205" s="55" t="s">
        <v>3670</v>
      </c>
      <c r="C205" s="55" t="s">
        <v>4117</v>
      </c>
      <c r="D205" s="56" t="s">
        <v>4118</v>
      </c>
      <c r="E205" s="2"/>
      <c r="F205" s="57"/>
      <c r="G205" s="62" t="s">
        <v>4119</v>
      </c>
      <c r="H205" s="59">
        <v>0</v>
      </c>
      <c r="I205" s="29"/>
      <c r="J205" s="29"/>
      <c r="K205" s="29"/>
      <c r="L205" s="29"/>
      <c r="M205" s="29"/>
    </row>
    <row r="206" spans="1:13" ht="112.5" customHeight="1" x14ac:dyDescent="0.15">
      <c r="A206" s="54">
        <v>2108</v>
      </c>
      <c r="B206" s="55" t="s">
        <v>3670</v>
      </c>
      <c r="C206" s="55" t="s">
        <v>4120</v>
      </c>
      <c r="D206" s="56" t="s">
        <v>4121</v>
      </c>
      <c r="E206" s="2"/>
      <c r="F206" s="57"/>
      <c r="G206" s="58" t="s">
        <v>4122</v>
      </c>
      <c r="H206" s="59">
        <v>0</v>
      </c>
      <c r="I206" s="29"/>
      <c r="J206" s="29"/>
      <c r="K206" s="29"/>
      <c r="L206" s="29"/>
      <c r="M206" s="29"/>
    </row>
    <row r="207" spans="1:13" ht="112.5" customHeight="1" x14ac:dyDescent="0.15">
      <c r="A207" s="60">
        <v>2107</v>
      </c>
      <c r="B207" s="30" t="s">
        <v>3556</v>
      </c>
      <c r="C207" s="30" t="s">
        <v>4123</v>
      </c>
      <c r="D207" s="61" t="s">
        <v>4124</v>
      </c>
      <c r="E207" s="2"/>
      <c r="F207" s="57"/>
      <c r="G207" s="62" t="s">
        <v>4125</v>
      </c>
      <c r="H207" s="59">
        <v>430</v>
      </c>
      <c r="I207" s="29"/>
      <c r="J207" s="29"/>
      <c r="K207" s="29"/>
      <c r="L207" s="29"/>
      <c r="M207" s="29"/>
    </row>
    <row r="208" spans="1:13" ht="112.5" customHeight="1" x14ac:dyDescent="0.15">
      <c r="A208" s="54">
        <v>2106</v>
      </c>
      <c r="B208" s="55" t="s">
        <v>3898</v>
      </c>
      <c r="C208" s="55" t="s">
        <v>4126</v>
      </c>
      <c r="D208" s="56" t="s">
        <v>4127</v>
      </c>
      <c r="E208" s="2"/>
      <c r="F208" s="57"/>
      <c r="G208" s="58" t="s">
        <v>4128</v>
      </c>
      <c r="H208" s="59">
        <v>888</v>
      </c>
      <c r="I208" s="29"/>
      <c r="J208" s="29"/>
      <c r="K208" s="29"/>
      <c r="L208" s="29"/>
      <c r="M208" s="29"/>
    </row>
    <row r="209" spans="1:13" ht="112.5" customHeight="1" x14ac:dyDescent="0.15">
      <c r="A209" s="60">
        <v>2105</v>
      </c>
      <c r="B209" s="30" t="s">
        <v>3898</v>
      </c>
      <c r="C209" s="30" t="s">
        <v>4129</v>
      </c>
      <c r="D209" s="61" t="s">
        <v>4130</v>
      </c>
      <c r="E209" s="2"/>
      <c r="F209" s="57"/>
      <c r="G209" s="62" t="s">
        <v>4131</v>
      </c>
      <c r="H209" s="59">
        <v>900</v>
      </c>
      <c r="I209" s="29"/>
      <c r="J209" s="29"/>
      <c r="K209" s="29"/>
      <c r="L209" s="29"/>
      <c r="M209" s="29"/>
    </row>
    <row r="210" spans="1:13" ht="112.5" customHeight="1" x14ac:dyDescent="0.15">
      <c r="A210" s="54">
        <v>2104</v>
      </c>
      <c r="B210" s="55" t="s">
        <v>3513</v>
      </c>
      <c r="C210" s="55" t="s">
        <v>4132</v>
      </c>
      <c r="D210" s="56" t="s">
        <v>4133</v>
      </c>
      <c r="E210" s="2"/>
      <c r="F210" s="57"/>
      <c r="G210" s="58" t="s">
        <v>4134</v>
      </c>
      <c r="H210" s="59">
        <v>497</v>
      </c>
      <c r="I210" s="29"/>
      <c r="J210" s="29"/>
      <c r="K210" s="29"/>
      <c r="L210" s="29"/>
      <c r="M210" s="29"/>
    </row>
    <row r="211" spans="1:13" ht="112.5" customHeight="1" x14ac:dyDescent="0.15">
      <c r="A211" s="60">
        <v>2103</v>
      </c>
      <c r="B211" s="30" t="s">
        <v>3533</v>
      </c>
      <c r="C211" s="30" t="s">
        <v>4135</v>
      </c>
      <c r="D211" s="61" t="s">
        <v>4136</v>
      </c>
      <c r="E211" s="2"/>
      <c r="F211" s="57"/>
      <c r="G211" s="62" t="s">
        <v>4137</v>
      </c>
      <c r="H211" s="59">
        <v>0</v>
      </c>
      <c r="I211" s="29"/>
      <c r="J211" s="29"/>
      <c r="K211" s="29"/>
      <c r="L211" s="29"/>
      <c r="M211" s="29"/>
    </row>
    <row r="212" spans="1:13" ht="112.5" customHeight="1" x14ac:dyDescent="0.15">
      <c r="A212" s="54">
        <v>2102</v>
      </c>
      <c r="B212" s="55" t="s">
        <v>3533</v>
      </c>
      <c r="C212" s="55" t="s">
        <v>4138</v>
      </c>
      <c r="D212" s="56" t="s">
        <v>4139</v>
      </c>
      <c r="E212" s="2"/>
      <c r="F212" s="57"/>
      <c r="G212" s="58" t="s">
        <v>4140</v>
      </c>
      <c r="H212" s="59">
        <v>0</v>
      </c>
      <c r="I212" s="29"/>
      <c r="J212" s="29"/>
      <c r="K212" s="29"/>
      <c r="L212" s="29"/>
      <c r="M212" s="29"/>
    </row>
    <row r="213" spans="1:13" ht="112.5" customHeight="1" x14ac:dyDescent="0.15">
      <c r="A213" s="60">
        <v>2101</v>
      </c>
      <c r="B213" s="30" t="s">
        <v>3599</v>
      </c>
      <c r="C213" s="30" t="s">
        <v>4141</v>
      </c>
      <c r="D213" s="61" t="s">
        <v>4142</v>
      </c>
      <c r="E213" s="2"/>
      <c r="F213" s="57"/>
      <c r="G213" s="62" t="s">
        <v>4143</v>
      </c>
      <c r="H213" s="59">
        <v>9.9499999999999993</v>
      </c>
      <c r="I213" s="29"/>
      <c r="J213" s="29"/>
      <c r="K213" s="29"/>
      <c r="L213" s="29"/>
      <c r="M213" s="29"/>
    </row>
    <row r="214" spans="1:13" ht="112.5" customHeight="1" x14ac:dyDescent="0.15">
      <c r="A214" s="54">
        <v>2100</v>
      </c>
      <c r="B214" s="55" t="s">
        <v>3533</v>
      </c>
      <c r="C214" s="55" t="s">
        <v>4144</v>
      </c>
      <c r="D214" s="56" t="s">
        <v>4145</v>
      </c>
      <c r="E214" s="2"/>
      <c r="F214" s="57"/>
      <c r="G214" s="58" t="s">
        <v>4146</v>
      </c>
      <c r="H214" s="59">
        <v>0</v>
      </c>
      <c r="I214" s="29"/>
      <c r="J214" s="29"/>
      <c r="K214" s="29"/>
      <c r="L214" s="29"/>
      <c r="M214" s="29"/>
    </row>
    <row r="215" spans="1:13" ht="112.5" customHeight="1" x14ac:dyDescent="0.15">
      <c r="A215" s="60">
        <v>2099</v>
      </c>
      <c r="B215" s="30" t="s">
        <v>3814</v>
      </c>
      <c r="C215" s="30" t="s">
        <v>4147</v>
      </c>
      <c r="D215" s="61" t="s">
        <v>4148</v>
      </c>
      <c r="E215" s="2"/>
      <c r="F215" s="57"/>
      <c r="G215" s="62" t="s">
        <v>4149</v>
      </c>
      <c r="H215" s="59">
        <v>0</v>
      </c>
      <c r="I215" s="29"/>
      <c r="J215" s="29"/>
      <c r="K215" s="29"/>
      <c r="L215" s="29"/>
      <c r="M215" s="29"/>
    </row>
    <row r="216" spans="1:13" ht="112.5" customHeight="1" x14ac:dyDescent="0.15">
      <c r="A216" s="54">
        <v>2098</v>
      </c>
      <c r="B216" s="55" t="s">
        <v>3822</v>
      </c>
      <c r="C216" s="55" t="s">
        <v>4150</v>
      </c>
      <c r="D216" s="56" t="s">
        <v>4151</v>
      </c>
      <c r="E216" s="2"/>
      <c r="F216" s="57"/>
      <c r="G216" s="64" t="s">
        <v>4152</v>
      </c>
      <c r="H216" s="59">
        <v>70</v>
      </c>
    </row>
    <row r="217" spans="1:13" ht="112.5" customHeight="1" x14ac:dyDescent="0.15">
      <c r="A217" s="60">
        <v>2097</v>
      </c>
      <c r="B217" s="30" t="s">
        <v>3509</v>
      </c>
      <c r="C217" s="30" t="s">
        <v>4153</v>
      </c>
      <c r="D217" s="61" t="s">
        <v>4154</v>
      </c>
      <c r="E217" s="2"/>
      <c r="F217" s="57"/>
      <c r="G217" s="63" t="s">
        <v>4155</v>
      </c>
      <c r="H217" s="59">
        <v>988</v>
      </c>
    </row>
    <row r="218" spans="1:13" ht="112.5" customHeight="1" x14ac:dyDescent="0.15">
      <c r="A218" s="60">
        <v>2095</v>
      </c>
      <c r="B218" s="30" t="s">
        <v>3509</v>
      </c>
      <c r="C218" s="30" t="s">
        <v>4156</v>
      </c>
      <c r="D218" s="61" t="s">
        <v>4157</v>
      </c>
      <c r="E218" s="2"/>
      <c r="F218" s="57"/>
      <c r="G218" s="58" t="s">
        <v>4158</v>
      </c>
      <c r="H218" s="59">
        <v>1</v>
      </c>
      <c r="I218" s="29"/>
      <c r="J218" s="29"/>
      <c r="K218" s="29"/>
      <c r="L218" s="29"/>
      <c r="M218" s="29"/>
    </row>
    <row r="219" spans="1:13" ht="112.5" customHeight="1" x14ac:dyDescent="0.15">
      <c r="A219" s="54">
        <v>2094</v>
      </c>
      <c r="B219" s="55" t="s">
        <v>3509</v>
      </c>
      <c r="C219" s="55" t="s">
        <v>4159</v>
      </c>
      <c r="D219" s="56" t="s">
        <v>4160</v>
      </c>
      <c r="E219" s="2"/>
      <c r="F219" s="57"/>
      <c r="G219" s="62" t="s">
        <v>4161</v>
      </c>
      <c r="H219" s="59">
        <v>0</v>
      </c>
      <c r="I219" s="29"/>
      <c r="J219" s="29"/>
      <c r="K219" s="29"/>
      <c r="L219" s="29"/>
      <c r="M219" s="29"/>
    </row>
    <row r="220" spans="1:13" ht="112.5" customHeight="1" x14ac:dyDescent="0.15">
      <c r="A220" s="60">
        <v>2093</v>
      </c>
      <c r="B220" s="30" t="s">
        <v>3509</v>
      </c>
      <c r="C220" s="30" t="s">
        <v>4162</v>
      </c>
      <c r="D220" s="61" t="s">
        <v>4163</v>
      </c>
      <c r="E220" s="2"/>
      <c r="F220" s="57"/>
      <c r="G220" s="64" t="s">
        <v>4164</v>
      </c>
      <c r="H220" s="59">
        <v>98</v>
      </c>
    </row>
    <row r="221" spans="1:13" ht="112.5" customHeight="1" x14ac:dyDescent="0.15">
      <c r="A221" s="54">
        <v>2092</v>
      </c>
      <c r="B221" s="55" t="s">
        <v>3509</v>
      </c>
      <c r="C221" s="55" t="s">
        <v>4165</v>
      </c>
      <c r="D221" s="56" t="s">
        <v>4166</v>
      </c>
      <c r="E221" s="2"/>
      <c r="F221" s="57"/>
      <c r="G221" s="62" t="s">
        <v>4167</v>
      </c>
      <c r="H221" s="59">
        <v>9.8510000000000009</v>
      </c>
      <c r="I221" s="29"/>
      <c r="J221" s="29"/>
      <c r="K221" s="29"/>
      <c r="L221" s="29"/>
      <c r="M221" s="29"/>
    </row>
    <row r="222" spans="1:13" ht="112.5" customHeight="1" x14ac:dyDescent="0.15">
      <c r="A222" s="60">
        <v>2089</v>
      </c>
      <c r="B222" s="30" t="s">
        <v>3822</v>
      </c>
      <c r="C222" s="30" t="s">
        <v>4168</v>
      </c>
      <c r="D222" s="61" t="s">
        <v>4169</v>
      </c>
      <c r="E222" s="2"/>
      <c r="F222" s="57"/>
      <c r="G222" s="58" t="s">
        <v>4170</v>
      </c>
      <c r="H222" s="59" t="s">
        <v>4171</v>
      </c>
      <c r="I222" s="29"/>
      <c r="J222" s="29"/>
      <c r="K222" s="29"/>
      <c r="L222" s="29"/>
      <c r="M222" s="29"/>
    </row>
    <row r="223" spans="1:13" ht="112.5" customHeight="1" x14ac:dyDescent="0.15">
      <c r="A223" s="60">
        <v>3447</v>
      </c>
      <c r="B223" s="30" t="s">
        <v>3822</v>
      </c>
      <c r="C223" s="30" t="s">
        <v>4172</v>
      </c>
      <c r="D223" s="61" t="s">
        <v>4173</v>
      </c>
      <c r="E223" s="2"/>
      <c r="F223" s="57"/>
      <c r="G223" s="63" t="s">
        <v>4174</v>
      </c>
      <c r="H223" s="59">
        <v>0</v>
      </c>
    </row>
    <row r="224" spans="1:13" ht="112.5" customHeight="1" x14ac:dyDescent="0.15">
      <c r="A224" s="54">
        <v>2090</v>
      </c>
      <c r="B224" s="55" t="s">
        <v>3822</v>
      </c>
      <c r="C224" s="55" t="s">
        <v>4175</v>
      </c>
      <c r="D224" s="56" t="s">
        <v>4176</v>
      </c>
      <c r="E224" s="2"/>
      <c r="F224" s="57"/>
      <c r="G224" s="58" t="s">
        <v>4177</v>
      </c>
      <c r="H224" s="59">
        <v>10</v>
      </c>
      <c r="I224" s="29"/>
      <c r="J224" s="29"/>
      <c r="K224" s="29"/>
      <c r="L224" s="29"/>
      <c r="M224" s="29"/>
    </row>
    <row r="225" spans="1:13" ht="112.5" customHeight="1" x14ac:dyDescent="0.15">
      <c r="A225" s="54">
        <v>2088</v>
      </c>
      <c r="B225" s="55" t="s">
        <v>3822</v>
      </c>
      <c r="C225" s="55" t="s">
        <v>4178</v>
      </c>
      <c r="D225" s="56" t="s">
        <v>4179</v>
      </c>
      <c r="E225" s="2"/>
      <c r="F225" s="57"/>
      <c r="G225" s="62" t="s">
        <v>4180</v>
      </c>
      <c r="H225" s="59">
        <v>0</v>
      </c>
      <c r="I225" s="29"/>
      <c r="J225" s="29"/>
      <c r="K225" s="29"/>
      <c r="L225" s="29"/>
      <c r="M225" s="29"/>
    </row>
    <row r="226" spans="1:13" ht="112.5" customHeight="1" x14ac:dyDescent="0.15">
      <c r="A226" s="60">
        <v>2087</v>
      </c>
      <c r="B226" s="30" t="s">
        <v>3822</v>
      </c>
      <c r="C226" s="30" t="s">
        <v>4181</v>
      </c>
      <c r="D226" s="61" t="s">
        <v>4182</v>
      </c>
      <c r="E226" s="2"/>
      <c r="F226" s="57"/>
      <c r="G226" s="58" t="s">
        <v>4183</v>
      </c>
      <c r="H226" s="59">
        <v>0</v>
      </c>
      <c r="I226" s="29"/>
      <c r="J226" s="29"/>
      <c r="K226" s="29"/>
      <c r="L226" s="29"/>
      <c r="M226" s="29"/>
    </row>
    <row r="227" spans="1:13" ht="112.5" customHeight="1" x14ac:dyDescent="0.15">
      <c r="A227" s="54">
        <v>3448</v>
      </c>
      <c r="B227" s="55" t="s">
        <v>3822</v>
      </c>
      <c r="C227" s="55" t="s">
        <v>4184</v>
      </c>
      <c r="D227" s="56" t="s">
        <v>4185</v>
      </c>
      <c r="E227" s="2"/>
      <c r="F227" s="57"/>
      <c r="G227" s="62" t="s">
        <v>4186</v>
      </c>
      <c r="H227" s="59">
        <v>0</v>
      </c>
      <c r="I227" s="29"/>
      <c r="J227" s="29"/>
      <c r="K227" s="29"/>
      <c r="L227" s="29"/>
      <c r="M227" s="29"/>
    </row>
    <row r="228" spans="1:13" ht="112.5" customHeight="1" x14ac:dyDescent="0.15">
      <c r="A228" s="54">
        <v>2086</v>
      </c>
      <c r="B228" s="55" t="s">
        <v>3822</v>
      </c>
      <c r="C228" s="55" t="s">
        <v>4187</v>
      </c>
      <c r="D228" s="56" t="s">
        <v>4188</v>
      </c>
      <c r="E228" s="2"/>
      <c r="F228" s="57"/>
      <c r="G228" s="58" t="s">
        <v>4189</v>
      </c>
      <c r="H228" s="59">
        <v>812</v>
      </c>
      <c r="I228" s="29"/>
      <c r="J228" s="29"/>
      <c r="K228" s="29"/>
      <c r="L228" s="29"/>
      <c r="M228" s="29"/>
    </row>
    <row r="229" spans="1:13" ht="112.5" customHeight="1" x14ac:dyDescent="0.15">
      <c r="A229" s="60">
        <v>2085</v>
      </c>
      <c r="B229" s="30" t="s">
        <v>3822</v>
      </c>
      <c r="C229" s="30" t="s">
        <v>4190</v>
      </c>
      <c r="D229" s="61" t="s">
        <v>4191</v>
      </c>
      <c r="E229" s="2"/>
      <c r="F229" s="57"/>
      <c r="G229" s="62" t="s">
        <v>4192</v>
      </c>
      <c r="H229" s="59">
        <v>0</v>
      </c>
      <c r="I229" s="29"/>
      <c r="J229" s="29"/>
      <c r="K229" s="29"/>
      <c r="L229" s="29"/>
      <c r="M229" s="29"/>
    </row>
    <row r="230" spans="1:13" ht="112.5" customHeight="1" x14ac:dyDescent="0.15">
      <c r="A230" s="54">
        <v>2084</v>
      </c>
      <c r="B230" s="55" t="s">
        <v>3822</v>
      </c>
      <c r="C230" s="55" t="s">
        <v>4193</v>
      </c>
      <c r="D230" s="56" t="s">
        <v>4194</v>
      </c>
      <c r="E230" s="2"/>
      <c r="F230" s="57"/>
      <c r="G230" s="58" t="s">
        <v>4195</v>
      </c>
      <c r="H230" s="59">
        <v>0</v>
      </c>
      <c r="I230" s="29"/>
      <c r="J230" s="29"/>
      <c r="K230" s="29"/>
      <c r="L230" s="29"/>
      <c r="M230" s="29"/>
    </row>
    <row r="231" spans="1:13" ht="112.5" customHeight="1" x14ac:dyDescent="0.15">
      <c r="A231" s="60">
        <v>2083</v>
      </c>
      <c r="B231" s="30" t="s">
        <v>3822</v>
      </c>
      <c r="C231" s="30" t="s">
        <v>4196</v>
      </c>
      <c r="D231" s="61" t="s">
        <v>4197</v>
      </c>
      <c r="E231" s="2"/>
      <c r="F231" s="57"/>
      <c r="G231" s="62" t="s">
        <v>4198</v>
      </c>
      <c r="H231" s="59">
        <v>0</v>
      </c>
      <c r="I231" s="29"/>
      <c r="J231" s="29"/>
      <c r="K231" s="29"/>
      <c r="L231" s="29"/>
      <c r="M231" s="29"/>
    </row>
    <row r="232" spans="1:13" ht="112.5" customHeight="1" x14ac:dyDescent="0.15">
      <c r="A232" s="54">
        <v>2082</v>
      </c>
      <c r="B232" s="55" t="s">
        <v>3822</v>
      </c>
      <c r="C232" s="55" t="s">
        <v>4199</v>
      </c>
      <c r="D232" s="56" t="s">
        <v>4200</v>
      </c>
      <c r="E232" s="2"/>
      <c r="F232" s="57"/>
      <c r="G232" s="58" t="s">
        <v>4201</v>
      </c>
      <c r="H232" s="59">
        <v>0</v>
      </c>
      <c r="I232" s="29"/>
      <c r="J232" s="29"/>
      <c r="K232" s="29"/>
      <c r="L232" s="29"/>
      <c r="M232" s="29"/>
    </row>
    <row r="233" spans="1:13" ht="112.5" customHeight="1" x14ac:dyDescent="0.15">
      <c r="A233" s="60">
        <v>2081</v>
      </c>
      <c r="B233" s="30" t="s">
        <v>3822</v>
      </c>
      <c r="C233" s="30" t="s">
        <v>4202</v>
      </c>
      <c r="D233" s="61" t="s">
        <v>4203</v>
      </c>
      <c r="E233" s="2"/>
      <c r="F233" s="57"/>
      <c r="G233" s="63" t="s">
        <v>4204</v>
      </c>
      <c r="H233" s="59">
        <v>9.9130000000000003</v>
      </c>
    </row>
    <row r="234" spans="1:13" ht="112.5" customHeight="1" x14ac:dyDescent="0.15">
      <c r="A234" s="54">
        <v>2080</v>
      </c>
      <c r="B234" s="55" t="s">
        <v>3822</v>
      </c>
      <c r="C234" s="55" t="s">
        <v>4205</v>
      </c>
      <c r="D234" s="56" t="s">
        <v>4206</v>
      </c>
      <c r="E234" s="2"/>
      <c r="F234" s="57"/>
      <c r="G234" s="58" t="s">
        <v>4207</v>
      </c>
      <c r="H234" s="59">
        <v>0</v>
      </c>
      <c r="I234" s="29"/>
      <c r="J234" s="29"/>
      <c r="K234" s="29"/>
      <c r="L234" s="29"/>
      <c r="M234" s="29"/>
    </row>
    <row r="235" spans="1:13" ht="112.5" customHeight="1" x14ac:dyDescent="0.15">
      <c r="A235" s="60">
        <v>2079</v>
      </c>
      <c r="B235" s="30" t="s">
        <v>3822</v>
      </c>
      <c r="C235" s="30" t="s">
        <v>4208</v>
      </c>
      <c r="D235" s="61" t="s">
        <v>4209</v>
      </c>
      <c r="E235" s="2"/>
      <c r="F235" s="57"/>
      <c r="G235" s="62" t="s">
        <v>4210</v>
      </c>
      <c r="H235" s="59">
        <v>99.736000000000004</v>
      </c>
      <c r="I235" s="29"/>
      <c r="J235" s="29"/>
      <c r="K235" s="29"/>
      <c r="L235" s="29"/>
      <c r="M235" s="29"/>
    </row>
    <row r="236" spans="1:13" ht="112.5" customHeight="1" x14ac:dyDescent="0.15">
      <c r="A236" s="54">
        <v>3450</v>
      </c>
      <c r="B236" s="55" t="s">
        <v>3496</v>
      </c>
      <c r="C236" s="55" t="s">
        <v>4211</v>
      </c>
      <c r="D236" s="56" t="s">
        <v>4212</v>
      </c>
      <c r="E236" s="2"/>
      <c r="F236" s="57"/>
      <c r="G236" s="58" t="s">
        <v>4213</v>
      </c>
      <c r="H236" s="59">
        <v>0</v>
      </c>
      <c r="I236" s="29"/>
      <c r="J236" s="29"/>
      <c r="K236" s="29"/>
      <c r="L236" s="29"/>
      <c r="M236" s="29"/>
    </row>
    <row r="237" spans="1:13" ht="112.5" customHeight="1" x14ac:dyDescent="0.15">
      <c r="A237" s="54">
        <v>2078</v>
      </c>
      <c r="B237" s="55" t="s">
        <v>3670</v>
      </c>
      <c r="C237" s="55" t="s">
        <v>4214</v>
      </c>
      <c r="D237" s="56" t="s">
        <v>4215</v>
      </c>
      <c r="E237" s="2"/>
      <c r="F237" s="57"/>
      <c r="G237" s="62" t="s">
        <v>4216</v>
      </c>
      <c r="H237" s="59">
        <v>0</v>
      </c>
      <c r="I237" s="29"/>
      <c r="J237" s="29"/>
      <c r="K237" s="29"/>
      <c r="L237" s="29"/>
      <c r="M237" s="29"/>
    </row>
    <row r="238" spans="1:13" ht="112.5" customHeight="1" x14ac:dyDescent="0.15">
      <c r="A238" s="60">
        <v>2077</v>
      </c>
      <c r="B238" s="30" t="s">
        <v>3749</v>
      </c>
      <c r="C238" s="30" t="s">
        <v>4217</v>
      </c>
      <c r="D238" s="61" t="s">
        <v>4218</v>
      </c>
      <c r="E238" s="2"/>
      <c r="F238" s="57"/>
      <c r="G238" s="58" t="s">
        <v>4219</v>
      </c>
      <c r="H238" s="59">
        <v>984</v>
      </c>
      <c r="I238" s="29"/>
      <c r="J238" s="29"/>
      <c r="K238" s="29"/>
      <c r="L238" s="29"/>
      <c r="M238" s="29"/>
    </row>
    <row r="239" spans="1:13" ht="112.5" customHeight="1" x14ac:dyDescent="0.15">
      <c r="A239" s="54">
        <v>2076</v>
      </c>
      <c r="B239" s="55" t="s">
        <v>3502</v>
      </c>
      <c r="C239" s="55" t="s">
        <v>4220</v>
      </c>
      <c r="D239" s="56" t="s">
        <v>4221</v>
      </c>
      <c r="E239" s="2"/>
      <c r="F239" s="57"/>
      <c r="G239" s="62" t="s">
        <v>4222</v>
      </c>
      <c r="H239" s="59">
        <v>0</v>
      </c>
      <c r="I239" s="29"/>
      <c r="J239" s="29"/>
      <c r="K239" s="29"/>
      <c r="L239" s="29"/>
      <c r="M239" s="29"/>
    </row>
    <row r="240" spans="1:13" ht="112.5" customHeight="1" x14ac:dyDescent="0.15">
      <c r="A240" s="54">
        <v>2074</v>
      </c>
      <c r="B240" s="55" t="s">
        <v>3492</v>
      </c>
      <c r="C240" s="55" t="s">
        <v>4223</v>
      </c>
      <c r="D240" s="56" t="s">
        <v>4224</v>
      </c>
      <c r="E240" s="2"/>
      <c r="F240" s="57"/>
      <c r="G240" s="58" t="s">
        <v>4225</v>
      </c>
      <c r="H240" s="59">
        <v>0</v>
      </c>
      <c r="I240" s="29"/>
      <c r="J240" s="29"/>
      <c r="K240" s="29"/>
      <c r="L240" s="29"/>
      <c r="M240" s="29"/>
    </row>
    <row r="241" spans="1:13" ht="112.5" customHeight="1" x14ac:dyDescent="0.15">
      <c r="A241" s="60">
        <v>2073</v>
      </c>
      <c r="B241" s="30" t="s">
        <v>3502</v>
      </c>
      <c r="C241" s="30" t="s">
        <v>4226</v>
      </c>
      <c r="D241" s="61" t="s">
        <v>4227</v>
      </c>
      <c r="E241" s="2"/>
      <c r="F241" s="57"/>
      <c r="G241" s="62" t="s">
        <v>4228</v>
      </c>
      <c r="H241" s="59">
        <v>0</v>
      </c>
      <c r="I241" s="29"/>
      <c r="J241" s="29"/>
      <c r="K241" s="29"/>
      <c r="L241" s="29"/>
      <c r="M241" s="29"/>
    </row>
    <row r="242" spans="1:13" ht="112.5" customHeight="1" x14ac:dyDescent="0.15">
      <c r="A242" s="54">
        <v>2072</v>
      </c>
      <c r="B242" s="55" t="s">
        <v>3670</v>
      </c>
      <c r="C242" s="55" t="s">
        <v>4229</v>
      </c>
      <c r="D242" s="56" t="s">
        <v>4230</v>
      </c>
      <c r="E242" s="2"/>
      <c r="F242" s="57"/>
      <c r="G242" s="58" t="s">
        <v>4231</v>
      </c>
      <c r="H242" s="59">
        <v>0</v>
      </c>
      <c r="I242" s="29"/>
      <c r="J242" s="29"/>
      <c r="K242" s="29"/>
      <c r="L242" s="29"/>
      <c r="M242" s="29"/>
    </row>
    <row r="243" spans="1:13" ht="112.5" customHeight="1" x14ac:dyDescent="0.15">
      <c r="A243" s="60">
        <v>2071</v>
      </c>
      <c r="B243" s="30" t="s">
        <v>3492</v>
      </c>
      <c r="C243" s="30" t="s">
        <v>4232</v>
      </c>
      <c r="D243" s="61" t="s">
        <v>4233</v>
      </c>
      <c r="E243" s="2"/>
      <c r="F243" s="57"/>
      <c r="G243" s="62" t="s">
        <v>4234</v>
      </c>
      <c r="H243" s="59">
        <v>0</v>
      </c>
      <c r="I243" s="29"/>
      <c r="J243" s="29"/>
      <c r="K243" s="29"/>
      <c r="L243" s="29"/>
      <c r="M243" s="29"/>
    </row>
    <row r="244" spans="1:13" ht="112.5" customHeight="1" x14ac:dyDescent="0.15">
      <c r="A244" s="54">
        <v>2070</v>
      </c>
      <c r="B244" s="55" t="s">
        <v>3502</v>
      </c>
      <c r="C244" s="55" t="s">
        <v>4235</v>
      </c>
      <c r="D244" s="56" t="s">
        <v>4236</v>
      </c>
      <c r="E244" s="2"/>
      <c r="F244" s="57"/>
      <c r="G244" s="58" t="s">
        <v>4237</v>
      </c>
      <c r="H244" s="59">
        <v>0</v>
      </c>
      <c r="I244" s="29"/>
      <c r="J244" s="29"/>
      <c r="K244" s="29"/>
      <c r="L244" s="29"/>
      <c r="M244" s="29"/>
    </row>
    <row r="245" spans="1:13" ht="112.5" customHeight="1" x14ac:dyDescent="0.15">
      <c r="A245" s="60">
        <v>2069</v>
      </c>
      <c r="B245" s="30" t="s">
        <v>3749</v>
      </c>
      <c r="C245" s="30" t="s">
        <v>4238</v>
      </c>
      <c r="D245" s="61" t="s">
        <v>4239</v>
      </c>
      <c r="E245" s="2"/>
      <c r="F245" s="57"/>
      <c r="G245" s="62" t="s">
        <v>4240</v>
      </c>
      <c r="H245" s="59">
        <v>0</v>
      </c>
      <c r="I245" s="29"/>
      <c r="J245" s="29"/>
      <c r="K245" s="29"/>
      <c r="L245" s="29"/>
      <c r="M245" s="29"/>
    </row>
    <row r="246" spans="1:13" ht="112.5" customHeight="1" x14ac:dyDescent="0.15">
      <c r="A246" s="54">
        <v>2068</v>
      </c>
      <c r="B246" s="55" t="s">
        <v>3749</v>
      </c>
      <c r="C246" s="55" t="s">
        <v>4241</v>
      </c>
      <c r="D246" s="56" t="s">
        <v>4242</v>
      </c>
      <c r="E246" s="2"/>
      <c r="F246" s="57"/>
      <c r="G246" s="58" t="s">
        <v>4243</v>
      </c>
      <c r="H246" s="59">
        <v>0</v>
      </c>
      <c r="I246" s="29"/>
      <c r="J246" s="29"/>
      <c r="K246" s="29"/>
      <c r="L246" s="29"/>
      <c r="M246" s="29"/>
    </row>
    <row r="247" spans="1:13" ht="112.5" customHeight="1" x14ac:dyDescent="0.15">
      <c r="A247" s="60">
        <v>2067</v>
      </c>
      <c r="B247" s="30" t="s">
        <v>3814</v>
      </c>
      <c r="C247" s="30" t="s">
        <v>4244</v>
      </c>
      <c r="D247" s="61" t="s">
        <v>4245</v>
      </c>
      <c r="E247" s="2"/>
      <c r="F247" s="57"/>
      <c r="G247" s="62" t="s">
        <v>4246</v>
      </c>
      <c r="H247" s="59">
        <v>0</v>
      </c>
      <c r="I247" s="29"/>
      <c r="J247" s="29"/>
      <c r="K247" s="29"/>
      <c r="L247" s="29"/>
      <c r="M247" s="29"/>
    </row>
    <row r="248" spans="1:13" ht="112.5" customHeight="1" x14ac:dyDescent="0.15">
      <c r="A248" s="54">
        <v>2066</v>
      </c>
      <c r="B248" s="55" t="s">
        <v>3513</v>
      </c>
      <c r="C248" s="55" t="s">
        <v>4247</v>
      </c>
      <c r="D248" s="56" t="s">
        <v>4248</v>
      </c>
      <c r="E248" s="2"/>
      <c r="F248" s="57"/>
      <c r="G248" s="58" t="s">
        <v>4249</v>
      </c>
      <c r="H248" s="59">
        <v>0</v>
      </c>
      <c r="I248" s="29"/>
      <c r="J248" s="29"/>
      <c r="K248" s="29"/>
      <c r="L248" s="29"/>
      <c r="M248" s="29"/>
    </row>
    <row r="249" spans="1:13" ht="112.5" customHeight="1" x14ac:dyDescent="0.15">
      <c r="A249" s="60">
        <v>2065</v>
      </c>
      <c r="B249" s="30" t="s">
        <v>3513</v>
      </c>
      <c r="C249" s="30" t="s">
        <v>4250</v>
      </c>
      <c r="D249" s="61" t="s">
        <v>4251</v>
      </c>
      <c r="E249" s="2"/>
      <c r="F249" s="57"/>
      <c r="G249" s="62" t="s">
        <v>4252</v>
      </c>
      <c r="H249" s="59">
        <v>0</v>
      </c>
      <c r="I249" s="29"/>
      <c r="J249" s="29"/>
      <c r="K249" s="29"/>
      <c r="L249" s="29"/>
      <c r="M249" s="29"/>
    </row>
    <row r="250" spans="1:13" ht="112.5" customHeight="1" x14ac:dyDescent="0.15">
      <c r="A250" s="54">
        <v>2064</v>
      </c>
      <c r="B250" s="55" t="s">
        <v>3502</v>
      </c>
      <c r="C250" s="55" t="s">
        <v>4253</v>
      </c>
      <c r="D250" s="56" t="s">
        <v>4254</v>
      </c>
      <c r="E250" s="2"/>
      <c r="F250" s="57"/>
      <c r="G250" s="58" t="s">
        <v>4255</v>
      </c>
      <c r="H250" s="59">
        <v>0</v>
      </c>
      <c r="I250" s="29"/>
      <c r="J250" s="29"/>
      <c r="K250" s="29"/>
      <c r="L250" s="29"/>
      <c r="M250" s="29"/>
    </row>
    <row r="251" spans="1:13" ht="112.5" customHeight="1" x14ac:dyDescent="0.15">
      <c r="A251" s="60">
        <v>2063</v>
      </c>
      <c r="B251" s="30" t="s">
        <v>3814</v>
      </c>
      <c r="C251" s="30" t="s">
        <v>4256</v>
      </c>
      <c r="D251" s="61" t="s">
        <v>4257</v>
      </c>
      <c r="E251" s="2"/>
      <c r="F251" s="57"/>
      <c r="G251" s="62" t="s">
        <v>4258</v>
      </c>
      <c r="H251" s="59">
        <v>0</v>
      </c>
      <c r="I251" s="29"/>
      <c r="J251" s="29"/>
      <c r="K251" s="29"/>
      <c r="L251" s="29"/>
      <c r="M251" s="29"/>
    </row>
    <row r="252" spans="1:13" ht="112.5" customHeight="1" x14ac:dyDescent="0.15">
      <c r="A252" s="54">
        <v>2062</v>
      </c>
      <c r="B252" s="55" t="s">
        <v>3513</v>
      </c>
      <c r="C252" s="55" t="s">
        <v>4259</v>
      </c>
      <c r="D252" s="56" t="s">
        <v>4260</v>
      </c>
      <c r="E252" s="2"/>
      <c r="F252" s="57"/>
      <c r="G252" s="58" t="s">
        <v>4261</v>
      </c>
      <c r="H252" s="59">
        <v>0</v>
      </c>
      <c r="I252" s="29"/>
      <c r="J252" s="29"/>
      <c r="K252" s="29"/>
      <c r="L252" s="29"/>
      <c r="M252" s="29"/>
    </row>
    <row r="253" spans="1:13" ht="112.5" customHeight="1" x14ac:dyDescent="0.15">
      <c r="A253" s="60">
        <v>2061</v>
      </c>
      <c r="B253" s="30" t="s">
        <v>3556</v>
      </c>
      <c r="C253" s="30" t="s">
        <v>4262</v>
      </c>
      <c r="D253" s="61" t="s">
        <v>4263</v>
      </c>
      <c r="E253" s="2"/>
      <c r="F253" s="57"/>
      <c r="G253" s="62" t="s">
        <v>4264</v>
      </c>
      <c r="H253" s="59">
        <v>0</v>
      </c>
      <c r="I253" s="29"/>
      <c r="J253" s="29"/>
      <c r="K253" s="29"/>
      <c r="L253" s="29"/>
      <c r="M253" s="29"/>
    </row>
    <row r="254" spans="1:13" ht="112.5" customHeight="1" x14ac:dyDescent="0.15">
      <c r="A254" s="60">
        <v>3449</v>
      </c>
      <c r="B254" s="30" t="s">
        <v>3496</v>
      </c>
      <c r="C254" s="30" t="s">
        <v>4265</v>
      </c>
      <c r="D254" s="61" t="s">
        <v>4266</v>
      </c>
      <c r="E254" s="2"/>
      <c r="F254" s="57"/>
      <c r="G254" s="58" t="s">
        <v>4267</v>
      </c>
      <c r="H254" s="59">
        <v>44</v>
      </c>
      <c r="I254" s="29"/>
      <c r="J254" s="29"/>
      <c r="K254" s="29"/>
      <c r="L254" s="29"/>
      <c r="M254" s="29"/>
    </row>
    <row r="255" spans="1:13" ht="112.5" customHeight="1" x14ac:dyDescent="0.15">
      <c r="A255" s="54">
        <v>2060</v>
      </c>
      <c r="B255" s="55" t="s">
        <v>3749</v>
      </c>
      <c r="C255" s="55" t="s">
        <v>4268</v>
      </c>
      <c r="D255" s="56" t="s">
        <v>4269</v>
      </c>
      <c r="E255" s="2"/>
      <c r="F255" s="57"/>
      <c r="G255" s="63" t="s">
        <v>4270</v>
      </c>
      <c r="H255" s="59">
        <v>0</v>
      </c>
    </row>
    <row r="256" spans="1:13" ht="112.5" customHeight="1" x14ac:dyDescent="0.15">
      <c r="A256" s="60">
        <v>2059</v>
      </c>
      <c r="B256" s="30" t="s">
        <v>3513</v>
      </c>
      <c r="C256" s="30" t="s">
        <v>4271</v>
      </c>
      <c r="D256" s="61" t="s">
        <v>4272</v>
      </c>
      <c r="E256" s="2"/>
      <c r="F256" s="57"/>
      <c r="G256" s="58" t="s">
        <v>4273</v>
      </c>
      <c r="H256" s="59">
        <v>18.43</v>
      </c>
      <c r="I256" s="29"/>
      <c r="J256" s="29"/>
      <c r="K256" s="29"/>
      <c r="L256" s="29"/>
      <c r="M256" s="29"/>
    </row>
    <row r="257" spans="1:13" ht="112.5" customHeight="1" x14ac:dyDescent="0.15">
      <c r="A257" s="54">
        <v>2058</v>
      </c>
      <c r="B257" s="55" t="s">
        <v>3502</v>
      </c>
      <c r="C257" s="55" t="s">
        <v>4274</v>
      </c>
      <c r="D257" s="56" t="s">
        <v>4275</v>
      </c>
      <c r="E257" s="2"/>
      <c r="F257" s="57"/>
      <c r="G257" s="62" t="s">
        <v>4276</v>
      </c>
      <c r="H257" s="59">
        <v>0</v>
      </c>
      <c r="I257" s="29"/>
      <c r="J257" s="29"/>
      <c r="K257" s="29"/>
      <c r="L257" s="29"/>
      <c r="M257" s="29"/>
    </row>
    <row r="258" spans="1:13" ht="112.5" customHeight="1" x14ac:dyDescent="0.15">
      <c r="A258" s="60">
        <v>2057</v>
      </c>
      <c r="B258" s="30" t="s">
        <v>3670</v>
      </c>
      <c r="C258" s="30" t="s">
        <v>4277</v>
      </c>
      <c r="D258" s="61" t="s">
        <v>4278</v>
      </c>
      <c r="E258" s="2"/>
      <c r="F258" s="57"/>
      <c r="G258" s="58" t="s">
        <v>4279</v>
      </c>
      <c r="H258" s="59">
        <v>999.52300000000002</v>
      </c>
      <c r="I258" s="29"/>
      <c r="J258" s="29"/>
      <c r="K258" s="29"/>
      <c r="L258" s="29"/>
      <c r="M258" s="29"/>
    </row>
    <row r="259" spans="1:13" ht="112.5" customHeight="1" x14ac:dyDescent="0.15">
      <c r="A259" s="54">
        <v>2056</v>
      </c>
      <c r="B259" s="55" t="s">
        <v>3502</v>
      </c>
      <c r="C259" s="55" t="s">
        <v>4280</v>
      </c>
      <c r="D259" s="56" t="s">
        <v>4281</v>
      </c>
      <c r="E259" s="2"/>
      <c r="F259" s="57"/>
      <c r="G259" s="62" t="s">
        <v>4282</v>
      </c>
      <c r="H259" s="59">
        <v>977</v>
      </c>
      <c r="I259" s="29"/>
      <c r="J259" s="29"/>
      <c r="K259" s="29"/>
      <c r="L259" s="29"/>
      <c r="M259" s="29"/>
    </row>
    <row r="260" spans="1:13" ht="112.5" customHeight="1" x14ac:dyDescent="0.15">
      <c r="A260" s="60">
        <v>2055</v>
      </c>
      <c r="B260" s="30" t="s">
        <v>3502</v>
      </c>
      <c r="C260" s="30" t="s">
        <v>4283</v>
      </c>
      <c r="D260" s="61" t="s">
        <v>4284</v>
      </c>
      <c r="E260" s="2"/>
      <c r="F260" s="57"/>
      <c r="G260" s="58" t="s">
        <v>4285</v>
      </c>
      <c r="H260" s="59">
        <v>0</v>
      </c>
      <c r="I260" s="29"/>
      <c r="J260" s="29"/>
      <c r="K260" s="29"/>
      <c r="L260" s="29"/>
      <c r="M260" s="29"/>
    </row>
    <row r="261" spans="1:13" ht="112.5" customHeight="1" x14ac:dyDescent="0.15">
      <c r="A261" s="54">
        <v>2054</v>
      </c>
      <c r="B261" s="55" t="s">
        <v>3526</v>
      </c>
      <c r="C261" s="55" t="s">
        <v>4286</v>
      </c>
      <c r="D261" s="56" t="s">
        <v>4287</v>
      </c>
      <c r="E261" s="2"/>
      <c r="F261" s="57"/>
      <c r="G261" s="63" t="s">
        <v>4288</v>
      </c>
      <c r="H261" s="59">
        <v>10</v>
      </c>
    </row>
    <row r="262" spans="1:13" ht="112.5" customHeight="1" x14ac:dyDescent="0.15">
      <c r="A262" s="60">
        <v>2053</v>
      </c>
      <c r="B262" s="30" t="s">
        <v>3801</v>
      </c>
      <c r="C262" s="30" t="s">
        <v>4289</v>
      </c>
      <c r="D262" s="61" t="s">
        <v>4290</v>
      </c>
      <c r="E262" s="2"/>
      <c r="F262" s="57"/>
      <c r="G262" s="64" t="s">
        <v>4291</v>
      </c>
      <c r="H262" s="59">
        <v>9.9979999999999993</v>
      </c>
    </row>
    <row r="263" spans="1:13" ht="112.5" customHeight="1" x14ac:dyDescent="0.15">
      <c r="A263" s="54">
        <v>2052</v>
      </c>
      <c r="B263" s="55" t="s">
        <v>3801</v>
      </c>
      <c r="C263" s="55" t="s">
        <v>4292</v>
      </c>
      <c r="D263" s="56" t="s">
        <v>4293</v>
      </c>
      <c r="E263" s="2"/>
      <c r="F263" s="57"/>
      <c r="G263" s="63" t="s">
        <v>4294</v>
      </c>
      <c r="H263" s="59">
        <v>0</v>
      </c>
    </row>
    <row r="264" spans="1:13" ht="112.5" customHeight="1" x14ac:dyDescent="0.15">
      <c r="A264" s="60">
        <v>2051</v>
      </c>
      <c r="B264" s="30" t="s">
        <v>3509</v>
      </c>
      <c r="C264" s="30" t="s">
        <v>4295</v>
      </c>
      <c r="D264" s="61" t="s">
        <v>4296</v>
      </c>
      <c r="E264" s="2"/>
      <c r="F264" s="57"/>
      <c r="G264" s="58" t="s">
        <v>4297</v>
      </c>
      <c r="H264" s="59">
        <v>0</v>
      </c>
      <c r="I264" s="29"/>
      <c r="J264" s="29"/>
      <c r="K264" s="29"/>
      <c r="L264" s="29"/>
      <c r="M264" s="29"/>
    </row>
    <row r="265" spans="1:13" ht="112.5" customHeight="1" x14ac:dyDescent="0.15">
      <c r="A265" s="54">
        <v>2050</v>
      </c>
      <c r="B265" s="55" t="s">
        <v>3502</v>
      </c>
      <c r="C265" s="55" t="s">
        <v>4298</v>
      </c>
      <c r="D265" s="56" t="s">
        <v>4299</v>
      </c>
      <c r="E265" s="2"/>
      <c r="F265" s="57"/>
      <c r="G265" s="63" t="s">
        <v>4300</v>
      </c>
      <c r="H265" s="59">
        <v>99.659000000000006</v>
      </c>
    </row>
    <row r="266" spans="1:13" ht="112.5" customHeight="1" x14ac:dyDescent="0.15">
      <c r="A266" s="60">
        <v>2049</v>
      </c>
      <c r="B266" s="30" t="s">
        <v>3749</v>
      </c>
      <c r="C266" s="30" t="s">
        <v>4301</v>
      </c>
      <c r="D266" s="61" t="s">
        <v>4302</v>
      </c>
      <c r="E266" s="2"/>
      <c r="F266" s="57"/>
      <c r="G266" s="58" t="s">
        <v>4303</v>
      </c>
      <c r="H266" s="59">
        <v>95</v>
      </c>
      <c r="I266" s="29"/>
      <c r="J266" s="29"/>
      <c r="K266" s="29"/>
      <c r="L266" s="29"/>
      <c r="M266" s="29"/>
    </row>
    <row r="267" spans="1:13" ht="112.5" customHeight="1" x14ac:dyDescent="0.15">
      <c r="A267" s="60">
        <v>2047</v>
      </c>
      <c r="B267" s="30" t="s">
        <v>3630</v>
      </c>
      <c r="C267" s="30" t="s">
        <v>4304</v>
      </c>
      <c r="D267" s="61" t="s">
        <v>4305</v>
      </c>
      <c r="E267" s="2"/>
      <c r="F267" s="57"/>
      <c r="G267" s="62" t="s">
        <v>4306</v>
      </c>
      <c r="H267" s="59">
        <v>0</v>
      </c>
      <c r="I267" s="29"/>
      <c r="J267" s="29"/>
      <c r="K267" s="29"/>
      <c r="L267" s="29"/>
      <c r="M267" s="29"/>
    </row>
    <row r="268" spans="1:13" ht="112.5" customHeight="1" x14ac:dyDescent="0.15">
      <c r="A268" s="54">
        <v>2046</v>
      </c>
      <c r="B268" s="55" t="s">
        <v>3526</v>
      </c>
      <c r="C268" s="55" t="s">
        <v>4307</v>
      </c>
      <c r="D268" s="56" t="s">
        <v>4308</v>
      </c>
      <c r="E268" s="2"/>
      <c r="F268" s="57"/>
      <c r="G268" s="58" t="s">
        <v>4309</v>
      </c>
      <c r="H268" s="59">
        <v>379</v>
      </c>
      <c r="I268" s="29"/>
      <c r="J268" s="29"/>
      <c r="K268" s="29"/>
      <c r="L268" s="29"/>
      <c r="M268" s="29"/>
    </row>
    <row r="269" spans="1:13" ht="112.5" customHeight="1" x14ac:dyDescent="0.15">
      <c r="A269" s="60">
        <v>2045</v>
      </c>
      <c r="B269" s="30" t="s">
        <v>3526</v>
      </c>
      <c r="C269" s="30" t="s">
        <v>4310</v>
      </c>
      <c r="D269" s="61" t="s">
        <v>4311</v>
      </c>
      <c r="E269" s="2"/>
      <c r="F269" s="57"/>
      <c r="G269" s="62" t="s">
        <v>4312</v>
      </c>
      <c r="H269" s="59">
        <v>0</v>
      </c>
      <c r="I269" s="29"/>
      <c r="J269" s="29"/>
      <c r="K269" s="29"/>
      <c r="L269" s="29"/>
      <c r="M269" s="29"/>
    </row>
    <row r="270" spans="1:13" ht="112.5" customHeight="1" x14ac:dyDescent="0.15">
      <c r="A270" s="60">
        <v>2043</v>
      </c>
      <c r="B270" s="30" t="s">
        <v>3599</v>
      </c>
      <c r="C270" s="30" t="s">
        <v>4313</v>
      </c>
      <c r="D270" s="61" t="s">
        <v>4314</v>
      </c>
      <c r="E270" s="2"/>
      <c r="F270" s="57"/>
      <c r="G270" s="58" t="s">
        <v>4315</v>
      </c>
      <c r="H270" s="59">
        <v>0</v>
      </c>
      <c r="I270" s="29"/>
      <c r="J270" s="29"/>
      <c r="K270" s="29"/>
      <c r="L270" s="29"/>
      <c r="M270" s="29"/>
    </row>
    <row r="271" spans="1:13" ht="112.5" customHeight="1" x14ac:dyDescent="0.15">
      <c r="A271" s="54">
        <v>2042</v>
      </c>
      <c r="B271" s="55" t="s">
        <v>3599</v>
      </c>
      <c r="C271" s="55" t="s">
        <v>4316</v>
      </c>
      <c r="D271" s="56" t="s">
        <v>4317</v>
      </c>
      <c r="E271" s="2"/>
      <c r="F271" s="57"/>
      <c r="G271" s="62" t="s">
        <v>4318</v>
      </c>
      <c r="H271" s="59">
        <v>997</v>
      </c>
      <c r="I271" s="29"/>
      <c r="J271" s="29"/>
      <c r="K271" s="29"/>
      <c r="L271" s="29"/>
      <c r="M271" s="29"/>
    </row>
    <row r="272" spans="1:13" ht="112.5" customHeight="1" x14ac:dyDescent="0.15">
      <c r="A272" s="60">
        <v>2041</v>
      </c>
      <c r="B272" s="30" t="s">
        <v>3599</v>
      </c>
      <c r="C272" s="30" t="s">
        <v>4319</v>
      </c>
      <c r="D272" s="61" t="s">
        <v>4320</v>
      </c>
      <c r="E272" s="2"/>
      <c r="F272" s="57"/>
      <c r="G272" s="58" t="s">
        <v>3879</v>
      </c>
      <c r="H272" s="59">
        <v>0</v>
      </c>
      <c r="I272" s="29"/>
      <c r="J272" s="29"/>
      <c r="K272" s="29"/>
      <c r="L272" s="29"/>
      <c r="M272" s="29"/>
    </row>
    <row r="273" spans="1:13" ht="112.5" customHeight="1" x14ac:dyDescent="0.15">
      <c r="A273" s="54">
        <v>2040</v>
      </c>
      <c r="B273" s="55" t="s">
        <v>3599</v>
      </c>
      <c r="C273" s="55" t="s">
        <v>4321</v>
      </c>
      <c r="D273" s="56" t="s">
        <v>4322</v>
      </c>
      <c r="E273" s="2"/>
      <c r="F273" s="57"/>
      <c r="G273" s="62" t="s">
        <v>4323</v>
      </c>
      <c r="H273" s="59">
        <v>42.04</v>
      </c>
      <c r="I273" s="29"/>
      <c r="J273" s="29"/>
      <c r="K273" s="29"/>
      <c r="L273" s="29"/>
      <c r="M273" s="29"/>
    </row>
    <row r="274" spans="1:13" ht="112.5" customHeight="1" x14ac:dyDescent="0.15">
      <c r="A274" s="60">
        <v>2039</v>
      </c>
      <c r="B274" s="30" t="s">
        <v>3822</v>
      </c>
      <c r="C274" s="30" t="s">
        <v>4324</v>
      </c>
      <c r="D274" s="61" t="s">
        <v>4325</v>
      </c>
      <c r="E274" s="2"/>
      <c r="F274" s="57"/>
      <c r="G274" s="58" t="s">
        <v>4326</v>
      </c>
      <c r="H274" s="59">
        <v>0</v>
      </c>
      <c r="I274" s="29"/>
      <c r="J274" s="29"/>
      <c r="K274" s="29"/>
      <c r="L274" s="29"/>
      <c r="M274" s="29"/>
    </row>
    <row r="275" spans="1:13" ht="112.5" customHeight="1" x14ac:dyDescent="0.15">
      <c r="A275" s="54">
        <v>2038</v>
      </c>
      <c r="B275" s="55" t="s">
        <v>3526</v>
      </c>
      <c r="C275" s="55" t="s">
        <v>4327</v>
      </c>
      <c r="D275" s="56" t="s">
        <v>4328</v>
      </c>
      <c r="E275" s="2"/>
      <c r="F275" s="57"/>
      <c r="G275" s="62" t="s">
        <v>4329</v>
      </c>
      <c r="H275" s="59">
        <v>78</v>
      </c>
      <c r="I275" s="29"/>
      <c r="J275" s="29"/>
      <c r="K275" s="29"/>
      <c r="L275" s="29"/>
      <c r="M275" s="29"/>
    </row>
    <row r="276" spans="1:13" ht="112.5" customHeight="1" x14ac:dyDescent="0.15">
      <c r="A276" s="60">
        <v>2037</v>
      </c>
      <c r="B276" s="30" t="s">
        <v>4330</v>
      </c>
      <c r="C276" s="30" t="s">
        <v>4331</v>
      </c>
      <c r="D276" s="61" t="s">
        <v>4332</v>
      </c>
      <c r="E276" s="2"/>
      <c r="F276" s="57"/>
      <c r="G276" s="58" t="s">
        <v>4333</v>
      </c>
      <c r="H276" s="59">
        <v>9.9499999999999993</v>
      </c>
      <c r="I276" s="29"/>
      <c r="J276" s="29"/>
      <c r="K276" s="29"/>
      <c r="L276" s="29"/>
      <c r="M276" s="29"/>
    </row>
    <row r="277" spans="1:13" ht="112.5" customHeight="1" x14ac:dyDescent="0.15">
      <c r="A277" s="54">
        <v>2036</v>
      </c>
      <c r="B277" s="55" t="s">
        <v>4334</v>
      </c>
      <c r="C277" s="55" t="s">
        <v>4335</v>
      </c>
      <c r="D277" s="56" t="s">
        <v>4336</v>
      </c>
      <c r="E277" s="2"/>
      <c r="F277" s="57"/>
      <c r="G277" s="62" t="s">
        <v>4337</v>
      </c>
      <c r="H277" s="59">
        <v>0</v>
      </c>
      <c r="I277" s="29"/>
      <c r="J277" s="29"/>
      <c r="K277" s="29"/>
      <c r="L277" s="29"/>
      <c r="M277" s="29"/>
    </row>
    <row r="278" spans="1:13" ht="112.5" customHeight="1" x14ac:dyDescent="0.15">
      <c r="A278" s="60">
        <v>2035</v>
      </c>
      <c r="B278" s="30" t="s">
        <v>3526</v>
      </c>
      <c r="C278" s="30" t="s">
        <v>4338</v>
      </c>
      <c r="D278" s="61" t="s">
        <v>4339</v>
      </c>
      <c r="E278" s="2"/>
      <c r="F278" s="57"/>
      <c r="G278" s="58" t="s">
        <v>4340</v>
      </c>
      <c r="H278" s="59">
        <v>0</v>
      </c>
      <c r="I278" s="29"/>
      <c r="J278" s="29"/>
      <c r="K278" s="29"/>
      <c r="L278" s="29"/>
      <c r="M278" s="29"/>
    </row>
    <row r="279" spans="1:13" ht="112.5" customHeight="1" x14ac:dyDescent="0.15">
      <c r="A279" s="54">
        <v>2034</v>
      </c>
      <c r="B279" s="55" t="s">
        <v>3526</v>
      </c>
      <c r="C279" s="55" t="s">
        <v>4341</v>
      </c>
      <c r="D279" s="56" t="s">
        <v>4342</v>
      </c>
      <c r="E279" s="2"/>
      <c r="F279" s="57"/>
      <c r="G279" s="62" t="s">
        <v>4343</v>
      </c>
      <c r="H279" s="59">
        <v>9.6059999999999999</v>
      </c>
      <c r="I279" s="29"/>
      <c r="J279" s="29"/>
      <c r="K279" s="29"/>
      <c r="L279" s="29"/>
      <c r="M279" s="29"/>
    </row>
    <row r="280" spans="1:13" ht="112.5" customHeight="1" x14ac:dyDescent="0.15">
      <c r="A280" s="60">
        <v>2033</v>
      </c>
      <c r="B280" s="30" t="s">
        <v>3876</v>
      </c>
      <c r="C280" s="30" t="s">
        <v>4344</v>
      </c>
      <c r="D280" s="61" t="s">
        <v>4345</v>
      </c>
      <c r="E280" s="2"/>
      <c r="F280" s="57"/>
      <c r="G280" s="58" t="s">
        <v>4346</v>
      </c>
      <c r="H280" s="59">
        <v>986</v>
      </c>
      <c r="I280" s="29"/>
      <c r="J280" s="29"/>
      <c r="K280" s="29"/>
      <c r="L280" s="29"/>
      <c r="M280" s="29"/>
    </row>
    <row r="281" spans="1:13" ht="112.5" customHeight="1" x14ac:dyDescent="0.15">
      <c r="A281" s="60">
        <v>1817</v>
      </c>
      <c r="B281" s="30" t="s">
        <v>3876</v>
      </c>
      <c r="C281" s="30" t="s">
        <v>4347</v>
      </c>
      <c r="D281" s="61" t="s">
        <v>4348</v>
      </c>
      <c r="E281" s="2"/>
      <c r="F281" s="57"/>
      <c r="G281" s="63" t="s">
        <v>4349</v>
      </c>
      <c r="H281" s="59">
        <v>99.68</v>
      </c>
    </row>
    <row r="282" spans="1:13" ht="112.5" customHeight="1" x14ac:dyDescent="0.15">
      <c r="A282" s="60">
        <v>1815</v>
      </c>
      <c r="B282" s="30" t="s">
        <v>3670</v>
      </c>
      <c r="C282" s="30" t="s">
        <v>4350</v>
      </c>
      <c r="D282" s="61" t="s">
        <v>4351</v>
      </c>
      <c r="E282" s="2"/>
      <c r="F282" s="57"/>
      <c r="G282" s="58" t="s">
        <v>4352</v>
      </c>
      <c r="H282" s="59">
        <v>0</v>
      </c>
      <c r="I282" s="29"/>
      <c r="J282" s="29"/>
      <c r="K282" s="29"/>
      <c r="L282" s="29"/>
      <c r="M282" s="29"/>
    </row>
    <row r="283" spans="1:13" ht="112.5" customHeight="1" x14ac:dyDescent="0.15">
      <c r="A283" s="54">
        <v>1816</v>
      </c>
      <c r="B283" s="55" t="s">
        <v>3670</v>
      </c>
      <c r="C283" s="55" t="s">
        <v>4353</v>
      </c>
      <c r="D283" s="56" t="s">
        <v>4354</v>
      </c>
      <c r="E283" s="2"/>
      <c r="F283" s="57"/>
      <c r="G283" s="62" t="s">
        <v>4355</v>
      </c>
      <c r="H283" s="59">
        <v>0</v>
      </c>
      <c r="I283" s="29"/>
      <c r="J283" s="29"/>
      <c r="K283" s="29"/>
      <c r="L283" s="29"/>
      <c r="M283" s="29"/>
    </row>
    <row r="284" spans="1:13" ht="112.5" customHeight="1" x14ac:dyDescent="0.15">
      <c r="A284" s="54">
        <v>1814</v>
      </c>
      <c r="B284" s="55" t="s">
        <v>3599</v>
      </c>
      <c r="C284" s="55" t="s">
        <v>4356</v>
      </c>
      <c r="D284" s="56" t="s">
        <v>4357</v>
      </c>
      <c r="E284" s="2"/>
      <c r="F284" s="57"/>
      <c r="G284" s="64" t="s">
        <v>4358</v>
      </c>
      <c r="H284" s="59">
        <v>9.9949999999999992</v>
      </c>
    </row>
    <row r="285" spans="1:13" ht="112.5" customHeight="1" x14ac:dyDescent="0.15">
      <c r="A285" s="60">
        <v>1813</v>
      </c>
      <c r="B285" s="30" t="s">
        <v>3533</v>
      </c>
      <c r="C285" s="30" t="s">
        <v>4359</v>
      </c>
      <c r="D285" s="61" t="s">
        <v>4360</v>
      </c>
      <c r="E285" s="2"/>
      <c r="F285" s="57"/>
      <c r="G285" s="62" t="s">
        <v>4361</v>
      </c>
      <c r="H285" s="59">
        <v>0</v>
      </c>
      <c r="I285" s="29"/>
      <c r="J285" s="29"/>
      <c r="K285" s="29"/>
      <c r="L285" s="29"/>
      <c r="M285" s="29"/>
    </row>
    <row r="286" spans="1:13" ht="112.5" customHeight="1" x14ac:dyDescent="0.15">
      <c r="A286" s="54">
        <v>1812</v>
      </c>
      <c r="B286" s="55" t="s">
        <v>3526</v>
      </c>
      <c r="C286" s="55" t="s">
        <v>4362</v>
      </c>
      <c r="D286" s="56" t="s">
        <v>4363</v>
      </c>
      <c r="E286" s="2"/>
      <c r="F286" s="57"/>
      <c r="G286" s="64" t="s">
        <v>4364</v>
      </c>
      <c r="H286" s="59">
        <v>0</v>
      </c>
    </row>
    <row r="287" spans="1:13" ht="112.5" customHeight="1" x14ac:dyDescent="0.15">
      <c r="A287" s="60">
        <v>1811</v>
      </c>
      <c r="B287" s="30" t="s">
        <v>3533</v>
      </c>
      <c r="C287" s="30" t="s">
        <v>4365</v>
      </c>
      <c r="D287" s="61" t="s">
        <v>4366</v>
      </c>
      <c r="E287" s="2"/>
      <c r="F287" s="57"/>
      <c r="G287" s="62" t="s">
        <v>4367</v>
      </c>
      <c r="H287" s="59">
        <v>0</v>
      </c>
      <c r="I287" s="29"/>
      <c r="J287" s="29"/>
      <c r="K287" s="29"/>
      <c r="L287" s="29"/>
      <c r="M287" s="29"/>
    </row>
    <row r="288" spans="1:13" ht="112.5" customHeight="1" x14ac:dyDescent="0.15">
      <c r="A288" s="54">
        <v>1810</v>
      </c>
      <c r="B288" s="55" t="s">
        <v>3556</v>
      </c>
      <c r="C288" s="55" t="s">
        <v>4368</v>
      </c>
      <c r="D288" s="56" t="s">
        <v>4369</v>
      </c>
      <c r="E288" s="2"/>
      <c r="F288" s="57"/>
      <c r="G288" s="58" t="s">
        <v>4370</v>
      </c>
      <c r="H288" s="59">
        <v>1</v>
      </c>
      <c r="I288" s="29"/>
      <c r="J288" s="29"/>
      <c r="K288" s="29"/>
      <c r="L288" s="29"/>
      <c r="M288" s="29"/>
    </row>
    <row r="289" spans="1:13" ht="112.5" customHeight="1" x14ac:dyDescent="0.15">
      <c r="A289" s="60">
        <v>1809</v>
      </c>
      <c r="B289" s="30" t="s">
        <v>3513</v>
      </c>
      <c r="C289" s="30" t="s">
        <v>4371</v>
      </c>
      <c r="D289" s="61" t="s">
        <v>4372</v>
      </c>
      <c r="E289" s="2"/>
      <c r="F289" s="57"/>
      <c r="G289" s="63" t="s">
        <v>4373</v>
      </c>
      <c r="H289" s="59">
        <v>0</v>
      </c>
    </row>
    <row r="290" spans="1:13" ht="112.5" customHeight="1" x14ac:dyDescent="0.15">
      <c r="A290" s="54">
        <v>1808</v>
      </c>
      <c r="B290" s="55" t="s">
        <v>3818</v>
      </c>
      <c r="C290" s="55" t="s">
        <v>4374</v>
      </c>
      <c r="D290" s="56" t="s">
        <v>4375</v>
      </c>
      <c r="E290" s="2"/>
      <c r="F290" s="57"/>
      <c r="G290" s="58" t="s">
        <v>4376</v>
      </c>
      <c r="H290" s="59">
        <v>0</v>
      </c>
      <c r="I290" s="29"/>
      <c r="J290" s="29"/>
      <c r="K290" s="29"/>
      <c r="L290" s="29"/>
      <c r="M290" s="29"/>
    </row>
    <row r="291" spans="1:13" ht="112.5" customHeight="1" x14ac:dyDescent="0.15">
      <c r="A291" s="60">
        <v>1807</v>
      </c>
      <c r="B291" s="30" t="s">
        <v>3526</v>
      </c>
      <c r="C291" s="30" t="s">
        <v>4377</v>
      </c>
      <c r="D291" s="61" t="s">
        <v>4378</v>
      </c>
      <c r="E291" s="2"/>
      <c r="F291" s="57"/>
      <c r="G291" s="62" t="s">
        <v>4379</v>
      </c>
      <c r="H291" s="59">
        <v>0</v>
      </c>
      <c r="I291" s="29"/>
      <c r="J291" s="29"/>
      <c r="K291" s="29"/>
      <c r="L291" s="29"/>
      <c r="M291" s="29"/>
    </row>
    <row r="292" spans="1:13" ht="112.5" customHeight="1" x14ac:dyDescent="0.15">
      <c r="A292" s="54">
        <v>1806</v>
      </c>
      <c r="B292" s="55" t="s">
        <v>3502</v>
      </c>
      <c r="C292" s="55" t="s">
        <v>4380</v>
      </c>
      <c r="D292" s="56" t="s">
        <v>4381</v>
      </c>
      <c r="E292" s="2"/>
      <c r="F292" s="57"/>
      <c r="G292" s="58" t="s">
        <v>4382</v>
      </c>
      <c r="H292" s="59">
        <v>0</v>
      </c>
      <c r="I292" s="29"/>
      <c r="J292" s="29"/>
      <c r="K292" s="29"/>
      <c r="L292" s="29"/>
      <c r="M292" s="29"/>
    </row>
    <row r="293" spans="1:13" ht="112.5" customHeight="1" x14ac:dyDescent="0.15">
      <c r="A293" s="60">
        <v>1805</v>
      </c>
      <c r="B293" s="30" t="s">
        <v>3502</v>
      </c>
      <c r="C293" s="30" t="s">
        <v>4383</v>
      </c>
      <c r="D293" s="61" t="s">
        <v>4384</v>
      </c>
      <c r="E293" s="2"/>
      <c r="F293" s="57"/>
      <c r="G293" s="62" t="s">
        <v>4385</v>
      </c>
      <c r="H293" s="59">
        <v>0</v>
      </c>
      <c r="I293" s="29"/>
      <c r="J293" s="29"/>
      <c r="K293" s="29"/>
      <c r="L293" s="29"/>
      <c r="M293" s="29"/>
    </row>
    <row r="294" spans="1:13" ht="112.5" customHeight="1" x14ac:dyDescent="0.15">
      <c r="A294" s="54">
        <v>1804</v>
      </c>
      <c r="B294" s="55" t="s">
        <v>3509</v>
      </c>
      <c r="C294" s="55" t="s">
        <v>4386</v>
      </c>
      <c r="D294" s="56" t="s">
        <v>4387</v>
      </c>
      <c r="E294" s="2"/>
      <c r="F294" s="57"/>
      <c r="G294" s="64" t="s">
        <v>4388</v>
      </c>
      <c r="H294" s="59">
        <v>0</v>
      </c>
    </row>
    <row r="295" spans="1:13" ht="112.5" customHeight="1" x14ac:dyDescent="0.15">
      <c r="A295" s="60">
        <v>3469</v>
      </c>
      <c r="B295" s="30" t="s">
        <v>3496</v>
      </c>
      <c r="C295" s="30" t="s">
        <v>4389</v>
      </c>
      <c r="D295" s="61" t="s">
        <v>4390</v>
      </c>
      <c r="E295" s="2"/>
      <c r="F295" s="57"/>
      <c r="G295" s="63" t="s">
        <v>4391</v>
      </c>
      <c r="H295" s="59">
        <v>0</v>
      </c>
    </row>
    <row r="296" spans="1:13" ht="112.5" customHeight="1" x14ac:dyDescent="0.15">
      <c r="A296" s="60">
        <v>1803</v>
      </c>
      <c r="B296" s="30" t="s">
        <v>3526</v>
      </c>
      <c r="C296" s="30" t="s">
        <v>4392</v>
      </c>
      <c r="D296" s="61" t="s">
        <v>4393</v>
      </c>
      <c r="E296" s="2"/>
      <c r="F296" s="57"/>
      <c r="G296" s="64" t="s">
        <v>4394</v>
      </c>
      <c r="H296" s="59">
        <v>0</v>
      </c>
    </row>
    <row r="297" spans="1:13" ht="112.5" customHeight="1" x14ac:dyDescent="0.15">
      <c r="A297" s="54">
        <v>1802</v>
      </c>
      <c r="B297" s="55" t="s">
        <v>3526</v>
      </c>
      <c r="C297" s="55" t="s">
        <v>4395</v>
      </c>
      <c r="D297" s="56" t="s">
        <v>4396</v>
      </c>
      <c r="E297" s="2"/>
      <c r="F297" s="57"/>
      <c r="G297" s="63" t="s">
        <v>4397</v>
      </c>
      <c r="H297" s="59">
        <v>0</v>
      </c>
    </row>
    <row r="298" spans="1:13" ht="112.5" customHeight="1" x14ac:dyDescent="0.15">
      <c r="A298" s="60">
        <v>1801</v>
      </c>
      <c r="B298" s="30" t="s">
        <v>3526</v>
      </c>
      <c r="C298" s="30" t="s">
        <v>4398</v>
      </c>
      <c r="D298" s="61" t="s">
        <v>4399</v>
      </c>
      <c r="E298" s="2"/>
      <c r="F298" s="57"/>
      <c r="G298" s="64" t="s">
        <v>4400</v>
      </c>
      <c r="H298" s="59">
        <v>0</v>
      </c>
    </row>
    <row r="299" spans="1:13" ht="112.5" customHeight="1" x14ac:dyDescent="0.15">
      <c r="A299" s="54">
        <v>1800</v>
      </c>
      <c r="B299" s="55" t="s">
        <v>3526</v>
      </c>
      <c r="C299" s="55" t="s">
        <v>4401</v>
      </c>
      <c r="D299" s="56" t="s">
        <v>4402</v>
      </c>
      <c r="E299" s="2"/>
      <c r="F299" s="57"/>
      <c r="G299" s="63" t="s">
        <v>4403</v>
      </c>
      <c r="H299" s="59">
        <v>0</v>
      </c>
    </row>
    <row r="300" spans="1:13" ht="112.5" customHeight="1" x14ac:dyDescent="0.15">
      <c r="A300" s="60">
        <v>1799</v>
      </c>
      <c r="B300" s="30" t="s">
        <v>3549</v>
      </c>
      <c r="C300" s="30" t="s">
        <v>4404</v>
      </c>
      <c r="D300" s="61" t="s">
        <v>4405</v>
      </c>
      <c r="E300" s="2"/>
      <c r="F300" s="57"/>
      <c r="G300" s="64" t="s">
        <v>4406</v>
      </c>
      <c r="H300" s="59">
        <v>0</v>
      </c>
    </row>
    <row r="301" spans="1:13" ht="112.5" customHeight="1" x14ac:dyDescent="0.15">
      <c r="A301" s="54">
        <v>3178</v>
      </c>
      <c r="B301" s="55" t="s">
        <v>3502</v>
      </c>
      <c r="C301" s="55" t="s">
        <v>4407</v>
      </c>
      <c r="D301" s="56" t="s">
        <v>4408</v>
      </c>
      <c r="E301" s="2"/>
      <c r="F301" s="57"/>
      <c r="G301" s="63" t="s">
        <v>4409</v>
      </c>
      <c r="H301" s="59">
        <v>0</v>
      </c>
    </row>
    <row r="302" spans="1:13" ht="112.5" customHeight="1" x14ac:dyDescent="0.15">
      <c r="A302" s="54">
        <v>1798</v>
      </c>
      <c r="B302" s="55" t="s">
        <v>3876</v>
      </c>
      <c r="C302" s="55" t="s">
        <v>4410</v>
      </c>
      <c r="D302" s="56" t="s">
        <v>4411</v>
      </c>
      <c r="E302" s="2"/>
      <c r="F302" s="57"/>
      <c r="G302" s="64" t="s">
        <v>4412</v>
      </c>
      <c r="H302" s="59">
        <v>0</v>
      </c>
    </row>
    <row r="303" spans="1:13" ht="112.5" customHeight="1" x14ac:dyDescent="0.15">
      <c r="A303" s="54">
        <v>3284</v>
      </c>
      <c r="B303" s="55" t="s">
        <v>3496</v>
      </c>
      <c r="C303" s="55" t="s">
        <v>4413</v>
      </c>
      <c r="D303" s="56" t="s">
        <v>4414</v>
      </c>
      <c r="E303" s="2"/>
      <c r="F303" s="57"/>
      <c r="G303" s="63" t="s">
        <v>4415</v>
      </c>
      <c r="H303" s="59">
        <v>0</v>
      </c>
    </row>
    <row r="304" spans="1:13" ht="112.5" customHeight="1" x14ac:dyDescent="0.15">
      <c r="A304" s="60">
        <v>1797</v>
      </c>
      <c r="B304" s="30" t="s">
        <v>3670</v>
      </c>
      <c r="C304" s="30" t="s">
        <v>4416</v>
      </c>
      <c r="D304" s="61" t="s">
        <v>4417</v>
      </c>
      <c r="E304" s="2"/>
      <c r="F304" s="57"/>
      <c r="G304" s="64" t="s">
        <v>4418</v>
      </c>
      <c r="H304" s="59">
        <v>0</v>
      </c>
    </row>
    <row r="305" spans="1:8" ht="112.5" customHeight="1" x14ac:dyDescent="0.15">
      <c r="A305" s="54">
        <v>1796</v>
      </c>
      <c r="B305" s="55" t="s">
        <v>3822</v>
      </c>
      <c r="C305" s="55" t="s">
        <v>4419</v>
      </c>
      <c r="D305" s="56" t="s">
        <v>4420</v>
      </c>
      <c r="E305" s="2"/>
      <c r="F305" s="57"/>
      <c r="G305" s="63" t="s">
        <v>4421</v>
      </c>
      <c r="H305" s="59">
        <v>0</v>
      </c>
    </row>
    <row r="306" spans="1:8" ht="112.5" customHeight="1" x14ac:dyDescent="0.15">
      <c r="A306" s="60">
        <v>1795</v>
      </c>
      <c r="B306" s="30" t="s">
        <v>3822</v>
      </c>
      <c r="C306" s="30" t="s">
        <v>4422</v>
      </c>
      <c r="D306" s="61" t="s">
        <v>4423</v>
      </c>
      <c r="E306" s="2"/>
      <c r="F306" s="57"/>
      <c r="G306" s="64" t="s">
        <v>4424</v>
      </c>
      <c r="H306" s="59">
        <v>0</v>
      </c>
    </row>
    <row r="307" spans="1:8" ht="112.5" customHeight="1" x14ac:dyDescent="0.15">
      <c r="A307" s="60">
        <v>3229</v>
      </c>
      <c r="B307" s="30" t="s">
        <v>3496</v>
      </c>
      <c r="C307" s="30" t="s">
        <v>4425</v>
      </c>
      <c r="D307" s="61" t="s">
        <v>4426</v>
      </c>
      <c r="E307" s="2"/>
      <c r="F307" s="57"/>
      <c r="G307" s="63" t="s">
        <v>4427</v>
      </c>
      <c r="H307" s="59">
        <v>0</v>
      </c>
    </row>
    <row r="308" spans="1:8" ht="112.5" customHeight="1" x14ac:dyDescent="0.15">
      <c r="A308" s="54">
        <v>1794</v>
      </c>
      <c r="B308" s="55" t="s">
        <v>3549</v>
      </c>
      <c r="C308" s="55" t="s">
        <v>4428</v>
      </c>
      <c r="D308" s="56" t="s">
        <v>4429</v>
      </c>
      <c r="E308" s="2"/>
      <c r="F308" s="57"/>
      <c r="G308" s="64" t="s">
        <v>4430</v>
      </c>
      <c r="H308" s="59">
        <v>0</v>
      </c>
    </row>
    <row r="309" spans="1:8" ht="112.5" customHeight="1" x14ac:dyDescent="0.15">
      <c r="A309" s="60">
        <v>1793</v>
      </c>
      <c r="B309" s="30" t="s">
        <v>3818</v>
      </c>
      <c r="C309" s="30" t="s">
        <v>4431</v>
      </c>
      <c r="D309" s="61" t="s">
        <v>4432</v>
      </c>
      <c r="E309" s="2"/>
      <c r="F309" s="57"/>
      <c r="G309" s="63" t="s">
        <v>4433</v>
      </c>
      <c r="H309" s="59">
        <v>0</v>
      </c>
    </row>
    <row r="310" spans="1:8" ht="112.5" customHeight="1" x14ac:dyDescent="0.15">
      <c r="A310" s="54">
        <v>1792</v>
      </c>
      <c r="B310" s="55" t="s">
        <v>3533</v>
      </c>
      <c r="C310" s="55" t="s">
        <v>4434</v>
      </c>
      <c r="D310" s="56" t="s">
        <v>4435</v>
      </c>
      <c r="E310" s="2"/>
      <c r="F310" s="57"/>
      <c r="G310" s="64" t="s">
        <v>4436</v>
      </c>
      <c r="H310" s="59">
        <v>0</v>
      </c>
    </row>
    <row r="311" spans="1:8" ht="112.5" customHeight="1" x14ac:dyDescent="0.15">
      <c r="A311" s="60">
        <v>1791</v>
      </c>
      <c r="B311" s="30" t="s">
        <v>3549</v>
      </c>
      <c r="C311" s="30" t="s">
        <v>4437</v>
      </c>
      <c r="D311" s="61" t="s">
        <v>4438</v>
      </c>
      <c r="E311" s="2"/>
      <c r="F311" s="57"/>
      <c r="G311" s="63" t="s">
        <v>4439</v>
      </c>
      <c r="H311" s="59">
        <v>0</v>
      </c>
    </row>
    <row r="312" spans="1:8" ht="112.5" customHeight="1" x14ac:dyDescent="0.15">
      <c r="A312" s="54">
        <v>1790</v>
      </c>
      <c r="B312" s="55" t="s">
        <v>3513</v>
      </c>
      <c r="C312" s="55" t="s">
        <v>4440</v>
      </c>
      <c r="D312" s="56" t="s">
        <v>4441</v>
      </c>
      <c r="E312" s="2"/>
      <c r="F312" s="57"/>
      <c r="G312" s="64" t="s">
        <v>4442</v>
      </c>
      <c r="H312" s="59">
        <v>0</v>
      </c>
    </row>
    <row r="313" spans="1:8" ht="112.5" customHeight="1" x14ac:dyDescent="0.15">
      <c r="A313" s="60">
        <v>1789</v>
      </c>
      <c r="B313" s="30" t="s">
        <v>3513</v>
      </c>
      <c r="C313" s="30" t="s">
        <v>4443</v>
      </c>
      <c r="D313" s="61" t="s">
        <v>4444</v>
      </c>
      <c r="E313" s="2"/>
      <c r="F313" s="57"/>
      <c r="G313" s="63" t="s">
        <v>4445</v>
      </c>
      <c r="H313" s="59">
        <v>0</v>
      </c>
    </row>
    <row r="314" spans="1:8" ht="112.5" customHeight="1" x14ac:dyDescent="0.15">
      <c r="A314" s="60">
        <v>3163</v>
      </c>
      <c r="B314" s="30" t="s">
        <v>3502</v>
      </c>
      <c r="C314" s="30" t="s">
        <v>4446</v>
      </c>
      <c r="D314" s="61" t="s">
        <v>4447</v>
      </c>
      <c r="E314" s="2"/>
      <c r="F314" s="57"/>
      <c r="G314" s="64" t="s">
        <v>4448</v>
      </c>
      <c r="H314" s="59">
        <v>0</v>
      </c>
    </row>
    <row r="315" spans="1:8" ht="112.5" customHeight="1" x14ac:dyDescent="0.15">
      <c r="A315" s="60">
        <v>3211</v>
      </c>
      <c r="B315" s="30" t="s">
        <v>3496</v>
      </c>
      <c r="C315" s="30" t="s">
        <v>4449</v>
      </c>
      <c r="D315" s="61" t="s">
        <v>4450</v>
      </c>
      <c r="E315" s="2"/>
      <c r="F315" s="57"/>
      <c r="G315" s="63" t="s">
        <v>4451</v>
      </c>
      <c r="H315" s="59">
        <v>0</v>
      </c>
    </row>
    <row r="316" spans="1:8" ht="112.5" customHeight="1" x14ac:dyDescent="0.15">
      <c r="A316" s="54">
        <v>3210</v>
      </c>
      <c r="B316" s="55" t="s">
        <v>3496</v>
      </c>
      <c r="C316" s="55" t="s">
        <v>4452</v>
      </c>
      <c r="D316" s="56" t="s">
        <v>4453</v>
      </c>
      <c r="E316" s="2"/>
      <c r="F316" s="57"/>
      <c r="G316" s="64" t="s">
        <v>4454</v>
      </c>
      <c r="H316" s="59">
        <v>0</v>
      </c>
    </row>
    <row r="317" spans="1:8" ht="112.5" customHeight="1" x14ac:dyDescent="0.15">
      <c r="A317" s="54">
        <v>3212</v>
      </c>
      <c r="B317" s="55" t="s">
        <v>3496</v>
      </c>
      <c r="C317" s="55" t="s">
        <v>4455</v>
      </c>
      <c r="D317" s="56" t="s">
        <v>4456</v>
      </c>
      <c r="E317" s="2"/>
      <c r="F317" s="57"/>
      <c r="G317" s="63" t="s">
        <v>4457</v>
      </c>
      <c r="H317" s="59">
        <v>0</v>
      </c>
    </row>
    <row r="318" spans="1:8" ht="112.5" customHeight="1" x14ac:dyDescent="0.15">
      <c r="A318" s="54">
        <v>1788</v>
      </c>
      <c r="B318" s="55" t="s">
        <v>4330</v>
      </c>
      <c r="C318" s="55" t="s">
        <v>4458</v>
      </c>
      <c r="D318" s="56" t="s">
        <v>4459</v>
      </c>
      <c r="E318" s="2"/>
      <c r="F318" s="57"/>
      <c r="G318" s="64" t="s">
        <v>4460</v>
      </c>
      <c r="H318" s="59">
        <v>0</v>
      </c>
    </row>
    <row r="319" spans="1:8" ht="112.5" customHeight="1" x14ac:dyDescent="0.15">
      <c r="A319" s="60">
        <v>1787</v>
      </c>
      <c r="B319" s="30" t="s">
        <v>3749</v>
      </c>
      <c r="C319" s="30" t="s">
        <v>4461</v>
      </c>
      <c r="D319" s="61" t="s">
        <v>4462</v>
      </c>
      <c r="E319" s="2"/>
      <c r="F319" s="57"/>
      <c r="G319" s="63" t="s">
        <v>4463</v>
      </c>
      <c r="H319" s="59">
        <v>0</v>
      </c>
    </row>
    <row r="320" spans="1:8" ht="112.5" customHeight="1" x14ac:dyDescent="0.15">
      <c r="A320" s="54">
        <v>1786</v>
      </c>
      <c r="B320" s="55" t="s">
        <v>3556</v>
      </c>
      <c r="C320" s="55" t="s">
        <v>4464</v>
      </c>
      <c r="D320" s="56" t="s">
        <v>4465</v>
      </c>
      <c r="E320" s="2"/>
      <c r="F320" s="57"/>
      <c r="G320" s="64" t="s">
        <v>4466</v>
      </c>
      <c r="H320" s="59">
        <v>0</v>
      </c>
    </row>
    <row r="321" spans="1:8" ht="112.5" customHeight="1" x14ac:dyDescent="0.15">
      <c r="A321" s="60">
        <v>1785</v>
      </c>
      <c r="B321" s="30" t="s">
        <v>3556</v>
      </c>
      <c r="C321" s="30" t="s">
        <v>4467</v>
      </c>
      <c r="D321" s="61" t="s">
        <v>4468</v>
      </c>
      <c r="E321" s="2"/>
      <c r="F321" s="57"/>
      <c r="G321" s="63" t="s">
        <v>4469</v>
      </c>
      <c r="H321" s="59">
        <v>0</v>
      </c>
    </row>
    <row r="322" spans="1:8" ht="112.5" customHeight="1" x14ac:dyDescent="0.15">
      <c r="A322" s="54">
        <v>1784</v>
      </c>
      <c r="B322" s="55" t="s">
        <v>3513</v>
      </c>
      <c r="C322" s="55" t="s">
        <v>4470</v>
      </c>
      <c r="D322" s="56" t="s">
        <v>4471</v>
      </c>
      <c r="E322" s="2"/>
      <c r="F322" s="57"/>
      <c r="G322" s="64" t="s">
        <v>4472</v>
      </c>
      <c r="H322" s="59">
        <v>0</v>
      </c>
    </row>
    <row r="323" spans="1:8" ht="112.5" customHeight="1" x14ac:dyDescent="0.15">
      <c r="A323" s="60">
        <v>1783</v>
      </c>
      <c r="B323" s="30" t="s">
        <v>4330</v>
      </c>
      <c r="C323" s="30" t="s">
        <v>4473</v>
      </c>
      <c r="D323" s="61" t="s">
        <v>4474</v>
      </c>
      <c r="E323" s="2"/>
      <c r="F323" s="57"/>
      <c r="G323" s="63" t="s">
        <v>4475</v>
      </c>
      <c r="H323" s="59">
        <v>0</v>
      </c>
    </row>
    <row r="324" spans="1:8" ht="112.5" customHeight="1" x14ac:dyDescent="0.15">
      <c r="A324" s="54">
        <v>1782</v>
      </c>
      <c r="B324" s="55" t="s">
        <v>4330</v>
      </c>
      <c r="C324" s="55" t="s">
        <v>4476</v>
      </c>
      <c r="D324" s="56" t="s">
        <v>4477</v>
      </c>
      <c r="E324" s="2"/>
      <c r="F324" s="57"/>
      <c r="G324" s="64" t="s">
        <v>4478</v>
      </c>
      <c r="H324" s="59">
        <v>0</v>
      </c>
    </row>
    <row r="325" spans="1:8" ht="112.5" customHeight="1" x14ac:dyDescent="0.15">
      <c r="A325" s="60">
        <v>1781</v>
      </c>
      <c r="B325" s="30" t="s">
        <v>3496</v>
      </c>
      <c r="C325" s="30" t="s">
        <v>4479</v>
      </c>
      <c r="D325" s="61" t="s">
        <v>4480</v>
      </c>
      <c r="E325" s="2"/>
      <c r="F325" s="57"/>
      <c r="G325" s="63" t="s">
        <v>4481</v>
      </c>
      <c r="H325" s="59">
        <v>0</v>
      </c>
    </row>
    <row r="326" spans="1:8" ht="112.5" customHeight="1" x14ac:dyDescent="0.15">
      <c r="A326" s="54">
        <v>1780</v>
      </c>
      <c r="B326" s="55" t="s">
        <v>3818</v>
      </c>
      <c r="C326" s="55" t="s">
        <v>4482</v>
      </c>
      <c r="D326" s="56" t="s">
        <v>4483</v>
      </c>
      <c r="E326" s="2"/>
      <c r="F326" s="57"/>
      <c r="G326" s="64" t="s">
        <v>4484</v>
      </c>
      <c r="H326" s="59">
        <v>0</v>
      </c>
    </row>
    <row r="327" spans="1:8" ht="112.5" customHeight="1" x14ac:dyDescent="0.15">
      <c r="A327" s="60">
        <v>3339</v>
      </c>
      <c r="B327" s="30" t="s">
        <v>3496</v>
      </c>
      <c r="C327" s="30" t="s">
        <v>4485</v>
      </c>
      <c r="D327" s="61" t="s">
        <v>4486</v>
      </c>
      <c r="E327" s="2"/>
      <c r="F327" s="57"/>
      <c r="G327" s="63" t="s">
        <v>4487</v>
      </c>
      <c r="H327" s="59">
        <v>0</v>
      </c>
    </row>
    <row r="328" spans="1:8" ht="112.5" customHeight="1" x14ac:dyDescent="0.15">
      <c r="A328" s="60">
        <v>1779</v>
      </c>
      <c r="B328" s="30" t="s">
        <v>3822</v>
      </c>
      <c r="C328" s="30" t="s">
        <v>4488</v>
      </c>
      <c r="D328" s="61" t="s">
        <v>4489</v>
      </c>
      <c r="E328" s="2"/>
      <c r="F328" s="57"/>
      <c r="G328" s="64" t="s">
        <v>4490</v>
      </c>
      <c r="H328" s="59">
        <v>0</v>
      </c>
    </row>
    <row r="329" spans="1:8" ht="112.5" customHeight="1" x14ac:dyDescent="0.15">
      <c r="A329" s="54">
        <v>1778</v>
      </c>
      <c r="B329" s="55" t="s">
        <v>3822</v>
      </c>
      <c r="C329" s="55" t="s">
        <v>4491</v>
      </c>
      <c r="D329" s="56" t="s">
        <v>4492</v>
      </c>
      <c r="E329" s="2"/>
      <c r="F329" s="57"/>
      <c r="G329" s="63" t="s">
        <v>4493</v>
      </c>
      <c r="H329" s="59">
        <v>0</v>
      </c>
    </row>
    <row r="330" spans="1:8" ht="112.5" customHeight="1" x14ac:dyDescent="0.15">
      <c r="A330" s="60">
        <v>1777</v>
      </c>
      <c r="B330" s="30" t="s">
        <v>3822</v>
      </c>
      <c r="C330" s="30" t="s">
        <v>4494</v>
      </c>
      <c r="D330" s="61" t="s">
        <v>4495</v>
      </c>
      <c r="E330" s="2"/>
      <c r="F330" s="57"/>
      <c r="G330" s="64" t="s">
        <v>4496</v>
      </c>
      <c r="H330" s="59">
        <v>0</v>
      </c>
    </row>
    <row r="331" spans="1:8" ht="112.5" customHeight="1" x14ac:dyDescent="0.15">
      <c r="A331" s="54">
        <v>1776</v>
      </c>
      <c r="B331" s="55" t="s">
        <v>3526</v>
      </c>
      <c r="C331" s="55" t="s">
        <v>4497</v>
      </c>
      <c r="D331" s="56" t="s">
        <v>4498</v>
      </c>
      <c r="E331" s="2"/>
      <c r="F331" s="57"/>
      <c r="G331" s="63" t="s">
        <v>4499</v>
      </c>
      <c r="H331" s="59">
        <v>0</v>
      </c>
    </row>
    <row r="332" spans="1:8" ht="112.5" customHeight="1" x14ac:dyDescent="0.15">
      <c r="A332" s="60">
        <v>1775</v>
      </c>
      <c r="B332" s="30" t="s">
        <v>3822</v>
      </c>
      <c r="C332" s="30" t="s">
        <v>4500</v>
      </c>
      <c r="D332" s="61" t="s">
        <v>4501</v>
      </c>
      <c r="E332" s="2"/>
      <c r="F332" s="57"/>
      <c r="G332" s="64" t="s">
        <v>4502</v>
      </c>
      <c r="H332" s="59">
        <v>0</v>
      </c>
    </row>
    <row r="333" spans="1:8" ht="112.5" customHeight="1" x14ac:dyDescent="0.15">
      <c r="A333" s="54">
        <v>1774</v>
      </c>
      <c r="B333" s="55" t="s">
        <v>3822</v>
      </c>
      <c r="C333" s="55" t="s">
        <v>4503</v>
      </c>
      <c r="D333" s="56" t="s">
        <v>4504</v>
      </c>
      <c r="E333" s="2"/>
      <c r="F333" s="57"/>
      <c r="G333" s="63" t="s">
        <v>4505</v>
      </c>
      <c r="H333" s="59">
        <v>0</v>
      </c>
    </row>
    <row r="334" spans="1:8" ht="112.5" customHeight="1" x14ac:dyDescent="0.15">
      <c r="A334" s="60">
        <v>1773</v>
      </c>
      <c r="B334" s="30" t="s">
        <v>3822</v>
      </c>
      <c r="C334" s="30" t="s">
        <v>4506</v>
      </c>
      <c r="D334" s="61" t="s">
        <v>4507</v>
      </c>
      <c r="E334" s="2"/>
      <c r="F334" s="57"/>
      <c r="G334" s="64" t="s">
        <v>4508</v>
      </c>
      <c r="H334" s="59">
        <v>0</v>
      </c>
    </row>
    <row r="335" spans="1:8" ht="112.5" customHeight="1" x14ac:dyDescent="0.15">
      <c r="A335" s="60">
        <v>1771</v>
      </c>
      <c r="B335" s="30" t="s">
        <v>3526</v>
      </c>
      <c r="C335" s="30" t="s">
        <v>4509</v>
      </c>
      <c r="D335" s="61" t="s">
        <v>4510</v>
      </c>
      <c r="E335" s="2"/>
      <c r="F335" s="57"/>
      <c r="G335" s="63" t="s">
        <v>4511</v>
      </c>
      <c r="H335" s="59">
        <v>0</v>
      </c>
    </row>
    <row r="336" spans="1:8" ht="112.5" customHeight="1" x14ac:dyDescent="0.15">
      <c r="A336" s="54">
        <v>1576</v>
      </c>
      <c r="B336" s="55" t="s">
        <v>3822</v>
      </c>
      <c r="C336" s="55" t="s">
        <v>4512</v>
      </c>
      <c r="D336" s="56" t="s">
        <v>4513</v>
      </c>
      <c r="E336" s="2"/>
      <c r="F336" s="57"/>
      <c r="G336" s="64" t="s">
        <v>4514</v>
      </c>
      <c r="H336" s="59">
        <v>0</v>
      </c>
    </row>
    <row r="337" spans="1:8" ht="112.5" customHeight="1" x14ac:dyDescent="0.15">
      <c r="A337" s="54">
        <v>1574</v>
      </c>
      <c r="B337" s="55" t="s">
        <v>3822</v>
      </c>
      <c r="C337" s="55" t="s">
        <v>4515</v>
      </c>
      <c r="D337" s="56" t="s">
        <v>4516</v>
      </c>
      <c r="E337" s="2"/>
      <c r="F337" s="57"/>
      <c r="G337" s="63" t="s">
        <v>4517</v>
      </c>
      <c r="H337" s="59">
        <v>0</v>
      </c>
    </row>
    <row r="338" spans="1:8" ht="112.5" customHeight="1" x14ac:dyDescent="0.15">
      <c r="A338" s="60">
        <v>1575</v>
      </c>
      <c r="B338" s="30" t="s">
        <v>3822</v>
      </c>
      <c r="C338" s="30" t="s">
        <v>4518</v>
      </c>
      <c r="D338" s="61" t="s">
        <v>4519</v>
      </c>
      <c r="E338" s="2"/>
      <c r="F338" s="57"/>
      <c r="G338" s="64" t="s">
        <v>4520</v>
      </c>
      <c r="H338" s="59">
        <v>0</v>
      </c>
    </row>
    <row r="339" spans="1:8" ht="112.5" customHeight="1" x14ac:dyDescent="0.15">
      <c r="A339" s="60">
        <v>1573</v>
      </c>
      <c r="B339" s="30" t="s">
        <v>3822</v>
      </c>
      <c r="C339" s="30" t="s">
        <v>4521</v>
      </c>
      <c r="D339" s="61" t="s">
        <v>4522</v>
      </c>
      <c r="E339" s="2"/>
      <c r="F339" s="57"/>
      <c r="G339" s="63" t="s">
        <v>4523</v>
      </c>
      <c r="H339" s="59">
        <v>0</v>
      </c>
    </row>
    <row r="340" spans="1:8" ht="112.5" customHeight="1" x14ac:dyDescent="0.15">
      <c r="A340" s="54">
        <v>1572</v>
      </c>
      <c r="B340" s="55" t="s">
        <v>3822</v>
      </c>
      <c r="C340" s="55" t="s">
        <v>4524</v>
      </c>
      <c r="D340" s="56" t="s">
        <v>4525</v>
      </c>
      <c r="E340" s="2"/>
      <c r="F340" s="57"/>
      <c r="G340" s="64" t="s">
        <v>4526</v>
      </c>
      <c r="H340" s="59">
        <v>0</v>
      </c>
    </row>
    <row r="341" spans="1:8" ht="112.5" customHeight="1" x14ac:dyDescent="0.15">
      <c r="A341" s="60">
        <v>1571</v>
      </c>
      <c r="B341" s="30" t="s">
        <v>3749</v>
      </c>
      <c r="C341" s="30" t="s">
        <v>4527</v>
      </c>
      <c r="D341" s="61" t="s">
        <v>4528</v>
      </c>
      <c r="E341" s="2"/>
      <c r="F341" s="57"/>
      <c r="G341" s="63" t="s">
        <v>4529</v>
      </c>
      <c r="H341" s="59">
        <v>0</v>
      </c>
    </row>
    <row r="342" spans="1:8" ht="112.5" customHeight="1" x14ac:dyDescent="0.15">
      <c r="A342" s="54">
        <v>1570</v>
      </c>
      <c r="B342" s="55" t="s">
        <v>3814</v>
      </c>
      <c r="C342" s="55" t="s">
        <v>4530</v>
      </c>
      <c r="D342" s="56" t="s">
        <v>4531</v>
      </c>
      <c r="E342" s="2"/>
      <c r="F342" s="57"/>
      <c r="G342" s="64" t="s">
        <v>4532</v>
      </c>
      <c r="H342" s="59">
        <v>0</v>
      </c>
    </row>
    <row r="343" spans="1:8" ht="112.5" customHeight="1" x14ac:dyDescent="0.15">
      <c r="A343" s="60">
        <v>1569</v>
      </c>
      <c r="B343" s="30" t="s">
        <v>3556</v>
      </c>
      <c r="C343" s="30" t="s">
        <v>4533</v>
      </c>
      <c r="D343" s="61" t="s">
        <v>4534</v>
      </c>
      <c r="E343" s="2"/>
      <c r="F343" s="57"/>
      <c r="G343" s="63" t="s">
        <v>4535</v>
      </c>
      <c r="H343" s="59">
        <v>0</v>
      </c>
    </row>
    <row r="344" spans="1:8" ht="112.5" customHeight="1" x14ac:dyDescent="0.15">
      <c r="A344" s="54">
        <v>1568</v>
      </c>
      <c r="B344" s="55" t="s">
        <v>3549</v>
      </c>
      <c r="C344" s="55" t="s">
        <v>4536</v>
      </c>
      <c r="D344" s="56" t="s">
        <v>4537</v>
      </c>
      <c r="E344" s="2"/>
      <c r="F344" s="57"/>
      <c r="G344" s="64" t="s">
        <v>4538</v>
      </c>
      <c r="H344" s="59">
        <v>0</v>
      </c>
    </row>
    <row r="345" spans="1:8" ht="112.5" customHeight="1" x14ac:dyDescent="0.15">
      <c r="A345" s="60">
        <v>1567</v>
      </c>
      <c r="B345" s="30" t="s">
        <v>3556</v>
      </c>
      <c r="C345" s="30" t="s">
        <v>4539</v>
      </c>
      <c r="D345" s="61" t="s">
        <v>4540</v>
      </c>
      <c r="E345" s="2"/>
      <c r="F345" s="57"/>
      <c r="G345" s="63" t="s">
        <v>4541</v>
      </c>
      <c r="H345" s="59">
        <v>0</v>
      </c>
    </row>
    <row r="346" spans="1:8" ht="112.5" customHeight="1" x14ac:dyDescent="0.15">
      <c r="A346" s="54">
        <v>1566</v>
      </c>
      <c r="B346" s="55" t="s">
        <v>3556</v>
      </c>
      <c r="C346" s="55" t="s">
        <v>4542</v>
      </c>
      <c r="D346" s="56" t="s">
        <v>4543</v>
      </c>
      <c r="E346" s="2"/>
      <c r="F346" s="57"/>
      <c r="G346" s="64" t="s">
        <v>4544</v>
      </c>
      <c r="H346" s="59">
        <v>0</v>
      </c>
    </row>
    <row r="347" spans="1:8" ht="112.5" customHeight="1" x14ac:dyDescent="0.15">
      <c r="A347" s="60">
        <v>1565</v>
      </c>
      <c r="B347" s="30" t="s">
        <v>3749</v>
      </c>
      <c r="C347" s="30" t="s">
        <v>4545</v>
      </c>
      <c r="D347" s="61" t="s">
        <v>4546</v>
      </c>
      <c r="E347" s="2"/>
      <c r="F347" s="57"/>
      <c r="G347" s="63" t="s">
        <v>4547</v>
      </c>
      <c r="H347" s="59">
        <v>0</v>
      </c>
    </row>
    <row r="348" spans="1:8" ht="112.5" customHeight="1" x14ac:dyDescent="0.15">
      <c r="A348" s="60">
        <v>3281</v>
      </c>
      <c r="B348" s="30" t="s">
        <v>3822</v>
      </c>
      <c r="C348" s="30" t="s">
        <v>4548</v>
      </c>
      <c r="D348" s="61" t="s">
        <v>4549</v>
      </c>
      <c r="E348" s="2"/>
      <c r="F348" s="57"/>
      <c r="G348" s="64" t="s">
        <v>4550</v>
      </c>
      <c r="H348" s="59">
        <v>0</v>
      </c>
    </row>
    <row r="349" spans="1:8" ht="112.5" customHeight="1" x14ac:dyDescent="0.15">
      <c r="A349" s="60">
        <v>3283</v>
      </c>
      <c r="B349" s="30" t="s">
        <v>3822</v>
      </c>
      <c r="C349" s="30" t="s">
        <v>4551</v>
      </c>
      <c r="D349" s="61" t="s">
        <v>4552</v>
      </c>
      <c r="E349" s="2"/>
      <c r="F349" s="57"/>
      <c r="G349" s="63" t="s">
        <v>4553</v>
      </c>
      <c r="H349" s="59">
        <v>0</v>
      </c>
    </row>
    <row r="350" spans="1:8" ht="112.5" customHeight="1" x14ac:dyDescent="0.15">
      <c r="A350" s="54">
        <v>3282</v>
      </c>
      <c r="B350" s="55" t="s">
        <v>3822</v>
      </c>
      <c r="C350" s="55" t="s">
        <v>4554</v>
      </c>
      <c r="D350" s="56" t="s">
        <v>4555</v>
      </c>
      <c r="E350" s="2"/>
      <c r="F350" s="57"/>
      <c r="G350" s="64" t="s">
        <v>4556</v>
      </c>
      <c r="H350" s="59">
        <v>0</v>
      </c>
    </row>
    <row r="351" spans="1:8" ht="112.5" customHeight="1" x14ac:dyDescent="0.15">
      <c r="A351" s="54">
        <v>1564</v>
      </c>
      <c r="B351" s="55" t="s">
        <v>3822</v>
      </c>
      <c r="C351" s="55" t="s">
        <v>4557</v>
      </c>
      <c r="D351" s="56" t="s">
        <v>4558</v>
      </c>
      <c r="E351" s="2"/>
      <c r="F351" s="57"/>
      <c r="G351" s="63" t="s">
        <v>4559</v>
      </c>
      <c r="H351" s="59">
        <v>0</v>
      </c>
    </row>
    <row r="352" spans="1:8" ht="112.5" customHeight="1" x14ac:dyDescent="0.15">
      <c r="A352" s="60">
        <v>1563</v>
      </c>
      <c r="B352" s="30" t="s">
        <v>3822</v>
      </c>
      <c r="C352" s="30" t="s">
        <v>4560</v>
      </c>
      <c r="D352" s="61" t="s">
        <v>4561</v>
      </c>
      <c r="E352" s="2"/>
      <c r="F352" s="57"/>
      <c r="G352" s="64" t="s">
        <v>4562</v>
      </c>
      <c r="H352" s="59">
        <v>0</v>
      </c>
    </row>
    <row r="353" spans="1:8" ht="112.5" customHeight="1" x14ac:dyDescent="0.15">
      <c r="A353" s="54">
        <v>1562</v>
      </c>
      <c r="B353" s="55" t="s">
        <v>3822</v>
      </c>
      <c r="C353" s="55" t="s">
        <v>4563</v>
      </c>
      <c r="D353" s="56" t="s">
        <v>4564</v>
      </c>
      <c r="E353" s="2"/>
      <c r="F353" s="57"/>
      <c r="G353" s="63" t="s">
        <v>4565</v>
      </c>
      <c r="H353" s="59">
        <v>0</v>
      </c>
    </row>
    <row r="354" spans="1:8" ht="112.5" customHeight="1" x14ac:dyDescent="0.15">
      <c r="A354" s="60">
        <v>1561</v>
      </c>
      <c r="B354" s="30" t="s">
        <v>3513</v>
      </c>
      <c r="C354" s="30" t="s">
        <v>4566</v>
      </c>
      <c r="D354" s="61" t="s">
        <v>4567</v>
      </c>
      <c r="E354" s="2"/>
      <c r="F354" s="57"/>
      <c r="G354" s="64" t="s">
        <v>4568</v>
      </c>
      <c r="H354" s="59">
        <v>0</v>
      </c>
    </row>
    <row r="355" spans="1:8" ht="112.5" customHeight="1" x14ac:dyDescent="0.15">
      <c r="A355" s="60">
        <v>1559</v>
      </c>
      <c r="B355" s="30" t="s">
        <v>3502</v>
      </c>
      <c r="C355" s="30" t="s">
        <v>4569</v>
      </c>
      <c r="D355" s="61" t="s">
        <v>4570</v>
      </c>
      <c r="E355" s="2"/>
      <c r="F355" s="57"/>
      <c r="G355" s="63" t="s">
        <v>4571</v>
      </c>
      <c r="H355" s="59">
        <v>0</v>
      </c>
    </row>
    <row r="356" spans="1:8" ht="112.5" customHeight="1" x14ac:dyDescent="0.15">
      <c r="A356" s="54">
        <v>1560</v>
      </c>
      <c r="B356" s="55" t="s">
        <v>3502</v>
      </c>
      <c r="C356" s="55" t="s">
        <v>4572</v>
      </c>
      <c r="D356" s="56" t="s">
        <v>4573</v>
      </c>
      <c r="E356" s="2"/>
      <c r="F356" s="57"/>
      <c r="G356" s="64" t="s">
        <v>4574</v>
      </c>
      <c r="H356" s="59">
        <v>0</v>
      </c>
    </row>
    <row r="357" spans="1:8" ht="112.5" customHeight="1" x14ac:dyDescent="0.15">
      <c r="A357" s="54">
        <v>1558</v>
      </c>
      <c r="B357" s="55" t="s">
        <v>3556</v>
      </c>
      <c r="C357" s="55" t="s">
        <v>4575</v>
      </c>
      <c r="D357" s="56" t="s">
        <v>4576</v>
      </c>
      <c r="E357" s="2"/>
      <c r="F357" s="57"/>
      <c r="G357" s="63" t="s">
        <v>4577</v>
      </c>
      <c r="H357" s="59">
        <v>0</v>
      </c>
    </row>
    <row r="358" spans="1:8" ht="112.5" customHeight="1" x14ac:dyDescent="0.15">
      <c r="A358" s="60">
        <v>1557</v>
      </c>
      <c r="B358" s="30" t="s">
        <v>3513</v>
      </c>
      <c r="C358" s="30" t="s">
        <v>4578</v>
      </c>
      <c r="D358" s="61" t="s">
        <v>4579</v>
      </c>
      <c r="E358" s="2"/>
      <c r="F358" s="57"/>
      <c r="G358" s="64" t="s">
        <v>4580</v>
      </c>
      <c r="H358" s="59">
        <v>0</v>
      </c>
    </row>
    <row r="359" spans="1:8" ht="112.5" customHeight="1" x14ac:dyDescent="0.15">
      <c r="A359" s="54">
        <v>1556</v>
      </c>
      <c r="B359" s="55" t="s">
        <v>3513</v>
      </c>
      <c r="C359" s="55" t="s">
        <v>4581</v>
      </c>
      <c r="D359" s="56" t="s">
        <v>4582</v>
      </c>
      <c r="E359" s="2"/>
      <c r="F359" s="57"/>
      <c r="G359" s="63" t="s">
        <v>4583</v>
      </c>
      <c r="H359" s="59">
        <v>0</v>
      </c>
    </row>
    <row r="360" spans="1:8" ht="112.5" customHeight="1" x14ac:dyDescent="0.15">
      <c r="A360" s="60">
        <v>1555</v>
      </c>
      <c r="B360" s="30" t="s">
        <v>3670</v>
      </c>
      <c r="C360" s="30" t="s">
        <v>4584</v>
      </c>
      <c r="D360" s="61" t="s">
        <v>4585</v>
      </c>
      <c r="E360" s="2"/>
      <c r="F360" s="57"/>
      <c r="G360" s="64" t="s">
        <v>4586</v>
      </c>
      <c r="H360" s="59">
        <v>0</v>
      </c>
    </row>
    <row r="361" spans="1:8" ht="112.5" customHeight="1" x14ac:dyDescent="0.15">
      <c r="A361" s="54">
        <v>1554</v>
      </c>
      <c r="B361" s="55" t="s">
        <v>3526</v>
      </c>
      <c r="C361" s="55" t="s">
        <v>4587</v>
      </c>
      <c r="D361" s="56" t="s">
        <v>4588</v>
      </c>
      <c r="E361" s="2"/>
      <c r="F361" s="57"/>
      <c r="G361" s="63" t="s">
        <v>4589</v>
      </c>
      <c r="H361" s="59">
        <v>0</v>
      </c>
    </row>
    <row r="362" spans="1:8" ht="112.5" customHeight="1" x14ac:dyDescent="0.15">
      <c r="A362" s="60">
        <v>1553</v>
      </c>
      <c r="B362" s="30" t="s">
        <v>3513</v>
      </c>
      <c r="C362" s="30" t="s">
        <v>4590</v>
      </c>
      <c r="D362" s="61" t="s">
        <v>4591</v>
      </c>
      <c r="E362" s="2"/>
      <c r="F362" s="57"/>
      <c r="G362" s="64" t="s">
        <v>4592</v>
      </c>
      <c r="H362" s="59">
        <v>0</v>
      </c>
    </row>
    <row r="363" spans="1:8" ht="112.5" customHeight="1" x14ac:dyDescent="0.15">
      <c r="A363" s="54">
        <v>1552</v>
      </c>
      <c r="B363" s="55" t="s">
        <v>3670</v>
      </c>
      <c r="C363" s="55" t="s">
        <v>4593</v>
      </c>
      <c r="D363" s="56" t="s">
        <v>4594</v>
      </c>
      <c r="E363" s="2"/>
      <c r="F363" s="57"/>
      <c r="G363" s="63" t="s">
        <v>4595</v>
      </c>
      <c r="H363" s="59">
        <v>0</v>
      </c>
    </row>
    <row r="364" spans="1:8" ht="112.5" customHeight="1" x14ac:dyDescent="0.15">
      <c r="A364" s="60">
        <v>1551</v>
      </c>
      <c r="B364" s="30" t="s">
        <v>3898</v>
      </c>
      <c r="C364" s="30" t="s">
        <v>4596</v>
      </c>
      <c r="D364" s="61" t="s">
        <v>4597</v>
      </c>
      <c r="E364" s="2"/>
      <c r="F364" s="57"/>
      <c r="G364" s="64" t="s">
        <v>4598</v>
      </c>
      <c r="H364" s="59">
        <v>0</v>
      </c>
    </row>
    <row r="365" spans="1:8" ht="112.5" customHeight="1" x14ac:dyDescent="0.15">
      <c r="A365" s="54">
        <v>1550</v>
      </c>
      <c r="B365" s="55" t="s">
        <v>3670</v>
      </c>
      <c r="C365" s="55" t="s">
        <v>4599</v>
      </c>
      <c r="D365" s="56" t="s">
        <v>4600</v>
      </c>
      <c r="E365" s="2"/>
      <c r="F365" s="57"/>
      <c r="G365" s="63" t="s">
        <v>4601</v>
      </c>
      <c r="H365" s="59">
        <v>0</v>
      </c>
    </row>
    <row r="366" spans="1:8" ht="112.5" customHeight="1" x14ac:dyDescent="0.15">
      <c r="A366" s="60">
        <v>1549</v>
      </c>
      <c r="B366" s="30" t="s">
        <v>3502</v>
      </c>
      <c r="C366" s="30" t="s">
        <v>4602</v>
      </c>
      <c r="D366" s="61" t="s">
        <v>4603</v>
      </c>
      <c r="E366" s="2"/>
      <c r="F366" s="57"/>
      <c r="G366" s="64" t="s">
        <v>4604</v>
      </c>
      <c r="H366" s="59">
        <v>0</v>
      </c>
    </row>
    <row r="367" spans="1:8" ht="112.5" customHeight="1" x14ac:dyDescent="0.15">
      <c r="A367" s="54">
        <v>1548</v>
      </c>
      <c r="B367" s="55" t="s">
        <v>3502</v>
      </c>
      <c r="C367" s="55" t="s">
        <v>4605</v>
      </c>
      <c r="D367" s="56" t="s">
        <v>4606</v>
      </c>
      <c r="E367" s="2"/>
      <c r="F367" s="57"/>
      <c r="G367" s="63" t="s">
        <v>4607</v>
      </c>
      <c r="H367" s="59">
        <v>0</v>
      </c>
    </row>
    <row r="368" spans="1:8" ht="112.5" customHeight="1" x14ac:dyDescent="0.15">
      <c r="A368" s="60">
        <v>1547</v>
      </c>
      <c r="B368" s="30" t="s">
        <v>3822</v>
      </c>
      <c r="C368" s="30" t="s">
        <v>4608</v>
      </c>
      <c r="D368" s="61" t="s">
        <v>4609</v>
      </c>
      <c r="E368" s="2"/>
      <c r="F368" s="57"/>
      <c r="G368" s="64" t="s">
        <v>4610</v>
      </c>
      <c r="H368" s="59">
        <v>0</v>
      </c>
    </row>
    <row r="369" spans="1:13" ht="112.5" customHeight="1" x14ac:dyDescent="0.15">
      <c r="A369" s="54">
        <v>1546</v>
      </c>
      <c r="B369" s="55" t="s">
        <v>3822</v>
      </c>
      <c r="C369" s="55" t="s">
        <v>4611</v>
      </c>
      <c r="D369" s="56" t="s">
        <v>4612</v>
      </c>
      <c r="E369" s="2"/>
      <c r="F369" s="57"/>
      <c r="G369" s="63" t="s">
        <v>4613</v>
      </c>
      <c r="H369" s="59">
        <v>0</v>
      </c>
    </row>
    <row r="370" spans="1:13" ht="112.5" customHeight="1" x14ac:dyDescent="0.15">
      <c r="A370" s="60">
        <v>463</v>
      </c>
      <c r="B370" s="30" t="s">
        <v>3556</v>
      </c>
      <c r="C370" s="30" t="s">
        <v>4614</v>
      </c>
      <c r="D370" s="61" t="s">
        <v>4615</v>
      </c>
      <c r="E370" s="2"/>
      <c r="F370" s="57"/>
      <c r="G370" s="64" t="s">
        <v>4616</v>
      </c>
      <c r="H370" s="59">
        <v>0</v>
      </c>
    </row>
    <row r="371" spans="1:13" ht="112.5" customHeight="1" x14ac:dyDescent="0.15">
      <c r="A371" s="60">
        <v>1545</v>
      </c>
      <c r="B371" s="30" t="s">
        <v>3822</v>
      </c>
      <c r="C371" s="30" t="s">
        <v>4617</v>
      </c>
      <c r="D371" s="61" t="s">
        <v>4618</v>
      </c>
      <c r="E371" s="2"/>
      <c r="F371" s="57"/>
      <c r="G371" s="63" t="s">
        <v>4619</v>
      </c>
      <c r="H371" s="59">
        <v>0</v>
      </c>
    </row>
    <row r="372" spans="1:13" ht="112.5" customHeight="1" x14ac:dyDescent="0.15">
      <c r="A372" s="54">
        <v>1544</v>
      </c>
      <c r="B372" s="55" t="s">
        <v>3556</v>
      </c>
      <c r="C372" s="55" t="s">
        <v>4620</v>
      </c>
      <c r="D372" s="56" t="s">
        <v>4621</v>
      </c>
      <c r="E372" s="2"/>
      <c r="F372" s="57"/>
      <c r="G372" s="64" t="s">
        <v>4622</v>
      </c>
      <c r="H372" s="59">
        <v>0</v>
      </c>
    </row>
    <row r="373" spans="1:13" ht="112.5" customHeight="1" x14ac:dyDescent="0.15">
      <c r="A373" s="60">
        <v>1543</v>
      </c>
      <c r="B373" s="30" t="s">
        <v>3814</v>
      </c>
      <c r="C373" s="30" t="s">
        <v>4623</v>
      </c>
      <c r="D373" s="61" t="s">
        <v>4624</v>
      </c>
      <c r="E373" s="2"/>
      <c r="F373" s="57"/>
      <c r="G373" s="63" t="s">
        <v>4625</v>
      </c>
      <c r="H373" s="59">
        <v>0</v>
      </c>
    </row>
    <row r="374" spans="1:13" ht="112.5" customHeight="1" x14ac:dyDescent="0.15">
      <c r="A374" s="54">
        <v>1542</v>
      </c>
      <c r="B374" s="55" t="s">
        <v>3556</v>
      </c>
      <c r="C374" s="55" t="s">
        <v>4626</v>
      </c>
      <c r="D374" s="56" t="s">
        <v>4627</v>
      </c>
      <c r="E374" s="2"/>
      <c r="F374" s="57"/>
      <c r="G374" s="64" t="s">
        <v>4628</v>
      </c>
      <c r="H374" s="59">
        <v>0</v>
      </c>
    </row>
    <row r="375" spans="1:13" ht="112.5" customHeight="1" x14ac:dyDescent="0.15">
      <c r="A375" s="60">
        <v>1541</v>
      </c>
      <c r="B375" s="30" t="s">
        <v>3822</v>
      </c>
      <c r="C375" s="30" t="s">
        <v>4629</v>
      </c>
      <c r="D375" s="61" t="s">
        <v>4630</v>
      </c>
      <c r="E375" s="2"/>
      <c r="F375" s="57"/>
      <c r="G375" s="63" t="s">
        <v>4631</v>
      </c>
      <c r="H375" s="59">
        <v>0</v>
      </c>
    </row>
    <row r="376" spans="1:13" ht="112.5" customHeight="1" x14ac:dyDescent="0.15">
      <c r="A376" s="54">
        <v>1540</v>
      </c>
      <c r="B376" s="55" t="s">
        <v>3749</v>
      </c>
      <c r="C376" s="55" t="s">
        <v>4632</v>
      </c>
      <c r="D376" s="56" t="s">
        <v>4633</v>
      </c>
      <c r="E376" s="2"/>
      <c r="F376" s="57"/>
      <c r="G376" s="64" t="s">
        <v>4634</v>
      </c>
      <c r="H376" s="59">
        <v>0</v>
      </c>
    </row>
    <row r="377" spans="1:13" ht="112.5" customHeight="1" x14ac:dyDescent="0.15">
      <c r="A377" s="60">
        <v>1539</v>
      </c>
      <c r="B377" s="30" t="s">
        <v>3670</v>
      </c>
      <c r="C377" s="30" t="s">
        <v>4635</v>
      </c>
      <c r="D377" s="61" t="s">
        <v>4636</v>
      </c>
      <c r="E377" s="2"/>
      <c r="F377" s="57"/>
      <c r="G377" s="63" t="s">
        <v>4637</v>
      </c>
      <c r="H377" s="59">
        <v>0</v>
      </c>
    </row>
    <row r="378" spans="1:13" ht="112.5" customHeight="1" x14ac:dyDescent="0.15">
      <c r="A378" s="54">
        <v>1538</v>
      </c>
      <c r="B378" s="55" t="s">
        <v>3670</v>
      </c>
      <c r="C378" s="55" t="s">
        <v>4638</v>
      </c>
      <c r="D378" s="56" t="s">
        <v>4639</v>
      </c>
      <c r="E378" s="2"/>
      <c r="F378" s="57"/>
      <c r="G378" s="64" t="s">
        <v>4640</v>
      </c>
      <c r="H378" s="59">
        <v>0</v>
      </c>
    </row>
    <row r="379" spans="1:13" ht="112.5" customHeight="1" x14ac:dyDescent="0.15">
      <c r="A379" s="60">
        <v>1537</v>
      </c>
      <c r="B379" s="30" t="s">
        <v>3513</v>
      </c>
      <c r="C379" s="30" t="s">
        <v>4641</v>
      </c>
      <c r="D379" s="61" t="s">
        <v>4642</v>
      </c>
      <c r="E379" s="2"/>
      <c r="F379" s="57"/>
      <c r="G379" s="63" t="s">
        <v>4643</v>
      </c>
      <c r="H379" s="59">
        <v>0</v>
      </c>
    </row>
    <row r="380" spans="1:13" ht="112.5" customHeight="1" x14ac:dyDescent="0.15">
      <c r="A380" s="54">
        <v>1536</v>
      </c>
      <c r="B380" s="55" t="s">
        <v>3814</v>
      </c>
      <c r="C380" s="55" t="s">
        <v>4644</v>
      </c>
      <c r="D380" s="56" t="s">
        <v>4645</v>
      </c>
      <c r="E380" s="2"/>
      <c r="F380" s="57"/>
      <c r="G380" s="58" t="s">
        <v>4646</v>
      </c>
      <c r="H380" s="59">
        <v>0</v>
      </c>
      <c r="I380" s="29"/>
      <c r="J380" s="29"/>
      <c r="K380" s="29"/>
      <c r="L380" s="29"/>
      <c r="M380" s="29"/>
    </row>
    <row r="381" spans="1:13" ht="112.5" customHeight="1" x14ac:dyDescent="0.15">
      <c r="A381" s="60">
        <v>1535</v>
      </c>
      <c r="B381" s="30" t="s">
        <v>3814</v>
      </c>
      <c r="C381" s="30" t="s">
        <v>4647</v>
      </c>
      <c r="D381" s="61" t="s">
        <v>4648</v>
      </c>
      <c r="E381" s="2"/>
      <c r="F381" s="57"/>
      <c r="G381" s="62" t="s">
        <v>4649</v>
      </c>
      <c r="H381" s="59">
        <v>0</v>
      </c>
      <c r="I381" s="29"/>
      <c r="J381" s="29"/>
      <c r="K381" s="29"/>
      <c r="L381" s="29"/>
      <c r="M381" s="29"/>
    </row>
    <row r="382" spans="1:13" ht="112.5" customHeight="1" x14ac:dyDescent="0.15">
      <c r="A382" s="54">
        <v>1534</v>
      </c>
      <c r="B382" s="55" t="s">
        <v>3814</v>
      </c>
      <c r="C382" s="55" t="s">
        <v>4650</v>
      </c>
      <c r="D382" s="56" t="s">
        <v>4651</v>
      </c>
      <c r="E382" s="2"/>
      <c r="F382" s="57"/>
      <c r="G382" s="58" t="s">
        <v>4652</v>
      </c>
      <c r="H382" s="59">
        <v>0</v>
      </c>
      <c r="I382" s="29"/>
      <c r="J382" s="29"/>
      <c r="K382" s="29"/>
      <c r="L382" s="29"/>
      <c r="M382" s="29"/>
    </row>
    <row r="383" spans="1:13" ht="112.5" customHeight="1" x14ac:dyDescent="0.15">
      <c r="A383" s="60">
        <v>1533</v>
      </c>
      <c r="B383" s="30" t="s">
        <v>3814</v>
      </c>
      <c r="C383" s="30" t="s">
        <v>4653</v>
      </c>
      <c r="D383" s="61" t="s">
        <v>4654</v>
      </c>
      <c r="E383" s="2"/>
      <c r="F383" s="57"/>
      <c r="G383" s="62" t="s">
        <v>4655</v>
      </c>
      <c r="H383" s="59">
        <v>0</v>
      </c>
      <c r="I383" s="29"/>
      <c r="J383" s="29"/>
      <c r="K383" s="29"/>
      <c r="L383" s="29"/>
      <c r="M383" s="29"/>
    </row>
    <row r="384" spans="1:13" ht="112.5" customHeight="1" x14ac:dyDescent="0.15">
      <c r="A384" s="54">
        <v>1532</v>
      </c>
      <c r="B384" s="55" t="s">
        <v>3814</v>
      </c>
      <c r="C384" s="55" t="s">
        <v>4656</v>
      </c>
      <c r="D384" s="56" t="s">
        <v>4657</v>
      </c>
      <c r="E384" s="2"/>
      <c r="F384" s="57"/>
      <c r="G384" s="58" t="s">
        <v>4658</v>
      </c>
      <c r="H384" s="59">
        <v>0</v>
      </c>
      <c r="I384" s="29"/>
      <c r="J384" s="29"/>
      <c r="K384" s="29"/>
      <c r="L384" s="29"/>
      <c r="M384" s="29"/>
    </row>
    <row r="385" spans="1:13" ht="112.5" customHeight="1" x14ac:dyDescent="0.15">
      <c r="A385" s="54">
        <v>1530</v>
      </c>
      <c r="B385" s="55" t="s">
        <v>3814</v>
      </c>
      <c r="C385" s="55" t="s">
        <v>4659</v>
      </c>
      <c r="D385" s="56" t="s">
        <v>4660</v>
      </c>
      <c r="E385" s="2"/>
      <c r="F385" s="57"/>
      <c r="G385" s="62" t="s">
        <v>4661</v>
      </c>
      <c r="H385" s="59">
        <v>0</v>
      </c>
      <c r="I385" s="29"/>
      <c r="J385" s="29"/>
      <c r="K385" s="29"/>
      <c r="L385" s="29"/>
      <c r="M385" s="29"/>
    </row>
    <row r="386" spans="1:13" ht="112.5" customHeight="1" x14ac:dyDescent="0.15">
      <c r="A386" s="60">
        <v>1531</v>
      </c>
      <c r="B386" s="30" t="s">
        <v>3814</v>
      </c>
      <c r="C386" s="30" t="s">
        <v>4662</v>
      </c>
      <c r="D386" s="61" t="s">
        <v>4663</v>
      </c>
      <c r="E386" s="2"/>
      <c r="F386" s="57"/>
      <c r="G386" s="64" t="s">
        <v>4664</v>
      </c>
      <c r="H386" s="59">
        <v>0</v>
      </c>
    </row>
    <row r="387" spans="1:13" ht="112.5" customHeight="1" x14ac:dyDescent="0.15">
      <c r="A387" s="60">
        <v>1529</v>
      </c>
      <c r="B387" s="30" t="s">
        <v>3814</v>
      </c>
      <c r="C387" s="30" t="s">
        <v>4665</v>
      </c>
      <c r="D387" s="61" t="s">
        <v>4666</v>
      </c>
      <c r="E387" s="2"/>
      <c r="F387" s="57"/>
      <c r="G387" s="62" t="s">
        <v>4667</v>
      </c>
      <c r="H387" s="59">
        <v>0</v>
      </c>
      <c r="I387" s="29"/>
      <c r="J387" s="29"/>
      <c r="K387" s="29"/>
      <c r="L387" s="29"/>
      <c r="M387" s="29"/>
    </row>
    <row r="388" spans="1:13" ht="112.5" customHeight="1" x14ac:dyDescent="0.15">
      <c r="A388" s="60">
        <v>1527</v>
      </c>
      <c r="B388" s="30" t="s">
        <v>3814</v>
      </c>
      <c r="C388" s="30" t="s">
        <v>4668</v>
      </c>
      <c r="D388" s="61" t="s">
        <v>4669</v>
      </c>
      <c r="E388" s="2"/>
      <c r="F388" s="57"/>
      <c r="G388" s="64" t="s">
        <v>4670</v>
      </c>
      <c r="H388" s="59">
        <v>0</v>
      </c>
    </row>
    <row r="389" spans="1:13" ht="112.5" customHeight="1" x14ac:dyDescent="0.15">
      <c r="A389" s="54">
        <v>1528</v>
      </c>
      <c r="B389" s="55" t="s">
        <v>3814</v>
      </c>
      <c r="C389" s="55" t="s">
        <v>4671</v>
      </c>
      <c r="D389" s="56" t="s">
        <v>4672</v>
      </c>
      <c r="E389" s="2"/>
      <c r="F389" s="57"/>
      <c r="G389" s="63" t="s">
        <v>4673</v>
      </c>
      <c r="H389" s="59">
        <v>0</v>
      </c>
    </row>
    <row r="390" spans="1:13" ht="112.5" customHeight="1" x14ac:dyDescent="0.15">
      <c r="A390" s="54">
        <v>1526</v>
      </c>
      <c r="B390" s="55" t="s">
        <v>3814</v>
      </c>
      <c r="C390" s="55" t="s">
        <v>4674</v>
      </c>
      <c r="D390" s="56" t="s">
        <v>4675</v>
      </c>
      <c r="E390" s="2"/>
      <c r="F390" s="57"/>
      <c r="G390" s="64" t="s">
        <v>4676</v>
      </c>
      <c r="H390" s="59">
        <v>0</v>
      </c>
    </row>
    <row r="391" spans="1:13" ht="112.5" customHeight="1" x14ac:dyDescent="0.15">
      <c r="A391" s="60">
        <v>1525</v>
      </c>
      <c r="B391" s="30" t="s">
        <v>3814</v>
      </c>
      <c r="C391" s="30" t="s">
        <v>4677</v>
      </c>
      <c r="D391" s="61" t="s">
        <v>4678</v>
      </c>
      <c r="E391" s="2"/>
      <c r="F391" s="57"/>
      <c r="G391" s="63" t="s">
        <v>4679</v>
      </c>
      <c r="H391" s="59">
        <v>0</v>
      </c>
    </row>
    <row r="392" spans="1:13" ht="112.5" customHeight="1" x14ac:dyDescent="0.15">
      <c r="A392" s="54">
        <v>1524</v>
      </c>
      <c r="B392" s="55" t="s">
        <v>3814</v>
      </c>
      <c r="C392" s="55" t="s">
        <v>4680</v>
      </c>
      <c r="D392" s="56" t="s">
        <v>4681</v>
      </c>
      <c r="E392" s="2"/>
      <c r="F392" s="57"/>
      <c r="G392" s="64" t="s">
        <v>4682</v>
      </c>
      <c r="H392" s="59">
        <v>0</v>
      </c>
    </row>
    <row r="393" spans="1:13" ht="112.5" customHeight="1" x14ac:dyDescent="0.15">
      <c r="A393" s="60">
        <v>1523</v>
      </c>
      <c r="B393" s="30" t="s">
        <v>3814</v>
      </c>
      <c r="C393" s="30" t="s">
        <v>4683</v>
      </c>
      <c r="D393" s="61" t="s">
        <v>4684</v>
      </c>
      <c r="E393" s="2"/>
      <c r="F393" s="57"/>
      <c r="G393" s="63" t="s">
        <v>4685</v>
      </c>
      <c r="H393" s="59">
        <v>0</v>
      </c>
    </row>
    <row r="394" spans="1:13" ht="112.5" customHeight="1" x14ac:dyDescent="0.15">
      <c r="A394" s="54">
        <v>1522</v>
      </c>
      <c r="B394" s="55" t="s">
        <v>3814</v>
      </c>
      <c r="C394" s="55" t="s">
        <v>4686</v>
      </c>
      <c r="D394" s="56" t="s">
        <v>4687</v>
      </c>
      <c r="E394" s="2"/>
      <c r="F394" s="57"/>
      <c r="G394" s="64" t="s">
        <v>4688</v>
      </c>
      <c r="H394" s="59">
        <v>0</v>
      </c>
    </row>
    <row r="395" spans="1:13" ht="112.5" customHeight="1" x14ac:dyDescent="0.15">
      <c r="A395" s="60">
        <v>1521</v>
      </c>
      <c r="B395" s="30" t="s">
        <v>3814</v>
      </c>
      <c r="C395" s="30" t="s">
        <v>4689</v>
      </c>
      <c r="D395" s="61" t="s">
        <v>4690</v>
      </c>
      <c r="E395" s="2"/>
      <c r="F395" s="57"/>
      <c r="G395" s="63" t="s">
        <v>4691</v>
      </c>
      <c r="H395" s="59">
        <v>0</v>
      </c>
    </row>
    <row r="396" spans="1:13" ht="112.5" customHeight="1" x14ac:dyDescent="0.15">
      <c r="A396" s="54">
        <v>1520</v>
      </c>
      <c r="B396" s="55" t="s">
        <v>3814</v>
      </c>
      <c r="C396" s="55" t="s">
        <v>4692</v>
      </c>
      <c r="D396" s="56" t="s">
        <v>4693</v>
      </c>
      <c r="E396" s="2"/>
      <c r="F396" s="57"/>
      <c r="G396" s="64" t="s">
        <v>4694</v>
      </c>
      <c r="H396" s="59">
        <v>0</v>
      </c>
    </row>
    <row r="397" spans="1:13" ht="112.5" customHeight="1" x14ac:dyDescent="0.15">
      <c r="A397" s="60">
        <v>1519</v>
      </c>
      <c r="B397" s="30" t="s">
        <v>3814</v>
      </c>
      <c r="C397" s="30" t="s">
        <v>4695</v>
      </c>
      <c r="D397" s="61" t="s">
        <v>4696</v>
      </c>
      <c r="E397" s="2"/>
      <c r="F397" s="57"/>
      <c r="G397" s="63" t="s">
        <v>4697</v>
      </c>
      <c r="H397" s="59">
        <v>0</v>
      </c>
    </row>
    <row r="398" spans="1:13" ht="112.5" customHeight="1" x14ac:dyDescent="0.15">
      <c r="A398" s="60">
        <v>1517</v>
      </c>
      <c r="B398" s="30" t="s">
        <v>3814</v>
      </c>
      <c r="C398" s="30" t="s">
        <v>4698</v>
      </c>
      <c r="D398" s="61" t="s">
        <v>4699</v>
      </c>
      <c r="E398" s="2"/>
      <c r="F398" s="57"/>
      <c r="G398" s="64" t="s">
        <v>4700</v>
      </c>
      <c r="H398" s="59">
        <v>0</v>
      </c>
    </row>
    <row r="399" spans="1:13" ht="112.5" customHeight="1" x14ac:dyDescent="0.15">
      <c r="A399" s="54">
        <v>1516</v>
      </c>
      <c r="B399" s="55" t="s">
        <v>3814</v>
      </c>
      <c r="C399" s="55" t="s">
        <v>4701</v>
      </c>
      <c r="D399" s="56" t="s">
        <v>4702</v>
      </c>
      <c r="E399" s="2"/>
      <c r="F399" s="57"/>
      <c r="G399" s="63" t="s">
        <v>4703</v>
      </c>
      <c r="H399" s="59">
        <v>0</v>
      </c>
    </row>
    <row r="400" spans="1:13" ht="112.5" customHeight="1" x14ac:dyDescent="0.15">
      <c r="A400" s="60">
        <v>1515</v>
      </c>
      <c r="B400" s="30" t="s">
        <v>3814</v>
      </c>
      <c r="C400" s="30" t="s">
        <v>4704</v>
      </c>
      <c r="D400" s="61" t="s">
        <v>4705</v>
      </c>
      <c r="E400" s="2"/>
      <c r="F400" s="57"/>
      <c r="G400" s="64" t="s">
        <v>4706</v>
      </c>
      <c r="H400" s="59">
        <v>0</v>
      </c>
    </row>
    <row r="401" spans="1:13" ht="112.5" customHeight="1" x14ac:dyDescent="0.15">
      <c r="A401" s="54">
        <v>1514</v>
      </c>
      <c r="B401" s="55" t="s">
        <v>3814</v>
      </c>
      <c r="C401" s="55" t="s">
        <v>4707</v>
      </c>
      <c r="D401" s="56" t="s">
        <v>4708</v>
      </c>
      <c r="E401" s="2"/>
      <c r="F401" s="57"/>
      <c r="G401" s="63" t="s">
        <v>4709</v>
      </c>
      <c r="H401" s="59">
        <v>0</v>
      </c>
    </row>
    <row r="402" spans="1:13" ht="112.5" customHeight="1" x14ac:dyDescent="0.15">
      <c r="A402" s="60">
        <v>1513</v>
      </c>
      <c r="B402" s="30" t="s">
        <v>3814</v>
      </c>
      <c r="C402" s="30" t="s">
        <v>4710</v>
      </c>
      <c r="D402" s="61" t="s">
        <v>4711</v>
      </c>
      <c r="E402" s="2"/>
      <c r="F402" s="57"/>
      <c r="G402" s="64" t="s">
        <v>4712</v>
      </c>
      <c r="H402" s="59">
        <v>0</v>
      </c>
    </row>
    <row r="403" spans="1:13" ht="112.5" customHeight="1" x14ac:dyDescent="0.15">
      <c r="A403" s="54">
        <v>1512</v>
      </c>
      <c r="B403" s="55" t="s">
        <v>3814</v>
      </c>
      <c r="C403" s="55" t="s">
        <v>4713</v>
      </c>
      <c r="D403" s="56" t="s">
        <v>4714</v>
      </c>
      <c r="E403" s="2"/>
      <c r="F403" s="57"/>
      <c r="G403" s="63" t="s">
        <v>4715</v>
      </c>
      <c r="H403" s="59">
        <v>0</v>
      </c>
    </row>
    <row r="404" spans="1:13" ht="112.5" customHeight="1" x14ac:dyDescent="0.15">
      <c r="A404" s="60">
        <v>1511</v>
      </c>
      <c r="B404" s="30" t="s">
        <v>3814</v>
      </c>
      <c r="C404" s="30" t="s">
        <v>4716</v>
      </c>
      <c r="D404" s="61" t="s">
        <v>4717</v>
      </c>
      <c r="E404" s="2"/>
      <c r="F404" s="57"/>
      <c r="G404" s="64" t="s">
        <v>4718</v>
      </c>
      <c r="H404" s="59">
        <v>0</v>
      </c>
    </row>
    <row r="405" spans="1:13" ht="112.5" customHeight="1" x14ac:dyDescent="0.15">
      <c r="A405" s="54">
        <v>1510</v>
      </c>
      <c r="B405" s="55" t="s">
        <v>3814</v>
      </c>
      <c r="C405" s="55" t="s">
        <v>4719</v>
      </c>
      <c r="D405" s="56" t="s">
        <v>4720</v>
      </c>
      <c r="E405" s="2"/>
      <c r="F405" s="57"/>
      <c r="G405" s="63" t="s">
        <v>4721</v>
      </c>
      <c r="H405" s="59">
        <v>0</v>
      </c>
    </row>
    <row r="406" spans="1:13" ht="112.5" customHeight="1" x14ac:dyDescent="0.15">
      <c r="A406" s="60">
        <v>1509</v>
      </c>
      <c r="B406" s="30" t="s">
        <v>3814</v>
      </c>
      <c r="C406" s="30" t="s">
        <v>4722</v>
      </c>
      <c r="D406" s="61" t="s">
        <v>4723</v>
      </c>
      <c r="E406" s="2"/>
      <c r="F406" s="57"/>
      <c r="G406" s="64" t="s">
        <v>4724</v>
      </c>
      <c r="H406" s="59">
        <v>0</v>
      </c>
    </row>
    <row r="407" spans="1:13" ht="112.5" customHeight="1" x14ac:dyDescent="0.15">
      <c r="A407" s="54">
        <v>1508</v>
      </c>
      <c r="B407" s="55" t="s">
        <v>3814</v>
      </c>
      <c r="C407" s="55" t="s">
        <v>4725</v>
      </c>
      <c r="D407" s="56" t="s">
        <v>4726</v>
      </c>
      <c r="E407" s="2"/>
      <c r="F407" s="57"/>
      <c r="G407" s="63" t="s">
        <v>4727</v>
      </c>
      <c r="H407" s="59">
        <v>0</v>
      </c>
    </row>
    <row r="408" spans="1:13" ht="112.5" customHeight="1" x14ac:dyDescent="0.15">
      <c r="A408" s="60">
        <v>1507</v>
      </c>
      <c r="B408" s="30" t="s">
        <v>3814</v>
      </c>
      <c r="C408" s="30" t="s">
        <v>4728</v>
      </c>
      <c r="D408" s="61" t="s">
        <v>4729</v>
      </c>
      <c r="E408" s="2"/>
      <c r="F408" s="57"/>
      <c r="G408" s="64" t="s">
        <v>4730</v>
      </c>
      <c r="H408" s="59">
        <v>0</v>
      </c>
    </row>
    <row r="409" spans="1:13" ht="112.5" customHeight="1" x14ac:dyDescent="0.15">
      <c r="A409" s="54">
        <v>1506</v>
      </c>
      <c r="B409" s="55" t="s">
        <v>3814</v>
      </c>
      <c r="C409" s="55" t="s">
        <v>4731</v>
      </c>
      <c r="D409" s="56" t="s">
        <v>4732</v>
      </c>
      <c r="E409" s="2"/>
      <c r="F409" s="57"/>
      <c r="G409" s="62" t="s">
        <v>4733</v>
      </c>
      <c r="H409" s="59">
        <v>0</v>
      </c>
      <c r="I409" s="29"/>
      <c r="J409" s="29"/>
      <c r="K409" s="29"/>
      <c r="L409" s="29"/>
      <c r="M409" s="29"/>
    </row>
    <row r="410" spans="1:13" ht="112.5" customHeight="1" x14ac:dyDescent="0.15">
      <c r="A410" s="60">
        <v>1505</v>
      </c>
      <c r="B410" s="30" t="s">
        <v>3814</v>
      </c>
      <c r="C410" s="30" t="s">
        <v>4734</v>
      </c>
      <c r="D410" s="61" t="s">
        <v>4735</v>
      </c>
      <c r="E410" s="2"/>
      <c r="F410" s="57"/>
      <c r="G410" s="64" t="s">
        <v>4736</v>
      </c>
      <c r="H410" s="59">
        <v>0</v>
      </c>
    </row>
    <row r="411" spans="1:13" ht="112.5" customHeight="1" x14ac:dyDescent="0.15">
      <c r="A411" s="54">
        <v>1504</v>
      </c>
      <c r="B411" s="55" t="s">
        <v>3814</v>
      </c>
      <c r="C411" s="55" t="s">
        <v>4737</v>
      </c>
      <c r="D411" s="56" t="s">
        <v>4738</v>
      </c>
      <c r="E411" s="2"/>
      <c r="F411" s="57"/>
      <c r="G411" s="63" t="s">
        <v>4739</v>
      </c>
      <c r="H411" s="59">
        <v>0</v>
      </c>
    </row>
    <row r="412" spans="1:13" ht="112.5" customHeight="1" x14ac:dyDescent="0.15">
      <c r="A412" s="54">
        <v>4008</v>
      </c>
      <c r="B412" s="55" t="s">
        <v>3814</v>
      </c>
      <c r="C412" s="55" t="s">
        <v>4740</v>
      </c>
      <c r="D412" s="56" t="s">
        <v>4741</v>
      </c>
      <c r="E412" s="2"/>
      <c r="F412" s="57"/>
      <c r="G412" s="64" t="s">
        <v>4742</v>
      </c>
      <c r="H412" s="59">
        <v>0</v>
      </c>
    </row>
    <row r="413" spans="1:13" ht="112.5" customHeight="1" x14ac:dyDescent="0.15">
      <c r="A413" s="60">
        <v>1503</v>
      </c>
      <c r="B413" s="30" t="s">
        <v>3814</v>
      </c>
      <c r="C413" s="30" t="s">
        <v>4743</v>
      </c>
      <c r="D413" s="61" t="s">
        <v>4744</v>
      </c>
      <c r="E413" s="2"/>
      <c r="F413" s="57"/>
      <c r="G413" s="63" t="s">
        <v>4745</v>
      </c>
      <c r="H413" s="59">
        <v>0</v>
      </c>
    </row>
    <row r="414" spans="1:13" ht="112.5" customHeight="1" x14ac:dyDescent="0.15">
      <c r="A414" s="54">
        <v>1502</v>
      </c>
      <c r="B414" s="55" t="s">
        <v>3814</v>
      </c>
      <c r="C414" s="55" t="s">
        <v>4746</v>
      </c>
      <c r="D414" s="56" t="s">
        <v>4747</v>
      </c>
      <c r="E414" s="2"/>
      <c r="F414" s="57"/>
      <c r="G414" s="64" t="s">
        <v>4430</v>
      </c>
      <c r="H414" s="59">
        <v>0</v>
      </c>
    </row>
    <row r="415" spans="1:13" ht="112.5" customHeight="1" x14ac:dyDescent="0.15">
      <c r="A415" s="60">
        <v>1501</v>
      </c>
      <c r="B415" s="30" t="s">
        <v>3814</v>
      </c>
      <c r="C415" s="30" t="s">
        <v>4748</v>
      </c>
      <c r="D415" s="61" t="s">
        <v>4749</v>
      </c>
      <c r="E415" s="2"/>
      <c r="F415" s="57"/>
      <c r="G415" s="63" t="s">
        <v>4750</v>
      </c>
      <c r="H415" s="59">
        <v>0</v>
      </c>
    </row>
    <row r="416" spans="1:13" ht="112.5" customHeight="1" x14ac:dyDescent="0.15">
      <c r="A416" s="54">
        <v>1500</v>
      </c>
      <c r="B416" s="55" t="s">
        <v>3814</v>
      </c>
      <c r="C416" s="55" t="s">
        <v>4751</v>
      </c>
      <c r="D416" s="56" t="s">
        <v>4752</v>
      </c>
      <c r="E416" s="2"/>
      <c r="F416" s="57"/>
      <c r="G416" s="64" t="s">
        <v>4753</v>
      </c>
      <c r="H416" s="59">
        <v>0</v>
      </c>
    </row>
    <row r="417" spans="1:13" ht="112.5" customHeight="1" x14ac:dyDescent="0.15">
      <c r="A417" s="54">
        <v>1498</v>
      </c>
      <c r="B417" s="55" t="s">
        <v>3814</v>
      </c>
      <c r="C417" s="55" t="s">
        <v>4754</v>
      </c>
      <c r="D417" s="56" t="s">
        <v>4755</v>
      </c>
      <c r="E417" s="2"/>
      <c r="F417" s="57"/>
      <c r="G417" s="63" t="s">
        <v>4756</v>
      </c>
      <c r="H417" s="59">
        <v>0</v>
      </c>
    </row>
    <row r="418" spans="1:13" ht="112.5" customHeight="1" x14ac:dyDescent="0.15">
      <c r="A418" s="60">
        <v>1497</v>
      </c>
      <c r="B418" s="30" t="s">
        <v>3814</v>
      </c>
      <c r="C418" s="30" t="s">
        <v>4757</v>
      </c>
      <c r="D418" s="61" t="s">
        <v>4758</v>
      </c>
      <c r="E418" s="2"/>
      <c r="F418" s="57"/>
      <c r="G418" s="64" t="s">
        <v>4759</v>
      </c>
      <c r="H418" s="59">
        <v>0</v>
      </c>
    </row>
    <row r="419" spans="1:13" ht="112.5" customHeight="1" x14ac:dyDescent="0.15">
      <c r="A419" s="54">
        <v>1496</v>
      </c>
      <c r="B419" s="55" t="s">
        <v>3814</v>
      </c>
      <c r="C419" s="55" t="s">
        <v>4760</v>
      </c>
      <c r="D419" s="56" t="s">
        <v>4761</v>
      </c>
      <c r="E419" s="2"/>
      <c r="F419" s="57"/>
      <c r="G419" s="63" t="s">
        <v>4762</v>
      </c>
      <c r="H419" s="59">
        <v>0</v>
      </c>
    </row>
    <row r="420" spans="1:13" ht="112.5" customHeight="1" x14ac:dyDescent="0.15">
      <c r="A420" s="54">
        <v>1494</v>
      </c>
      <c r="B420" s="55" t="s">
        <v>3814</v>
      </c>
      <c r="C420" s="55" t="s">
        <v>4763</v>
      </c>
      <c r="D420" s="56" t="s">
        <v>4764</v>
      </c>
      <c r="E420" s="2"/>
      <c r="F420" s="57"/>
      <c r="G420" s="64" t="s">
        <v>4765</v>
      </c>
      <c r="H420" s="59">
        <v>0</v>
      </c>
    </row>
    <row r="421" spans="1:13" ht="112.5" customHeight="1" x14ac:dyDescent="0.15">
      <c r="A421" s="60">
        <v>1495</v>
      </c>
      <c r="B421" s="30" t="s">
        <v>3814</v>
      </c>
      <c r="C421" s="30" t="s">
        <v>4766</v>
      </c>
      <c r="D421" s="61" t="s">
        <v>4767</v>
      </c>
      <c r="E421" s="2"/>
      <c r="F421" s="57"/>
      <c r="G421" s="63" t="s">
        <v>4768</v>
      </c>
      <c r="H421" s="59">
        <v>0</v>
      </c>
    </row>
    <row r="422" spans="1:13" ht="112.5" customHeight="1" x14ac:dyDescent="0.15">
      <c r="A422" s="60">
        <v>1493</v>
      </c>
      <c r="B422" s="30" t="s">
        <v>3814</v>
      </c>
      <c r="C422" s="30" t="s">
        <v>4769</v>
      </c>
      <c r="D422" s="61" t="s">
        <v>4770</v>
      </c>
      <c r="E422" s="2"/>
      <c r="F422" s="57"/>
      <c r="G422" s="64" t="s">
        <v>4771</v>
      </c>
      <c r="H422" s="59">
        <v>0</v>
      </c>
    </row>
    <row r="423" spans="1:13" ht="112.5" customHeight="1" x14ac:dyDescent="0.15">
      <c r="A423" s="60">
        <v>1491</v>
      </c>
      <c r="B423" s="30" t="s">
        <v>3670</v>
      </c>
      <c r="C423" s="30" t="s">
        <v>4772</v>
      </c>
      <c r="D423" s="61" t="s">
        <v>4773</v>
      </c>
      <c r="E423" s="2"/>
      <c r="F423" s="57"/>
      <c r="G423" s="66"/>
      <c r="H423" s="59">
        <v>0</v>
      </c>
    </row>
    <row r="424" spans="1:13" ht="112.5" customHeight="1" x14ac:dyDescent="0.15">
      <c r="A424" s="54">
        <v>1492</v>
      </c>
      <c r="B424" s="55" t="s">
        <v>3670</v>
      </c>
      <c r="C424" s="55" t="s">
        <v>4774</v>
      </c>
      <c r="D424" s="56" t="s">
        <v>4775</v>
      </c>
      <c r="E424" s="2"/>
      <c r="F424" s="57"/>
      <c r="G424" s="58" t="s">
        <v>4776</v>
      </c>
      <c r="H424" s="59">
        <v>0</v>
      </c>
      <c r="I424" s="29"/>
      <c r="J424" s="29"/>
      <c r="K424" s="29"/>
      <c r="L424" s="29"/>
      <c r="M424" s="29"/>
    </row>
    <row r="425" spans="1:13" ht="112.5" customHeight="1" x14ac:dyDescent="0.15">
      <c r="A425" s="54">
        <v>1490</v>
      </c>
      <c r="B425" s="55" t="s">
        <v>3670</v>
      </c>
      <c r="C425" s="55" t="s">
        <v>4777</v>
      </c>
      <c r="D425" s="56" t="s">
        <v>4778</v>
      </c>
      <c r="E425" s="2"/>
      <c r="F425" s="57"/>
      <c r="G425" s="63" t="s">
        <v>4779</v>
      </c>
      <c r="H425" s="59">
        <v>0</v>
      </c>
    </row>
    <row r="426" spans="1:13" ht="112.5" customHeight="1" x14ac:dyDescent="0.15">
      <c r="A426" s="60">
        <v>1489</v>
      </c>
      <c r="B426" s="30" t="s">
        <v>3670</v>
      </c>
      <c r="C426" s="30" t="s">
        <v>4780</v>
      </c>
      <c r="D426" s="61" t="s">
        <v>4781</v>
      </c>
      <c r="E426" s="2"/>
      <c r="F426" s="57"/>
      <c r="G426" s="64" t="s">
        <v>4782</v>
      </c>
      <c r="H426" s="59">
        <v>0</v>
      </c>
    </row>
    <row r="427" spans="1:13" ht="112.5" customHeight="1" x14ac:dyDescent="0.15">
      <c r="A427" s="60">
        <v>1487</v>
      </c>
      <c r="B427" s="30" t="s">
        <v>3670</v>
      </c>
      <c r="C427" s="30" t="s">
        <v>4783</v>
      </c>
      <c r="D427" s="61" t="s">
        <v>4784</v>
      </c>
      <c r="E427" s="2"/>
      <c r="F427" s="57"/>
      <c r="G427" s="63" t="s">
        <v>4785</v>
      </c>
      <c r="H427" s="59">
        <v>0</v>
      </c>
    </row>
    <row r="428" spans="1:13" ht="112.5" customHeight="1" x14ac:dyDescent="0.15">
      <c r="A428" s="54">
        <v>1486</v>
      </c>
      <c r="B428" s="55" t="s">
        <v>3670</v>
      </c>
      <c r="C428" s="55" t="s">
        <v>4786</v>
      </c>
      <c r="D428" s="56" t="s">
        <v>4787</v>
      </c>
      <c r="E428" s="2"/>
      <c r="F428" s="57"/>
      <c r="G428" s="64" t="s">
        <v>4788</v>
      </c>
      <c r="H428" s="59">
        <v>0</v>
      </c>
    </row>
    <row r="429" spans="1:13" ht="112.5" customHeight="1" x14ac:dyDescent="0.15">
      <c r="A429" s="60">
        <v>1485</v>
      </c>
      <c r="B429" s="30" t="s">
        <v>3502</v>
      </c>
      <c r="C429" s="30" t="s">
        <v>4789</v>
      </c>
      <c r="D429" s="61" t="s">
        <v>4790</v>
      </c>
      <c r="E429" s="2"/>
      <c r="F429" s="57"/>
      <c r="G429" s="63" t="s">
        <v>4791</v>
      </c>
      <c r="H429" s="59">
        <v>0</v>
      </c>
    </row>
    <row r="430" spans="1:13" ht="112.5" customHeight="1" x14ac:dyDescent="0.15">
      <c r="A430" s="54">
        <v>1484</v>
      </c>
      <c r="B430" s="55" t="s">
        <v>3492</v>
      </c>
      <c r="C430" s="55" t="s">
        <v>4792</v>
      </c>
      <c r="D430" s="56" t="s">
        <v>4793</v>
      </c>
      <c r="E430" s="2"/>
      <c r="F430" s="57"/>
      <c r="G430" s="64" t="s">
        <v>4794</v>
      </c>
      <c r="H430" s="59">
        <v>0</v>
      </c>
    </row>
    <row r="431" spans="1:13" ht="112.5" customHeight="1" x14ac:dyDescent="0.15">
      <c r="A431" s="54">
        <v>1482</v>
      </c>
      <c r="B431" s="55" t="s">
        <v>3599</v>
      </c>
      <c r="C431" s="55" t="s">
        <v>4795</v>
      </c>
      <c r="D431" s="56" t="s">
        <v>4796</v>
      </c>
      <c r="E431" s="2"/>
      <c r="F431" s="57"/>
      <c r="G431" s="63" t="s">
        <v>4797</v>
      </c>
      <c r="H431" s="59">
        <v>0</v>
      </c>
    </row>
    <row r="432" spans="1:13" ht="112.5" customHeight="1" x14ac:dyDescent="0.15">
      <c r="A432" s="60">
        <v>1483</v>
      </c>
      <c r="B432" s="30" t="s">
        <v>3599</v>
      </c>
      <c r="C432" s="30" t="s">
        <v>4798</v>
      </c>
      <c r="D432" s="61" t="s">
        <v>4799</v>
      </c>
      <c r="E432" s="2"/>
      <c r="F432" s="57"/>
      <c r="G432" s="64" t="s">
        <v>4800</v>
      </c>
      <c r="H432" s="59">
        <v>0</v>
      </c>
    </row>
    <row r="433" spans="1:13" ht="112.5" customHeight="1" x14ac:dyDescent="0.15">
      <c r="A433" s="60">
        <v>1481</v>
      </c>
      <c r="B433" s="30" t="s">
        <v>3513</v>
      </c>
      <c r="C433" s="30" t="s">
        <v>4801</v>
      </c>
      <c r="D433" s="61" t="s">
        <v>4802</v>
      </c>
      <c r="E433" s="2"/>
      <c r="F433" s="57"/>
      <c r="G433" s="63" t="s">
        <v>4803</v>
      </c>
      <c r="H433" s="59">
        <v>0</v>
      </c>
    </row>
    <row r="434" spans="1:13" ht="112.5" customHeight="1" x14ac:dyDescent="0.15">
      <c r="A434" s="54">
        <v>1480</v>
      </c>
      <c r="B434" s="55" t="s">
        <v>3526</v>
      </c>
      <c r="C434" s="55" t="s">
        <v>4804</v>
      </c>
      <c r="D434" s="56" t="s">
        <v>4805</v>
      </c>
      <c r="E434" s="2"/>
      <c r="F434" s="57"/>
      <c r="G434" s="64" t="s">
        <v>4806</v>
      </c>
      <c r="H434" s="59">
        <v>0</v>
      </c>
    </row>
    <row r="435" spans="1:13" ht="112.5" customHeight="1" x14ac:dyDescent="0.15">
      <c r="A435" s="60">
        <v>1479</v>
      </c>
      <c r="B435" s="30" t="s">
        <v>3533</v>
      </c>
      <c r="C435" s="30" t="s">
        <v>4807</v>
      </c>
      <c r="D435" s="61" t="s">
        <v>4808</v>
      </c>
      <c r="E435" s="2"/>
      <c r="F435" s="57"/>
      <c r="G435" s="62" t="s">
        <v>4809</v>
      </c>
      <c r="H435" s="59">
        <v>0</v>
      </c>
      <c r="I435" s="29"/>
      <c r="J435" s="29"/>
      <c r="K435" s="29"/>
      <c r="L435" s="29"/>
      <c r="M435" s="29"/>
    </row>
    <row r="436" spans="1:13" ht="112.5" customHeight="1" x14ac:dyDescent="0.15">
      <c r="A436" s="54">
        <v>1478</v>
      </c>
      <c r="B436" s="55" t="s">
        <v>4334</v>
      </c>
      <c r="C436" s="55" t="s">
        <v>4810</v>
      </c>
      <c r="D436" s="56" t="s">
        <v>4811</v>
      </c>
      <c r="E436" s="2"/>
      <c r="F436" s="57"/>
      <c r="G436" s="64" t="s">
        <v>4812</v>
      </c>
      <c r="H436" s="59">
        <v>0</v>
      </c>
    </row>
    <row r="437" spans="1:13" ht="112.5" customHeight="1" x14ac:dyDescent="0.15">
      <c r="A437" s="60">
        <v>1477</v>
      </c>
      <c r="B437" s="30" t="s">
        <v>3599</v>
      </c>
      <c r="C437" s="30" t="s">
        <v>4813</v>
      </c>
      <c r="D437" s="61" t="s">
        <v>4814</v>
      </c>
      <c r="E437" s="2"/>
      <c r="F437" s="57"/>
      <c r="G437" s="63" t="s">
        <v>4815</v>
      </c>
      <c r="H437" s="59">
        <v>0</v>
      </c>
    </row>
    <row r="438" spans="1:13" ht="112.5" customHeight="1" x14ac:dyDescent="0.15">
      <c r="A438" s="60">
        <v>1475</v>
      </c>
      <c r="B438" s="30" t="s">
        <v>3556</v>
      </c>
      <c r="C438" s="30" t="s">
        <v>4816</v>
      </c>
      <c r="D438" s="61" t="s">
        <v>4817</v>
      </c>
      <c r="E438" s="2"/>
      <c r="F438" s="57"/>
      <c r="G438" s="64" t="s">
        <v>4818</v>
      </c>
      <c r="H438" s="59">
        <v>0</v>
      </c>
    </row>
    <row r="439" spans="1:13" ht="112.5" customHeight="1" x14ac:dyDescent="0.15">
      <c r="A439" s="54">
        <v>1474</v>
      </c>
      <c r="B439" s="55" t="s">
        <v>3513</v>
      </c>
      <c r="C439" s="55" t="s">
        <v>4819</v>
      </c>
      <c r="D439" s="56" t="s">
        <v>4820</v>
      </c>
      <c r="E439" s="2"/>
      <c r="F439" s="57"/>
      <c r="G439" s="63" t="s">
        <v>4821</v>
      </c>
      <c r="H439" s="59">
        <v>0</v>
      </c>
    </row>
    <row r="440" spans="1:13" ht="112.5" customHeight="1" x14ac:dyDescent="0.15">
      <c r="A440" s="60">
        <v>1473</v>
      </c>
      <c r="B440" s="30" t="s">
        <v>3556</v>
      </c>
      <c r="C440" s="30" t="s">
        <v>4822</v>
      </c>
      <c r="D440" s="61" t="s">
        <v>4823</v>
      </c>
      <c r="E440" s="2"/>
      <c r="F440" s="57"/>
      <c r="G440" s="58" t="s">
        <v>4824</v>
      </c>
      <c r="H440" s="59">
        <v>0</v>
      </c>
      <c r="I440" s="29"/>
      <c r="J440" s="29"/>
      <c r="K440" s="29"/>
      <c r="L440" s="29"/>
      <c r="M440" s="29"/>
    </row>
    <row r="441" spans="1:13" ht="112.5" customHeight="1" x14ac:dyDescent="0.15">
      <c r="A441" s="54">
        <v>1472</v>
      </c>
      <c r="B441" s="55" t="s">
        <v>3496</v>
      </c>
      <c r="C441" s="55" t="s">
        <v>4825</v>
      </c>
      <c r="D441" s="56" t="s">
        <v>4826</v>
      </c>
      <c r="E441" s="2"/>
      <c r="F441" s="57"/>
      <c r="G441" s="62" t="s">
        <v>4827</v>
      </c>
      <c r="H441" s="59">
        <v>0</v>
      </c>
      <c r="I441" s="29"/>
      <c r="J441" s="29"/>
      <c r="K441" s="29"/>
      <c r="L441" s="29"/>
      <c r="M441" s="29"/>
    </row>
    <row r="442" spans="1:13" ht="112.5" customHeight="1" x14ac:dyDescent="0.15">
      <c r="A442" s="60">
        <v>1471</v>
      </c>
      <c r="B442" s="30" t="s">
        <v>3670</v>
      </c>
      <c r="C442" s="30" t="s">
        <v>4828</v>
      </c>
      <c r="D442" s="61" t="s">
        <v>4829</v>
      </c>
      <c r="E442" s="2"/>
      <c r="F442" s="57"/>
      <c r="G442" s="58" t="s">
        <v>4830</v>
      </c>
      <c r="H442" s="59">
        <v>0</v>
      </c>
      <c r="I442" s="29"/>
      <c r="J442" s="29"/>
      <c r="K442" s="29"/>
      <c r="L442" s="29"/>
      <c r="M442" s="29"/>
    </row>
    <row r="443" spans="1:13" ht="112.5" customHeight="1" x14ac:dyDescent="0.15">
      <c r="A443" s="60">
        <v>1469</v>
      </c>
      <c r="B443" s="30" t="s">
        <v>3670</v>
      </c>
      <c r="C443" s="30" t="s">
        <v>4831</v>
      </c>
      <c r="D443" s="61" t="s">
        <v>4832</v>
      </c>
      <c r="E443" s="2"/>
      <c r="F443" s="57"/>
      <c r="G443" s="62" t="s">
        <v>4833</v>
      </c>
      <c r="H443" s="59">
        <v>85.510999999999996</v>
      </c>
      <c r="I443" s="29"/>
      <c r="J443" s="29"/>
      <c r="K443" s="29"/>
      <c r="L443" s="29"/>
      <c r="M443" s="29"/>
    </row>
    <row r="444" spans="1:13" ht="112.5" customHeight="1" x14ac:dyDescent="0.15">
      <c r="A444" s="54">
        <v>1470</v>
      </c>
      <c r="B444" s="55" t="s">
        <v>3670</v>
      </c>
      <c r="C444" s="55" t="s">
        <v>4834</v>
      </c>
      <c r="D444" s="56" t="s">
        <v>4835</v>
      </c>
      <c r="E444" s="2"/>
      <c r="F444" s="57"/>
      <c r="G444" s="58" t="s">
        <v>4649</v>
      </c>
      <c r="H444" s="59">
        <v>0</v>
      </c>
      <c r="I444" s="29"/>
      <c r="J444" s="29"/>
      <c r="K444" s="29"/>
      <c r="L444" s="29"/>
      <c r="M444" s="29"/>
    </row>
    <row r="445" spans="1:13" ht="112.5" customHeight="1" x14ac:dyDescent="0.15">
      <c r="A445" s="54">
        <v>1468</v>
      </c>
      <c r="B445" s="55" t="s">
        <v>3556</v>
      </c>
      <c r="C445" s="55" t="s">
        <v>4836</v>
      </c>
      <c r="D445" s="56" t="s">
        <v>4837</v>
      </c>
      <c r="E445" s="2"/>
      <c r="F445" s="57"/>
      <c r="G445" s="62" t="s">
        <v>4838</v>
      </c>
      <c r="H445" s="59">
        <v>99.853999999999999</v>
      </c>
      <c r="I445" s="29"/>
      <c r="J445" s="29"/>
      <c r="K445" s="29"/>
      <c r="L445" s="29"/>
      <c r="M445" s="29"/>
    </row>
    <row r="446" spans="1:13" ht="112.5" customHeight="1" x14ac:dyDescent="0.15">
      <c r="A446" s="60">
        <v>1467</v>
      </c>
      <c r="B446" s="30" t="s">
        <v>3556</v>
      </c>
      <c r="C446" s="30" t="s">
        <v>4839</v>
      </c>
      <c r="D446" s="61" t="s">
        <v>4840</v>
      </c>
      <c r="E446" s="2"/>
      <c r="F446" s="57"/>
      <c r="G446" s="64" t="s">
        <v>4841</v>
      </c>
      <c r="H446" s="59">
        <v>9.9979999999999993</v>
      </c>
    </row>
    <row r="447" spans="1:13" ht="112.5" customHeight="1" x14ac:dyDescent="0.15">
      <c r="A447" s="54">
        <v>1466</v>
      </c>
      <c r="B447" s="55" t="s">
        <v>3496</v>
      </c>
      <c r="C447" s="55" t="s">
        <v>4842</v>
      </c>
      <c r="D447" s="56" t="s">
        <v>4843</v>
      </c>
      <c r="E447" s="2"/>
      <c r="F447" s="57"/>
      <c r="G447" s="62" t="s">
        <v>4844</v>
      </c>
      <c r="H447" s="59">
        <v>0</v>
      </c>
      <c r="I447" s="29"/>
      <c r="J447" s="29"/>
      <c r="K447" s="29"/>
      <c r="L447" s="29"/>
      <c r="M447" s="29"/>
    </row>
    <row r="448" spans="1:13" ht="112.5" customHeight="1" x14ac:dyDescent="0.15">
      <c r="A448" s="60">
        <v>1465</v>
      </c>
      <c r="B448" s="30" t="s">
        <v>3502</v>
      </c>
      <c r="C448" s="30" t="s">
        <v>4845</v>
      </c>
      <c r="D448" s="61" t="s">
        <v>4846</v>
      </c>
      <c r="E448" s="2"/>
      <c r="F448" s="57"/>
      <c r="G448" s="58" t="s">
        <v>4847</v>
      </c>
      <c r="H448" s="59">
        <v>0</v>
      </c>
      <c r="I448" s="29"/>
      <c r="J448" s="29"/>
      <c r="K448" s="29"/>
      <c r="L448" s="29"/>
      <c r="M448" s="29"/>
    </row>
    <row r="449" spans="1:13" ht="112.5" customHeight="1" x14ac:dyDescent="0.15">
      <c r="A449" s="54">
        <v>1464</v>
      </c>
      <c r="B449" s="55" t="s">
        <v>3556</v>
      </c>
      <c r="C449" s="55" t="s">
        <v>4848</v>
      </c>
      <c r="D449" s="56" t="s">
        <v>4849</v>
      </c>
      <c r="E449" s="2"/>
      <c r="F449" s="57"/>
      <c r="G449" s="62" t="s">
        <v>4850</v>
      </c>
      <c r="H449" s="59">
        <v>894</v>
      </c>
      <c r="I449" s="29"/>
      <c r="J449" s="29"/>
      <c r="K449" s="29"/>
      <c r="L449" s="29"/>
      <c r="M449" s="29"/>
    </row>
    <row r="450" spans="1:13" ht="112.5" customHeight="1" x14ac:dyDescent="0.15">
      <c r="A450" s="60">
        <v>1463</v>
      </c>
      <c r="B450" s="30" t="s">
        <v>3533</v>
      </c>
      <c r="C450" s="30" t="s">
        <v>4851</v>
      </c>
      <c r="D450" s="61" t="s">
        <v>4852</v>
      </c>
      <c r="E450" s="2"/>
      <c r="F450" s="57"/>
      <c r="G450" s="58" t="s">
        <v>4853</v>
      </c>
      <c r="H450" s="59">
        <v>0</v>
      </c>
      <c r="I450" s="29"/>
      <c r="J450" s="29"/>
      <c r="K450" s="29"/>
      <c r="L450" s="29"/>
      <c r="M450" s="29"/>
    </row>
    <row r="451" spans="1:13" ht="112.5" customHeight="1" x14ac:dyDescent="0.15">
      <c r="A451" s="54">
        <v>1462</v>
      </c>
      <c r="B451" s="55" t="s">
        <v>3549</v>
      </c>
      <c r="C451" s="55" t="s">
        <v>4854</v>
      </c>
      <c r="D451" s="56" t="s">
        <v>4855</v>
      </c>
      <c r="E451" s="2"/>
      <c r="F451" s="57"/>
      <c r="G451" s="62" t="s">
        <v>4646</v>
      </c>
      <c r="H451" s="59">
        <v>0</v>
      </c>
      <c r="I451" s="29"/>
      <c r="J451" s="29"/>
      <c r="K451" s="29"/>
      <c r="L451" s="29"/>
      <c r="M451" s="29"/>
    </row>
    <row r="452" spans="1:13" ht="112.5" customHeight="1" x14ac:dyDescent="0.15">
      <c r="A452" s="60">
        <v>1461</v>
      </c>
      <c r="B452" s="30" t="s">
        <v>3526</v>
      </c>
      <c r="C452" s="30" t="s">
        <v>4856</v>
      </c>
      <c r="D452" s="61" t="s">
        <v>4857</v>
      </c>
      <c r="E452" s="2"/>
      <c r="F452" s="57"/>
      <c r="G452" s="58" t="s">
        <v>4858</v>
      </c>
      <c r="H452" s="59">
        <v>0</v>
      </c>
      <c r="I452" s="29"/>
      <c r="J452" s="29"/>
      <c r="K452" s="29"/>
      <c r="L452" s="29"/>
      <c r="M452" s="29"/>
    </row>
    <row r="453" spans="1:13" ht="112.5" customHeight="1" x14ac:dyDescent="0.15">
      <c r="A453" s="54">
        <v>1460</v>
      </c>
      <c r="B453" s="55" t="s">
        <v>3513</v>
      </c>
      <c r="C453" s="55" t="s">
        <v>4859</v>
      </c>
      <c r="D453" s="56" t="s">
        <v>4860</v>
      </c>
      <c r="E453" s="2"/>
      <c r="F453" s="57"/>
      <c r="G453" s="62" t="s">
        <v>4861</v>
      </c>
      <c r="H453" s="59">
        <v>0</v>
      </c>
      <c r="I453" s="29"/>
      <c r="J453" s="29"/>
      <c r="K453" s="29"/>
      <c r="L453" s="29"/>
      <c r="M453" s="29"/>
    </row>
    <row r="454" spans="1:13" ht="112.5" customHeight="1" x14ac:dyDescent="0.15">
      <c r="A454" s="54">
        <v>2282</v>
      </c>
      <c r="B454" s="55" t="s">
        <v>3556</v>
      </c>
      <c r="C454" s="55" t="s">
        <v>4862</v>
      </c>
      <c r="D454" s="56" t="s">
        <v>4863</v>
      </c>
      <c r="E454" s="2"/>
      <c r="F454" s="57"/>
      <c r="G454" s="58" t="s">
        <v>4864</v>
      </c>
      <c r="H454" s="59">
        <v>0</v>
      </c>
      <c r="I454" s="29"/>
      <c r="J454" s="29"/>
      <c r="K454" s="29"/>
      <c r="L454" s="29"/>
      <c r="M454" s="29"/>
    </row>
    <row r="455" spans="1:13" ht="112.5" customHeight="1" x14ac:dyDescent="0.15">
      <c r="A455" s="60">
        <v>1459</v>
      </c>
      <c r="B455" s="30" t="s">
        <v>3526</v>
      </c>
      <c r="C455" s="30" t="s">
        <v>4865</v>
      </c>
      <c r="D455" s="61" t="s">
        <v>4866</v>
      </c>
      <c r="E455" s="2"/>
      <c r="F455" s="57"/>
      <c r="G455" s="63" t="s">
        <v>4867</v>
      </c>
      <c r="H455" s="59">
        <v>0</v>
      </c>
    </row>
    <row r="456" spans="1:13" ht="112.5" customHeight="1" x14ac:dyDescent="0.15">
      <c r="A456" s="54">
        <v>1458</v>
      </c>
      <c r="B456" s="55" t="s">
        <v>3526</v>
      </c>
      <c r="C456" s="55" t="s">
        <v>4868</v>
      </c>
      <c r="D456" s="56" t="s">
        <v>4869</v>
      </c>
      <c r="E456" s="2"/>
      <c r="F456" s="57"/>
      <c r="G456" s="64" t="s">
        <v>4870</v>
      </c>
      <c r="H456" s="59">
        <v>0</v>
      </c>
    </row>
    <row r="457" spans="1:13" ht="112.5" customHeight="1" x14ac:dyDescent="0.15">
      <c r="A457" s="60">
        <v>1457</v>
      </c>
      <c r="B457" s="30" t="s">
        <v>3526</v>
      </c>
      <c r="C457" s="30" t="s">
        <v>4871</v>
      </c>
      <c r="D457" s="61" t="s">
        <v>4872</v>
      </c>
      <c r="E457" s="2"/>
      <c r="F457" s="57"/>
      <c r="G457" s="63" t="s">
        <v>4873</v>
      </c>
      <c r="H457" s="59">
        <v>9.8719999999999999</v>
      </c>
    </row>
    <row r="458" spans="1:13" ht="112.5" customHeight="1" x14ac:dyDescent="0.15">
      <c r="A458" s="54">
        <v>1456</v>
      </c>
      <c r="B458" s="55" t="s">
        <v>3526</v>
      </c>
      <c r="C458" s="55" t="s">
        <v>4874</v>
      </c>
      <c r="D458" s="56" t="s">
        <v>4875</v>
      </c>
      <c r="E458" s="2"/>
      <c r="F458" s="57"/>
      <c r="G458" s="58" t="s">
        <v>4876</v>
      </c>
      <c r="H458" s="59">
        <v>0</v>
      </c>
      <c r="I458" s="29"/>
      <c r="J458" s="29"/>
      <c r="K458" s="29"/>
      <c r="L458" s="29"/>
      <c r="M458" s="29"/>
    </row>
    <row r="459" spans="1:13" ht="112.5" customHeight="1" x14ac:dyDescent="0.15">
      <c r="A459" s="60">
        <v>1455</v>
      </c>
      <c r="B459" s="30" t="s">
        <v>3513</v>
      </c>
      <c r="C459" s="30" t="s">
        <v>4877</v>
      </c>
      <c r="D459" s="61" t="s">
        <v>4878</v>
      </c>
      <c r="E459" s="2"/>
      <c r="F459" s="57"/>
      <c r="G459" s="62" t="s">
        <v>4879</v>
      </c>
      <c r="H459" s="59">
        <v>998.33699999999999</v>
      </c>
      <c r="I459" s="29"/>
      <c r="J459" s="29"/>
      <c r="K459" s="29"/>
      <c r="L459" s="29"/>
      <c r="M459" s="29"/>
    </row>
    <row r="460" spans="1:13" ht="112.5" customHeight="1" x14ac:dyDescent="0.15">
      <c r="A460" s="54">
        <v>1454</v>
      </c>
      <c r="B460" s="55" t="s">
        <v>3502</v>
      </c>
      <c r="C460" s="55" t="s">
        <v>4880</v>
      </c>
      <c r="D460" s="56" t="s">
        <v>4881</v>
      </c>
      <c r="E460" s="2"/>
      <c r="F460" s="57"/>
      <c r="G460" s="58" t="s">
        <v>4882</v>
      </c>
      <c r="H460" s="59">
        <v>0</v>
      </c>
      <c r="I460" s="29"/>
      <c r="J460" s="29"/>
      <c r="K460" s="29"/>
      <c r="L460" s="29"/>
      <c r="M460" s="29"/>
    </row>
    <row r="461" spans="1:13" ht="112.5" customHeight="1" x14ac:dyDescent="0.15">
      <c r="A461" s="60">
        <v>1453</v>
      </c>
      <c r="B461" s="30" t="s">
        <v>3670</v>
      </c>
      <c r="C461" s="30" t="s">
        <v>4883</v>
      </c>
      <c r="D461" s="61" t="s">
        <v>4884</v>
      </c>
      <c r="E461" s="2"/>
      <c r="F461" s="57"/>
      <c r="G461" s="62" t="s">
        <v>4885</v>
      </c>
      <c r="H461" s="59">
        <v>0</v>
      </c>
      <c r="I461" s="29"/>
      <c r="J461" s="29"/>
      <c r="K461" s="29"/>
      <c r="L461" s="29"/>
      <c r="M461" s="29"/>
    </row>
    <row r="462" spans="1:13" ht="112.5" customHeight="1" x14ac:dyDescent="0.15">
      <c r="A462" s="54">
        <v>1452</v>
      </c>
      <c r="B462" s="55" t="s">
        <v>3670</v>
      </c>
      <c r="C462" s="55" t="s">
        <v>4886</v>
      </c>
      <c r="D462" s="56" t="s">
        <v>4887</v>
      </c>
      <c r="E462" s="2"/>
      <c r="F462" s="57"/>
      <c r="G462" s="58" t="s">
        <v>4888</v>
      </c>
      <c r="H462" s="59">
        <v>9.9990000000000006</v>
      </c>
      <c r="I462" s="29"/>
      <c r="J462" s="29"/>
      <c r="K462" s="29"/>
      <c r="L462" s="29"/>
      <c r="M462" s="29"/>
    </row>
    <row r="463" spans="1:13" ht="112.5" customHeight="1" x14ac:dyDescent="0.15">
      <c r="A463" s="60">
        <v>1451</v>
      </c>
      <c r="B463" s="30" t="s">
        <v>3670</v>
      </c>
      <c r="C463" s="30" t="s">
        <v>4889</v>
      </c>
      <c r="D463" s="61" t="s">
        <v>4890</v>
      </c>
      <c r="E463" s="2"/>
      <c r="F463" s="57"/>
      <c r="G463" s="63" t="s">
        <v>4891</v>
      </c>
      <c r="H463" s="59">
        <v>995</v>
      </c>
    </row>
    <row r="464" spans="1:13" ht="112.5" customHeight="1" x14ac:dyDescent="0.15">
      <c r="A464" s="60">
        <v>1449</v>
      </c>
      <c r="B464" s="30" t="s">
        <v>3526</v>
      </c>
      <c r="C464" s="30" t="s">
        <v>4892</v>
      </c>
      <c r="D464" s="61" t="s">
        <v>4893</v>
      </c>
      <c r="E464" s="2"/>
      <c r="F464" s="57"/>
      <c r="G464" s="64" t="s">
        <v>4894</v>
      </c>
      <c r="H464" s="59">
        <v>9.98</v>
      </c>
    </row>
    <row r="465" spans="1:13" ht="112.5" customHeight="1" x14ac:dyDescent="0.15">
      <c r="A465" s="54">
        <v>1448</v>
      </c>
      <c r="B465" s="55" t="s">
        <v>3509</v>
      </c>
      <c r="C465" s="55" t="s">
        <v>4895</v>
      </c>
      <c r="D465" s="56" t="s">
        <v>4896</v>
      </c>
      <c r="E465" s="2"/>
      <c r="F465" s="57"/>
      <c r="G465" s="63" t="s">
        <v>4897</v>
      </c>
      <c r="H465" s="59">
        <v>9.9949999999999992</v>
      </c>
    </row>
    <row r="466" spans="1:13" ht="112.5" customHeight="1" x14ac:dyDescent="0.15">
      <c r="A466" s="60">
        <v>1447</v>
      </c>
      <c r="B466" s="30" t="s">
        <v>3556</v>
      </c>
      <c r="C466" s="30" t="s">
        <v>4898</v>
      </c>
      <c r="D466" s="61" t="s">
        <v>4899</v>
      </c>
      <c r="E466" s="2"/>
      <c r="F466" s="57"/>
      <c r="G466" s="64" t="s">
        <v>4900</v>
      </c>
      <c r="H466" s="59">
        <v>99.888999999999996</v>
      </c>
    </row>
    <row r="467" spans="1:13" ht="112.5" customHeight="1" x14ac:dyDescent="0.15">
      <c r="A467" s="54">
        <v>1446</v>
      </c>
      <c r="B467" s="55" t="s">
        <v>3556</v>
      </c>
      <c r="C467" s="55" t="s">
        <v>4901</v>
      </c>
      <c r="D467" s="56" t="s">
        <v>4902</v>
      </c>
      <c r="E467" s="2"/>
      <c r="F467" s="57"/>
      <c r="G467" s="62" t="s">
        <v>4903</v>
      </c>
      <c r="H467" s="59">
        <v>0</v>
      </c>
      <c r="I467" s="29"/>
      <c r="J467" s="29"/>
      <c r="K467" s="29"/>
      <c r="L467" s="29"/>
      <c r="M467" s="29"/>
    </row>
    <row r="468" spans="1:13" ht="112.5" customHeight="1" x14ac:dyDescent="0.15">
      <c r="A468" s="60">
        <v>1445</v>
      </c>
      <c r="B468" s="30" t="s">
        <v>3556</v>
      </c>
      <c r="C468" s="30" t="s">
        <v>4904</v>
      </c>
      <c r="D468" s="61" t="s">
        <v>4905</v>
      </c>
      <c r="E468" s="2"/>
      <c r="F468" s="57"/>
      <c r="G468" s="58" t="s">
        <v>4906</v>
      </c>
      <c r="H468" s="59">
        <v>100</v>
      </c>
      <c r="I468" s="29"/>
      <c r="J468" s="29"/>
      <c r="K468" s="29"/>
      <c r="L468" s="29"/>
      <c r="M468" s="29"/>
    </row>
    <row r="469" spans="1:13" ht="112.5" customHeight="1" x14ac:dyDescent="0.15">
      <c r="A469" s="54">
        <v>1444</v>
      </c>
      <c r="B469" s="55" t="s">
        <v>3556</v>
      </c>
      <c r="C469" s="55" t="s">
        <v>4907</v>
      </c>
      <c r="D469" s="56" t="s">
        <v>4908</v>
      </c>
      <c r="E469" s="2"/>
      <c r="F469" s="57"/>
      <c r="G469" s="62" t="s">
        <v>4909</v>
      </c>
      <c r="H469" s="59">
        <v>99.903000000000006</v>
      </c>
      <c r="I469" s="29"/>
      <c r="J469" s="29"/>
      <c r="K469" s="29"/>
      <c r="L469" s="29"/>
      <c r="M469" s="29"/>
    </row>
    <row r="470" spans="1:13" ht="112.5" customHeight="1" x14ac:dyDescent="0.15">
      <c r="A470" s="60">
        <v>1443</v>
      </c>
      <c r="B470" s="30" t="s">
        <v>4334</v>
      </c>
      <c r="C470" s="30" t="s">
        <v>4910</v>
      </c>
      <c r="D470" s="61" t="s">
        <v>4911</v>
      </c>
      <c r="E470" s="2"/>
      <c r="F470" s="57"/>
      <c r="G470" s="58" t="s">
        <v>4912</v>
      </c>
      <c r="H470" s="59">
        <v>0</v>
      </c>
      <c r="I470" s="29"/>
      <c r="J470" s="29"/>
      <c r="K470" s="29"/>
      <c r="L470" s="29"/>
      <c r="M470" s="29"/>
    </row>
    <row r="471" spans="1:13" ht="112.5" customHeight="1" x14ac:dyDescent="0.15">
      <c r="A471" s="54">
        <v>1442</v>
      </c>
      <c r="B471" s="55" t="s">
        <v>4334</v>
      </c>
      <c r="C471" s="55" t="s">
        <v>4913</v>
      </c>
      <c r="D471" s="56" t="s">
        <v>4914</v>
      </c>
      <c r="E471" s="2"/>
      <c r="F471" s="57"/>
      <c r="G471" s="62" t="s">
        <v>4915</v>
      </c>
      <c r="H471" s="59">
        <v>0</v>
      </c>
      <c r="I471" s="29"/>
      <c r="J471" s="29"/>
      <c r="K471" s="29"/>
      <c r="L471" s="29"/>
      <c r="M471" s="29"/>
    </row>
    <row r="472" spans="1:13" ht="112.5" customHeight="1" x14ac:dyDescent="0.15">
      <c r="A472" s="60">
        <v>1441</v>
      </c>
      <c r="B472" s="30" t="s">
        <v>3670</v>
      </c>
      <c r="C472" s="30" t="s">
        <v>4916</v>
      </c>
      <c r="D472" s="61" t="s">
        <v>4917</v>
      </c>
      <c r="E472" s="2"/>
      <c r="F472" s="57"/>
      <c r="G472" s="58" t="s">
        <v>4918</v>
      </c>
      <c r="H472" s="59">
        <v>0</v>
      </c>
      <c r="I472" s="29"/>
      <c r="J472" s="29"/>
      <c r="K472" s="29"/>
      <c r="L472" s="29"/>
      <c r="M472" s="29"/>
    </row>
    <row r="473" spans="1:13" ht="112.5" customHeight="1" x14ac:dyDescent="0.15">
      <c r="A473" s="60">
        <v>3333</v>
      </c>
      <c r="B473" s="30" t="s">
        <v>3496</v>
      </c>
      <c r="C473" s="30" t="s">
        <v>4919</v>
      </c>
      <c r="D473" s="61" t="s">
        <v>4920</v>
      </c>
      <c r="E473" s="2"/>
      <c r="F473" s="57"/>
      <c r="G473" s="62" t="s">
        <v>4921</v>
      </c>
      <c r="H473" s="59">
        <v>0</v>
      </c>
      <c r="I473" s="29"/>
      <c r="J473" s="29"/>
      <c r="K473" s="29"/>
      <c r="L473" s="29"/>
      <c r="M473" s="29"/>
    </row>
    <row r="474" spans="1:13" ht="112.5" customHeight="1" x14ac:dyDescent="0.15">
      <c r="A474" s="54">
        <v>1440</v>
      </c>
      <c r="B474" s="55" t="s">
        <v>4334</v>
      </c>
      <c r="C474" s="55" t="s">
        <v>4922</v>
      </c>
      <c r="D474" s="56" t="s">
        <v>4923</v>
      </c>
      <c r="E474" s="2"/>
      <c r="F474" s="57"/>
      <c r="G474" s="58" t="s">
        <v>4924</v>
      </c>
      <c r="H474" s="59">
        <v>0</v>
      </c>
      <c r="I474" s="29"/>
      <c r="J474" s="29"/>
      <c r="K474" s="29"/>
      <c r="L474" s="29"/>
      <c r="M474" s="29"/>
    </row>
    <row r="475" spans="1:13" ht="112.5" customHeight="1" x14ac:dyDescent="0.15">
      <c r="A475" s="60">
        <v>1439</v>
      </c>
      <c r="B475" s="30" t="s">
        <v>3670</v>
      </c>
      <c r="C475" s="30" t="s">
        <v>4925</v>
      </c>
      <c r="D475" s="61" t="s">
        <v>4926</v>
      </c>
      <c r="E475" s="2"/>
      <c r="F475" s="57"/>
      <c r="G475" s="62" t="s">
        <v>4927</v>
      </c>
      <c r="H475" s="59">
        <v>992</v>
      </c>
      <c r="I475" s="29"/>
      <c r="J475" s="29"/>
      <c r="K475" s="29"/>
      <c r="L475" s="29"/>
      <c r="M475" s="29"/>
    </row>
    <row r="476" spans="1:13" ht="112.5" customHeight="1" x14ac:dyDescent="0.15">
      <c r="A476" s="54">
        <v>1438</v>
      </c>
      <c r="B476" s="55" t="s">
        <v>3549</v>
      </c>
      <c r="C476" s="55" t="s">
        <v>4928</v>
      </c>
      <c r="D476" s="56" t="s">
        <v>4929</v>
      </c>
      <c r="E476" s="2"/>
      <c r="F476" s="57"/>
      <c r="G476" s="58" t="s">
        <v>4930</v>
      </c>
      <c r="H476" s="59">
        <v>0</v>
      </c>
      <c r="I476" s="29"/>
      <c r="J476" s="29"/>
      <c r="K476" s="29"/>
      <c r="L476" s="29"/>
      <c r="M476" s="29"/>
    </row>
    <row r="477" spans="1:13" ht="112.5" customHeight="1" x14ac:dyDescent="0.15">
      <c r="A477" s="60">
        <v>1437</v>
      </c>
      <c r="B477" s="30" t="s">
        <v>3630</v>
      </c>
      <c r="C477" s="30" t="s">
        <v>4931</v>
      </c>
      <c r="D477" s="61" t="s">
        <v>4932</v>
      </c>
      <c r="E477" s="2"/>
      <c r="F477" s="57"/>
      <c r="G477" s="62" t="s">
        <v>4933</v>
      </c>
      <c r="H477" s="59">
        <v>0</v>
      </c>
      <c r="I477" s="29"/>
      <c r="J477" s="29"/>
      <c r="K477" s="29"/>
      <c r="L477" s="29"/>
      <c r="M477" s="29"/>
    </row>
    <row r="478" spans="1:13" ht="112.5" customHeight="1" x14ac:dyDescent="0.15">
      <c r="A478" s="54">
        <v>1436</v>
      </c>
      <c r="B478" s="55" t="s">
        <v>3822</v>
      </c>
      <c r="C478" s="55" t="s">
        <v>4934</v>
      </c>
      <c r="D478" s="56" t="s">
        <v>4935</v>
      </c>
      <c r="E478" s="2"/>
      <c r="F478" s="57"/>
      <c r="G478" s="58" t="s">
        <v>4936</v>
      </c>
      <c r="H478" s="59">
        <v>0</v>
      </c>
      <c r="I478" s="29"/>
      <c r="J478" s="29"/>
      <c r="K478" s="29"/>
      <c r="L478" s="29"/>
      <c r="M478" s="29"/>
    </row>
    <row r="479" spans="1:13" ht="112.5" customHeight="1" x14ac:dyDescent="0.15">
      <c r="A479" s="60">
        <v>1435</v>
      </c>
      <c r="B479" s="30" t="s">
        <v>3549</v>
      </c>
      <c r="C479" s="30" t="s">
        <v>4937</v>
      </c>
      <c r="D479" s="61" t="s">
        <v>4938</v>
      </c>
      <c r="E479" s="2"/>
      <c r="F479" s="57"/>
      <c r="G479" s="62" t="s">
        <v>4939</v>
      </c>
      <c r="H479" s="59">
        <v>100</v>
      </c>
      <c r="I479" s="29"/>
      <c r="J479" s="29"/>
      <c r="K479" s="29"/>
      <c r="L479" s="29"/>
      <c r="M479" s="29"/>
    </row>
    <row r="480" spans="1:13" ht="112.5" customHeight="1" x14ac:dyDescent="0.15">
      <c r="A480" s="54">
        <v>1434</v>
      </c>
      <c r="B480" s="55" t="s">
        <v>3509</v>
      </c>
      <c r="C480" s="55" t="s">
        <v>4940</v>
      </c>
      <c r="D480" s="56" t="s">
        <v>4941</v>
      </c>
      <c r="E480" s="2"/>
      <c r="F480" s="57"/>
      <c r="G480" s="58" t="s">
        <v>4824</v>
      </c>
      <c r="H480" s="59">
        <v>0</v>
      </c>
      <c r="I480" s="29"/>
      <c r="J480" s="29"/>
      <c r="K480" s="29"/>
      <c r="L480" s="29"/>
      <c r="M480" s="29"/>
    </row>
    <row r="481" spans="1:8" ht="112.5" customHeight="1" x14ac:dyDescent="0.15">
      <c r="A481" s="54">
        <v>2306</v>
      </c>
      <c r="B481" s="55" t="s">
        <v>3496</v>
      </c>
      <c r="C481" s="55" t="s">
        <v>4942</v>
      </c>
      <c r="D481" s="56" t="s">
        <v>4943</v>
      </c>
      <c r="E481" s="2"/>
      <c r="F481" s="57"/>
      <c r="G481" s="63" t="s">
        <v>4643</v>
      </c>
      <c r="H481" s="59">
        <v>945</v>
      </c>
    </row>
    <row r="482" spans="1:8" ht="112.5" customHeight="1" x14ac:dyDescent="0.15">
      <c r="A482" s="54">
        <v>1282</v>
      </c>
      <c r="B482" s="55" t="s">
        <v>3509</v>
      </c>
      <c r="C482" s="55" t="s">
        <v>4944</v>
      </c>
      <c r="D482" s="56" t="s">
        <v>4945</v>
      </c>
      <c r="E482" s="2"/>
      <c r="F482" s="57"/>
      <c r="G482" s="64" t="s">
        <v>4946</v>
      </c>
      <c r="H482" s="59">
        <v>997</v>
      </c>
    </row>
    <row r="483" spans="1:8" ht="112.5" customHeight="1" x14ac:dyDescent="0.15">
      <c r="A483" s="60">
        <v>1281</v>
      </c>
      <c r="B483" s="30" t="s">
        <v>3509</v>
      </c>
      <c r="C483" s="30" t="s">
        <v>4947</v>
      </c>
      <c r="D483" s="61" t="s">
        <v>4948</v>
      </c>
      <c r="E483" s="2"/>
      <c r="F483" s="57"/>
      <c r="G483" s="63" t="s">
        <v>4640</v>
      </c>
      <c r="H483" s="59">
        <v>966</v>
      </c>
    </row>
    <row r="484" spans="1:8" ht="112.5" customHeight="1" x14ac:dyDescent="0.15">
      <c r="A484" s="54">
        <v>1280</v>
      </c>
      <c r="B484" s="55" t="s">
        <v>3556</v>
      </c>
      <c r="C484" s="55" t="s">
        <v>4949</v>
      </c>
      <c r="D484" s="56" t="s">
        <v>4950</v>
      </c>
      <c r="E484" s="2"/>
      <c r="F484" s="57"/>
      <c r="G484" s="64" t="s">
        <v>4951</v>
      </c>
      <c r="H484" s="59">
        <v>999</v>
      </c>
    </row>
    <row r="485" spans="1:8" ht="112.5" customHeight="1" x14ac:dyDescent="0.15">
      <c r="A485" s="60">
        <v>1279</v>
      </c>
      <c r="B485" s="30" t="s">
        <v>3526</v>
      </c>
      <c r="C485" s="30" t="s">
        <v>4952</v>
      </c>
      <c r="D485" s="61" t="s">
        <v>4953</v>
      </c>
      <c r="E485" s="2"/>
      <c r="F485" s="57"/>
      <c r="G485" s="63" t="s">
        <v>4954</v>
      </c>
      <c r="H485" s="59">
        <v>1</v>
      </c>
    </row>
    <row r="486" spans="1:8" ht="112.5" customHeight="1" x14ac:dyDescent="0.15">
      <c r="A486" s="54">
        <v>1278</v>
      </c>
      <c r="B486" s="55" t="s">
        <v>3526</v>
      </c>
      <c r="C486" s="55" t="s">
        <v>4955</v>
      </c>
      <c r="D486" s="56" t="s">
        <v>4956</v>
      </c>
      <c r="E486" s="2"/>
      <c r="F486" s="57"/>
      <c r="G486" s="64" t="s">
        <v>4957</v>
      </c>
      <c r="H486" s="59">
        <v>999</v>
      </c>
    </row>
    <row r="487" spans="1:8" ht="112.5" customHeight="1" x14ac:dyDescent="0.15">
      <c r="A487" s="60">
        <v>1277</v>
      </c>
      <c r="B487" s="30" t="s">
        <v>3526</v>
      </c>
      <c r="C487" s="30" t="s">
        <v>4958</v>
      </c>
      <c r="D487" s="61" t="s">
        <v>4959</v>
      </c>
      <c r="E487" s="2"/>
      <c r="F487" s="57"/>
      <c r="G487" s="63" t="s">
        <v>4960</v>
      </c>
      <c r="H487" s="59">
        <v>867</v>
      </c>
    </row>
    <row r="488" spans="1:8" ht="112.5" customHeight="1" x14ac:dyDescent="0.15">
      <c r="A488" s="54">
        <v>1276</v>
      </c>
      <c r="B488" s="55" t="s">
        <v>3556</v>
      </c>
      <c r="C488" s="55" t="s">
        <v>4961</v>
      </c>
      <c r="D488" s="56" t="s">
        <v>4962</v>
      </c>
      <c r="E488" s="2"/>
      <c r="F488" s="57"/>
      <c r="G488" s="64" t="s">
        <v>4963</v>
      </c>
      <c r="H488" s="59">
        <v>972</v>
      </c>
    </row>
    <row r="489" spans="1:8" ht="112.5" customHeight="1" x14ac:dyDescent="0.15">
      <c r="A489" s="60">
        <v>1275</v>
      </c>
      <c r="B489" s="30" t="s">
        <v>3630</v>
      </c>
      <c r="C489" s="30" t="s">
        <v>4964</v>
      </c>
      <c r="D489" s="61" t="s">
        <v>4965</v>
      </c>
      <c r="E489" s="2"/>
      <c r="F489" s="57"/>
      <c r="G489" s="63" t="s">
        <v>4966</v>
      </c>
      <c r="H489" s="59">
        <v>1</v>
      </c>
    </row>
    <row r="490" spans="1:8" ht="112.5" customHeight="1" x14ac:dyDescent="0.15">
      <c r="A490" s="54">
        <v>1274</v>
      </c>
      <c r="B490" s="55" t="s">
        <v>3630</v>
      </c>
      <c r="C490" s="55" t="s">
        <v>4967</v>
      </c>
      <c r="D490" s="56" t="s">
        <v>4968</v>
      </c>
      <c r="E490" s="2"/>
      <c r="F490" s="57"/>
      <c r="G490" s="64" t="s">
        <v>4969</v>
      </c>
      <c r="H490" s="59">
        <v>0</v>
      </c>
    </row>
    <row r="491" spans="1:8" ht="112.5" customHeight="1" x14ac:dyDescent="0.15">
      <c r="A491" s="54">
        <v>3354</v>
      </c>
      <c r="B491" s="55" t="s">
        <v>3630</v>
      </c>
      <c r="C491" s="55" t="s">
        <v>4970</v>
      </c>
      <c r="D491" s="56" t="s">
        <v>4971</v>
      </c>
      <c r="E491" s="2"/>
      <c r="F491" s="57"/>
      <c r="G491" s="63" t="s">
        <v>4972</v>
      </c>
      <c r="H491" s="59">
        <v>985</v>
      </c>
    </row>
    <row r="492" spans="1:8" ht="112.5" customHeight="1" x14ac:dyDescent="0.15">
      <c r="A492" s="60">
        <v>1273</v>
      </c>
      <c r="B492" s="30" t="s">
        <v>3502</v>
      </c>
      <c r="C492" s="30" t="s">
        <v>4973</v>
      </c>
      <c r="D492" s="61" t="s">
        <v>4974</v>
      </c>
      <c r="E492" s="2"/>
      <c r="F492" s="57"/>
      <c r="G492" s="64" t="s">
        <v>4975</v>
      </c>
      <c r="H492" s="59">
        <v>990</v>
      </c>
    </row>
    <row r="493" spans="1:8" ht="112.5" customHeight="1" x14ac:dyDescent="0.15">
      <c r="A493" s="54">
        <v>1272</v>
      </c>
      <c r="B493" s="55" t="s">
        <v>3526</v>
      </c>
      <c r="C493" s="55" t="s">
        <v>4976</v>
      </c>
      <c r="D493" s="56" t="s">
        <v>4977</v>
      </c>
      <c r="E493" s="2"/>
      <c r="F493" s="57"/>
      <c r="G493" s="63" t="s">
        <v>4978</v>
      </c>
      <c r="H493" s="59">
        <v>1</v>
      </c>
    </row>
    <row r="494" spans="1:8" ht="112.5" customHeight="1" x14ac:dyDescent="0.15">
      <c r="A494" s="60">
        <v>1271</v>
      </c>
      <c r="B494" s="30" t="s">
        <v>3502</v>
      </c>
      <c r="C494" s="30" t="s">
        <v>4979</v>
      </c>
      <c r="D494" s="61" t="s">
        <v>4980</v>
      </c>
      <c r="E494" s="2"/>
      <c r="F494" s="57"/>
      <c r="G494" s="64" t="s">
        <v>4981</v>
      </c>
      <c r="H494" s="59">
        <v>1</v>
      </c>
    </row>
    <row r="495" spans="1:8" ht="112.5" customHeight="1" x14ac:dyDescent="0.15">
      <c r="A495" s="54">
        <v>2280</v>
      </c>
      <c r="B495" s="55" t="s">
        <v>3670</v>
      </c>
      <c r="C495" s="55" t="s">
        <v>4982</v>
      </c>
      <c r="D495" s="56" t="s">
        <v>4983</v>
      </c>
      <c r="E495" s="2"/>
      <c r="F495" s="57"/>
      <c r="G495" s="63" t="s">
        <v>4984</v>
      </c>
      <c r="H495" s="59">
        <v>1</v>
      </c>
    </row>
    <row r="496" spans="1:8" ht="112.5" customHeight="1" x14ac:dyDescent="0.15">
      <c r="A496" s="54">
        <v>1270</v>
      </c>
      <c r="B496" s="55" t="s">
        <v>3670</v>
      </c>
      <c r="C496" s="55" t="s">
        <v>4985</v>
      </c>
      <c r="D496" s="56" t="s">
        <v>4986</v>
      </c>
      <c r="E496" s="2"/>
      <c r="F496" s="57"/>
      <c r="G496" s="64" t="s">
        <v>4987</v>
      </c>
      <c r="H496" s="59">
        <v>1</v>
      </c>
    </row>
    <row r="497" spans="1:8" ht="112.5" customHeight="1" x14ac:dyDescent="0.15">
      <c r="A497" s="60">
        <v>1269</v>
      </c>
      <c r="B497" s="30" t="s">
        <v>3670</v>
      </c>
      <c r="C497" s="30" t="s">
        <v>4988</v>
      </c>
      <c r="D497" s="61" t="s">
        <v>4989</v>
      </c>
      <c r="E497" s="2"/>
      <c r="F497" s="57"/>
      <c r="G497" s="63" t="s">
        <v>4990</v>
      </c>
      <c r="H497" s="59">
        <v>0</v>
      </c>
    </row>
    <row r="498" spans="1:8" ht="112.5" customHeight="1" x14ac:dyDescent="0.15">
      <c r="A498" s="54">
        <v>1268</v>
      </c>
      <c r="B498" s="55" t="s">
        <v>3556</v>
      </c>
      <c r="C498" s="55" t="s">
        <v>4991</v>
      </c>
      <c r="D498" s="56" t="s">
        <v>4992</v>
      </c>
      <c r="E498" s="2"/>
      <c r="F498" s="57"/>
      <c r="G498" s="64" t="s">
        <v>4637</v>
      </c>
      <c r="H498" s="59">
        <v>982</v>
      </c>
    </row>
    <row r="499" spans="1:8" ht="112.5" customHeight="1" x14ac:dyDescent="0.15">
      <c r="A499" s="60">
        <v>1267</v>
      </c>
      <c r="B499" s="30" t="s">
        <v>3513</v>
      </c>
      <c r="C499" s="30" t="s">
        <v>4993</v>
      </c>
      <c r="D499" s="61" t="s">
        <v>4994</v>
      </c>
      <c r="E499" s="2"/>
      <c r="F499" s="57"/>
      <c r="G499" s="63" t="s">
        <v>4995</v>
      </c>
      <c r="H499" s="59">
        <v>0</v>
      </c>
    </row>
    <row r="500" spans="1:8" ht="112.5" customHeight="1" x14ac:dyDescent="0.15">
      <c r="A500" s="54">
        <v>1266</v>
      </c>
      <c r="B500" s="55" t="s">
        <v>3513</v>
      </c>
      <c r="C500" s="55" t="s">
        <v>4996</v>
      </c>
      <c r="D500" s="56" t="s">
        <v>4997</v>
      </c>
      <c r="E500" s="2"/>
      <c r="F500" s="57"/>
      <c r="G500" s="64" t="s">
        <v>4998</v>
      </c>
      <c r="H500" s="59">
        <v>993</v>
      </c>
    </row>
    <row r="501" spans="1:8" ht="112.5" customHeight="1" x14ac:dyDescent="0.15">
      <c r="A501" s="60">
        <v>1265</v>
      </c>
      <c r="B501" s="30" t="s">
        <v>3513</v>
      </c>
      <c r="C501" s="30" t="s">
        <v>4999</v>
      </c>
      <c r="D501" s="61" t="s">
        <v>5000</v>
      </c>
      <c r="E501" s="2"/>
      <c r="F501" s="57"/>
      <c r="G501" s="63" t="s">
        <v>5001</v>
      </c>
      <c r="H501" s="59">
        <v>1</v>
      </c>
    </row>
    <row r="502" spans="1:8" ht="112.5" customHeight="1" x14ac:dyDescent="0.15">
      <c r="A502" s="54">
        <v>1264</v>
      </c>
      <c r="B502" s="55" t="s">
        <v>3513</v>
      </c>
      <c r="C502" s="55" t="s">
        <v>5002</v>
      </c>
      <c r="D502" s="56" t="s">
        <v>5003</v>
      </c>
      <c r="E502" s="2"/>
      <c r="F502" s="57"/>
      <c r="G502" s="64" t="s">
        <v>5004</v>
      </c>
      <c r="H502" s="59">
        <v>999</v>
      </c>
    </row>
    <row r="503" spans="1:8" ht="112.5" customHeight="1" x14ac:dyDescent="0.15">
      <c r="A503" s="60">
        <v>1263</v>
      </c>
      <c r="B503" s="30" t="s">
        <v>3549</v>
      </c>
      <c r="C503" s="30" t="s">
        <v>5005</v>
      </c>
      <c r="D503" s="61" t="s">
        <v>5006</v>
      </c>
      <c r="E503" s="2"/>
      <c r="F503" s="57"/>
      <c r="G503" s="63" t="s">
        <v>5007</v>
      </c>
      <c r="H503" s="59">
        <v>999.995</v>
      </c>
    </row>
    <row r="504" spans="1:8" ht="112.5" customHeight="1" x14ac:dyDescent="0.15">
      <c r="A504" s="54">
        <v>1262</v>
      </c>
      <c r="B504" s="55" t="s">
        <v>3549</v>
      </c>
      <c r="C504" s="55" t="s">
        <v>5008</v>
      </c>
      <c r="D504" s="56" t="s">
        <v>5009</v>
      </c>
      <c r="E504" s="2"/>
      <c r="F504" s="57"/>
      <c r="G504" s="64" t="s">
        <v>5010</v>
      </c>
      <c r="H504" s="59">
        <v>999.99599999999998</v>
      </c>
    </row>
    <row r="505" spans="1:8" ht="112.5" customHeight="1" x14ac:dyDescent="0.15">
      <c r="A505" s="60">
        <v>1261</v>
      </c>
      <c r="B505" s="30" t="s">
        <v>3556</v>
      </c>
      <c r="C505" s="30" t="s">
        <v>5011</v>
      </c>
      <c r="D505" s="61" t="s">
        <v>5012</v>
      </c>
      <c r="E505" s="2"/>
      <c r="F505" s="57"/>
      <c r="G505" s="63" t="s">
        <v>5013</v>
      </c>
      <c r="H505" s="59">
        <v>999.976</v>
      </c>
    </row>
    <row r="506" spans="1:8" ht="112.5" customHeight="1" x14ac:dyDescent="0.15">
      <c r="A506" s="54">
        <v>1260</v>
      </c>
      <c r="B506" s="55" t="s">
        <v>3533</v>
      </c>
      <c r="C506" s="55" t="s">
        <v>5014</v>
      </c>
      <c r="D506" s="56" t="s">
        <v>5015</v>
      </c>
      <c r="E506" s="2"/>
      <c r="F506" s="57"/>
      <c r="G506" s="64" t="s">
        <v>5016</v>
      </c>
      <c r="H506" s="59">
        <v>999.99699999999996</v>
      </c>
    </row>
    <row r="507" spans="1:8" ht="112.5" customHeight="1" x14ac:dyDescent="0.15">
      <c r="A507" s="60">
        <v>1259</v>
      </c>
      <c r="B507" s="30" t="s">
        <v>3549</v>
      </c>
      <c r="C507" s="30" t="s">
        <v>5017</v>
      </c>
      <c r="D507" s="61" t="s">
        <v>5018</v>
      </c>
      <c r="E507" s="2"/>
      <c r="F507" s="57"/>
      <c r="G507" s="63" t="s">
        <v>5019</v>
      </c>
      <c r="H507" s="59">
        <v>999.98199999999997</v>
      </c>
    </row>
    <row r="508" spans="1:8" ht="112.5" customHeight="1" x14ac:dyDescent="0.15">
      <c r="A508" s="54">
        <v>1258</v>
      </c>
      <c r="B508" s="55" t="s">
        <v>3513</v>
      </c>
      <c r="C508" s="55" t="s">
        <v>5020</v>
      </c>
      <c r="D508" s="56" t="s">
        <v>5021</v>
      </c>
      <c r="E508" s="2"/>
      <c r="F508" s="57"/>
      <c r="G508" s="64" t="s">
        <v>5022</v>
      </c>
      <c r="H508" s="59">
        <v>0</v>
      </c>
    </row>
    <row r="509" spans="1:8" ht="112.5" customHeight="1" x14ac:dyDescent="0.15">
      <c r="A509" s="60">
        <v>1257</v>
      </c>
      <c r="B509" s="30" t="s">
        <v>3513</v>
      </c>
      <c r="C509" s="30" t="s">
        <v>5023</v>
      </c>
      <c r="D509" s="61" t="s">
        <v>5024</v>
      </c>
      <c r="E509" s="2"/>
      <c r="F509" s="57"/>
      <c r="G509" s="63" t="s">
        <v>5025</v>
      </c>
      <c r="H509" s="59" t="s">
        <v>4171</v>
      </c>
    </row>
    <row r="510" spans="1:8" ht="112.5" customHeight="1" x14ac:dyDescent="0.15">
      <c r="A510" s="54">
        <v>1256</v>
      </c>
      <c r="B510" s="55" t="s">
        <v>3513</v>
      </c>
      <c r="C510" s="55" t="s">
        <v>5026</v>
      </c>
      <c r="D510" s="56" t="s">
        <v>5027</v>
      </c>
      <c r="E510" s="2"/>
      <c r="F510" s="57"/>
      <c r="G510" s="64" t="s">
        <v>5028</v>
      </c>
      <c r="H510" s="59">
        <v>999.99300000000005</v>
      </c>
    </row>
    <row r="511" spans="1:8" ht="112.5" customHeight="1" x14ac:dyDescent="0.15">
      <c r="A511" s="60">
        <v>3199</v>
      </c>
      <c r="B511" s="30" t="s">
        <v>3749</v>
      </c>
      <c r="C511" s="30" t="s">
        <v>5029</v>
      </c>
      <c r="D511" s="61" t="s">
        <v>5030</v>
      </c>
      <c r="E511" s="2"/>
      <c r="F511" s="57"/>
      <c r="G511" s="63" t="s">
        <v>5031</v>
      </c>
      <c r="H511" s="59">
        <v>999.99400000000003</v>
      </c>
    </row>
    <row r="512" spans="1:8" ht="112.5" customHeight="1" x14ac:dyDescent="0.15">
      <c r="A512" s="60">
        <v>1255</v>
      </c>
      <c r="B512" s="30" t="s">
        <v>3749</v>
      </c>
      <c r="C512" s="30" t="s">
        <v>5032</v>
      </c>
      <c r="D512" s="61" t="s">
        <v>5033</v>
      </c>
      <c r="E512" s="2"/>
      <c r="F512" s="57"/>
      <c r="G512" s="64" t="s">
        <v>5034</v>
      </c>
      <c r="H512" s="59" t="s">
        <v>4171</v>
      </c>
    </row>
    <row r="513" spans="1:8" ht="112.5" customHeight="1" x14ac:dyDescent="0.15">
      <c r="A513" s="54">
        <v>1254</v>
      </c>
      <c r="B513" s="55" t="s">
        <v>3749</v>
      </c>
      <c r="C513" s="55" t="s">
        <v>5035</v>
      </c>
      <c r="D513" s="56" t="s">
        <v>5036</v>
      </c>
      <c r="E513" s="2"/>
      <c r="F513" s="57"/>
      <c r="G513" s="63" t="s">
        <v>5037</v>
      </c>
      <c r="H513" s="59" t="s">
        <v>4171</v>
      </c>
    </row>
    <row r="514" spans="1:8" ht="112.5" customHeight="1" x14ac:dyDescent="0.15">
      <c r="A514" s="60">
        <v>1253</v>
      </c>
      <c r="B514" s="30" t="s">
        <v>3822</v>
      </c>
      <c r="C514" s="30" t="s">
        <v>5038</v>
      </c>
      <c r="D514" s="61" t="s">
        <v>5039</v>
      </c>
      <c r="E514" s="2"/>
      <c r="F514" s="57"/>
      <c r="G514" s="64" t="s">
        <v>5040</v>
      </c>
      <c r="H514" s="59" t="s">
        <v>4171</v>
      </c>
    </row>
    <row r="515" spans="1:8" ht="112.5" customHeight="1" x14ac:dyDescent="0.15">
      <c r="A515" s="54">
        <v>1252</v>
      </c>
      <c r="B515" s="55" t="s">
        <v>3513</v>
      </c>
      <c r="C515" s="55" t="s">
        <v>5041</v>
      </c>
      <c r="D515" s="56" t="s">
        <v>5042</v>
      </c>
      <c r="E515" s="2"/>
      <c r="F515" s="57"/>
      <c r="G515" s="63" t="s">
        <v>5043</v>
      </c>
      <c r="H515" s="59">
        <v>0</v>
      </c>
    </row>
    <row r="516" spans="1:8" ht="112.5" customHeight="1" x14ac:dyDescent="0.15">
      <c r="A516" s="60">
        <v>1251</v>
      </c>
      <c r="B516" s="30" t="s">
        <v>3513</v>
      </c>
      <c r="C516" s="30" t="s">
        <v>5044</v>
      </c>
      <c r="D516" s="61" t="s">
        <v>5045</v>
      </c>
      <c r="E516" s="2"/>
      <c r="F516" s="57"/>
      <c r="G516" s="64" t="s">
        <v>5046</v>
      </c>
      <c r="H516" s="59" t="s">
        <v>4171</v>
      </c>
    </row>
    <row r="517" spans="1:8" ht="112.5" customHeight="1" x14ac:dyDescent="0.15">
      <c r="A517" s="54">
        <v>1250</v>
      </c>
      <c r="B517" s="55" t="s">
        <v>3513</v>
      </c>
      <c r="C517" s="55" t="s">
        <v>5047</v>
      </c>
      <c r="D517" s="56" t="s">
        <v>5048</v>
      </c>
      <c r="E517" s="2"/>
      <c r="F517" s="57"/>
      <c r="G517" s="63" t="s">
        <v>5049</v>
      </c>
      <c r="H517" s="59">
        <v>999.99900000000002</v>
      </c>
    </row>
    <row r="518" spans="1:8" ht="112.5" customHeight="1" x14ac:dyDescent="0.15">
      <c r="A518" s="60">
        <v>1249</v>
      </c>
      <c r="B518" s="30" t="s">
        <v>3502</v>
      </c>
      <c r="C518" s="30" t="s">
        <v>5050</v>
      </c>
      <c r="D518" s="61" t="s">
        <v>5051</v>
      </c>
      <c r="E518" s="2"/>
      <c r="F518" s="57"/>
      <c r="G518" s="64" t="s">
        <v>5052</v>
      </c>
      <c r="H518" s="59" t="s">
        <v>4171</v>
      </c>
    </row>
    <row r="519" spans="1:8" ht="112.5" customHeight="1" x14ac:dyDescent="0.15">
      <c r="A519" s="54">
        <v>1248</v>
      </c>
      <c r="B519" s="55" t="s">
        <v>3513</v>
      </c>
      <c r="C519" s="55" t="s">
        <v>5053</v>
      </c>
      <c r="D519" s="56" t="s">
        <v>5054</v>
      </c>
      <c r="E519" s="2"/>
      <c r="F519" s="57"/>
      <c r="G519" s="63" t="s">
        <v>5055</v>
      </c>
      <c r="H519" s="59" t="s">
        <v>4171</v>
      </c>
    </row>
    <row r="520" spans="1:8" ht="112.5" customHeight="1" x14ac:dyDescent="0.15">
      <c r="A520" s="60">
        <v>1247</v>
      </c>
      <c r="B520" s="30" t="s">
        <v>3818</v>
      </c>
      <c r="C520" s="30" t="s">
        <v>5056</v>
      </c>
      <c r="D520" s="61" t="s">
        <v>5057</v>
      </c>
      <c r="E520" s="2"/>
      <c r="F520" s="57"/>
      <c r="G520" s="64" t="s">
        <v>5058</v>
      </c>
      <c r="H520" s="59" t="s">
        <v>4171</v>
      </c>
    </row>
    <row r="521" spans="1:8" ht="112.5" customHeight="1" x14ac:dyDescent="0.15">
      <c r="A521" s="54">
        <v>1246</v>
      </c>
      <c r="B521" s="55" t="s">
        <v>3513</v>
      </c>
      <c r="C521" s="55" t="s">
        <v>5059</v>
      </c>
      <c r="D521" s="56" t="s">
        <v>5060</v>
      </c>
      <c r="E521" s="2"/>
      <c r="F521" s="57"/>
      <c r="G521" s="63" t="s">
        <v>5061</v>
      </c>
      <c r="H521" s="59">
        <v>999.99900000000002</v>
      </c>
    </row>
    <row r="522" spans="1:8" ht="112.5" customHeight="1" x14ac:dyDescent="0.15">
      <c r="A522" s="60">
        <v>1245</v>
      </c>
      <c r="B522" s="30" t="s">
        <v>3513</v>
      </c>
      <c r="C522" s="30" t="s">
        <v>5062</v>
      </c>
      <c r="D522" s="61" t="s">
        <v>5063</v>
      </c>
      <c r="E522" s="2"/>
      <c r="F522" s="57"/>
      <c r="G522" s="64" t="s">
        <v>5064</v>
      </c>
      <c r="H522" s="59" t="s">
        <v>4171</v>
      </c>
    </row>
    <row r="523" spans="1:8" ht="112.5" customHeight="1" x14ac:dyDescent="0.15">
      <c r="A523" s="60">
        <v>2299</v>
      </c>
      <c r="B523" s="30" t="s">
        <v>3502</v>
      </c>
      <c r="C523" s="30" t="s">
        <v>5065</v>
      </c>
      <c r="D523" s="61" t="s">
        <v>5066</v>
      </c>
      <c r="E523" s="2"/>
      <c r="F523" s="57"/>
      <c r="G523" s="63" t="s">
        <v>5067</v>
      </c>
      <c r="H523" s="59">
        <v>999.99699999999996</v>
      </c>
    </row>
    <row r="524" spans="1:8" ht="112.5" customHeight="1" x14ac:dyDescent="0.15">
      <c r="A524" s="54">
        <v>1244</v>
      </c>
      <c r="B524" s="55" t="s">
        <v>3513</v>
      </c>
      <c r="C524" s="55" t="s">
        <v>5068</v>
      </c>
      <c r="D524" s="56" t="s">
        <v>5069</v>
      </c>
      <c r="E524" s="2"/>
      <c r="F524" s="57"/>
      <c r="G524" s="64" t="s">
        <v>5070</v>
      </c>
      <c r="H524" s="59">
        <v>999.99400000000003</v>
      </c>
    </row>
    <row r="525" spans="1:8" ht="112.5" customHeight="1" x14ac:dyDescent="0.15">
      <c r="A525" s="60">
        <v>1243</v>
      </c>
      <c r="B525" s="30" t="s">
        <v>3513</v>
      </c>
      <c r="C525" s="30" t="s">
        <v>5071</v>
      </c>
      <c r="D525" s="61" t="s">
        <v>5072</v>
      </c>
      <c r="E525" s="2"/>
      <c r="F525" s="57"/>
      <c r="G525" s="63" t="s">
        <v>5073</v>
      </c>
      <c r="H525" s="59">
        <v>999.98900000000003</v>
      </c>
    </row>
    <row r="526" spans="1:8" ht="112.5" customHeight="1" x14ac:dyDescent="0.15">
      <c r="A526" s="54">
        <v>1242</v>
      </c>
      <c r="B526" s="55" t="s">
        <v>3513</v>
      </c>
      <c r="C526" s="55" t="s">
        <v>5074</v>
      </c>
      <c r="D526" s="56" t="s">
        <v>5075</v>
      </c>
      <c r="E526" s="2"/>
      <c r="F526" s="57"/>
      <c r="G526" s="64" t="s">
        <v>5076</v>
      </c>
      <c r="H526" s="59">
        <v>999.99699999999996</v>
      </c>
    </row>
    <row r="527" spans="1:8" ht="112.5" customHeight="1" x14ac:dyDescent="0.15">
      <c r="A527" s="54">
        <v>3416</v>
      </c>
      <c r="B527" s="55" t="s">
        <v>3502</v>
      </c>
      <c r="C527" s="55" t="s">
        <v>5077</v>
      </c>
      <c r="D527" s="56" t="s">
        <v>5078</v>
      </c>
      <c r="E527" s="2"/>
      <c r="F527" s="57"/>
      <c r="G527" s="63" t="s">
        <v>5079</v>
      </c>
      <c r="H527" s="59">
        <v>999.99199999999996</v>
      </c>
    </row>
    <row r="528" spans="1:8" ht="112.5" customHeight="1" x14ac:dyDescent="0.15">
      <c r="A528" s="60">
        <v>1241</v>
      </c>
      <c r="B528" s="30" t="s">
        <v>3509</v>
      </c>
      <c r="C528" s="30" t="s">
        <v>5080</v>
      </c>
      <c r="D528" s="61" t="s">
        <v>5081</v>
      </c>
      <c r="E528" s="2"/>
      <c r="F528" s="57"/>
      <c r="G528" s="64" t="s">
        <v>5082</v>
      </c>
      <c r="H528" s="59">
        <v>999.99900000000002</v>
      </c>
    </row>
    <row r="529" spans="1:8" ht="112.5" customHeight="1" x14ac:dyDescent="0.15">
      <c r="A529" s="54">
        <v>1240</v>
      </c>
      <c r="B529" s="55" t="s">
        <v>3509</v>
      </c>
      <c r="C529" s="55" t="s">
        <v>5083</v>
      </c>
      <c r="D529" s="56" t="s">
        <v>5084</v>
      </c>
      <c r="E529" s="2"/>
      <c r="F529" s="57"/>
      <c r="G529" s="63" t="s">
        <v>5085</v>
      </c>
      <c r="H529" s="59">
        <v>999.99699999999996</v>
      </c>
    </row>
    <row r="530" spans="1:8" ht="112.5" customHeight="1" x14ac:dyDescent="0.15">
      <c r="A530" s="54">
        <v>1056</v>
      </c>
      <c r="B530" s="55" t="s">
        <v>3509</v>
      </c>
      <c r="C530" s="55" t="s">
        <v>5086</v>
      </c>
      <c r="D530" s="56" t="s">
        <v>5087</v>
      </c>
      <c r="E530" s="2"/>
      <c r="F530" s="57"/>
      <c r="G530" s="64" t="s">
        <v>5088</v>
      </c>
      <c r="H530" s="59" t="s">
        <v>4171</v>
      </c>
    </row>
    <row r="531" spans="1:8" ht="112.5" customHeight="1" x14ac:dyDescent="0.15">
      <c r="A531" s="60">
        <v>1055</v>
      </c>
      <c r="B531" s="30" t="s">
        <v>3822</v>
      </c>
      <c r="C531" s="30" t="s">
        <v>5089</v>
      </c>
      <c r="D531" s="61" t="s">
        <v>5090</v>
      </c>
      <c r="E531" s="2"/>
      <c r="F531" s="57"/>
      <c r="G531" s="63" t="s">
        <v>5091</v>
      </c>
      <c r="H531" s="59">
        <v>999.97199999999998</v>
      </c>
    </row>
    <row r="532" spans="1:8" ht="112.5" customHeight="1" x14ac:dyDescent="0.15">
      <c r="A532" s="54">
        <v>1054</v>
      </c>
      <c r="B532" s="55" t="s">
        <v>3509</v>
      </c>
      <c r="C532" s="55" t="s">
        <v>5092</v>
      </c>
      <c r="D532" s="56" t="s">
        <v>5093</v>
      </c>
      <c r="E532" s="2"/>
      <c r="F532" s="57"/>
      <c r="G532" s="64" t="s">
        <v>5094</v>
      </c>
      <c r="H532" s="59">
        <v>999.99300000000005</v>
      </c>
    </row>
    <row r="533" spans="1:8" ht="112.5" customHeight="1" x14ac:dyDescent="0.15">
      <c r="A533" s="60">
        <v>1053</v>
      </c>
      <c r="B533" s="30" t="s">
        <v>3509</v>
      </c>
      <c r="C533" s="30" t="s">
        <v>5095</v>
      </c>
      <c r="D533" s="61" t="s">
        <v>5096</v>
      </c>
      <c r="E533" s="2"/>
      <c r="F533" s="57"/>
      <c r="G533" s="63" t="s">
        <v>5097</v>
      </c>
      <c r="H533" s="59" t="s">
        <v>4171</v>
      </c>
    </row>
    <row r="534" spans="1:8" ht="112.5" customHeight="1" x14ac:dyDescent="0.15">
      <c r="A534" s="54">
        <v>1052</v>
      </c>
      <c r="B534" s="55" t="s">
        <v>3509</v>
      </c>
      <c r="C534" s="55" t="s">
        <v>5098</v>
      </c>
      <c r="D534" s="56" t="s">
        <v>5099</v>
      </c>
      <c r="E534" s="2"/>
      <c r="F534" s="57"/>
      <c r="G534" s="64" t="s">
        <v>5100</v>
      </c>
      <c r="H534" s="59">
        <v>999.99199999999996</v>
      </c>
    </row>
    <row r="535" spans="1:8" ht="112.5" customHeight="1" x14ac:dyDescent="0.15">
      <c r="A535" s="60">
        <v>1051</v>
      </c>
      <c r="B535" s="30" t="s">
        <v>3509</v>
      </c>
      <c r="C535" s="30" t="s">
        <v>5101</v>
      </c>
      <c r="D535" s="61" t="s">
        <v>5102</v>
      </c>
      <c r="E535" s="2"/>
      <c r="F535" s="57"/>
      <c r="G535" s="63" t="s">
        <v>5103</v>
      </c>
      <c r="H535" s="59">
        <v>999.99900000000002</v>
      </c>
    </row>
    <row r="536" spans="1:8" ht="112.5" customHeight="1" x14ac:dyDescent="0.15">
      <c r="A536" s="54">
        <v>1050</v>
      </c>
      <c r="B536" s="55" t="s">
        <v>3509</v>
      </c>
      <c r="C536" s="55" t="s">
        <v>5104</v>
      </c>
      <c r="D536" s="56" t="s">
        <v>5105</v>
      </c>
      <c r="E536" s="2"/>
      <c r="F536" s="57"/>
      <c r="G536" s="64" t="s">
        <v>5106</v>
      </c>
      <c r="H536" s="59">
        <v>999.99900000000002</v>
      </c>
    </row>
    <row r="537" spans="1:8" ht="112.5" customHeight="1" x14ac:dyDescent="0.15">
      <c r="A537" s="60">
        <v>1049</v>
      </c>
      <c r="B537" s="30" t="s">
        <v>3822</v>
      </c>
      <c r="C537" s="30" t="s">
        <v>5107</v>
      </c>
      <c r="D537" s="61" t="s">
        <v>5108</v>
      </c>
      <c r="E537" s="2"/>
      <c r="F537" s="57"/>
      <c r="G537" s="63" t="s">
        <v>5109</v>
      </c>
      <c r="H537" s="59">
        <v>0</v>
      </c>
    </row>
    <row r="538" spans="1:8" ht="112.5" customHeight="1" x14ac:dyDescent="0.15">
      <c r="A538" s="54">
        <v>1048</v>
      </c>
      <c r="B538" s="55" t="s">
        <v>3814</v>
      </c>
      <c r="C538" s="55" t="s">
        <v>5110</v>
      </c>
      <c r="D538" s="56" t="s">
        <v>5111</v>
      </c>
      <c r="E538" s="2"/>
      <c r="F538" s="57"/>
      <c r="G538" s="64" t="s">
        <v>5112</v>
      </c>
      <c r="H538" s="59">
        <v>999.93399999999997</v>
      </c>
    </row>
    <row r="539" spans="1:8" ht="112.5" customHeight="1" x14ac:dyDescent="0.15">
      <c r="A539" s="54">
        <v>1046</v>
      </c>
      <c r="B539" s="55" t="s">
        <v>3549</v>
      </c>
      <c r="C539" s="55" t="s">
        <v>5113</v>
      </c>
      <c r="D539" s="56" t="s">
        <v>5114</v>
      </c>
      <c r="E539" s="2"/>
      <c r="F539" s="57"/>
      <c r="G539" s="63" t="s">
        <v>5115</v>
      </c>
      <c r="H539" s="59">
        <v>999.98099999999999</v>
      </c>
    </row>
    <row r="540" spans="1:8" ht="112.5" customHeight="1" x14ac:dyDescent="0.15">
      <c r="A540" s="54">
        <v>2296</v>
      </c>
      <c r="B540" s="55" t="s">
        <v>3496</v>
      </c>
      <c r="C540" s="55" t="s">
        <v>5116</v>
      </c>
      <c r="D540" s="56" t="s">
        <v>5117</v>
      </c>
      <c r="E540" s="2"/>
      <c r="F540" s="57"/>
      <c r="G540" s="64" t="s">
        <v>5118</v>
      </c>
      <c r="H540" s="59" t="s">
        <v>4171</v>
      </c>
    </row>
    <row r="541" spans="1:8" ht="112.5" customHeight="1" x14ac:dyDescent="0.15">
      <c r="A541" s="60">
        <v>2297</v>
      </c>
      <c r="B541" s="30" t="s">
        <v>3496</v>
      </c>
      <c r="C541" s="30" t="s">
        <v>5119</v>
      </c>
      <c r="D541" s="61" t="s">
        <v>5120</v>
      </c>
      <c r="E541" s="2"/>
      <c r="F541" s="57"/>
      <c r="G541" s="63" t="s">
        <v>5121</v>
      </c>
      <c r="H541" s="59" t="s">
        <v>4171</v>
      </c>
    </row>
    <row r="542" spans="1:8" ht="112.5" customHeight="1" x14ac:dyDescent="0.15">
      <c r="A542" s="60">
        <v>1045</v>
      </c>
      <c r="B542" s="30" t="s">
        <v>3801</v>
      </c>
      <c r="C542" s="30" t="s">
        <v>5122</v>
      </c>
      <c r="D542" s="61" t="s">
        <v>5123</v>
      </c>
      <c r="E542" s="2"/>
      <c r="F542" s="57"/>
      <c r="G542" s="64" t="s">
        <v>5124</v>
      </c>
      <c r="H542" s="59">
        <v>999.98099999999999</v>
      </c>
    </row>
    <row r="543" spans="1:8" ht="112.5" customHeight="1" x14ac:dyDescent="0.15">
      <c r="A543" s="60">
        <v>1035</v>
      </c>
      <c r="B543" s="30" t="s">
        <v>3599</v>
      </c>
      <c r="C543" s="30" t="s">
        <v>5125</v>
      </c>
      <c r="D543" s="61" t="s">
        <v>5126</v>
      </c>
      <c r="E543" s="2"/>
      <c r="F543" s="57"/>
      <c r="G543" s="63" t="s">
        <v>5127</v>
      </c>
      <c r="H543" s="59">
        <v>999.99099999999999</v>
      </c>
    </row>
    <row r="544" spans="1:8" ht="112.5" customHeight="1" x14ac:dyDescent="0.15">
      <c r="A544" s="54">
        <v>3506</v>
      </c>
      <c r="B544" s="55" t="s">
        <v>3502</v>
      </c>
      <c r="C544" s="55" t="s">
        <v>5128</v>
      </c>
      <c r="D544" s="56" t="s">
        <v>5129</v>
      </c>
      <c r="E544" s="2"/>
      <c r="F544" s="57"/>
      <c r="G544" s="64" t="s">
        <v>5130</v>
      </c>
      <c r="H544" s="59">
        <v>999.99</v>
      </c>
    </row>
    <row r="545" spans="1:8" ht="112.5" customHeight="1" x14ac:dyDescent="0.15">
      <c r="A545" s="54">
        <v>1022</v>
      </c>
      <c r="B545" s="55" t="s">
        <v>3630</v>
      </c>
      <c r="C545" s="55" t="s">
        <v>5131</v>
      </c>
      <c r="D545" s="56" t="s">
        <v>5132</v>
      </c>
      <c r="E545" s="2"/>
      <c r="F545" s="57"/>
      <c r="G545" s="63" t="s">
        <v>5133</v>
      </c>
      <c r="H545" s="59" t="s">
        <v>4171</v>
      </c>
    </row>
    <row r="546" spans="1:8" ht="112.5" customHeight="1" x14ac:dyDescent="0.15">
      <c r="A546" s="60">
        <v>1021</v>
      </c>
      <c r="B546" s="30" t="s">
        <v>3630</v>
      </c>
      <c r="C546" s="30" t="s">
        <v>5134</v>
      </c>
      <c r="D546" s="61" t="s">
        <v>5135</v>
      </c>
      <c r="E546" s="2"/>
      <c r="F546" s="57"/>
      <c r="G546" s="64" t="s">
        <v>5136</v>
      </c>
      <c r="H546" s="59">
        <v>999.66700000000003</v>
      </c>
    </row>
    <row r="547" spans="1:8" ht="112.5" customHeight="1" x14ac:dyDescent="0.15">
      <c r="A547" s="54">
        <v>1042</v>
      </c>
      <c r="B547" s="55" t="s">
        <v>3599</v>
      </c>
      <c r="C547" s="55" t="s">
        <v>5137</v>
      </c>
      <c r="D547" s="56" t="s">
        <v>5138</v>
      </c>
      <c r="E547" s="2"/>
      <c r="F547" s="57"/>
      <c r="G547" s="63" t="s">
        <v>5139</v>
      </c>
      <c r="H547" s="59">
        <v>999.92399999999998</v>
      </c>
    </row>
    <row r="548" spans="1:8" ht="112.5" customHeight="1" x14ac:dyDescent="0.15">
      <c r="A548" s="60">
        <v>3193</v>
      </c>
      <c r="B548" s="30" t="s">
        <v>3502</v>
      </c>
      <c r="C548" s="30" t="s">
        <v>5140</v>
      </c>
      <c r="D548" s="61" t="s">
        <v>5141</v>
      </c>
      <c r="E548" s="2"/>
      <c r="F548" s="57"/>
      <c r="G548" s="64" t="s">
        <v>5142</v>
      </c>
      <c r="H548" s="59">
        <v>999.98199999999997</v>
      </c>
    </row>
    <row r="549" spans="1:8" ht="112.5" customHeight="1" x14ac:dyDescent="0.15">
      <c r="A549" s="60">
        <v>1041</v>
      </c>
      <c r="B549" s="30" t="s">
        <v>3670</v>
      </c>
      <c r="C549" s="30" t="s">
        <v>5143</v>
      </c>
      <c r="D549" s="61" t="s">
        <v>5144</v>
      </c>
      <c r="E549" s="2"/>
      <c r="F549" s="57"/>
      <c r="G549" s="63" t="s">
        <v>5145</v>
      </c>
      <c r="H549" s="59">
        <v>999.99800000000005</v>
      </c>
    </row>
    <row r="550" spans="1:8" ht="112.5" customHeight="1" x14ac:dyDescent="0.15">
      <c r="A550" s="54">
        <v>1040</v>
      </c>
      <c r="B550" s="55" t="s">
        <v>3670</v>
      </c>
      <c r="C550" s="55" t="s">
        <v>5146</v>
      </c>
      <c r="D550" s="56" t="s">
        <v>5147</v>
      </c>
      <c r="E550" s="2"/>
      <c r="F550" s="57"/>
      <c r="G550" s="64" t="s">
        <v>5148</v>
      </c>
      <c r="H550" s="59">
        <v>0</v>
      </c>
    </row>
    <row r="551" spans="1:8" ht="112.5" customHeight="1" x14ac:dyDescent="0.15">
      <c r="A551" s="54">
        <v>1038</v>
      </c>
      <c r="B551" s="55" t="s">
        <v>3814</v>
      </c>
      <c r="C551" s="55" t="s">
        <v>5149</v>
      </c>
      <c r="D551" s="56" t="s">
        <v>5150</v>
      </c>
      <c r="E551" s="2"/>
      <c r="F551" s="57"/>
      <c r="G551" s="63" t="s">
        <v>5151</v>
      </c>
      <c r="H551" s="59">
        <v>0</v>
      </c>
    </row>
    <row r="552" spans="1:8" ht="112.5" customHeight="1" x14ac:dyDescent="0.15">
      <c r="A552" s="60">
        <v>1039</v>
      </c>
      <c r="B552" s="30" t="s">
        <v>3814</v>
      </c>
      <c r="C552" s="30" t="s">
        <v>5152</v>
      </c>
      <c r="D552" s="61" t="s">
        <v>5153</v>
      </c>
      <c r="E552" s="2"/>
      <c r="F552" s="57"/>
      <c r="G552" s="64" t="s">
        <v>5154</v>
      </c>
      <c r="H552" s="59">
        <v>0</v>
      </c>
    </row>
    <row r="553" spans="1:8" ht="112.5" customHeight="1" x14ac:dyDescent="0.15">
      <c r="A553" s="60">
        <v>1037</v>
      </c>
      <c r="B553" s="30" t="s">
        <v>3814</v>
      </c>
      <c r="C553" s="30" t="s">
        <v>5155</v>
      </c>
      <c r="D553" s="61" t="s">
        <v>5156</v>
      </c>
      <c r="E553" s="2"/>
      <c r="F553" s="57"/>
      <c r="G553" s="63" t="s">
        <v>5157</v>
      </c>
      <c r="H553" s="59">
        <v>999.99800000000005</v>
      </c>
    </row>
    <row r="554" spans="1:8" ht="112.5" customHeight="1" x14ac:dyDescent="0.15">
      <c r="A554" s="54">
        <v>1036</v>
      </c>
      <c r="B554" s="55" t="s">
        <v>3814</v>
      </c>
      <c r="C554" s="55" t="s">
        <v>5158</v>
      </c>
      <c r="D554" s="56" t="s">
        <v>5159</v>
      </c>
      <c r="E554" s="2"/>
      <c r="F554" s="57"/>
      <c r="G554" s="64" t="s">
        <v>5160</v>
      </c>
      <c r="H554" s="59">
        <v>999.97699999999998</v>
      </c>
    </row>
    <row r="555" spans="1:8" ht="112.5" customHeight="1" x14ac:dyDescent="0.15">
      <c r="A555" s="54">
        <v>1034</v>
      </c>
      <c r="B555" s="55" t="s">
        <v>4334</v>
      </c>
      <c r="C555" s="55" t="s">
        <v>5161</v>
      </c>
      <c r="D555" s="56" t="s">
        <v>5162</v>
      </c>
      <c r="E555" s="2"/>
      <c r="F555" s="57"/>
      <c r="G555" s="63" t="s">
        <v>5163</v>
      </c>
      <c r="H555" s="59">
        <v>1</v>
      </c>
    </row>
    <row r="556" spans="1:8" ht="112.5" customHeight="1" x14ac:dyDescent="0.15">
      <c r="A556" s="60">
        <v>1033</v>
      </c>
      <c r="B556" s="30" t="s">
        <v>4334</v>
      </c>
      <c r="C556" s="30" t="s">
        <v>5164</v>
      </c>
      <c r="D556" s="61" t="s">
        <v>5165</v>
      </c>
      <c r="E556" s="2"/>
      <c r="F556" s="57"/>
      <c r="G556" s="64" t="s">
        <v>5166</v>
      </c>
      <c r="H556" s="59">
        <v>0</v>
      </c>
    </row>
    <row r="557" spans="1:8" ht="112.5" customHeight="1" x14ac:dyDescent="0.15">
      <c r="A557" s="54">
        <v>1032</v>
      </c>
      <c r="B557" s="55" t="s">
        <v>4334</v>
      </c>
      <c r="C557" s="55" t="s">
        <v>5167</v>
      </c>
      <c r="D557" s="56" t="s">
        <v>5168</v>
      </c>
      <c r="E557" s="2"/>
      <c r="F557" s="57"/>
      <c r="G557" s="63" t="s">
        <v>5169</v>
      </c>
      <c r="H557" s="59" t="s">
        <v>4171</v>
      </c>
    </row>
    <row r="558" spans="1:8" ht="112.5" customHeight="1" x14ac:dyDescent="0.15">
      <c r="A558" s="60">
        <v>1031</v>
      </c>
      <c r="B558" s="30" t="s">
        <v>4334</v>
      </c>
      <c r="C558" s="30" t="s">
        <v>5170</v>
      </c>
      <c r="D558" s="61" t="s">
        <v>5171</v>
      </c>
      <c r="E558" s="2"/>
      <c r="F558" s="57"/>
      <c r="G558" s="64" t="s">
        <v>5172</v>
      </c>
      <c r="H558" s="59">
        <v>999.97400000000005</v>
      </c>
    </row>
    <row r="559" spans="1:8" ht="112.5" customHeight="1" x14ac:dyDescent="0.15">
      <c r="A559" s="54">
        <v>1030</v>
      </c>
      <c r="B559" s="55" t="s">
        <v>4334</v>
      </c>
      <c r="C559" s="55" t="s">
        <v>5173</v>
      </c>
      <c r="D559" s="56" t="s">
        <v>5174</v>
      </c>
      <c r="E559" s="2"/>
      <c r="F559" s="57"/>
      <c r="G559" s="63" t="s">
        <v>5175</v>
      </c>
      <c r="H559" s="59">
        <v>999.99900000000002</v>
      </c>
    </row>
    <row r="560" spans="1:8" ht="112.5" customHeight="1" x14ac:dyDescent="0.15">
      <c r="A560" s="60">
        <v>1029</v>
      </c>
      <c r="B560" s="30" t="s">
        <v>4334</v>
      </c>
      <c r="C560" s="30" t="s">
        <v>5176</v>
      </c>
      <c r="D560" s="61" t="s">
        <v>5177</v>
      </c>
      <c r="E560" s="2"/>
      <c r="F560" s="57"/>
      <c r="G560" s="64" t="s">
        <v>5178</v>
      </c>
      <c r="H560" s="59">
        <v>999.99300000000005</v>
      </c>
    </row>
    <row r="561" spans="1:13" ht="112.5" customHeight="1" x14ac:dyDescent="0.15">
      <c r="A561" s="54">
        <v>1028</v>
      </c>
      <c r="B561" s="55" t="s">
        <v>4334</v>
      </c>
      <c r="C561" s="55" t="s">
        <v>5179</v>
      </c>
      <c r="D561" s="56" t="s">
        <v>5180</v>
      </c>
      <c r="E561" s="2"/>
      <c r="F561" s="57"/>
      <c r="G561" s="63" t="s">
        <v>5181</v>
      </c>
      <c r="H561" s="59">
        <v>999.971</v>
      </c>
    </row>
    <row r="562" spans="1:13" ht="112.5" customHeight="1" x14ac:dyDescent="0.15">
      <c r="A562" s="60">
        <v>1027</v>
      </c>
      <c r="B562" s="30" t="s">
        <v>4334</v>
      </c>
      <c r="C562" s="30" t="s">
        <v>5182</v>
      </c>
      <c r="D562" s="61" t="s">
        <v>5183</v>
      </c>
      <c r="E562" s="2"/>
      <c r="F562" s="57"/>
      <c r="G562" s="64" t="s">
        <v>5184</v>
      </c>
      <c r="H562" s="59">
        <v>0</v>
      </c>
    </row>
    <row r="563" spans="1:13" ht="112.5" customHeight="1" x14ac:dyDescent="0.15">
      <c r="A563" s="54">
        <v>1026</v>
      </c>
      <c r="B563" s="55" t="s">
        <v>4334</v>
      </c>
      <c r="C563" s="55" t="s">
        <v>5185</v>
      </c>
      <c r="D563" s="56" t="s">
        <v>5186</v>
      </c>
      <c r="E563" s="2"/>
      <c r="F563" s="57"/>
      <c r="G563" s="63" t="s">
        <v>5187</v>
      </c>
      <c r="H563" s="59">
        <v>999.96799999999996</v>
      </c>
    </row>
    <row r="564" spans="1:13" ht="112.5" customHeight="1" x14ac:dyDescent="0.15">
      <c r="A564" s="60">
        <v>1025</v>
      </c>
      <c r="B564" s="30" t="s">
        <v>4334</v>
      </c>
      <c r="C564" s="30" t="s">
        <v>5188</v>
      </c>
      <c r="D564" s="61" t="s">
        <v>5189</v>
      </c>
      <c r="E564" s="2"/>
      <c r="F564" s="57"/>
      <c r="G564" s="64" t="s">
        <v>5190</v>
      </c>
      <c r="H564" s="59">
        <v>999.96699999999998</v>
      </c>
    </row>
    <row r="565" spans="1:13" ht="112.5" customHeight="1" x14ac:dyDescent="0.15">
      <c r="A565" s="54">
        <v>1024</v>
      </c>
      <c r="B565" s="55" t="s">
        <v>4334</v>
      </c>
      <c r="C565" s="55" t="s">
        <v>5191</v>
      </c>
      <c r="D565" s="56" t="s">
        <v>5192</v>
      </c>
      <c r="E565" s="2"/>
      <c r="F565" s="57"/>
      <c r="G565" s="63" t="s">
        <v>5193</v>
      </c>
      <c r="H565" s="59">
        <v>999.79100000000005</v>
      </c>
    </row>
    <row r="566" spans="1:13" ht="112.5" customHeight="1" x14ac:dyDescent="0.15">
      <c r="A566" s="60">
        <v>1023</v>
      </c>
      <c r="B566" s="30" t="s">
        <v>4334</v>
      </c>
      <c r="C566" s="30" t="s">
        <v>5194</v>
      </c>
      <c r="D566" s="61" t="s">
        <v>5195</v>
      </c>
      <c r="E566" s="2"/>
      <c r="F566" s="57"/>
      <c r="G566" s="64" t="s">
        <v>5196</v>
      </c>
      <c r="H566" s="59">
        <v>999.99900000000002</v>
      </c>
    </row>
    <row r="567" spans="1:13" ht="112.5" customHeight="1" x14ac:dyDescent="0.15">
      <c r="A567" s="54">
        <v>3112</v>
      </c>
      <c r="B567" s="55" t="s">
        <v>3749</v>
      </c>
      <c r="C567" s="55" t="s">
        <v>5197</v>
      </c>
      <c r="D567" s="56" t="s">
        <v>5198</v>
      </c>
      <c r="E567" s="2"/>
      <c r="F567" s="57"/>
      <c r="G567" s="63" t="s">
        <v>5199</v>
      </c>
      <c r="H567" s="59">
        <v>999.97900000000004</v>
      </c>
    </row>
    <row r="568" spans="1:13" ht="112.5" customHeight="1" x14ac:dyDescent="0.15">
      <c r="A568" s="54">
        <v>3390</v>
      </c>
      <c r="B568" s="55" t="s">
        <v>3492</v>
      </c>
      <c r="C568" s="55" t="s">
        <v>5200</v>
      </c>
      <c r="D568" s="56" t="s">
        <v>5201</v>
      </c>
      <c r="E568" s="2"/>
      <c r="F568" s="57"/>
      <c r="G568" s="58" t="s">
        <v>5202</v>
      </c>
      <c r="H568" s="59">
        <v>99.965000000000003</v>
      </c>
      <c r="I568" s="29"/>
      <c r="J568" s="29"/>
      <c r="K568" s="29"/>
      <c r="L568" s="29"/>
      <c r="M568" s="29"/>
    </row>
    <row r="569" spans="1:13" ht="112.5" customHeight="1" x14ac:dyDescent="0.15">
      <c r="A569" s="54">
        <v>3128</v>
      </c>
      <c r="B569" s="55" t="s">
        <v>3818</v>
      </c>
      <c r="C569" s="55" t="s">
        <v>5203</v>
      </c>
      <c r="D569" s="56" t="s">
        <v>5204</v>
      </c>
      <c r="E569" s="2"/>
      <c r="F569" s="57"/>
      <c r="G569" s="63" t="s">
        <v>5205</v>
      </c>
      <c r="H569" s="59">
        <v>999.99199999999996</v>
      </c>
    </row>
    <row r="570" spans="1:13" ht="112.5" customHeight="1" x14ac:dyDescent="0.15">
      <c r="A570" s="60">
        <v>3131</v>
      </c>
      <c r="B570" s="30" t="s">
        <v>3818</v>
      </c>
      <c r="C570" s="30" t="s">
        <v>5206</v>
      </c>
      <c r="D570" s="61" t="s">
        <v>5207</v>
      </c>
      <c r="E570" s="2"/>
      <c r="F570" s="57"/>
      <c r="G570" s="64" t="s">
        <v>5208</v>
      </c>
      <c r="H570" s="59" t="s">
        <v>4171</v>
      </c>
    </row>
    <row r="571" spans="1:13" ht="112.5" customHeight="1" x14ac:dyDescent="0.15">
      <c r="A571" s="60">
        <v>3127</v>
      </c>
      <c r="B571" s="30" t="s">
        <v>3818</v>
      </c>
      <c r="C571" s="30" t="s">
        <v>5209</v>
      </c>
      <c r="D571" s="61" t="s">
        <v>5210</v>
      </c>
      <c r="E571" s="2"/>
      <c r="F571" s="57"/>
      <c r="G571" s="63" t="s">
        <v>5211</v>
      </c>
      <c r="H571" s="59">
        <v>999.97799999999995</v>
      </c>
    </row>
    <row r="572" spans="1:13" ht="112.5" customHeight="1" x14ac:dyDescent="0.15">
      <c r="A572" s="54">
        <v>3130</v>
      </c>
      <c r="B572" s="55" t="s">
        <v>3818</v>
      </c>
      <c r="C572" s="55" t="s">
        <v>5212</v>
      </c>
      <c r="D572" s="56" t="s">
        <v>5213</v>
      </c>
      <c r="E572" s="2"/>
      <c r="F572" s="57"/>
      <c r="G572" s="64" t="s">
        <v>5214</v>
      </c>
      <c r="H572" s="59">
        <v>0</v>
      </c>
    </row>
    <row r="573" spans="1:13" ht="112.5" customHeight="1" x14ac:dyDescent="0.15">
      <c r="A573" s="60">
        <v>3125</v>
      </c>
      <c r="B573" s="30" t="s">
        <v>3818</v>
      </c>
      <c r="C573" s="30" t="s">
        <v>5215</v>
      </c>
      <c r="D573" s="61" t="s">
        <v>5216</v>
      </c>
      <c r="E573" s="2"/>
      <c r="F573" s="57"/>
      <c r="G573" s="63" t="s">
        <v>5217</v>
      </c>
      <c r="H573" s="59">
        <v>999.99900000000002</v>
      </c>
    </row>
    <row r="574" spans="1:13" ht="112.5" customHeight="1" x14ac:dyDescent="0.15">
      <c r="A574" s="60">
        <v>3129</v>
      </c>
      <c r="B574" s="30" t="s">
        <v>3818</v>
      </c>
      <c r="C574" s="30" t="s">
        <v>5218</v>
      </c>
      <c r="D574" s="61" t="s">
        <v>5219</v>
      </c>
      <c r="E574" s="2"/>
      <c r="F574" s="57"/>
      <c r="G574" s="64" t="s">
        <v>5220</v>
      </c>
      <c r="H574" s="59" t="s">
        <v>4171</v>
      </c>
    </row>
    <row r="575" spans="1:13" ht="112.5" customHeight="1" x14ac:dyDescent="0.15">
      <c r="A575" s="54">
        <v>1020</v>
      </c>
      <c r="B575" s="55" t="s">
        <v>3822</v>
      </c>
      <c r="C575" s="55" t="s">
        <v>5221</v>
      </c>
      <c r="D575" s="56" t="s">
        <v>5222</v>
      </c>
      <c r="E575" s="2"/>
      <c r="F575" s="57"/>
      <c r="G575" s="63" t="s">
        <v>5223</v>
      </c>
      <c r="H575" s="59">
        <v>999.99599999999998</v>
      </c>
    </row>
    <row r="576" spans="1:13" ht="112.5" customHeight="1" x14ac:dyDescent="0.15">
      <c r="A576" s="60">
        <v>1019</v>
      </c>
      <c r="B576" s="30" t="s">
        <v>3876</v>
      </c>
      <c r="C576" s="30" t="s">
        <v>5224</v>
      </c>
      <c r="D576" s="61" t="s">
        <v>5225</v>
      </c>
      <c r="E576" s="2"/>
      <c r="F576" s="57"/>
      <c r="G576" s="64" t="s">
        <v>5226</v>
      </c>
      <c r="H576" s="59">
        <v>999.976</v>
      </c>
    </row>
    <row r="577" spans="1:8" ht="112.5" customHeight="1" x14ac:dyDescent="0.15">
      <c r="A577" s="60">
        <v>3119</v>
      </c>
      <c r="B577" s="30" t="s">
        <v>3496</v>
      </c>
      <c r="C577" s="30" t="s">
        <v>5227</v>
      </c>
      <c r="D577" s="61" t="s">
        <v>5228</v>
      </c>
      <c r="E577" s="2"/>
      <c r="F577" s="57"/>
      <c r="G577" s="63" t="s">
        <v>5229</v>
      </c>
      <c r="H577" s="59">
        <v>999.99900000000002</v>
      </c>
    </row>
    <row r="578" spans="1:8" ht="112.5" customHeight="1" x14ac:dyDescent="0.15">
      <c r="A578" s="54">
        <v>1018</v>
      </c>
      <c r="B578" s="55" t="s">
        <v>3670</v>
      </c>
      <c r="C578" s="55" t="s">
        <v>5230</v>
      </c>
      <c r="D578" s="56" t="s">
        <v>5231</v>
      </c>
      <c r="E578" s="2"/>
      <c r="F578" s="57"/>
      <c r="G578" s="64" t="s">
        <v>5232</v>
      </c>
      <c r="H578" s="59">
        <v>999.99</v>
      </c>
    </row>
    <row r="579" spans="1:8" ht="112.5" customHeight="1" x14ac:dyDescent="0.15">
      <c r="A579" s="60">
        <v>1017</v>
      </c>
      <c r="B579" s="30" t="s">
        <v>3670</v>
      </c>
      <c r="C579" s="30" t="s">
        <v>5233</v>
      </c>
      <c r="D579" s="61" t="s">
        <v>5234</v>
      </c>
      <c r="E579" s="2"/>
      <c r="F579" s="57"/>
      <c r="G579" s="63" t="s">
        <v>5235</v>
      </c>
      <c r="H579" s="59">
        <v>999.995</v>
      </c>
    </row>
    <row r="580" spans="1:8" ht="112.5" customHeight="1" x14ac:dyDescent="0.15">
      <c r="A580" s="54">
        <v>3396</v>
      </c>
      <c r="B580" s="55" t="s">
        <v>3502</v>
      </c>
      <c r="C580" s="55" t="s">
        <v>5236</v>
      </c>
      <c r="D580" s="56" t="s">
        <v>5237</v>
      </c>
      <c r="E580" s="2"/>
      <c r="F580" s="57"/>
      <c r="G580" s="64" t="s">
        <v>5238</v>
      </c>
      <c r="H580" s="59">
        <v>999.97699999999998</v>
      </c>
    </row>
    <row r="581" spans="1:8" ht="112.5" customHeight="1" x14ac:dyDescent="0.15">
      <c r="A581" s="54">
        <v>1016</v>
      </c>
      <c r="B581" s="55" t="s">
        <v>3556</v>
      </c>
      <c r="C581" s="55" t="s">
        <v>5239</v>
      </c>
      <c r="D581" s="56" t="s">
        <v>5240</v>
      </c>
      <c r="E581" s="2"/>
      <c r="F581" s="57"/>
      <c r="G581" s="63" t="s">
        <v>5241</v>
      </c>
      <c r="H581" s="59" t="s">
        <v>4171</v>
      </c>
    </row>
    <row r="582" spans="1:8" ht="112.5" customHeight="1" x14ac:dyDescent="0.15">
      <c r="A582" s="60">
        <v>1015</v>
      </c>
      <c r="B582" s="30" t="s">
        <v>3513</v>
      </c>
      <c r="C582" s="30" t="s">
        <v>5242</v>
      </c>
      <c r="D582" s="61" t="s">
        <v>5243</v>
      </c>
      <c r="E582" s="2"/>
      <c r="F582" s="57"/>
      <c r="G582" s="64" t="s">
        <v>5244</v>
      </c>
      <c r="H582" s="59">
        <v>999.99800000000005</v>
      </c>
    </row>
    <row r="583" spans="1:8" ht="112.5" customHeight="1" x14ac:dyDescent="0.15">
      <c r="A583" s="54">
        <v>1014</v>
      </c>
      <c r="B583" s="55" t="s">
        <v>3513</v>
      </c>
      <c r="C583" s="55" t="s">
        <v>5245</v>
      </c>
      <c r="D583" s="56" t="s">
        <v>5246</v>
      </c>
      <c r="E583" s="2"/>
      <c r="F583" s="57"/>
      <c r="G583" s="63" t="s">
        <v>5247</v>
      </c>
      <c r="H583" s="59">
        <v>999.95100000000002</v>
      </c>
    </row>
    <row r="584" spans="1:8" ht="112.5" customHeight="1" x14ac:dyDescent="0.15">
      <c r="A584" s="54">
        <v>3116</v>
      </c>
      <c r="B584" s="55" t="s">
        <v>3502</v>
      </c>
      <c r="C584" s="55" t="s">
        <v>5248</v>
      </c>
      <c r="D584" s="56" t="s">
        <v>5249</v>
      </c>
      <c r="E584" s="2"/>
      <c r="F584" s="57"/>
      <c r="G584" s="64" t="s">
        <v>5250</v>
      </c>
      <c r="H584" s="59">
        <v>999.99900000000002</v>
      </c>
    </row>
    <row r="585" spans="1:8" ht="112.5" customHeight="1" x14ac:dyDescent="0.15">
      <c r="A585" s="60">
        <v>891</v>
      </c>
      <c r="B585" s="30" t="s">
        <v>3599</v>
      </c>
      <c r="C585" s="30" t="s">
        <v>5251</v>
      </c>
      <c r="D585" s="61" t="s">
        <v>5252</v>
      </c>
      <c r="E585" s="2"/>
      <c r="F585" s="57"/>
      <c r="G585" s="63" t="s">
        <v>5253</v>
      </c>
      <c r="H585" s="59">
        <v>999.99099999999999</v>
      </c>
    </row>
    <row r="586" spans="1:8" ht="112.5" customHeight="1" x14ac:dyDescent="0.15">
      <c r="A586" s="60">
        <v>849</v>
      </c>
      <c r="B586" s="30" t="s">
        <v>3509</v>
      </c>
      <c r="C586" s="30" t="s">
        <v>5254</v>
      </c>
      <c r="D586" s="61" t="s">
        <v>5255</v>
      </c>
      <c r="E586" s="2"/>
      <c r="F586" s="57"/>
      <c r="G586" s="64" t="s">
        <v>5256</v>
      </c>
      <c r="H586" s="59" t="s">
        <v>4171</v>
      </c>
    </row>
    <row r="587" spans="1:8" ht="112.5" customHeight="1" x14ac:dyDescent="0.15">
      <c r="A587" s="54">
        <v>890</v>
      </c>
      <c r="B587" s="55" t="s">
        <v>3822</v>
      </c>
      <c r="C587" s="55" t="s">
        <v>5257</v>
      </c>
      <c r="D587" s="56" t="s">
        <v>5258</v>
      </c>
      <c r="E587" s="2"/>
      <c r="F587" s="57"/>
      <c r="G587" s="63" t="s">
        <v>5259</v>
      </c>
      <c r="H587" s="59">
        <v>999.98699999999997</v>
      </c>
    </row>
    <row r="588" spans="1:8" ht="112.5" customHeight="1" x14ac:dyDescent="0.15">
      <c r="A588" s="60">
        <v>889</v>
      </c>
      <c r="B588" s="30" t="s">
        <v>3822</v>
      </c>
      <c r="C588" s="30" t="s">
        <v>5260</v>
      </c>
      <c r="D588" s="61" t="s">
        <v>5261</v>
      </c>
      <c r="E588" s="2"/>
      <c r="F588" s="57"/>
      <c r="G588" s="64" t="s">
        <v>5262</v>
      </c>
      <c r="H588" s="59">
        <v>999.99599999999998</v>
      </c>
    </row>
    <row r="589" spans="1:8" ht="112.5" customHeight="1" x14ac:dyDescent="0.15">
      <c r="A589" s="54">
        <v>888</v>
      </c>
      <c r="B589" s="55" t="s">
        <v>3822</v>
      </c>
      <c r="C589" s="55" t="s">
        <v>5263</v>
      </c>
      <c r="D589" s="56" t="s">
        <v>5264</v>
      </c>
      <c r="E589" s="2"/>
      <c r="F589" s="57"/>
      <c r="G589" s="63" t="s">
        <v>5265</v>
      </c>
      <c r="H589" s="59">
        <v>999.95</v>
      </c>
    </row>
    <row r="590" spans="1:8" ht="112.5" customHeight="1" x14ac:dyDescent="0.15">
      <c r="A590" s="60">
        <v>887</v>
      </c>
      <c r="B590" s="30" t="s">
        <v>3822</v>
      </c>
      <c r="C590" s="30" t="s">
        <v>5266</v>
      </c>
      <c r="D590" s="61" t="s">
        <v>5267</v>
      </c>
      <c r="E590" s="2"/>
      <c r="F590" s="57"/>
      <c r="G590" s="64" t="s">
        <v>5268</v>
      </c>
      <c r="H590" s="59">
        <v>999.99900000000002</v>
      </c>
    </row>
    <row r="591" spans="1:8" ht="112.5" customHeight="1" x14ac:dyDescent="0.15">
      <c r="A591" s="54">
        <v>886</v>
      </c>
      <c r="B591" s="55" t="s">
        <v>3492</v>
      </c>
      <c r="C591" s="55" t="s">
        <v>5269</v>
      </c>
      <c r="D591" s="56" t="s">
        <v>5270</v>
      </c>
      <c r="E591" s="2"/>
      <c r="F591" s="57"/>
      <c r="G591" s="63" t="s">
        <v>5271</v>
      </c>
      <c r="H591" s="59">
        <v>999.99599999999998</v>
      </c>
    </row>
    <row r="592" spans="1:8" ht="112.5" customHeight="1" x14ac:dyDescent="0.15">
      <c r="A592" s="60">
        <v>885</v>
      </c>
      <c r="B592" s="30" t="s">
        <v>3822</v>
      </c>
      <c r="C592" s="30" t="s">
        <v>5272</v>
      </c>
      <c r="D592" s="61" t="s">
        <v>5273</v>
      </c>
      <c r="E592" s="2"/>
      <c r="F592" s="57"/>
      <c r="G592" s="64" t="s">
        <v>5274</v>
      </c>
      <c r="H592" s="59">
        <v>999.995</v>
      </c>
    </row>
    <row r="593" spans="1:8" ht="112.5" customHeight="1" x14ac:dyDescent="0.15">
      <c r="A593" s="54">
        <v>884</v>
      </c>
      <c r="B593" s="55" t="s">
        <v>3526</v>
      </c>
      <c r="C593" s="55" t="s">
        <v>5275</v>
      </c>
      <c r="D593" s="56" t="s">
        <v>5276</v>
      </c>
      <c r="E593" s="2"/>
      <c r="F593" s="57"/>
      <c r="G593" s="63" t="s">
        <v>5277</v>
      </c>
      <c r="H593" s="59">
        <v>0</v>
      </c>
    </row>
    <row r="594" spans="1:8" ht="112.5" customHeight="1" x14ac:dyDescent="0.15">
      <c r="A594" s="60">
        <v>883</v>
      </c>
      <c r="B594" s="30" t="s">
        <v>3630</v>
      </c>
      <c r="C594" s="30" t="s">
        <v>5278</v>
      </c>
      <c r="D594" s="61" t="s">
        <v>5279</v>
      </c>
      <c r="E594" s="2"/>
      <c r="F594" s="57"/>
      <c r="G594" s="64" t="s">
        <v>5280</v>
      </c>
      <c r="H594" s="59">
        <v>0</v>
      </c>
    </row>
    <row r="595" spans="1:8" ht="112.5" customHeight="1" x14ac:dyDescent="0.15">
      <c r="A595" s="54">
        <v>882</v>
      </c>
      <c r="B595" s="55" t="s">
        <v>3630</v>
      </c>
      <c r="C595" s="55" t="s">
        <v>5281</v>
      </c>
      <c r="D595" s="56" t="s">
        <v>5282</v>
      </c>
      <c r="E595" s="2"/>
      <c r="F595" s="57"/>
      <c r="G595" s="63" t="s">
        <v>5283</v>
      </c>
      <c r="H595" s="59">
        <v>1</v>
      </c>
    </row>
    <row r="596" spans="1:8" ht="112.5" customHeight="1" x14ac:dyDescent="0.15">
      <c r="A596" s="60">
        <v>881</v>
      </c>
      <c r="B596" s="30" t="s">
        <v>3549</v>
      </c>
      <c r="C596" s="30" t="s">
        <v>5284</v>
      </c>
      <c r="D596" s="61" t="s">
        <v>5285</v>
      </c>
      <c r="E596" s="2"/>
      <c r="F596" s="57"/>
      <c r="G596" s="64" t="s">
        <v>5286</v>
      </c>
      <c r="H596" s="59">
        <v>1</v>
      </c>
    </row>
    <row r="597" spans="1:8" ht="112.5" customHeight="1" x14ac:dyDescent="0.15">
      <c r="A597" s="54">
        <v>880</v>
      </c>
      <c r="B597" s="55" t="s">
        <v>3801</v>
      </c>
      <c r="C597" s="55" t="s">
        <v>5287</v>
      </c>
      <c r="D597" s="56" t="s">
        <v>5288</v>
      </c>
      <c r="E597" s="2"/>
      <c r="F597" s="57"/>
      <c r="G597" s="63" t="s">
        <v>5289</v>
      </c>
      <c r="H597" s="59">
        <v>997</v>
      </c>
    </row>
    <row r="598" spans="1:8" ht="112.5" customHeight="1" x14ac:dyDescent="0.15">
      <c r="A598" s="60">
        <v>879</v>
      </c>
      <c r="B598" s="30" t="s">
        <v>3526</v>
      </c>
      <c r="C598" s="30" t="s">
        <v>5290</v>
      </c>
      <c r="D598" s="61" t="s">
        <v>5291</v>
      </c>
      <c r="E598" s="2"/>
      <c r="F598" s="57"/>
      <c r="G598" s="64" t="s">
        <v>5292</v>
      </c>
      <c r="H598" s="59">
        <v>985</v>
      </c>
    </row>
    <row r="599" spans="1:8" ht="112.5" customHeight="1" x14ac:dyDescent="0.15">
      <c r="A599" s="54">
        <v>878</v>
      </c>
      <c r="B599" s="55" t="s">
        <v>3502</v>
      </c>
      <c r="C599" s="55" t="s">
        <v>5293</v>
      </c>
      <c r="D599" s="56" t="s">
        <v>5294</v>
      </c>
      <c r="E599" s="2"/>
      <c r="F599" s="57"/>
      <c r="G599" s="63" t="s">
        <v>4634</v>
      </c>
      <c r="H599" s="59">
        <v>978</v>
      </c>
    </row>
    <row r="600" spans="1:8" ht="112.5" customHeight="1" x14ac:dyDescent="0.15">
      <c r="A600" s="60">
        <v>877</v>
      </c>
      <c r="B600" s="30" t="s">
        <v>3670</v>
      </c>
      <c r="C600" s="30" t="s">
        <v>5295</v>
      </c>
      <c r="D600" s="61" t="s">
        <v>5296</v>
      </c>
      <c r="E600" s="2"/>
      <c r="F600" s="57"/>
      <c r="G600" s="64" t="s">
        <v>5297</v>
      </c>
      <c r="H600" s="59">
        <v>996</v>
      </c>
    </row>
    <row r="601" spans="1:8" ht="112.5" customHeight="1" x14ac:dyDescent="0.15">
      <c r="A601" s="54">
        <v>876</v>
      </c>
      <c r="B601" s="55" t="s">
        <v>3526</v>
      </c>
      <c r="C601" s="55" t="s">
        <v>5298</v>
      </c>
      <c r="D601" s="56" t="s">
        <v>5299</v>
      </c>
      <c r="E601" s="2"/>
      <c r="F601" s="57"/>
      <c r="G601" s="63" t="s">
        <v>5300</v>
      </c>
      <c r="H601" s="59">
        <v>998</v>
      </c>
    </row>
    <row r="602" spans="1:8" ht="112.5" customHeight="1" x14ac:dyDescent="0.15">
      <c r="A602" s="60">
        <v>875</v>
      </c>
      <c r="B602" s="30" t="s">
        <v>3502</v>
      </c>
      <c r="C602" s="30" t="s">
        <v>5301</v>
      </c>
      <c r="D602" s="61" t="s">
        <v>5302</v>
      </c>
      <c r="E602" s="2"/>
      <c r="F602" s="57"/>
      <c r="G602" s="64" t="s">
        <v>5303</v>
      </c>
      <c r="H602" s="59">
        <v>998</v>
      </c>
    </row>
    <row r="603" spans="1:8" ht="112.5" customHeight="1" x14ac:dyDescent="0.15">
      <c r="A603" s="54">
        <v>874</v>
      </c>
      <c r="B603" s="55" t="s">
        <v>3526</v>
      </c>
      <c r="C603" s="55" t="s">
        <v>5304</v>
      </c>
      <c r="D603" s="56" t="s">
        <v>5305</v>
      </c>
      <c r="E603" s="2"/>
      <c r="F603" s="57"/>
      <c r="G603" s="63" t="s">
        <v>5306</v>
      </c>
      <c r="H603" s="59">
        <v>990</v>
      </c>
    </row>
    <row r="604" spans="1:8" ht="112.5" customHeight="1" x14ac:dyDescent="0.15">
      <c r="A604" s="60">
        <v>873</v>
      </c>
      <c r="B604" s="30" t="s">
        <v>3526</v>
      </c>
      <c r="C604" s="30" t="s">
        <v>5307</v>
      </c>
      <c r="D604" s="61" t="s">
        <v>5308</v>
      </c>
      <c r="E604" s="2"/>
      <c r="F604" s="57"/>
      <c r="G604" s="64" t="s">
        <v>5309</v>
      </c>
      <c r="H604" s="59">
        <v>989</v>
      </c>
    </row>
    <row r="605" spans="1:8" ht="112.5" customHeight="1" x14ac:dyDescent="0.15">
      <c r="A605" s="54">
        <v>872</v>
      </c>
      <c r="B605" s="55" t="s">
        <v>3513</v>
      </c>
      <c r="C605" s="55" t="s">
        <v>5310</v>
      </c>
      <c r="D605" s="56" t="s">
        <v>5311</v>
      </c>
      <c r="E605" s="2"/>
      <c r="F605" s="57"/>
      <c r="G605" s="63" t="s">
        <v>5312</v>
      </c>
      <c r="H605" s="59">
        <v>940</v>
      </c>
    </row>
    <row r="606" spans="1:8" ht="112.5" customHeight="1" x14ac:dyDescent="0.15">
      <c r="A606" s="60">
        <v>871</v>
      </c>
      <c r="B606" s="30" t="s">
        <v>3549</v>
      </c>
      <c r="C606" s="30" t="s">
        <v>5313</v>
      </c>
      <c r="D606" s="61" t="s">
        <v>5314</v>
      </c>
      <c r="E606" s="2"/>
      <c r="F606" s="57"/>
      <c r="G606" s="64" t="s">
        <v>5315</v>
      </c>
      <c r="H606" s="59">
        <v>994</v>
      </c>
    </row>
    <row r="607" spans="1:8" ht="112.5" customHeight="1" x14ac:dyDescent="0.15">
      <c r="A607" s="54">
        <v>870</v>
      </c>
      <c r="B607" s="55" t="s">
        <v>3556</v>
      </c>
      <c r="C607" s="55" t="s">
        <v>5316</v>
      </c>
      <c r="D607" s="56" t="s">
        <v>5317</v>
      </c>
      <c r="E607" s="2"/>
      <c r="F607" s="57"/>
      <c r="G607" s="63" t="s">
        <v>5318</v>
      </c>
      <c r="H607" s="59">
        <v>988</v>
      </c>
    </row>
    <row r="608" spans="1:8" ht="112.5" customHeight="1" x14ac:dyDescent="0.15">
      <c r="A608" s="60">
        <v>869</v>
      </c>
      <c r="B608" s="30" t="s">
        <v>3822</v>
      </c>
      <c r="C608" s="30" t="s">
        <v>5319</v>
      </c>
      <c r="D608" s="61" t="s">
        <v>5320</v>
      </c>
      <c r="E608" s="2"/>
      <c r="F608" s="57"/>
      <c r="G608" s="64" t="s">
        <v>5321</v>
      </c>
      <c r="H608" s="59">
        <v>983</v>
      </c>
    </row>
    <row r="609" spans="1:8" ht="112.5" customHeight="1" x14ac:dyDescent="0.15">
      <c r="A609" s="54">
        <v>868</v>
      </c>
      <c r="B609" s="55" t="s">
        <v>3670</v>
      </c>
      <c r="C609" s="55" t="s">
        <v>5322</v>
      </c>
      <c r="D609" s="56" t="s">
        <v>5323</v>
      </c>
      <c r="E609" s="2"/>
      <c r="F609" s="57"/>
      <c r="G609" s="63" t="s">
        <v>5324</v>
      </c>
      <c r="H609" s="59">
        <v>938</v>
      </c>
    </row>
    <row r="610" spans="1:8" ht="112.5" customHeight="1" x14ac:dyDescent="0.15">
      <c r="A610" s="54">
        <v>3194</v>
      </c>
      <c r="B610" s="55" t="s">
        <v>3502</v>
      </c>
      <c r="C610" s="55" t="s">
        <v>5325</v>
      </c>
      <c r="D610" s="56" t="s">
        <v>5326</v>
      </c>
      <c r="E610" s="2"/>
      <c r="F610" s="57"/>
      <c r="G610" s="64" t="s">
        <v>5327</v>
      </c>
      <c r="H610" s="59">
        <v>1</v>
      </c>
    </row>
    <row r="611" spans="1:8" ht="112.5" customHeight="1" x14ac:dyDescent="0.15">
      <c r="A611" s="60">
        <v>3195</v>
      </c>
      <c r="B611" s="30" t="s">
        <v>3502</v>
      </c>
      <c r="C611" s="30" t="s">
        <v>5328</v>
      </c>
      <c r="D611" s="61" t="s">
        <v>5326</v>
      </c>
      <c r="E611" s="2"/>
      <c r="F611" s="57"/>
      <c r="G611" s="63" t="s">
        <v>5329</v>
      </c>
      <c r="H611" s="59">
        <v>999</v>
      </c>
    </row>
    <row r="612" spans="1:8" ht="112.5" customHeight="1" x14ac:dyDescent="0.15">
      <c r="A612" s="60">
        <v>867</v>
      </c>
      <c r="B612" s="30" t="s">
        <v>3502</v>
      </c>
      <c r="C612" s="30" t="s">
        <v>5330</v>
      </c>
      <c r="D612" s="61" t="s">
        <v>5331</v>
      </c>
      <c r="E612" s="2"/>
      <c r="F612" s="57"/>
      <c r="G612" s="64" t="s">
        <v>5332</v>
      </c>
      <c r="H612" s="59">
        <v>1</v>
      </c>
    </row>
    <row r="613" spans="1:8" ht="112.5" customHeight="1" x14ac:dyDescent="0.15">
      <c r="A613" s="54">
        <v>3274</v>
      </c>
      <c r="B613" s="55" t="s">
        <v>3818</v>
      </c>
      <c r="C613" s="55" t="s">
        <v>5333</v>
      </c>
      <c r="D613" s="56" t="s">
        <v>5334</v>
      </c>
      <c r="E613" s="2"/>
      <c r="F613" s="57"/>
      <c r="G613" s="63" t="s">
        <v>5335</v>
      </c>
      <c r="H613" s="59">
        <v>933</v>
      </c>
    </row>
    <row r="614" spans="1:8" ht="112.5" customHeight="1" x14ac:dyDescent="0.15">
      <c r="A614" s="54">
        <v>866</v>
      </c>
      <c r="B614" s="55" t="s">
        <v>3502</v>
      </c>
      <c r="C614" s="55" t="s">
        <v>5336</v>
      </c>
      <c r="D614" s="56" t="s">
        <v>5337</v>
      </c>
      <c r="E614" s="2"/>
      <c r="F614" s="57"/>
      <c r="G614" s="64" t="s">
        <v>5338</v>
      </c>
      <c r="H614" s="59">
        <v>975</v>
      </c>
    </row>
    <row r="615" spans="1:8" ht="112.5" customHeight="1" x14ac:dyDescent="0.15">
      <c r="A615" s="60">
        <v>865</v>
      </c>
      <c r="B615" s="30" t="s">
        <v>3502</v>
      </c>
      <c r="C615" s="30" t="s">
        <v>5339</v>
      </c>
      <c r="D615" s="61" t="s">
        <v>5340</v>
      </c>
      <c r="E615" s="2"/>
      <c r="F615" s="57"/>
      <c r="G615" s="63" t="s">
        <v>5341</v>
      </c>
      <c r="H615" s="59">
        <v>0</v>
      </c>
    </row>
    <row r="616" spans="1:8" ht="112.5" customHeight="1" x14ac:dyDescent="0.15">
      <c r="A616" s="60">
        <v>863</v>
      </c>
      <c r="B616" s="30" t="s">
        <v>3502</v>
      </c>
      <c r="C616" s="30" t="s">
        <v>5342</v>
      </c>
      <c r="D616" s="61" t="s">
        <v>5343</v>
      </c>
      <c r="E616" s="2"/>
      <c r="F616" s="57"/>
      <c r="G616" s="64" t="s">
        <v>5344</v>
      </c>
      <c r="H616" s="59">
        <v>994</v>
      </c>
    </row>
    <row r="617" spans="1:8" ht="112.5" customHeight="1" x14ac:dyDescent="0.15">
      <c r="A617" s="54">
        <v>1300</v>
      </c>
      <c r="B617" s="55" t="s">
        <v>3502</v>
      </c>
      <c r="C617" s="55" t="s">
        <v>5345</v>
      </c>
      <c r="D617" s="56" t="s">
        <v>5346</v>
      </c>
      <c r="E617" s="2"/>
      <c r="F617" s="57"/>
      <c r="G617" s="63" t="s">
        <v>5347</v>
      </c>
      <c r="H617" s="59">
        <v>994</v>
      </c>
    </row>
    <row r="618" spans="1:8" ht="112.5" customHeight="1" x14ac:dyDescent="0.15">
      <c r="A618" s="54">
        <v>864</v>
      </c>
      <c r="B618" s="55" t="s">
        <v>3502</v>
      </c>
      <c r="C618" s="55" t="s">
        <v>5348</v>
      </c>
      <c r="D618" s="56" t="s">
        <v>5349</v>
      </c>
      <c r="E618" s="2"/>
      <c r="F618" s="57"/>
      <c r="G618" s="64" t="s">
        <v>5350</v>
      </c>
      <c r="H618" s="59">
        <v>986</v>
      </c>
    </row>
    <row r="619" spans="1:8" ht="112.5" customHeight="1" x14ac:dyDescent="0.15">
      <c r="A619" s="54">
        <v>862</v>
      </c>
      <c r="B619" s="55" t="s">
        <v>3502</v>
      </c>
      <c r="C619" s="55" t="s">
        <v>5351</v>
      </c>
      <c r="D619" s="56" t="s">
        <v>5352</v>
      </c>
      <c r="E619" s="2"/>
      <c r="F619" s="57"/>
      <c r="G619" s="63" t="s">
        <v>4631</v>
      </c>
      <c r="H619" s="59">
        <v>995</v>
      </c>
    </row>
    <row r="620" spans="1:8" ht="112.5" customHeight="1" x14ac:dyDescent="0.15">
      <c r="A620" s="60">
        <v>1299</v>
      </c>
      <c r="B620" s="30" t="s">
        <v>3502</v>
      </c>
      <c r="C620" s="30" t="s">
        <v>5353</v>
      </c>
      <c r="D620" s="61" t="s">
        <v>5354</v>
      </c>
      <c r="E620" s="2"/>
      <c r="F620" s="57"/>
      <c r="G620" s="64" t="s">
        <v>5355</v>
      </c>
      <c r="H620" s="59">
        <v>981</v>
      </c>
    </row>
    <row r="621" spans="1:8" ht="112.5" customHeight="1" x14ac:dyDescent="0.15">
      <c r="A621" s="60">
        <v>861</v>
      </c>
      <c r="B621" s="30" t="s">
        <v>3502</v>
      </c>
      <c r="C621" s="30" t="s">
        <v>5356</v>
      </c>
      <c r="D621" s="61" t="s">
        <v>5357</v>
      </c>
      <c r="E621" s="2"/>
      <c r="F621" s="57"/>
      <c r="G621" s="63" t="s">
        <v>5358</v>
      </c>
      <c r="H621" s="59">
        <v>1</v>
      </c>
    </row>
    <row r="622" spans="1:8" ht="112.5" customHeight="1" x14ac:dyDescent="0.15">
      <c r="A622" s="54">
        <v>860</v>
      </c>
      <c r="B622" s="55" t="s">
        <v>3502</v>
      </c>
      <c r="C622" s="55" t="s">
        <v>5359</v>
      </c>
      <c r="D622" s="56" t="s">
        <v>5360</v>
      </c>
      <c r="E622" s="2"/>
      <c r="F622" s="57"/>
      <c r="G622" s="64" t="s">
        <v>5361</v>
      </c>
      <c r="H622" s="59">
        <v>1</v>
      </c>
    </row>
    <row r="623" spans="1:8" ht="112.5" customHeight="1" x14ac:dyDescent="0.15">
      <c r="A623" s="60">
        <v>859</v>
      </c>
      <c r="B623" s="30" t="s">
        <v>3502</v>
      </c>
      <c r="C623" s="30" t="s">
        <v>5362</v>
      </c>
      <c r="D623" s="61" t="s">
        <v>5363</v>
      </c>
      <c r="E623" s="2"/>
      <c r="F623" s="57"/>
      <c r="G623" s="63" t="s">
        <v>5364</v>
      </c>
      <c r="H623" s="59">
        <v>1</v>
      </c>
    </row>
    <row r="624" spans="1:8" ht="112.5" customHeight="1" x14ac:dyDescent="0.15">
      <c r="A624" s="54">
        <v>858</v>
      </c>
      <c r="B624" s="55" t="s">
        <v>3502</v>
      </c>
      <c r="C624" s="55" t="s">
        <v>5365</v>
      </c>
      <c r="D624" s="56" t="s">
        <v>5366</v>
      </c>
      <c r="E624" s="2"/>
      <c r="F624" s="57"/>
      <c r="G624" s="64" t="s">
        <v>5367</v>
      </c>
      <c r="H624" s="59">
        <v>1</v>
      </c>
    </row>
    <row r="625" spans="1:8" ht="112.5" customHeight="1" x14ac:dyDescent="0.15">
      <c r="A625" s="54">
        <v>1298</v>
      </c>
      <c r="B625" s="55" t="s">
        <v>3502</v>
      </c>
      <c r="C625" s="55" t="s">
        <v>5368</v>
      </c>
      <c r="D625" s="56" t="s">
        <v>5369</v>
      </c>
      <c r="E625" s="2"/>
      <c r="F625" s="57"/>
      <c r="G625" s="63" t="s">
        <v>5370</v>
      </c>
      <c r="H625" s="59">
        <v>998</v>
      </c>
    </row>
    <row r="626" spans="1:8" ht="112.5" customHeight="1" x14ac:dyDescent="0.15">
      <c r="A626" s="60">
        <v>857</v>
      </c>
      <c r="B626" s="30" t="s">
        <v>3502</v>
      </c>
      <c r="C626" s="30" t="s">
        <v>5371</v>
      </c>
      <c r="D626" s="61" t="s">
        <v>5372</v>
      </c>
      <c r="E626" s="2"/>
      <c r="F626" s="57"/>
      <c r="G626" s="64" t="s">
        <v>5373</v>
      </c>
      <c r="H626" s="59">
        <v>1</v>
      </c>
    </row>
    <row r="627" spans="1:8" ht="112.5" customHeight="1" x14ac:dyDescent="0.15">
      <c r="A627" s="54">
        <v>856</v>
      </c>
      <c r="B627" s="55" t="s">
        <v>3502</v>
      </c>
      <c r="C627" s="55" t="s">
        <v>5374</v>
      </c>
      <c r="D627" s="56" t="s">
        <v>5375</v>
      </c>
      <c r="E627" s="2"/>
      <c r="F627" s="57"/>
      <c r="G627" s="63" t="s">
        <v>5376</v>
      </c>
      <c r="H627" s="59">
        <v>993</v>
      </c>
    </row>
    <row r="628" spans="1:8" ht="112.5" customHeight="1" x14ac:dyDescent="0.15">
      <c r="A628" s="60">
        <v>855</v>
      </c>
      <c r="B628" s="30" t="s">
        <v>3898</v>
      </c>
      <c r="C628" s="30" t="s">
        <v>5377</v>
      </c>
      <c r="D628" s="61" t="s">
        <v>5378</v>
      </c>
      <c r="E628" s="2"/>
      <c r="F628" s="57"/>
      <c r="G628" s="64" t="s">
        <v>5379</v>
      </c>
      <c r="H628" s="59">
        <v>985</v>
      </c>
    </row>
    <row r="629" spans="1:8" ht="112.5" customHeight="1" x14ac:dyDescent="0.15">
      <c r="A629" s="54">
        <v>854</v>
      </c>
      <c r="B629" s="55" t="s">
        <v>3898</v>
      </c>
      <c r="C629" s="55" t="s">
        <v>5380</v>
      </c>
      <c r="D629" s="56" t="s">
        <v>5381</v>
      </c>
      <c r="E629" s="2"/>
      <c r="F629" s="57"/>
      <c r="G629" s="63" t="s">
        <v>5382</v>
      </c>
      <c r="H629" s="59">
        <v>0</v>
      </c>
    </row>
    <row r="630" spans="1:8" ht="112.5" customHeight="1" x14ac:dyDescent="0.15">
      <c r="A630" s="60">
        <v>853</v>
      </c>
      <c r="B630" s="30" t="s">
        <v>3898</v>
      </c>
      <c r="C630" s="30" t="s">
        <v>5383</v>
      </c>
      <c r="D630" s="61" t="s">
        <v>5384</v>
      </c>
      <c r="E630" s="2"/>
      <c r="F630" s="57"/>
      <c r="G630" s="64" t="s">
        <v>5385</v>
      </c>
      <c r="H630" s="59">
        <v>0</v>
      </c>
    </row>
    <row r="631" spans="1:8" ht="112.5" customHeight="1" x14ac:dyDescent="0.15">
      <c r="A631" s="54">
        <v>852</v>
      </c>
      <c r="B631" s="55" t="s">
        <v>3898</v>
      </c>
      <c r="C631" s="55" t="s">
        <v>5386</v>
      </c>
      <c r="D631" s="56" t="s">
        <v>5387</v>
      </c>
      <c r="E631" s="2"/>
      <c r="F631" s="57"/>
      <c r="G631" s="63" t="s">
        <v>5388</v>
      </c>
      <c r="H631" s="59">
        <v>0</v>
      </c>
    </row>
    <row r="632" spans="1:8" ht="112.5" customHeight="1" x14ac:dyDescent="0.15">
      <c r="A632" s="60">
        <v>851</v>
      </c>
      <c r="B632" s="30" t="s">
        <v>3549</v>
      </c>
      <c r="C632" s="30" t="s">
        <v>5389</v>
      </c>
      <c r="D632" s="61" t="s">
        <v>5390</v>
      </c>
      <c r="E632" s="2"/>
      <c r="F632" s="57"/>
      <c r="G632" s="64" t="s">
        <v>5391</v>
      </c>
      <c r="H632" s="59">
        <v>0</v>
      </c>
    </row>
    <row r="633" spans="1:8" ht="112.5" customHeight="1" x14ac:dyDescent="0.15">
      <c r="A633" s="54">
        <v>850</v>
      </c>
      <c r="B633" s="55" t="s">
        <v>3556</v>
      </c>
      <c r="C633" s="55" t="s">
        <v>5392</v>
      </c>
      <c r="D633" s="56" t="s">
        <v>5393</v>
      </c>
      <c r="E633" s="2"/>
      <c r="F633" s="57"/>
      <c r="G633" s="63" t="s">
        <v>5394</v>
      </c>
      <c r="H633" s="59">
        <v>0</v>
      </c>
    </row>
    <row r="634" spans="1:8" ht="112.5" customHeight="1" x14ac:dyDescent="0.15">
      <c r="A634" s="54">
        <v>848</v>
      </c>
      <c r="B634" s="55" t="s">
        <v>3509</v>
      </c>
      <c r="C634" s="55" t="s">
        <v>5395</v>
      </c>
      <c r="D634" s="56" t="s">
        <v>5396</v>
      </c>
      <c r="E634" s="2"/>
      <c r="F634" s="57"/>
      <c r="G634" s="64" t="s">
        <v>5397</v>
      </c>
      <c r="H634" s="59">
        <v>0</v>
      </c>
    </row>
    <row r="635" spans="1:8" ht="112.5" customHeight="1" x14ac:dyDescent="0.15">
      <c r="A635" s="54">
        <v>3428</v>
      </c>
      <c r="B635" s="55" t="s">
        <v>3749</v>
      </c>
      <c r="C635" s="55" t="s">
        <v>5398</v>
      </c>
      <c r="D635" s="56" t="s">
        <v>5399</v>
      </c>
      <c r="E635" s="2"/>
      <c r="F635" s="57"/>
      <c r="G635" s="63" t="s">
        <v>5400</v>
      </c>
      <c r="H635" s="59">
        <v>0</v>
      </c>
    </row>
    <row r="636" spans="1:8" ht="112.5" customHeight="1" x14ac:dyDescent="0.15">
      <c r="A636" s="60">
        <v>847</v>
      </c>
      <c r="B636" s="30" t="s">
        <v>3749</v>
      </c>
      <c r="C636" s="30" t="s">
        <v>5401</v>
      </c>
      <c r="D636" s="61" t="s">
        <v>5402</v>
      </c>
      <c r="E636" s="2"/>
      <c r="F636" s="57"/>
      <c r="G636" s="64" t="s">
        <v>5403</v>
      </c>
      <c r="H636" s="59">
        <v>991</v>
      </c>
    </row>
    <row r="637" spans="1:8" ht="112.5" customHeight="1" x14ac:dyDescent="0.15">
      <c r="A637" s="54">
        <v>846</v>
      </c>
      <c r="B637" s="55" t="s">
        <v>3749</v>
      </c>
      <c r="C637" s="55" t="s">
        <v>5404</v>
      </c>
      <c r="D637" s="56" t="s">
        <v>5405</v>
      </c>
      <c r="E637" s="2"/>
      <c r="F637" s="57"/>
      <c r="G637" s="63" t="s">
        <v>5406</v>
      </c>
      <c r="H637" s="59">
        <v>979</v>
      </c>
    </row>
    <row r="638" spans="1:8" ht="112.5" customHeight="1" x14ac:dyDescent="0.15">
      <c r="A638" s="60">
        <v>845</v>
      </c>
      <c r="B638" s="30" t="s">
        <v>3749</v>
      </c>
      <c r="C638" s="30" t="s">
        <v>5407</v>
      </c>
      <c r="D638" s="61" t="s">
        <v>5408</v>
      </c>
      <c r="E638" s="2"/>
      <c r="F638" s="57"/>
      <c r="G638" s="64" t="s">
        <v>5409</v>
      </c>
      <c r="H638" s="59">
        <v>950</v>
      </c>
    </row>
    <row r="639" spans="1:8" ht="112.5" customHeight="1" x14ac:dyDescent="0.15">
      <c r="A639" s="54">
        <v>844</v>
      </c>
      <c r="B639" s="55" t="s">
        <v>3749</v>
      </c>
      <c r="C639" s="55" t="s">
        <v>5410</v>
      </c>
      <c r="D639" s="56" t="s">
        <v>5411</v>
      </c>
      <c r="E639" s="2"/>
      <c r="F639" s="57"/>
      <c r="G639" s="63" t="s">
        <v>5412</v>
      </c>
      <c r="H639" s="59">
        <v>989</v>
      </c>
    </row>
    <row r="640" spans="1:8" ht="112.5" customHeight="1" x14ac:dyDescent="0.15">
      <c r="A640" s="54">
        <v>3468</v>
      </c>
      <c r="B640" s="55" t="s">
        <v>3749</v>
      </c>
      <c r="C640" s="55" t="s">
        <v>5413</v>
      </c>
      <c r="D640" s="56" t="s">
        <v>5414</v>
      </c>
      <c r="E640" s="2"/>
      <c r="F640" s="57"/>
      <c r="G640" s="64" t="s">
        <v>5415</v>
      </c>
      <c r="H640" s="59">
        <v>0</v>
      </c>
    </row>
    <row r="641" spans="1:8" ht="112.5" customHeight="1" x14ac:dyDescent="0.15">
      <c r="A641" s="60">
        <v>843</v>
      </c>
      <c r="B641" s="30" t="s">
        <v>3502</v>
      </c>
      <c r="C641" s="30" t="s">
        <v>5416</v>
      </c>
      <c r="D641" s="61" t="s">
        <v>5417</v>
      </c>
      <c r="E641" s="2"/>
      <c r="F641" s="57"/>
      <c r="G641" s="63" t="s">
        <v>5418</v>
      </c>
      <c r="H641" s="59">
        <v>990</v>
      </c>
    </row>
    <row r="642" spans="1:8" ht="112.5" customHeight="1" x14ac:dyDescent="0.15">
      <c r="A642" s="54">
        <v>842</v>
      </c>
      <c r="B642" s="55" t="s">
        <v>3509</v>
      </c>
      <c r="C642" s="55" t="s">
        <v>5419</v>
      </c>
      <c r="D642" s="56" t="s">
        <v>5420</v>
      </c>
      <c r="E642" s="2"/>
      <c r="F642" s="57"/>
      <c r="G642" s="64" t="s">
        <v>5421</v>
      </c>
      <c r="H642" s="59">
        <v>991</v>
      </c>
    </row>
    <row r="643" spans="1:8" ht="112.5" customHeight="1" x14ac:dyDescent="0.15">
      <c r="A643" s="60">
        <v>841</v>
      </c>
      <c r="B643" s="30" t="s">
        <v>3513</v>
      </c>
      <c r="C643" s="30" t="s">
        <v>5422</v>
      </c>
      <c r="D643" s="61" t="s">
        <v>5423</v>
      </c>
      <c r="E643" s="2"/>
      <c r="F643" s="57"/>
      <c r="G643" s="63" t="s">
        <v>5424</v>
      </c>
      <c r="H643" s="59">
        <v>1</v>
      </c>
    </row>
    <row r="644" spans="1:8" ht="112.5" customHeight="1" x14ac:dyDescent="0.15">
      <c r="A644" s="54">
        <v>840</v>
      </c>
      <c r="B644" s="55" t="s">
        <v>3509</v>
      </c>
      <c r="C644" s="55" t="s">
        <v>5425</v>
      </c>
      <c r="D644" s="56" t="s">
        <v>5426</v>
      </c>
      <c r="E644" s="2"/>
      <c r="F644" s="57"/>
      <c r="G644" s="64" t="s">
        <v>5427</v>
      </c>
      <c r="H644" s="59">
        <v>952</v>
      </c>
    </row>
    <row r="645" spans="1:8" ht="112.5" customHeight="1" x14ac:dyDescent="0.15">
      <c r="A645" s="60">
        <v>839</v>
      </c>
      <c r="B645" s="30" t="s">
        <v>4330</v>
      </c>
      <c r="C645" s="30" t="s">
        <v>5428</v>
      </c>
      <c r="D645" s="61" t="s">
        <v>5429</v>
      </c>
      <c r="E645" s="2"/>
      <c r="F645" s="57"/>
      <c r="G645" s="63" t="s">
        <v>4821</v>
      </c>
      <c r="H645" s="59">
        <v>964</v>
      </c>
    </row>
    <row r="646" spans="1:8" ht="112.5" customHeight="1" x14ac:dyDescent="0.15">
      <c r="A646" s="54">
        <v>838</v>
      </c>
      <c r="B646" s="55" t="s">
        <v>3509</v>
      </c>
      <c r="C646" s="55" t="s">
        <v>5430</v>
      </c>
      <c r="D646" s="56" t="s">
        <v>5431</v>
      </c>
      <c r="E646" s="2"/>
      <c r="F646" s="57"/>
      <c r="G646" s="64" t="s">
        <v>5432</v>
      </c>
      <c r="H646" s="59">
        <v>999</v>
      </c>
    </row>
    <row r="647" spans="1:8" ht="112.5" customHeight="1" x14ac:dyDescent="0.15">
      <c r="A647" s="60">
        <v>837</v>
      </c>
      <c r="B647" s="30" t="s">
        <v>3502</v>
      </c>
      <c r="C647" s="30" t="s">
        <v>5433</v>
      </c>
      <c r="D647" s="61" t="s">
        <v>5434</v>
      </c>
      <c r="E647" s="2"/>
      <c r="F647" s="57"/>
      <c r="G647" s="63" t="s">
        <v>5435</v>
      </c>
      <c r="H647" s="59">
        <v>1</v>
      </c>
    </row>
    <row r="648" spans="1:8" ht="112.5" customHeight="1" x14ac:dyDescent="0.15">
      <c r="A648" s="54">
        <v>836</v>
      </c>
      <c r="B648" s="55" t="s">
        <v>3502</v>
      </c>
      <c r="C648" s="55" t="s">
        <v>5436</v>
      </c>
      <c r="D648" s="56" t="s">
        <v>5437</v>
      </c>
      <c r="E648" s="2"/>
      <c r="F648" s="57"/>
      <c r="G648" s="64" t="s">
        <v>5438</v>
      </c>
      <c r="H648" s="59">
        <v>1</v>
      </c>
    </row>
    <row r="649" spans="1:8" ht="112.5" customHeight="1" x14ac:dyDescent="0.15">
      <c r="A649" s="60">
        <v>3353</v>
      </c>
      <c r="B649" s="30" t="s">
        <v>3496</v>
      </c>
      <c r="C649" s="30" t="s">
        <v>5439</v>
      </c>
      <c r="D649" s="61" t="s">
        <v>5440</v>
      </c>
      <c r="E649" s="2"/>
      <c r="F649" s="57"/>
      <c r="G649" s="63" t="s">
        <v>5441</v>
      </c>
      <c r="H649" s="59">
        <v>990</v>
      </c>
    </row>
    <row r="650" spans="1:8" ht="112.5" customHeight="1" x14ac:dyDescent="0.15">
      <c r="A650" s="60">
        <v>835</v>
      </c>
      <c r="B650" s="30" t="s">
        <v>3630</v>
      </c>
      <c r="C650" s="30" t="s">
        <v>5442</v>
      </c>
      <c r="D650" s="61" t="s">
        <v>5443</v>
      </c>
      <c r="E650" s="2"/>
      <c r="F650" s="57"/>
      <c r="G650" s="64" t="s">
        <v>5444</v>
      </c>
      <c r="H650" s="59">
        <v>0</v>
      </c>
    </row>
    <row r="651" spans="1:8" ht="112.5" customHeight="1" x14ac:dyDescent="0.15">
      <c r="A651" s="54">
        <v>834</v>
      </c>
      <c r="B651" s="55" t="s">
        <v>3533</v>
      </c>
      <c r="C651" s="55" t="s">
        <v>5445</v>
      </c>
      <c r="D651" s="56" t="s">
        <v>5446</v>
      </c>
      <c r="E651" s="2"/>
      <c r="F651" s="57"/>
      <c r="G651" s="63" t="s">
        <v>5447</v>
      </c>
      <c r="H651" s="59">
        <v>0</v>
      </c>
    </row>
    <row r="652" spans="1:8" ht="112.5" customHeight="1" x14ac:dyDescent="0.15">
      <c r="A652" s="54">
        <v>832</v>
      </c>
      <c r="B652" s="55" t="s">
        <v>3822</v>
      </c>
      <c r="C652" s="55" t="s">
        <v>5448</v>
      </c>
      <c r="D652" s="56" t="s">
        <v>5449</v>
      </c>
      <c r="E652" s="2"/>
      <c r="F652" s="57"/>
      <c r="G652" s="64" t="s">
        <v>5450</v>
      </c>
      <c r="H652" s="59">
        <v>995</v>
      </c>
    </row>
    <row r="653" spans="1:8" ht="112.5" customHeight="1" x14ac:dyDescent="0.15">
      <c r="A653" s="60">
        <v>833</v>
      </c>
      <c r="B653" s="30" t="s">
        <v>3822</v>
      </c>
      <c r="C653" s="30" t="s">
        <v>5451</v>
      </c>
      <c r="D653" s="61" t="s">
        <v>5452</v>
      </c>
      <c r="E653" s="2"/>
      <c r="F653" s="57"/>
      <c r="G653" s="63" t="s">
        <v>5453</v>
      </c>
      <c r="H653" s="59">
        <v>997</v>
      </c>
    </row>
    <row r="654" spans="1:8" ht="112.5" customHeight="1" x14ac:dyDescent="0.15">
      <c r="A654" s="60">
        <v>831</v>
      </c>
      <c r="B654" s="30" t="s">
        <v>3822</v>
      </c>
      <c r="C654" s="30" t="s">
        <v>5454</v>
      </c>
      <c r="D654" s="61" t="s">
        <v>5455</v>
      </c>
      <c r="E654" s="2"/>
      <c r="F654" s="57"/>
      <c r="G654" s="64" t="s">
        <v>5456</v>
      </c>
      <c r="H654" s="59">
        <v>986</v>
      </c>
    </row>
    <row r="655" spans="1:8" ht="112.5" customHeight="1" x14ac:dyDescent="0.15">
      <c r="A655" s="60">
        <v>829</v>
      </c>
      <c r="B655" s="30" t="s">
        <v>3526</v>
      </c>
      <c r="C655" s="30" t="s">
        <v>5457</v>
      </c>
      <c r="D655" s="61" t="s">
        <v>5458</v>
      </c>
      <c r="E655" s="2"/>
      <c r="F655" s="57"/>
      <c r="G655" s="63" t="s">
        <v>5459</v>
      </c>
      <c r="H655" s="59">
        <v>1</v>
      </c>
    </row>
    <row r="656" spans="1:8" ht="112.5" customHeight="1" x14ac:dyDescent="0.15">
      <c r="A656" s="54">
        <v>830</v>
      </c>
      <c r="B656" s="55" t="s">
        <v>3526</v>
      </c>
      <c r="C656" s="55" t="s">
        <v>5460</v>
      </c>
      <c r="D656" s="56" t="s">
        <v>5461</v>
      </c>
      <c r="E656" s="2"/>
      <c r="F656" s="57"/>
      <c r="G656" s="64" t="s">
        <v>5462</v>
      </c>
      <c r="H656" s="59">
        <v>930</v>
      </c>
    </row>
    <row r="657" spans="1:8" ht="112.5" customHeight="1" x14ac:dyDescent="0.15">
      <c r="A657" s="54">
        <v>828</v>
      </c>
      <c r="B657" s="55" t="s">
        <v>3670</v>
      </c>
      <c r="C657" s="55" t="s">
        <v>5463</v>
      </c>
      <c r="D657" s="56" t="s">
        <v>5464</v>
      </c>
      <c r="E657" s="2"/>
      <c r="F657" s="57"/>
      <c r="G657" s="63" t="s">
        <v>5465</v>
      </c>
      <c r="H657" s="59">
        <v>915</v>
      </c>
    </row>
    <row r="658" spans="1:8" ht="112.5" customHeight="1" x14ac:dyDescent="0.15">
      <c r="A658" s="60">
        <v>827</v>
      </c>
      <c r="B658" s="30" t="s">
        <v>3822</v>
      </c>
      <c r="C658" s="30" t="s">
        <v>5466</v>
      </c>
      <c r="D658" s="61" t="s">
        <v>5467</v>
      </c>
      <c r="E658" s="2"/>
      <c r="F658" s="57"/>
      <c r="G658" s="64" t="s">
        <v>5468</v>
      </c>
      <c r="H658" s="59">
        <v>1</v>
      </c>
    </row>
    <row r="659" spans="1:8" ht="112.5" customHeight="1" x14ac:dyDescent="0.15">
      <c r="A659" s="54">
        <v>826</v>
      </c>
      <c r="B659" s="55" t="s">
        <v>3822</v>
      </c>
      <c r="C659" s="55" t="s">
        <v>5469</v>
      </c>
      <c r="D659" s="56" t="s">
        <v>5470</v>
      </c>
      <c r="E659" s="2"/>
      <c r="F659" s="57"/>
      <c r="G659" s="63" t="s">
        <v>5471</v>
      </c>
      <c r="H659" s="59">
        <v>1</v>
      </c>
    </row>
    <row r="660" spans="1:8" ht="112.5" customHeight="1" x14ac:dyDescent="0.15">
      <c r="A660" s="54">
        <v>824</v>
      </c>
      <c r="B660" s="55" t="s">
        <v>3822</v>
      </c>
      <c r="C660" s="55" t="s">
        <v>5472</v>
      </c>
      <c r="D660" s="56" t="s">
        <v>5473</v>
      </c>
      <c r="E660" s="2"/>
      <c r="F660" s="57"/>
      <c r="G660" s="64" t="s">
        <v>5474</v>
      </c>
      <c r="H660" s="59">
        <v>985</v>
      </c>
    </row>
    <row r="661" spans="1:8" ht="112.5" customHeight="1" x14ac:dyDescent="0.15">
      <c r="A661" s="60">
        <v>825</v>
      </c>
      <c r="B661" s="30" t="s">
        <v>3822</v>
      </c>
      <c r="C661" s="30" t="s">
        <v>5475</v>
      </c>
      <c r="D661" s="61" t="s">
        <v>5476</v>
      </c>
      <c r="E661" s="2"/>
      <c r="F661" s="57"/>
      <c r="G661" s="63" t="s">
        <v>5477</v>
      </c>
      <c r="H661" s="59">
        <v>984</v>
      </c>
    </row>
    <row r="662" spans="1:8" ht="112.5" customHeight="1" x14ac:dyDescent="0.15">
      <c r="A662" s="60">
        <v>823</v>
      </c>
      <c r="B662" s="30" t="s">
        <v>3822</v>
      </c>
      <c r="C662" s="30" t="s">
        <v>5478</v>
      </c>
      <c r="D662" s="61" t="s">
        <v>5479</v>
      </c>
      <c r="E662" s="2"/>
      <c r="F662" s="57"/>
      <c r="G662" s="64" t="s">
        <v>5480</v>
      </c>
      <c r="H662" s="59">
        <v>1</v>
      </c>
    </row>
    <row r="663" spans="1:8" ht="112.5" customHeight="1" x14ac:dyDescent="0.15">
      <c r="A663" s="60">
        <v>3221</v>
      </c>
      <c r="B663" s="30" t="s">
        <v>3526</v>
      </c>
      <c r="C663" s="30" t="s">
        <v>5481</v>
      </c>
      <c r="D663" s="61" t="s">
        <v>5482</v>
      </c>
      <c r="E663" s="2"/>
      <c r="F663" s="57"/>
      <c r="G663" s="63" t="s">
        <v>5483</v>
      </c>
      <c r="H663" s="59">
        <v>1</v>
      </c>
    </row>
    <row r="664" spans="1:8" ht="112.5" customHeight="1" x14ac:dyDescent="0.15">
      <c r="A664" s="54">
        <v>822</v>
      </c>
      <c r="B664" s="55" t="s">
        <v>3822</v>
      </c>
      <c r="C664" s="55" t="s">
        <v>5484</v>
      </c>
      <c r="D664" s="56" t="s">
        <v>5485</v>
      </c>
      <c r="E664" s="2"/>
      <c r="F664" s="57"/>
      <c r="G664" s="64" t="s">
        <v>5486</v>
      </c>
      <c r="H664" s="59">
        <v>1</v>
      </c>
    </row>
    <row r="665" spans="1:8" ht="112.5" customHeight="1" x14ac:dyDescent="0.15">
      <c r="A665" s="60">
        <v>821</v>
      </c>
      <c r="B665" s="30" t="s">
        <v>3822</v>
      </c>
      <c r="C665" s="30" t="s">
        <v>5487</v>
      </c>
      <c r="D665" s="61" t="s">
        <v>5488</v>
      </c>
      <c r="E665" s="2"/>
      <c r="F665" s="57"/>
      <c r="G665" s="63" t="s">
        <v>5489</v>
      </c>
      <c r="H665" s="59">
        <v>0</v>
      </c>
    </row>
    <row r="666" spans="1:8" ht="112.5" customHeight="1" x14ac:dyDescent="0.15">
      <c r="A666" s="54">
        <v>820</v>
      </c>
      <c r="B666" s="55" t="s">
        <v>3822</v>
      </c>
      <c r="C666" s="55" t="s">
        <v>5490</v>
      </c>
      <c r="D666" s="56" t="s">
        <v>5491</v>
      </c>
      <c r="E666" s="2"/>
      <c r="F666" s="57"/>
      <c r="G666" s="64" t="s">
        <v>5492</v>
      </c>
      <c r="H666" s="59">
        <v>0</v>
      </c>
    </row>
    <row r="667" spans="1:8" ht="112.5" customHeight="1" x14ac:dyDescent="0.15">
      <c r="A667" s="60">
        <v>819</v>
      </c>
      <c r="B667" s="30" t="s">
        <v>3822</v>
      </c>
      <c r="C667" s="30" t="s">
        <v>5493</v>
      </c>
      <c r="D667" s="61" t="s">
        <v>5494</v>
      </c>
      <c r="E667" s="2"/>
      <c r="F667" s="57"/>
      <c r="G667" s="63" t="s">
        <v>5495</v>
      </c>
      <c r="H667" s="59">
        <v>1</v>
      </c>
    </row>
    <row r="668" spans="1:8" ht="112.5" customHeight="1" x14ac:dyDescent="0.15">
      <c r="A668" s="54">
        <v>818</v>
      </c>
      <c r="B668" s="55" t="s">
        <v>3822</v>
      </c>
      <c r="C668" s="55" t="s">
        <v>5496</v>
      </c>
      <c r="D668" s="56" t="s">
        <v>5497</v>
      </c>
      <c r="E668" s="2"/>
      <c r="F668" s="57"/>
      <c r="G668" s="64" t="s">
        <v>5498</v>
      </c>
      <c r="H668" s="59">
        <v>1</v>
      </c>
    </row>
    <row r="669" spans="1:8" ht="112.5" customHeight="1" x14ac:dyDescent="0.15">
      <c r="A669" s="60">
        <v>817</v>
      </c>
      <c r="B669" s="30" t="s">
        <v>3822</v>
      </c>
      <c r="C669" s="30" t="s">
        <v>5499</v>
      </c>
      <c r="D669" s="61" t="s">
        <v>5500</v>
      </c>
      <c r="E669" s="2"/>
      <c r="F669" s="57"/>
      <c r="G669" s="63" t="s">
        <v>5501</v>
      </c>
      <c r="H669" s="59">
        <v>1</v>
      </c>
    </row>
    <row r="670" spans="1:8" ht="112.5" customHeight="1" x14ac:dyDescent="0.15">
      <c r="A670" s="54">
        <v>816</v>
      </c>
      <c r="B670" s="55" t="s">
        <v>3822</v>
      </c>
      <c r="C670" s="55" t="s">
        <v>5502</v>
      </c>
      <c r="D670" s="56" t="s">
        <v>5503</v>
      </c>
      <c r="E670" s="2"/>
      <c r="F670" s="57"/>
      <c r="G670" s="64" t="s">
        <v>5504</v>
      </c>
      <c r="H670" s="59">
        <v>1</v>
      </c>
    </row>
    <row r="671" spans="1:8" ht="112.5" customHeight="1" x14ac:dyDescent="0.15">
      <c r="A671" s="60">
        <v>815</v>
      </c>
      <c r="B671" s="30" t="s">
        <v>3526</v>
      </c>
      <c r="C671" s="30" t="s">
        <v>5505</v>
      </c>
      <c r="D671" s="61" t="s">
        <v>5506</v>
      </c>
      <c r="E671" s="2"/>
      <c r="F671" s="57"/>
      <c r="G671" s="63" t="s">
        <v>5507</v>
      </c>
      <c r="H671" s="59">
        <v>1</v>
      </c>
    </row>
    <row r="672" spans="1:8" ht="112.5" customHeight="1" x14ac:dyDescent="0.15">
      <c r="A672" s="54">
        <v>814</v>
      </c>
      <c r="B672" s="55" t="s">
        <v>3526</v>
      </c>
      <c r="C672" s="55" t="s">
        <v>5508</v>
      </c>
      <c r="D672" s="56" t="s">
        <v>5509</v>
      </c>
      <c r="E672" s="2"/>
      <c r="F672" s="57"/>
      <c r="G672" s="64" t="s">
        <v>5510</v>
      </c>
      <c r="H672" s="59">
        <v>1</v>
      </c>
    </row>
    <row r="673" spans="1:8" ht="112.5" customHeight="1" x14ac:dyDescent="0.15">
      <c r="A673" s="60">
        <v>813</v>
      </c>
      <c r="B673" s="30" t="s">
        <v>3822</v>
      </c>
      <c r="C673" s="30" t="s">
        <v>5511</v>
      </c>
      <c r="D673" s="61" t="s">
        <v>5512</v>
      </c>
      <c r="E673" s="2"/>
      <c r="F673" s="57"/>
      <c r="G673" s="63" t="s">
        <v>5513</v>
      </c>
      <c r="H673" s="59">
        <v>1</v>
      </c>
    </row>
    <row r="674" spans="1:8" ht="112.5" customHeight="1" x14ac:dyDescent="0.15">
      <c r="A674" s="54">
        <v>812</v>
      </c>
      <c r="B674" s="55" t="s">
        <v>3822</v>
      </c>
      <c r="C674" s="55" t="s">
        <v>5514</v>
      </c>
      <c r="D674" s="56" t="s">
        <v>5515</v>
      </c>
      <c r="E674" s="2"/>
      <c r="F674" s="57"/>
      <c r="G674" s="64" t="s">
        <v>5516</v>
      </c>
      <c r="H674" s="59">
        <v>998</v>
      </c>
    </row>
    <row r="675" spans="1:8" ht="112.5" customHeight="1" x14ac:dyDescent="0.15">
      <c r="A675" s="60">
        <v>811</v>
      </c>
      <c r="B675" s="30" t="s">
        <v>3822</v>
      </c>
      <c r="C675" s="30" t="s">
        <v>5517</v>
      </c>
      <c r="D675" s="61" t="s">
        <v>5518</v>
      </c>
      <c r="E675" s="2"/>
      <c r="F675" s="57"/>
      <c r="G675" s="63" t="s">
        <v>5519</v>
      </c>
      <c r="H675" s="59">
        <v>998</v>
      </c>
    </row>
    <row r="676" spans="1:8" ht="112.5" customHeight="1" x14ac:dyDescent="0.15">
      <c r="A676" s="54">
        <v>810</v>
      </c>
      <c r="B676" s="55" t="s">
        <v>3822</v>
      </c>
      <c r="C676" s="55" t="s">
        <v>5520</v>
      </c>
      <c r="D676" s="56" t="s">
        <v>5521</v>
      </c>
      <c r="E676" s="2"/>
      <c r="F676" s="57"/>
      <c r="G676" s="64" t="s">
        <v>5522</v>
      </c>
      <c r="H676" s="59">
        <v>1</v>
      </c>
    </row>
    <row r="677" spans="1:8" ht="112.5" customHeight="1" x14ac:dyDescent="0.15">
      <c r="A677" s="60">
        <v>809</v>
      </c>
      <c r="B677" s="30" t="s">
        <v>3822</v>
      </c>
      <c r="C677" s="30" t="s">
        <v>5523</v>
      </c>
      <c r="D677" s="61" t="s">
        <v>5524</v>
      </c>
      <c r="E677" s="2"/>
      <c r="F677" s="57"/>
      <c r="G677" s="63" t="s">
        <v>5525</v>
      </c>
      <c r="H677" s="59">
        <v>980</v>
      </c>
    </row>
    <row r="678" spans="1:8" ht="112.5" customHeight="1" x14ac:dyDescent="0.15">
      <c r="A678" s="54">
        <v>808</v>
      </c>
      <c r="B678" s="55" t="s">
        <v>3822</v>
      </c>
      <c r="C678" s="55" t="s">
        <v>5526</v>
      </c>
      <c r="D678" s="56" t="s">
        <v>5527</v>
      </c>
      <c r="E678" s="2"/>
      <c r="F678" s="57"/>
      <c r="G678" s="64" t="s">
        <v>5528</v>
      </c>
      <c r="H678" s="59">
        <v>952</v>
      </c>
    </row>
    <row r="679" spans="1:8" ht="112.5" customHeight="1" x14ac:dyDescent="0.15">
      <c r="A679" s="60">
        <v>807</v>
      </c>
      <c r="B679" s="30" t="s">
        <v>3822</v>
      </c>
      <c r="C679" s="30" t="s">
        <v>5529</v>
      </c>
      <c r="D679" s="61" t="s">
        <v>5530</v>
      </c>
      <c r="E679" s="2"/>
      <c r="F679" s="57"/>
      <c r="G679" s="63" t="s">
        <v>5531</v>
      </c>
      <c r="H679" s="59">
        <v>993</v>
      </c>
    </row>
    <row r="680" spans="1:8" ht="112.5" customHeight="1" x14ac:dyDescent="0.15">
      <c r="A680" s="54">
        <v>806</v>
      </c>
      <c r="B680" s="55" t="s">
        <v>3822</v>
      </c>
      <c r="C680" s="55" t="s">
        <v>5532</v>
      </c>
      <c r="D680" s="56" t="s">
        <v>5533</v>
      </c>
      <c r="E680" s="2"/>
      <c r="F680" s="57"/>
      <c r="G680" s="64" t="s">
        <v>5534</v>
      </c>
      <c r="H680" s="59">
        <v>932</v>
      </c>
    </row>
    <row r="681" spans="1:8" ht="112.5" customHeight="1" x14ac:dyDescent="0.15">
      <c r="A681" s="60">
        <v>805</v>
      </c>
      <c r="B681" s="30" t="s">
        <v>3822</v>
      </c>
      <c r="C681" s="30" t="s">
        <v>5535</v>
      </c>
      <c r="D681" s="61" t="s">
        <v>5536</v>
      </c>
      <c r="E681" s="2"/>
      <c r="F681" s="57"/>
      <c r="G681" s="63" t="s">
        <v>5537</v>
      </c>
      <c r="H681" s="59">
        <v>997</v>
      </c>
    </row>
    <row r="682" spans="1:8" ht="112.5" customHeight="1" x14ac:dyDescent="0.15">
      <c r="A682" s="54">
        <v>804</v>
      </c>
      <c r="B682" s="55" t="s">
        <v>3822</v>
      </c>
      <c r="C682" s="55" t="s">
        <v>5538</v>
      </c>
      <c r="D682" s="56" t="s">
        <v>5539</v>
      </c>
      <c r="E682" s="2"/>
      <c r="F682" s="57"/>
      <c r="G682" s="64" t="s">
        <v>5540</v>
      </c>
      <c r="H682" s="59">
        <v>989</v>
      </c>
    </row>
    <row r="683" spans="1:8" ht="112.5" customHeight="1" x14ac:dyDescent="0.15">
      <c r="A683" s="60">
        <v>737</v>
      </c>
      <c r="B683" s="30" t="s">
        <v>3822</v>
      </c>
      <c r="C683" s="30" t="s">
        <v>5541</v>
      </c>
      <c r="D683" s="61" t="s">
        <v>5542</v>
      </c>
      <c r="E683" s="2"/>
      <c r="F683" s="57"/>
      <c r="G683" s="63" t="s">
        <v>5543</v>
      </c>
      <c r="H683" s="59">
        <v>990</v>
      </c>
    </row>
    <row r="684" spans="1:8" ht="112.5" customHeight="1" x14ac:dyDescent="0.15">
      <c r="A684" s="54">
        <v>736</v>
      </c>
      <c r="B684" s="55" t="s">
        <v>3822</v>
      </c>
      <c r="C684" s="55" t="s">
        <v>5544</v>
      </c>
      <c r="D684" s="56" t="s">
        <v>5545</v>
      </c>
      <c r="E684" s="2"/>
      <c r="F684" s="57"/>
      <c r="G684" s="64" t="s">
        <v>5546</v>
      </c>
      <c r="H684" s="59">
        <v>995</v>
      </c>
    </row>
    <row r="685" spans="1:8" ht="112.5" customHeight="1" x14ac:dyDescent="0.15">
      <c r="A685" s="60">
        <v>735</v>
      </c>
      <c r="B685" s="30" t="s">
        <v>3822</v>
      </c>
      <c r="C685" s="30" t="s">
        <v>5547</v>
      </c>
      <c r="D685" s="61" t="s">
        <v>5548</v>
      </c>
      <c r="E685" s="2"/>
      <c r="F685" s="57"/>
      <c r="G685" s="63" t="s">
        <v>5549</v>
      </c>
      <c r="H685" s="59">
        <v>999</v>
      </c>
    </row>
    <row r="686" spans="1:8" ht="112.5" customHeight="1" x14ac:dyDescent="0.15">
      <c r="A686" s="54">
        <v>734</v>
      </c>
      <c r="B686" s="55" t="s">
        <v>3822</v>
      </c>
      <c r="C686" s="55" t="s">
        <v>5550</v>
      </c>
      <c r="D686" s="56" t="s">
        <v>5551</v>
      </c>
      <c r="E686" s="2"/>
      <c r="F686" s="57"/>
      <c r="G686" s="64" t="s">
        <v>5552</v>
      </c>
      <c r="H686" s="59">
        <v>1</v>
      </c>
    </row>
    <row r="687" spans="1:8" ht="112.5" customHeight="1" x14ac:dyDescent="0.15">
      <c r="A687" s="60">
        <v>733</v>
      </c>
      <c r="B687" s="30" t="s">
        <v>3822</v>
      </c>
      <c r="C687" s="30" t="s">
        <v>5553</v>
      </c>
      <c r="D687" s="61" t="s">
        <v>5554</v>
      </c>
      <c r="E687" s="2"/>
      <c r="F687" s="57"/>
      <c r="G687" s="63" t="s">
        <v>5555</v>
      </c>
      <c r="H687" s="59">
        <v>998</v>
      </c>
    </row>
    <row r="688" spans="1:8" ht="112.5" customHeight="1" x14ac:dyDescent="0.15">
      <c r="A688" s="54">
        <v>732</v>
      </c>
      <c r="B688" s="55" t="s">
        <v>3822</v>
      </c>
      <c r="C688" s="55" t="s">
        <v>5556</v>
      </c>
      <c r="D688" s="56" t="s">
        <v>5557</v>
      </c>
      <c r="E688" s="2"/>
      <c r="F688" s="57"/>
      <c r="G688" s="64" t="s">
        <v>5558</v>
      </c>
      <c r="H688" s="59">
        <v>1</v>
      </c>
    </row>
    <row r="689" spans="1:8" ht="112.5" customHeight="1" x14ac:dyDescent="0.15">
      <c r="A689" s="60">
        <v>731</v>
      </c>
      <c r="B689" s="30" t="s">
        <v>3822</v>
      </c>
      <c r="C689" s="30" t="s">
        <v>5559</v>
      </c>
      <c r="D689" s="61" t="s">
        <v>5560</v>
      </c>
      <c r="E689" s="2"/>
      <c r="F689" s="57"/>
      <c r="G689" s="63" t="s">
        <v>5561</v>
      </c>
      <c r="H689" s="59">
        <v>988</v>
      </c>
    </row>
    <row r="690" spans="1:8" ht="112.5" customHeight="1" x14ac:dyDescent="0.15">
      <c r="A690" s="54">
        <v>730</v>
      </c>
      <c r="B690" s="55" t="s">
        <v>3822</v>
      </c>
      <c r="C690" s="55" t="s">
        <v>5562</v>
      </c>
      <c r="D690" s="56" t="s">
        <v>5563</v>
      </c>
      <c r="E690" s="2"/>
      <c r="F690" s="57"/>
      <c r="G690" s="64" t="s">
        <v>5564</v>
      </c>
      <c r="H690" s="59">
        <v>950</v>
      </c>
    </row>
    <row r="691" spans="1:8" ht="112.5" customHeight="1" x14ac:dyDescent="0.15">
      <c r="A691" s="60">
        <v>729</v>
      </c>
      <c r="B691" s="30" t="s">
        <v>3822</v>
      </c>
      <c r="C691" s="30" t="s">
        <v>5565</v>
      </c>
      <c r="D691" s="61" t="s">
        <v>5566</v>
      </c>
      <c r="E691" s="2"/>
      <c r="F691" s="57"/>
      <c r="G691" s="63" t="s">
        <v>5567</v>
      </c>
      <c r="H691" s="59">
        <v>0</v>
      </c>
    </row>
    <row r="692" spans="1:8" ht="112.5" customHeight="1" x14ac:dyDescent="0.15">
      <c r="A692" s="54">
        <v>728</v>
      </c>
      <c r="B692" s="55" t="s">
        <v>3822</v>
      </c>
      <c r="C692" s="55" t="s">
        <v>5568</v>
      </c>
      <c r="D692" s="56" t="s">
        <v>5569</v>
      </c>
      <c r="E692" s="2"/>
      <c r="F692" s="57"/>
      <c r="G692" s="64" t="s">
        <v>5570</v>
      </c>
      <c r="H692" s="59">
        <v>1</v>
      </c>
    </row>
    <row r="693" spans="1:8" ht="112.5" customHeight="1" x14ac:dyDescent="0.15">
      <c r="A693" s="54">
        <v>3286</v>
      </c>
      <c r="B693" s="55" t="s">
        <v>3822</v>
      </c>
      <c r="C693" s="55" t="s">
        <v>5571</v>
      </c>
      <c r="D693" s="56" t="s">
        <v>5572</v>
      </c>
      <c r="E693" s="2"/>
      <c r="F693" s="57"/>
      <c r="G693" s="63" t="s">
        <v>5573</v>
      </c>
      <c r="H693" s="59">
        <v>1</v>
      </c>
    </row>
    <row r="694" spans="1:8" ht="112.5" customHeight="1" x14ac:dyDescent="0.15">
      <c r="A694" s="60">
        <v>3287</v>
      </c>
      <c r="B694" s="30" t="s">
        <v>3822</v>
      </c>
      <c r="C694" s="30" t="s">
        <v>5574</v>
      </c>
      <c r="D694" s="61" t="s">
        <v>5575</v>
      </c>
      <c r="E694" s="2"/>
      <c r="F694" s="57"/>
      <c r="G694" s="64" t="s">
        <v>5576</v>
      </c>
      <c r="H694" s="59">
        <v>999</v>
      </c>
    </row>
    <row r="695" spans="1:8" ht="112.5" customHeight="1" x14ac:dyDescent="0.15">
      <c r="A695" s="60">
        <v>727</v>
      </c>
      <c r="B695" s="30" t="s">
        <v>3822</v>
      </c>
      <c r="C695" s="30" t="s">
        <v>5577</v>
      </c>
      <c r="D695" s="61" t="s">
        <v>5578</v>
      </c>
      <c r="E695" s="2"/>
      <c r="F695" s="57"/>
      <c r="G695" s="63" t="s">
        <v>5579</v>
      </c>
      <c r="H695" s="59">
        <v>990</v>
      </c>
    </row>
    <row r="696" spans="1:8" ht="112.5" customHeight="1" x14ac:dyDescent="0.15">
      <c r="A696" s="60">
        <v>725</v>
      </c>
      <c r="B696" s="30" t="s">
        <v>3822</v>
      </c>
      <c r="C696" s="30" t="s">
        <v>5580</v>
      </c>
      <c r="D696" s="61" t="s">
        <v>5581</v>
      </c>
      <c r="E696" s="2"/>
      <c r="F696" s="57"/>
      <c r="G696" s="64" t="s">
        <v>5582</v>
      </c>
      <c r="H696" s="59">
        <v>1</v>
      </c>
    </row>
    <row r="697" spans="1:8" ht="112.5" customHeight="1" x14ac:dyDescent="0.15">
      <c r="A697" s="54">
        <v>726</v>
      </c>
      <c r="B697" s="55" t="s">
        <v>3822</v>
      </c>
      <c r="C697" s="55" t="s">
        <v>5583</v>
      </c>
      <c r="D697" s="56" t="s">
        <v>5584</v>
      </c>
      <c r="E697" s="2"/>
      <c r="F697" s="57"/>
      <c r="G697" s="63" t="s">
        <v>5585</v>
      </c>
      <c r="H697" s="59">
        <v>1</v>
      </c>
    </row>
    <row r="698" spans="1:8" ht="112.5" customHeight="1" x14ac:dyDescent="0.15">
      <c r="A698" s="54">
        <v>724</v>
      </c>
      <c r="B698" s="55" t="s">
        <v>3822</v>
      </c>
      <c r="C698" s="55" t="s">
        <v>5586</v>
      </c>
      <c r="D698" s="56" t="s">
        <v>5587</v>
      </c>
      <c r="E698" s="2"/>
      <c r="F698" s="57"/>
      <c r="G698" s="64" t="s">
        <v>5588</v>
      </c>
      <c r="H698" s="59">
        <v>999.99800000000005</v>
      </c>
    </row>
    <row r="699" spans="1:8" ht="112.5" customHeight="1" x14ac:dyDescent="0.15">
      <c r="A699" s="54">
        <v>3270</v>
      </c>
      <c r="B699" s="55" t="s">
        <v>3876</v>
      </c>
      <c r="C699" s="55" t="s">
        <v>5589</v>
      </c>
      <c r="D699" s="56" t="s">
        <v>5590</v>
      </c>
      <c r="E699" s="2"/>
      <c r="F699" s="57"/>
      <c r="G699" s="63" t="s">
        <v>5591</v>
      </c>
      <c r="H699" s="59">
        <v>999.99400000000003</v>
      </c>
    </row>
    <row r="700" spans="1:8" ht="112.5" customHeight="1" x14ac:dyDescent="0.15">
      <c r="A700" s="54">
        <v>722</v>
      </c>
      <c r="B700" s="55" t="s">
        <v>3898</v>
      </c>
      <c r="C700" s="55" t="s">
        <v>5592</v>
      </c>
      <c r="D700" s="56" t="s">
        <v>5593</v>
      </c>
      <c r="E700" s="2"/>
      <c r="F700" s="57"/>
      <c r="G700" s="64" t="s">
        <v>5594</v>
      </c>
      <c r="H700" s="59">
        <v>999.52599999999995</v>
      </c>
    </row>
    <row r="701" spans="1:8" ht="112.5" customHeight="1" x14ac:dyDescent="0.15">
      <c r="A701" s="54">
        <v>3220</v>
      </c>
      <c r="B701" s="55" t="s">
        <v>3496</v>
      </c>
      <c r="C701" s="55" t="s">
        <v>5595</v>
      </c>
      <c r="D701" s="56" t="s">
        <v>5596</v>
      </c>
      <c r="E701" s="2"/>
      <c r="F701" s="57"/>
      <c r="G701" s="63" t="s">
        <v>5597</v>
      </c>
      <c r="H701" s="59">
        <v>999.78399999999999</v>
      </c>
    </row>
    <row r="702" spans="1:8" ht="112.5" customHeight="1" x14ac:dyDescent="0.15">
      <c r="A702" s="60">
        <v>721</v>
      </c>
      <c r="B702" s="30" t="s">
        <v>3822</v>
      </c>
      <c r="C702" s="30" t="s">
        <v>5598</v>
      </c>
      <c r="D702" s="61" t="s">
        <v>5599</v>
      </c>
      <c r="E702" s="2"/>
      <c r="F702" s="57"/>
      <c r="G702" s="64" t="s">
        <v>5600</v>
      </c>
      <c r="H702" s="59">
        <v>999.97299999999996</v>
      </c>
    </row>
    <row r="703" spans="1:8" ht="112.5" customHeight="1" x14ac:dyDescent="0.15">
      <c r="A703" s="54">
        <v>720</v>
      </c>
      <c r="B703" s="55" t="s">
        <v>3822</v>
      </c>
      <c r="C703" s="55" t="s">
        <v>5601</v>
      </c>
      <c r="D703" s="56" t="s">
        <v>5602</v>
      </c>
      <c r="E703" s="2"/>
      <c r="F703" s="57"/>
      <c r="G703" s="63" t="s">
        <v>5603</v>
      </c>
      <c r="H703" s="59">
        <v>999.995</v>
      </c>
    </row>
    <row r="704" spans="1:8" ht="112.5" customHeight="1" x14ac:dyDescent="0.15">
      <c r="A704" s="60">
        <v>3445</v>
      </c>
      <c r="B704" s="30" t="s">
        <v>3822</v>
      </c>
      <c r="C704" s="30" t="s">
        <v>5604</v>
      </c>
      <c r="D704" s="61" t="s">
        <v>5605</v>
      </c>
      <c r="E704" s="2"/>
      <c r="F704" s="57"/>
      <c r="G704" s="64" t="s">
        <v>5606</v>
      </c>
      <c r="H704" s="59" t="s">
        <v>4171</v>
      </c>
    </row>
    <row r="705" spans="1:8" ht="112.5" customHeight="1" x14ac:dyDescent="0.15">
      <c r="A705" s="60">
        <v>719</v>
      </c>
      <c r="B705" s="30" t="s">
        <v>3822</v>
      </c>
      <c r="C705" s="30" t="s">
        <v>5607</v>
      </c>
      <c r="D705" s="61" t="s">
        <v>5608</v>
      </c>
      <c r="E705" s="2"/>
      <c r="F705" s="57"/>
      <c r="G705" s="63" t="s">
        <v>5609</v>
      </c>
      <c r="H705" s="59">
        <v>999.99900000000002</v>
      </c>
    </row>
    <row r="706" spans="1:8" ht="112.5" customHeight="1" x14ac:dyDescent="0.15">
      <c r="A706" s="54">
        <v>718</v>
      </c>
      <c r="B706" s="55" t="s">
        <v>3822</v>
      </c>
      <c r="C706" s="55" t="s">
        <v>5610</v>
      </c>
      <c r="D706" s="56" t="s">
        <v>5611</v>
      </c>
      <c r="E706" s="2"/>
      <c r="F706" s="57"/>
      <c r="G706" s="64" t="s">
        <v>5612</v>
      </c>
      <c r="H706" s="59">
        <v>999.98599999999999</v>
      </c>
    </row>
    <row r="707" spans="1:8" ht="112.5" customHeight="1" x14ac:dyDescent="0.15">
      <c r="A707" s="60">
        <v>717</v>
      </c>
      <c r="B707" s="30" t="s">
        <v>3822</v>
      </c>
      <c r="C707" s="30" t="s">
        <v>5613</v>
      </c>
      <c r="D707" s="61" t="s">
        <v>5614</v>
      </c>
      <c r="E707" s="2"/>
      <c r="F707" s="57"/>
      <c r="G707" s="63" t="s">
        <v>5615</v>
      </c>
      <c r="H707" s="59">
        <v>999.99</v>
      </c>
    </row>
    <row r="708" spans="1:8" ht="112.5" customHeight="1" x14ac:dyDescent="0.15">
      <c r="A708" s="54">
        <v>716</v>
      </c>
      <c r="B708" s="55" t="s">
        <v>3822</v>
      </c>
      <c r="C708" s="55" t="s">
        <v>5616</v>
      </c>
      <c r="D708" s="56" t="s">
        <v>5617</v>
      </c>
      <c r="E708" s="2"/>
      <c r="F708" s="57"/>
      <c r="G708" s="64" t="s">
        <v>5618</v>
      </c>
      <c r="H708" s="59">
        <v>999.99900000000002</v>
      </c>
    </row>
    <row r="709" spans="1:8" ht="112.5" customHeight="1" x14ac:dyDescent="0.15">
      <c r="A709" s="60">
        <v>715</v>
      </c>
      <c r="B709" s="30" t="s">
        <v>3556</v>
      </c>
      <c r="C709" s="30" t="s">
        <v>5619</v>
      </c>
      <c r="D709" s="61" t="s">
        <v>5620</v>
      </c>
      <c r="E709" s="2"/>
      <c r="F709" s="57"/>
      <c r="G709" s="63" t="s">
        <v>5621</v>
      </c>
      <c r="H709" s="59">
        <v>999.99599999999998</v>
      </c>
    </row>
    <row r="710" spans="1:8" ht="112.5" customHeight="1" x14ac:dyDescent="0.15">
      <c r="A710" s="54">
        <v>714</v>
      </c>
      <c r="B710" s="55" t="s">
        <v>3556</v>
      </c>
      <c r="C710" s="55" t="s">
        <v>5622</v>
      </c>
      <c r="D710" s="56" t="s">
        <v>5623</v>
      </c>
      <c r="E710" s="2"/>
      <c r="F710" s="57"/>
      <c r="G710" s="64" t="s">
        <v>5624</v>
      </c>
      <c r="H710" s="59" t="s">
        <v>4171</v>
      </c>
    </row>
    <row r="711" spans="1:8" ht="112.5" customHeight="1" x14ac:dyDescent="0.15">
      <c r="A711" s="60">
        <v>713</v>
      </c>
      <c r="B711" s="30" t="s">
        <v>3533</v>
      </c>
      <c r="C711" s="30" t="s">
        <v>5625</v>
      </c>
      <c r="D711" s="61" t="s">
        <v>5626</v>
      </c>
      <c r="E711" s="2"/>
      <c r="F711" s="57"/>
      <c r="G711" s="63" t="s">
        <v>5627</v>
      </c>
      <c r="H711" s="59">
        <v>999.98500000000001</v>
      </c>
    </row>
    <row r="712" spans="1:8" ht="112.5" customHeight="1" x14ac:dyDescent="0.15">
      <c r="A712" s="54">
        <v>712</v>
      </c>
      <c r="B712" s="55" t="s">
        <v>3509</v>
      </c>
      <c r="C712" s="55" t="s">
        <v>5628</v>
      </c>
      <c r="D712" s="56" t="s">
        <v>5629</v>
      </c>
      <c r="E712" s="2"/>
      <c r="F712" s="57"/>
      <c r="G712" s="64" t="s">
        <v>5630</v>
      </c>
      <c r="H712" s="59" t="s">
        <v>4171</v>
      </c>
    </row>
    <row r="713" spans="1:8" ht="112.5" customHeight="1" x14ac:dyDescent="0.15">
      <c r="A713" s="60">
        <v>711</v>
      </c>
      <c r="B713" s="30" t="s">
        <v>3509</v>
      </c>
      <c r="C713" s="30" t="s">
        <v>5631</v>
      </c>
      <c r="D713" s="61" t="s">
        <v>5632</v>
      </c>
      <c r="E713" s="2"/>
      <c r="F713" s="57"/>
      <c r="G713" s="63" t="s">
        <v>5633</v>
      </c>
      <c r="H713" s="59">
        <v>999.99300000000005</v>
      </c>
    </row>
    <row r="714" spans="1:8" ht="112.5" customHeight="1" x14ac:dyDescent="0.15">
      <c r="A714" s="54">
        <v>710</v>
      </c>
      <c r="B714" s="55" t="s">
        <v>3556</v>
      </c>
      <c r="C714" s="55" t="s">
        <v>5634</v>
      </c>
      <c r="D714" s="56" t="s">
        <v>5635</v>
      </c>
      <c r="E714" s="2"/>
      <c r="F714" s="57"/>
      <c r="G714" s="64" t="s">
        <v>5636</v>
      </c>
      <c r="H714" s="59">
        <v>0</v>
      </c>
    </row>
    <row r="715" spans="1:8" ht="112.5" customHeight="1" x14ac:dyDescent="0.15">
      <c r="A715" s="60">
        <v>709</v>
      </c>
      <c r="B715" s="30" t="s">
        <v>3526</v>
      </c>
      <c r="C715" s="30" t="s">
        <v>5637</v>
      </c>
      <c r="D715" s="61" t="s">
        <v>5638</v>
      </c>
      <c r="E715" s="2"/>
      <c r="F715" s="57"/>
      <c r="G715" s="63" t="s">
        <v>5639</v>
      </c>
      <c r="H715" s="59" t="s">
        <v>4171</v>
      </c>
    </row>
    <row r="716" spans="1:8" ht="112.5" customHeight="1" x14ac:dyDescent="0.15">
      <c r="A716" s="54">
        <v>708</v>
      </c>
      <c r="B716" s="55" t="s">
        <v>3526</v>
      </c>
      <c r="C716" s="55" t="s">
        <v>5640</v>
      </c>
      <c r="D716" s="56" t="s">
        <v>5641</v>
      </c>
      <c r="E716" s="2"/>
      <c r="F716" s="57"/>
      <c r="G716" s="64" t="s">
        <v>5642</v>
      </c>
      <c r="H716" s="59">
        <v>999.97500000000002</v>
      </c>
    </row>
    <row r="717" spans="1:8" ht="112.5" customHeight="1" x14ac:dyDescent="0.15">
      <c r="A717" s="60">
        <v>707</v>
      </c>
      <c r="B717" s="30" t="s">
        <v>3549</v>
      </c>
      <c r="C717" s="30" t="s">
        <v>5643</v>
      </c>
      <c r="D717" s="61" t="s">
        <v>5644</v>
      </c>
      <c r="E717" s="2"/>
      <c r="F717" s="57"/>
      <c r="G717" s="63" t="s">
        <v>5645</v>
      </c>
      <c r="H717" s="59" t="s">
        <v>4171</v>
      </c>
    </row>
    <row r="718" spans="1:8" ht="112.5" customHeight="1" x14ac:dyDescent="0.15">
      <c r="A718" s="54">
        <v>706</v>
      </c>
      <c r="B718" s="55" t="s">
        <v>3801</v>
      </c>
      <c r="C718" s="55" t="s">
        <v>5646</v>
      </c>
      <c r="D718" s="56" t="s">
        <v>5647</v>
      </c>
      <c r="E718" s="2"/>
      <c r="F718" s="57"/>
      <c r="G718" s="64" t="s">
        <v>5648</v>
      </c>
      <c r="H718" s="59" t="s">
        <v>4171</v>
      </c>
    </row>
    <row r="719" spans="1:8" ht="112.5" customHeight="1" x14ac:dyDescent="0.15">
      <c r="A719" s="54">
        <v>704</v>
      </c>
      <c r="B719" s="55" t="s">
        <v>3526</v>
      </c>
      <c r="C719" s="55" t="s">
        <v>5649</v>
      </c>
      <c r="D719" s="56" t="s">
        <v>5650</v>
      </c>
      <c r="E719" s="2"/>
      <c r="F719" s="57"/>
      <c r="G719" s="63" t="s">
        <v>5651</v>
      </c>
      <c r="H719" s="59" t="s">
        <v>4171</v>
      </c>
    </row>
    <row r="720" spans="1:8" ht="112.5" customHeight="1" x14ac:dyDescent="0.15">
      <c r="A720" s="60">
        <v>703</v>
      </c>
      <c r="B720" s="30" t="s">
        <v>3630</v>
      </c>
      <c r="C720" s="30" t="s">
        <v>5652</v>
      </c>
      <c r="D720" s="61" t="s">
        <v>5653</v>
      </c>
      <c r="E720" s="2"/>
      <c r="F720" s="57"/>
      <c r="G720" s="64" t="s">
        <v>5654</v>
      </c>
      <c r="H720" s="59">
        <v>999.98900000000003</v>
      </c>
    </row>
    <row r="721" spans="1:13" ht="112.5" customHeight="1" x14ac:dyDescent="0.15">
      <c r="A721" s="60">
        <v>701</v>
      </c>
      <c r="B721" s="30" t="s">
        <v>3630</v>
      </c>
      <c r="C721" s="30" t="s">
        <v>5655</v>
      </c>
      <c r="D721" s="61" t="s">
        <v>5656</v>
      </c>
      <c r="E721" s="2"/>
      <c r="F721" s="57"/>
      <c r="G721" s="63" t="s">
        <v>5657</v>
      </c>
      <c r="H721" s="59">
        <v>999.98599999999999</v>
      </c>
    </row>
    <row r="722" spans="1:13" ht="112.5" customHeight="1" x14ac:dyDescent="0.15">
      <c r="A722" s="54">
        <v>700</v>
      </c>
      <c r="B722" s="55" t="s">
        <v>3630</v>
      </c>
      <c r="C722" s="55" t="s">
        <v>5658</v>
      </c>
      <c r="D722" s="56" t="s">
        <v>5659</v>
      </c>
      <c r="E722" s="2"/>
      <c r="F722" s="57"/>
      <c r="G722" s="64" t="s">
        <v>5660</v>
      </c>
      <c r="H722" s="59">
        <v>999.99900000000002</v>
      </c>
    </row>
    <row r="723" spans="1:13" ht="112.5" customHeight="1" x14ac:dyDescent="0.15">
      <c r="A723" s="60">
        <v>699</v>
      </c>
      <c r="B723" s="30" t="s">
        <v>3630</v>
      </c>
      <c r="C723" s="30" t="s">
        <v>5661</v>
      </c>
      <c r="D723" s="61" t="s">
        <v>5662</v>
      </c>
      <c r="E723" s="2"/>
      <c r="F723" s="57"/>
      <c r="G723" s="63" t="s">
        <v>5663</v>
      </c>
      <c r="H723" s="59">
        <v>999.78200000000004</v>
      </c>
    </row>
    <row r="724" spans="1:13" ht="112.5" customHeight="1" x14ac:dyDescent="0.15">
      <c r="A724" s="54">
        <v>698</v>
      </c>
      <c r="B724" s="55" t="s">
        <v>3630</v>
      </c>
      <c r="C724" s="55" t="s">
        <v>5664</v>
      </c>
      <c r="D724" s="56" t="s">
        <v>5665</v>
      </c>
      <c r="E724" s="2"/>
      <c r="F724" s="57"/>
      <c r="G724" s="58" t="s">
        <v>5666</v>
      </c>
      <c r="H724" s="59">
        <v>0</v>
      </c>
      <c r="I724" s="29"/>
      <c r="J724" s="29"/>
      <c r="K724" s="29"/>
      <c r="L724" s="29"/>
      <c r="M724" s="29"/>
    </row>
    <row r="725" spans="1:13" ht="112.5" customHeight="1" x14ac:dyDescent="0.15">
      <c r="A725" s="60">
        <v>697</v>
      </c>
      <c r="B725" s="30" t="s">
        <v>3630</v>
      </c>
      <c r="C725" s="30" t="s">
        <v>5667</v>
      </c>
      <c r="D725" s="61" t="s">
        <v>5668</v>
      </c>
      <c r="E725" s="2"/>
      <c r="F725" s="57"/>
      <c r="G725" s="63" t="s">
        <v>5669</v>
      </c>
      <c r="H725" s="59">
        <v>999.96</v>
      </c>
    </row>
    <row r="726" spans="1:13" ht="112.5" customHeight="1" x14ac:dyDescent="0.15">
      <c r="A726" s="60">
        <v>593</v>
      </c>
      <c r="B726" s="30" t="s">
        <v>3822</v>
      </c>
      <c r="C726" s="30" t="s">
        <v>5670</v>
      </c>
      <c r="D726" s="61" t="s">
        <v>5671</v>
      </c>
      <c r="E726" s="2"/>
      <c r="F726" s="57"/>
      <c r="G726" s="64" t="s">
        <v>5672</v>
      </c>
      <c r="H726" s="59">
        <v>999.98500000000001</v>
      </c>
    </row>
    <row r="727" spans="1:13" ht="112.5" customHeight="1" x14ac:dyDescent="0.15">
      <c r="A727" s="54">
        <v>592</v>
      </c>
      <c r="B727" s="55" t="s">
        <v>3822</v>
      </c>
      <c r="C727" s="55" t="s">
        <v>5673</v>
      </c>
      <c r="D727" s="56" t="s">
        <v>5674</v>
      </c>
      <c r="E727" s="2"/>
      <c r="F727" s="57"/>
      <c r="G727" s="63" t="s">
        <v>5675</v>
      </c>
      <c r="H727" s="59">
        <v>999.98</v>
      </c>
    </row>
    <row r="728" spans="1:13" ht="112.5" customHeight="1" x14ac:dyDescent="0.15">
      <c r="A728" s="60">
        <v>3087</v>
      </c>
      <c r="B728" s="30" t="s">
        <v>3749</v>
      </c>
      <c r="C728" s="30" t="s">
        <v>5676</v>
      </c>
      <c r="D728" s="61" t="s">
        <v>5677</v>
      </c>
      <c r="E728" s="2"/>
      <c r="F728" s="57"/>
      <c r="G728" s="64" t="s">
        <v>5678</v>
      </c>
      <c r="H728" s="59" t="s">
        <v>4171</v>
      </c>
    </row>
    <row r="729" spans="1:13" ht="112.5" customHeight="1" x14ac:dyDescent="0.15">
      <c r="A729" s="60">
        <v>591</v>
      </c>
      <c r="B729" s="30" t="s">
        <v>3502</v>
      </c>
      <c r="C729" s="30" t="s">
        <v>5679</v>
      </c>
      <c r="D729" s="61" t="s">
        <v>5680</v>
      </c>
      <c r="E729" s="2"/>
      <c r="F729" s="57"/>
      <c r="G729" s="63" t="s">
        <v>5681</v>
      </c>
      <c r="H729" s="59">
        <v>999.95699999999999</v>
      </c>
    </row>
    <row r="730" spans="1:13" ht="112.5" customHeight="1" x14ac:dyDescent="0.15">
      <c r="A730" s="54">
        <v>590</v>
      </c>
      <c r="B730" s="55" t="s">
        <v>3502</v>
      </c>
      <c r="C730" s="55" t="s">
        <v>5682</v>
      </c>
      <c r="D730" s="56" t="s">
        <v>5683</v>
      </c>
      <c r="E730" s="2"/>
      <c r="F730" s="57"/>
      <c r="G730" s="64" t="s">
        <v>5684</v>
      </c>
      <c r="H730" s="59">
        <v>999.98</v>
      </c>
    </row>
    <row r="731" spans="1:13" ht="112.5" customHeight="1" x14ac:dyDescent="0.15">
      <c r="A731" s="60">
        <v>3305</v>
      </c>
      <c r="B731" s="30" t="s">
        <v>3749</v>
      </c>
      <c r="C731" s="30" t="s">
        <v>5685</v>
      </c>
      <c r="D731" s="61" t="s">
        <v>5686</v>
      </c>
      <c r="E731" s="2"/>
      <c r="F731" s="57"/>
      <c r="G731" s="63" t="s">
        <v>5687</v>
      </c>
      <c r="H731" s="59">
        <v>999.91099999999994</v>
      </c>
    </row>
    <row r="732" spans="1:13" ht="112.5" customHeight="1" x14ac:dyDescent="0.15">
      <c r="A732" s="54">
        <v>3304</v>
      </c>
      <c r="B732" s="55" t="s">
        <v>3749</v>
      </c>
      <c r="C732" s="55" t="s">
        <v>5688</v>
      </c>
      <c r="D732" s="56" t="s">
        <v>5689</v>
      </c>
      <c r="E732" s="2"/>
      <c r="F732" s="57"/>
      <c r="G732" s="64" t="s">
        <v>5690</v>
      </c>
      <c r="H732" s="59">
        <v>999.98</v>
      </c>
    </row>
    <row r="733" spans="1:13" ht="112.5" customHeight="1" x14ac:dyDescent="0.15">
      <c r="A733" s="60">
        <v>589</v>
      </c>
      <c r="B733" s="30" t="s">
        <v>3502</v>
      </c>
      <c r="C733" s="30" t="s">
        <v>5691</v>
      </c>
      <c r="D733" s="61" t="s">
        <v>5692</v>
      </c>
      <c r="E733" s="2"/>
      <c r="F733" s="57"/>
      <c r="G733" s="63" t="s">
        <v>5693</v>
      </c>
      <c r="H733" s="59" t="s">
        <v>4171</v>
      </c>
    </row>
    <row r="734" spans="1:13" ht="112.5" customHeight="1" x14ac:dyDescent="0.15">
      <c r="A734" s="54">
        <v>588</v>
      </c>
      <c r="B734" s="55" t="s">
        <v>3630</v>
      </c>
      <c r="C734" s="55" t="s">
        <v>5694</v>
      </c>
      <c r="D734" s="56" t="s">
        <v>5695</v>
      </c>
      <c r="E734" s="2"/>
      <c r="F734" s="57"/>
      <c r="G734" s="64" t="s">
        <v>5696</v>
      </c>
      <c r="H734" s="59" t="s">
        <v>4171</v>
      </c>
    </row>
    <row r="735" spans="1:13" ht="112.5" customHeight="1" x14ac:dyDescent="0.15">
      <c r="A735" s="60">
        <v>587</v>
      </c>
      <c r="B735" s="30" t="s">
        <v>3492</v>
      </c>
      <c r="C735" s="30" t="s">
        <v>5697</v>
      </c>
      <c r="D735" s="61" t="s">
        <v>5698</v>
      </c>
      <c r="E735" s="2"/>
      <c r="F735" s="57"/>
      <c r="G735" s="63" t="s">
        <v>5699</v>
      </c>
      <c r="H735" s="59">
        <v>999.97</v>
      </c>
    </row>
    <row r="736" spans="1:13" ht="112.5" customHeight="1" x14ac:dyDescent="0.15">
      <c r="A736" s="54">
        <v>586</v>
      </c>
      <c r="B736" s="55" t="s">
        <v>4330</v>
      </c>
      <c r="C736" s="55" t="s">
        <v>5700</v>
      </c>
      <c r="D736" s="56" t="s">
        <v>5701</v>
      </c>
      <c r="E736" s="2"/>
      <c r="F736" s="57"/>
      <c r="G736" s="64" t="s">
        <v>5702</v>
      </c>
      <c r="H736" s="59">
        <v>0</v>
      </c>
    </row>
    <row r="737" spans="1:13" ht="112.5" customHeight="1" x14ac:dyDescent="0.15">
      <c r="A737" s="60">
        <v>585</v>
      </c>
      <c r="B737" s="30" t="s">
        <v>3599</v>
      </c>
      <c r="C737" s="30" t="s">
        <v>5703</v>
      </c>
      <c r="D737" s="61" t="s">
        <v>5704</v>
      </c>
      <c r="E737" s="2"/>
      <c r="F737" s="57"/>
      <c r="G737" s="63" t="s">
        <v>5705</v>
      </c>
      <c r="H737" s="59" t="s">
        <v>4171</v>
      </c>
    </row>
    <row r="738" spans="1:13" ht="112.5" customHeight="1" x14ac:dyDescent="0.15">
      <c r="A738" s="54">
        <v>584</v>
      </c>
      <c r="B738" s="55" t="s">
        <v>3814</v>
      </c>
      <c r="C738" s="55" t="s">
        <v>5706</v>
      </c>
      <c r="D738" s="56" t="s">
        <v>5707</v>
      </c>
      <c r="E738" s="2"/>
      <c r="F738" s="57"/>
      <c r="G738" s="64" t="s">
        <v>5708</v>
      </c>
      <c r="H738" s="59">
        <v>999.99599999999998</v>
      </c>
    </row>
    <row r="739" spans="1:13" ht="112.5" customHeight="1" x14ac:dyDescent="0.15">
      <c r="A739" s="54">
        <v>3352</v>
      </c>
      <c r="B739" s="55" t="s">
        <v>3496</v>
      </c>
      <c r="C739" s="55" t="s">
        <v>5709</v>
      </c>
      <c r="D739" s="56" t="s">
        <v>5710</v>
      </c>
      <c r="E739" s="2"/>
      <c r="F739" s="57"/>
      <c r="G739" s="62" t="s">
        <v>5711</v>
      </c>
      <c r="H739" s="59">
        <v>765</v>
      </c>
      <c r="I739" s="29"/>
      <c r="J739" s="29"/>
      <c r="K739" s="29"/>
      <c r="L739" s="29"/>
      <c r="M739" s="29"/>
    </row>
    <row r="740" spans="1:13" ht="112.5" customHeight="1" x14ac:dyDescent="0.15">
      <c r="A740" s="60">
        <v>583</v>
      </c>
      <c r="B740" s="30" t="s">
        <v>3822</v>
      </c>
      <c r="C740" s="30" t="s">
        <v>5712</v>
      </c>
      <c r="D740" s="61" t="s">
        <v>5713</v>
      </c>
      <c r="E740" s="2"/>
      <c r="F740" s="57"/>
      <c r="G740" s="64" t="s">
        <v>5714</v>
      </c>
      <c r="H740" s="59">
        <v>999</v>
      </c>
    </row>
    <row r="741" spans="1:13" ht="112.5" customHeight="1" x14ac:dyDescent="0.15">
      <c r="A741" s="54">
        <v>582</v>
      </c>
      <c r="B741" s="55" t="s">
        <v>3670</v>
      </c>
      <c r="C741" s="55" t="s">
        <v>5715</v>
      </c>
      <c r="D741" s="56" t="s">
        <v>5716</v>
      </c>
      <c r="E741" s="2"/>
      <c r="F741" s="57"/>
      <c r="G741" s="63" t="s">
        <v>5717</v>
      </c>
      <c r="H741" s="59">
        <v>997</v>
      </c>
    </row>
    <row r="742" spans="1:13" ht="112.5" customHeight="1" x14ac:dyDescent="0.15">
      <c r="A742" s="60">
        <v>581</v>
      </c>
      <c r="B742" s="30" t="s">
        <v>3670</v>
      </c>
      <c r="C742" s="30" t="s">
        <v>5718</v>
      </c>
      <c r="D742" s="61" t="s">
        <v>5719</v>
      </c>
      <c r="E742" s="2"/>
      <c r="F742" s="57"/>
      <c r="G742" s="64" t="s">
        <v>5720</v>
      </c>
      <c r="H742" s="59">
        <v>0</v>
      </c>
    </row>
    <row r="743" spans="1:13" ht="112.5" customHeight="1" x14ac:dyDescent="0.15">
      <c r="A743" s="54">
        <v>3208</v>
      </c>
      <c r="B743" s="55" t="s">
        <v>3822</v>
      </c>
      <c r="C743" s="55" t="s">
        <v>5721</v>
      </c>
      <c r="D743" s="56" t="s">
        <v>5722</v>
      </c>
      <c r="E743" s="2"/>
      <c r="F743" s="57"/>
      <c r="G743" s="63" t="s">
        <v>5723</v>
      </c>
      <c r="H743" s="59">
        <v>973</v>
      </c>
    </row>
    <row r="744" spans="1:13" ht="112.5" customHeight="1" x14ac:dyDescent="0.15">
      <c r="A744" s="54">
        <v>580</v>
      </c>
      <c r="B744" s="55" t="s">
        <v>3533</v>
      </c>
      <c r="C744" s="55" t="s">
        <v>5724</v>
      </c>
      <c r="D744" s="56" t="s">
        <v>5725</v>
      </c>
      <c r="E744" s="2"/>
      <c r="F744" s="57"/>
      <c r="G744" s="64" t="s">
        <v>5726</v>
      </c>
      <c r="H744" s="59">
        <v>999</v>
      </c>
    </row>
    <row r="745" spans="1:13" ht="112.5" customHeight="1" x14ac:dyDescent="0.15">
      <c r="A745" s="60">
        <v>579</v>
      </c>
      <c r="B745" s="30" t="s">
        <v>3630</v>
      </c>
      <c r="C745" s="30" t="s">
        <v>5727</v>
      </c>
      <c r="D745" s="61" t="s">
        <v>5728</v>
      </c>
      <c r="E745" s="2"/>
      <c r="F745" s="57"/>
      <c r="G745" s="63" t="s">
        <v>5729</v>
      </c>
      <c r="H745" s="59">
        <v>1</v>
      </c>
    </row>
    <row r="746" spans="1:13" ht="112.5" customHeight="1" x14ac:dyDescent="0.15">
      <c r="A746" s="54">
        <v>578</v>
      </c>
      <c r="B746" s="55" t="s">
        <v>3630</v>
      </c>
      <c r="C746" s="55" t="s">
        <v>5730</v>
      </c>
      <c r="D746" s="56" t="s">
        <v>5731</v>
      </c>
      <c r="E746" s="2"/>
      <c r="F746" s="57"/>
      <c r="G746" s="64" t="s">
        <v>5732</v>
      </c>
      <c r="H746" s="59">
        <v>1</v>
      </c>
    </row>
    <row r="747" spans="1:13" ht="112.5" customHeight="1" x14ac:dyDescent="0.15">
      <c r="A747" s="60">
        <v>577</v>
      </c>
      <c r="B747" s="30" t="s">
        <v>3630</v>
      </c>
      <c r="C747" s="30" t="s">
        <v>5733</v>
      </c>
      <c r="D747" s="61" t="s">
        <v>5734</v>
      </c>
      <c r="E747" s="2"/>
      <c r="F747" s="57"/>
      <c r="G747" s="63" t="s">
        <v>5735</v>
      </c>
      <c r="H747" s="59">
        <v>999</v>
      </c>
    </row>
    <row r="748" spans="1:13" ht="112.5" customHeight="1" x14ac:dyDescent="0.15">
      <c r="A748" s="54">
        <v>576</v>
      </c>
      <c r="B748" s="55" t="s">
        <v>3630</v>
      </c>
      <c r="C748" s="55" t="s">
        <v>5736</v>
      </c>
      <c r="D748" s="56" t="s">
        <v>5737</v>
      </c>
      <c r="E748" s="2"/>
      <c r="F748" s="57"/>
      <c r="G748" s="64" t="s">
        <v>5738</v>
      </c>
      <c r="H748" s="59">
        <v>1</v>
      </c>
    </row>
    <row r="749" spans="1:13" ht="112.5" customHeight="1" x14ac:dyDescent="0.15">
      <c r="A749" s="60">
        <v>575</v>
      </c>
      <c r="B749" s="30" t="s">
        <v>3630</v>
      </c>
      <c r="C749" s="30" t="s">
        <v>5739</v>
      </c>
      <c r="D749" s="61" t="s">
        <v>5740</v>
      </c>
      <c r="E749" s="2"/>
      <c r="F749" s="57"/>
      <c r="G749" s="63" t="s">
        <v>5741</v>
      </c>
      <c r="H749" s="59">
        <v>1</v>
      </c>
    </row>
    <row r="750" spans="1:13" ht="112.5" customHeight="1" x14ac:dyDescent="0.15">
      <c r="A750" s="54">
        <v>574</v>
      </c>
      <c r="B750" s="55" t="s">
        <v>3822</v>
      </c>
      <c r="C750" s="55" t="s">
        <v>5742</v>
      </c>
      <c r="D750" s="56" t="s">
        <v>5743</v>
      </c>
      <c r="E750" s="2"/>
      <c r="F750" s="57"/>
      <c r="G750" s="64" t="s">
        <v>5744</v>
      </c>
      <c r="H750" s="59">
        <v>960</v>
      </c>
    </row>
    <row r="751" spans="1:13" ht="112.5" customHeight="1" x14ac:dyDescent="0.15">
      <c r="A751" s="60">
        <v>573</v>
      </c>
      <c r="B751" s="30" t="s">
        <v>3822</v>
      </c>
      <c r="C751" s="30" t="s">
        <v>5745</v>
      </c>
      <c r="D751" s="61" t="s">
        <v>5746</v>
      </c>
      <c r="E751" s="2"/>
      <c r="F751" s="57"/>
      <c r="G751" s="63" t="s">
        <v>5747</v>
      </c>
      <c r="H751" s="59">
        <v>0</v>
      </c>
    </row>
    <row r="752" spans="1:13" ht="112.5" customHeight="1" x14ac:dyDescent="0.15">
      <c r="A752" s="54">
        <v>572</v>
      </c>
      <c r="B752" s="55" t="s">
        <v>3822</v>
      </c>
      <c r="C752" s="55" t="s">
        <v>5748</v>
      </c>
      <c r="D752" s="56" t="s">
        <v>5749</v>
      </c>
      <c r="E752" s="2"/>
      <c r="F752" s="57"/>
      <c r="G752" s="64" t="s">
        <v>5750</v>
      </c>
      <c r="H752" s="59">
        <v>0</v>
      </c>
    </row>
    <row r="753" spans="1:8" ht="112.5" customHeight="1" x14ac:dyDescent="0.15">
      <c r="A753" s="60">
        <v>3207</v>
      </c>
      <c r="B753" s="30" t="s">
        <v>3822</v>
      </c>
      <c r="C753" s="30" t="s">
        <v>5751</v>
      </c>
      <c r="D753" s="61" t="s">
        <v>5752</v>
      </c>
      <c r="E753" s="2"/>
      <c r="F753" s="57"/>
      <c r="G753" s="63" t="s">
        <v>5753</v>
      </c>
      <c r="H753" s="59">
        <v>1</v>
      </c>
    </row>
    <row r="754" spans="1:8" ht="112.5" customHeight="1" x14ac:dyDescent="0.15">
      <c r="A754" s="60">
        <v>571</v>
      </c>
      <c r="B754" s="30" t="s">
        <v>3822</v>
      </c>
      <c r="C754" s="30" t="s">
        <v>5754</v>
      </c>
      <c r="D754" s="61" t="s">
        <v>5755</v>
      </c>
      <c r="E754" s="2"/>
      <c r="F754" s="57"/>
      <c r="G754" s="64" t="s">
        <v>5756</v>
      </c>
      <c r="H754" s="59">
        <v>1</v>
      </c>
    </row>
    <row r="755" spans="1:8" ht="112.5" customHeight="1" x14ac:dyDescent="0.15">
      <c r="A755" s="54">
        <v>3206</v>
      </c>
      <c r="B755" s="55" t="s">
        <v>3822</v>
      </c>
      <c r="C755" s="55" t="s">
        <v>5757</v>
      </c>
      <c r="D755" s="56" t="s">
        <v>5758</v>
      </c>
      <c r="E755" s="2"/>
      <c r="F755" s="57"/>
      <c r="G755" s="63" t="s">
        <v>5759</v>
      </c>
      <c r="H755" s="59">
        <v>1</v>
      </c>
    </row>
    <row r="756" spans="1:8" ht="112.5" customHeight="1" x14ac:dyDescent="0.15">
      <c r="A756" s="54">
        <v>570</v>
      </c>
      <c r="B756" s="55" t="s">
        <v>3822</v>
      </c>
      <c r="C756" s="55" t="s">
        <v>5760</v>
      </c>
      <c r="D756" s="56" t="s">
        <v>5761</v>
      </c>
      <c r="E756" s="2"/>
      <c r="F756" s="57"/>
      <c r="G756" s="64" t="s">
        <v>5762</v>
      </c>
      <c r="H756" s="59">
        <v>866</v>
      </c>
    </row>
    <row r="757" spans="1:8" ht="112.5" customHeight="1" x14ac:dyDescent="0.15">
      <c r="A757" s="60">
        <v>569</v>
      </c>
      <c r="B757" s="30" t="s">
        <v>3822</v>
      </c>
      <c r="C757" s="30" t="s">
        <v>5763</v>
      </c>
      <c r="D757" s="61" t="s">
        <v>5764</v>
      </c>
      <c r="E757" s="2"/>
      <c r="F757" s="57"/>
      <c r="G757" s="63" t="s">
        <v>5765</v>
      </c>
      <c r="H757" s="59">
        <v>980</v>
      </c>
    </row>
    <row r="758" spans="1:8" ht="112.5" customHeight="1" x14ac:dyDescent="0.15">
      <c r="A758" s="54">
        <v>568</v>
      </c>
      <c r="B758" s="55" t="s">
        <v>3822</v>
      </c>
      <c r="C758" s="55" t="s">
        <v>5766</v>
      </c>
      <c r="D758" s="56" t="s">
        <v>5767</v>
      </c>
      <c r="E758" s="2"/>
      <c r="F758" s="57"/>
      <c r="G758" s="64" t="s">
        <v>5768</v>
      </c>
      <c r="H758" s="59" t="s">
        <v>4171</v>
      </c>
    </row>
    <row r="759" spans="1:8" ht="112.5" customHeight="1" x14ac:dyDescent="0.15">
      <c r="A759" s="54">
        <v>3348</v>
      </c>
      <c r="B759" s="55" t="s">
        <v>3822</v>
      </c>
      <c r="C759" s="55" t="s">
        <v>5769</v>
      </c>
      <c r="D759" s="56" t="s">
        <v>5770</v>
      </c>
      <c r="E759" s="2"/>
      <c r="F759" s="57"/>
      <c r="G759" s="63" t="s">
        <v>5771</v>
      </c>
      <c r="H759" s="59">
        <v>1</v>
      </c>
    </row>
    <row r="760" spans="1:8" ht="112.5" customHeight="1" x14ac:dyDescent="0.15">
      <c r="A760" s="60">
        <v>3205</v>
      </c>
      <c r="B760" s="30" t="s">
        <v>3630</v>
      </c>
      <c r="C760" s="30" t="s">
        <v>5772</v>
      </c>
      <c r="D760" s="61" t="s">
        <v>5773</v>
      </c>
      <c r="E760" s="2"/>
      <c r="F760" s="57"/>
      <c r="G760" s="64" t="s">
        <v>5774</v>
      </c>
      <c r="H760" s="59">
        <v>997</v>
      </c>
    </row>
    <row r="761" spans="1:8" ht="112.5" customHeight="1" x14ac:dyDescent="0.15">
      <c r="A761" s="54">
        <v>3248</v>
      </c>
      <c r="B761" s="55" t="s">
        <v>3822</v>
      </c>
      <c r="C761" s="55" t="s">
        <v>5775</v>
      </c>
      <c r="D761" s="56" t="s">
        <v>5776</v>
      </c>
      <c r="E761" s="2"/>
      <c r="F761" s="57"/>
      <c r="G761" s="63" t="s">
        <v>5777</v>
      </c>
      <c r="H761" s="59">
        <v>925</v>
      </c>
    </row>
    <row r="762" spans="1:8" ht="112.5" customHeight="1" x14ac:dyDescent="0.15">
      <c r="A762" s="60">
        <v>565</v>
      </c>
      <c r="B762" s="30" t="s">
        <v>3630</v>
      </c>
      <c r="C762" s="30" t="s">
        <v>5778</v>
      </c>
      <c r="D762" s="61" t="s">
        <v>5779</v>
      </c>
      <c r="E762" s="2"/>
      <c r="F762" s="57"/>
      <c r="G762" s="64" t="s">
        <v>5780</v>
      </c>
      <c r="H762" s="59">
        <v>967</v>
      </c>
    </row>
    <row r="763" spans="1:8" ht="112.5" customHeight="1" x14ac:dyDescent="0.15">
      <c r="A763" s="54">
        <v>566</v>
      </c>
      <c r="B763" s="55" t="s">
        <v>3630</v>
      </c>
      <c r="C763" s="55" t="s">
        <v>5781</v>
      </c>
      <c r="D763" s="56" t="s">
        <v>5782</v>
      </c>
      <c r="E763" s="2"/>
      <c r="F763" s="57"/>
      <c r="G763" s="63" t="s">
        <v>5783</v>
      </c>
      <c r="H763" s="59">
        <v>978</v>
      </c>
    </row>
    <row r="764" spans="1:8" ht="112.5" customHeight="1" x14ac:dyDescent="0.15">
      <c r="A764" s="60">
        <v>563</v>
      </c>
      <c r="B764" s="30" t="s">
        <v>3630</v>
      </c>
      <c r="C764" s="30" t="s">
        <v>5784</v>
      </c>
      <c r="D764" s="61" t="s">
        <v>5785</v>
      </c>
      <c r="E764" s="2"/>
      <c r="F764" s="57"/>
      <c r="G764" s="64" t="s">
        <v>5786</v>
      </c>
      <c r="H764" s="59">
        <v>1</v>
      </c>
    </row>
    <row r="765" spans="1:8" ht="112.5" customHeight="1" x14ac:dyDescent="0.15">
      <c r="A765" s="54">
        <v>564</v>
      </c>
      <c r="B765" s="55" t="s">
        <v>3630</v>
      </c>
      <c r="C765" s="55" t="s">
        <v>5787</v>
      </c>
      <c r="D765" s="56" t="s">
        <v>5788</v>
      </c>
      <c r="E765" s="2"/>
      <c r="F765" s="57"/>
      <c r="G765" s="63" t="s">
        <v>5789</v>
      </c>
      <c r="H765" s="59">
        <v>992</v>
      </c>
    </row>
    <row r="766" spans="1:8" ht="112.5" customHeight="1" x14ac:dyDescent="0.15">
      <c r="A766" s="54">
        <v>562</v>
      </c>
      <c r="B766" s="55" t="s">
        <v>3630</v>
      </c>
      <c r="C766" s="55" t="s">
        <v>5790</v>
      </c>
      <c r="D766" s="56" t="s">
        <v>5791</v>
      </c>
      <c r="E766" s="2"/>
      <c r="F766" s="57"/>
      <c r="G766" s="64" t="s">
        <v>5792</v>
      </c>
      <c r="H766" s="59">
        <v>1</v>
      </c>
    </row>
    <row r="767" spans="1:8" ht="112.5" customHeight="1" x14ac:dyDescent="0.15">
      <c r="A767" s="60">
        <v>561</v>
      </c>
      <c r="B767" s="30" t="s">
        <v>3801</v>
      </c>
      <c r="C767" s="30" t="s">
        <v>5793</v>
      </c>
      <c r="D767" s="61" t="s">
        <v>5794</v>
      </c>
      <c r="E767" s="2"/>
      <c r="F767" s="57"/>
      <c r="G767" s="63" t="s">
        <v>5795</v>
      </c>
      <c r="H767" s="59">
        <v>1</v>
      </c>
    </row>
    <row r="768" spans="1:8" ht="112.5" customHeight="1" x14ac:dyDescent="0.15">
      <c r="A768" s="60">
        <v>559</v>
      </c>
      <c r="B768" s="30" t="s">
        <v>3630</v>
      </c>
      <c r="C768" s="30" t="s">
        <v>5796</v>
      </c>
      <c r="D768" s="61" t="s">
        <v>5797</v>
      </c>
      <c r="E768" s="2"/>
      <c r="F768" s="57"/>
      <c r="G768" s="64" t="s">
        <v>5798</v>
      </c>
      <c r="H768" s="59">
        <v>849</v>
      </c>
    </row>
    <row r="769" spans="1:8" ht="112.5" customHeight="1" x14ac:dyDescent="0.15">
      <c r="A769" s="54">
        <v>560</v>
      </c>
      <c r="B769" s="55" t="s">
        <v>3630</v>
      </c>
      <c r="C769" s="55" t="s">
        <v>5799</v>
      </c>
      <c r="D769" s="56" t="s">
        <v>5800</v>
      </c>
      <c r="E769" s="2"/>
      <c r="F769" s="57"/>
      <c r="G769" s="63" t="s">
        <v>5801</v>
      </c>
      <c r="H769" s="59">
        <v>966</v>
      </c>
    </row>
    <row r="770" spans="1:8" ht="112.5" customHeight="1" x14ac:dyDescent="0.15">
      <c r="A770" s="60">
        <v>3467</v>
      </c>
      <c r="B770" s="30" t="s">
        <v>3630</v>
      </c>
      <c r="C770" s="30" t="s">
        <v>5802</v>
      </c>
      <c r="D770" s="61" t="s">
        <v>5803</v>
      </c>
      <c r="E770" s="2"/>
      <c r="F770" s="57"/>
      <c r="G770" s="64" t="s">
        <v>5804</v>
      </c>
      <c r="H770" s="59">
        <v>785</v>
      </c>
    </row>
    <row r="771" spans="1:8" ht="112.5" customHeight="1" x14ac:dyDescent="0.15">
      <c r="A771" s="54">
        <v>558</v>
      </c>
      <c r="B771" s="55" t="s">
        <v>3814</v>
      </c>
      <c r="C771" s="55" t="s">
        <v>5805</v>
      </c>
      <c r="D771" s="56" t="s">
        <v>5806</v>
      </c>
      <c r="E771" s="2"/>
      <c r="F771" s="57"/>
      <c r="G771" s="63" t="s">
        <v>5807</v>
      </c>
      <c r="H771" s="59">
        <v>1</v>
      </c>
    </row>
    <row r="772" spans="1:8" ht="112.5" customHeight="1" x14ac:dyDescent="0.15">
      <c r="A772" s="60">
        <v>557</v>
      </c>
      <c r="B772" s="30" t="s">
        <v>3492</v>
      </c>
      <c r="C772" s="30" t="s">
        <v>5808</v>
      </c>
      <c r="D772" s="61" t="s">
        <v>5809</v>
      </c>
      <c r="E772" s="2"/>
      <c r="F772" s="57"/>
      <c r="G772" s="64" t="s">
        <v>5810</v>
      </c>
      <c r="H772" s="59">
        <v>987</v>
      </c>
    </row>
    <row r="773" spans="1:8" ht="112.5" customHeight="1" x14ac:dyDescent="0.15">
      <c r="A773" s="54">
        <v>556</v>
      </c>
      <c r="B773" s="55" t="s">
        <v>3509</v>
      </c>
      <c r="C773" s="55" t="s">
        <v>5811</v>
      </c>
      <c r="D773" s="56" t="s">
        <v>5812</v>
      </c>
      <c r="E773" s="2"/>
      <c r="F773" s="57"/>
      <c r="G773" s="63" t="s">
        <v>5813</v>
      </c>
      <c r="H773" s="59">
        <v>993</v>
      </c>
    </row>
    <row r="774" spans="1:8" ht="112.5" customHeight="1" x14ac:dyDescent="0.15">
      <c r="A774" s="60">
        <v>555</v>
      </c>
      <c r="B774" s="30" t="s">
        <v>3509</v>
      </c>
      <c r="C774" s="30" t="s">
        <v>5814</v>
      </c>
      <c r="D774" s="61" t="s">
        <v>5815</v>
      </c>
      <c r="E774" s="2"/>
      <c r="F774" s="57"/>
      <c r="G774" s="64" t="s">
        <v>5816</v>
      </c>
      <c r="H774" s="59">
        <v>964</v>
      </c>
    </row>
    <row r="775" spans="1:8" ht="112.5" customHeight="1" x14ac:dyDescent="0.15">
      <c r="A775" s="54">
        <v>554</v>
      </c>
      <c r="B775" s="55" t="s">
        <v>3801</v>
      </c>
      <c r="C775" s="55" t="s">
        <v>5817</v>
      </c>
      <c r="D775" s="56" t="s">
        <v>5818</v>
      </c>
      <c r="E775" s="2"/>
      <c r="F775" s="57"/>
      <c r="G775" s="63" t="s">
        <v>5819</v>
      </c>
      <c r="H775" s="59">
        <v>997</v>
      </c>
    </row>
    <row r="776" spans="1:8" ht="112.5" customHeight="1" x14ac:dyDescent="0.15">
      <c r="A776" s="60">
        <v>553</v>
      </c>
      <c r="B776" s="30" t="s">
        <v>3526</v>
      </c>
      <c r="C776" s="30" t="s">
        <v>5820</v>
      </c>
      <c r="D776" s="61" t="s">
        <v>5821</v>
      </c>
      <c r="E776" s="2"/>
      <c r="F776" s="57"/>
      <c r="G776" s="64" t="s">
        <v>5822</v>
      </c>
      <c r="H776" s="59">
        <v>1</v>
      </c>
    </row>
    <row r="777" spans="1:8" ht="112.5" customHeight="1" x14ac:dyDescent="0.15">
      <c r="A777" s="54">
        <v>552</v>
      </c>
      <c r="B777" s="55" t="s">
        <v>3526</v>
      </c>
      <c r="C777" s="55" t="s">
        <v>5823</v>
      </c>
      <c r="D777" s="56" t="s">
        <v>5824</v>
      </c>
      <c r="E777" s="2"/>
      <c r="F777" s="57"/>
      <c r="G777" s="63" t="s">
        <v>5825</v>
      </c>
      <c r="H777" s="59">
        <v>1</v>
      </c>
    </row>
    <row r="778" spans="1:8" ht="112.5" customHeight="1" x14ac:dyDescent="0.15">
      <c r="A778" s="60">
        <v>551</v>
      </c>
      <c r="B778" s="30" t="s">
        <v>3670</v>
      </c>
      <c r="C778" s="30" t="s">
        <v>5826</v>
      </c>
      <c r="D778" s="61" t="s">
        <v>5827</v>
      </c>
      <c r="E778" s="2"/>
      <c r="F778" s="57"/>
      <c r="G778" s="64" t="s">
        <v>5828</v>
      </c>
      <c r="H778" s="59">
        <v>0</v>
      </c>
    </row>
    <row r="779" spans="1:8" ht="112.5" customHeight="1" x14ac:dyDescent="0.15">
      <c r="A779" s="54">
        <v>550</v>
      </c>
      <c r="B779" s="55" t="s">
        <v>3670</v>
      </c>
      <c r="C779" s="55" t="s">
        <v>5829</v>
      </c>
      <c r="D779" s="56" t="s">
        <v>5830</v>
      </c>
      <c r="E779" s="2"/>
      <c r="F779" s="57"/>
      <c r="G779" s="63" t="s">
        <v>5831</v>
      </c>
      <c r="H779" s="59">
        <v>992</v>
      </c>
    </row>
    <row r="780" spans="1:8" ht="112.5" customHeight="1" x14ac:dyDescent="0.15">
      <c r="A780" s="60">
        <v>549</v>
      </c>
      <c r="B780" s="30" t="s">
        <v>3670</v>
      </c>
      <c r="C780" s="30" t="s">
        <v>5832</v>
      </c>
      <c r="D780" s="61" t="s">
        <v>5833</v>
      </c>
      <c r="E780" s="2"/>
      <c r="F780" s="57"/>
      <c r="G780" s="64" t="s">
        <v>5834</v>
      </c>
      <c r="H780" s="59">
        <v>1</v>
      </c>
    </row>
    <row r="781" spans="1:8" ht="112.5" customHeight="1" x14ac:dyDescent="0.15">
      <c r="A781" s="54">
        <v>548</v>
      </c>
      <c r="B781" s="55" t="s">
        <v>3509</v>
      </c>
      <c r="C781" s="55" t="s">
        <v>5835</v>
      </c>
      <c r="D781" s="56" t="s">
        <v>5836</v>
      </c>
      <c r="E781" s="2"/>
      <c r="F781" s="57"/>
      <c r="G781" s="63" t="s">
        <v>5837</v>
      </c>
      <c r="H781" s="59">
        <v>999.98500000000001</v>
      </c>
    </row>
    <row r="782" spans="1:8" ht="112.5" customHeight="1" x14ac:dyDescent="0.15">
      <c r="A782" s="60">
        <v>547</v>
      </c>
      <c r="B782" s="30" t="s">
        <v>3876</v>
      </c>
      <c r="C782" s="30" t="s">
        <v>5838</v>
      </c>
      <c r="D782" s="61" t="s">
        <v>5839</v>
      </c>
      <c r="E782" s="2"/>
      <c r="F782" s="57"/>
      <c r="G782" s="64" t="s">
        <v>5840</v>
      </c>
      <c r="H782" s="59">
        <v>8.9849999999999994</v>
      </c>
    </row>
    <row r="783" spans="1:8" ht="112.5" customHeight="1" x14ac:dyDescent="0.15">
      <c r="A783" s="60">
        <v>3439</v>
      </c>
      <c r="B783" s="30" t="s">
        <v>3549</v>
      </c>
      <c r="C783" s="30" t="s">
        <v>5841</v>
      </c>
      <c r="D783" s="61" t="s">
        <v>5842</v>
      </c>
      <c r="E783" s="2"/>
      <c r="F783" s="57"/>
      <c r="G783" s="63" t="s">
        <v>5843</v>
      </c>
      <c r="H783" s="59">
        <v>999</v>
      </c>
    </row>
    <row r="784" spans="1:8" ht="112.5" customHeight="1" x14ac:dyDescent="0.15">
      <c r="A784" s="54">
        <v>546</v>
      </c>
      <c r="B784" s="55" t="s">
        <v>3670</v>
      </c>
      <c r="C784" s="55" t="s">
        <v>5844</v>
      </c>
      <c r="D784" s="56" t="s">
        <v>5845</v>
      </c>
      <c r="E784" s="2"/>
      <c r="F784" s="57"/>
      <c r="G784" s="64" t="s">
        <v>5846</v>
      </c>
      <c r="H784" s="59">
        <v>993</v>
      </c>
    </row>
    <row r="785" spans="1:8" ht="112.5" customHeight="1" x14ac:dyDescent="0.15">
      <c r="A785" s="60">
        <v>545</v>
      </c>
      <c r="B785" s="30" t="s">
        <v>3526</v>
      </c>
      <c r="C785" s="30" t="s">
        <v>5847</v>
      </c>
      <c r="D785" s="61" t="s">
        <v>5848</v>
      </c>
      <c r="E785" s="2"/>
      <c r="F785" s="57"/>
      <c r="G785" s="63" t="s">
        <v>4628</v>
      </c>
      <c r="H785" s="59">
        <v>990</v>
      </c>
    </row>
    <row r="786" spans="1:8" ht="112.5" customHeight="1" x14ac:dyDescent="0.15">
      <c r="A786" s="60">
        <v>3915</v>
      </c>
      <c r="B786" s="30" t="s">
        <v>3502</v>
      </c>
      <c r="C786" s="30" t="s">
        <v>5849</v>
      </c>
      <c r="D786" s="61" t="s">
        <v>5850</v>
      </c>
      <c r="E786" s="2"/>
      <c r="F786" s="57"/>
      <c r="G786" s="64" t="s">
        <v>5851</v>
      </c>
      <c r="H786" s="59">
        <v>0</v>
      </c>
    </row>
    <row r="787" spans="1:8" ht="112.5" customHeight="1" x14ac:dyDescent="0.15">
      <c r="A787" s="60">
        <v>3323</v>
      </c>
      <c r="B787" s="30" t="s">
        <v>3549</v>
      </c>
      <c r="C787" s="30" t="s">
        <v>5852</v>
      </c>
      <c r="D787" s="61" t="s">
        <v>5853</v>
      </c>
      <c r="E787" s="2"/>
      <c r="F787" s="57"/>
      <c r="G787" s="63" t="s">
        <v>5854</v>
      </c>
      <c r="H787" s="59">
        <v>1</v>
      </c>
    </row>
    <row r="788" spans="1:8" ht="112.5" customHeight="1" x14ac:dyDescent="0.15">
      <c r="A788" s="54">
        <v>544</v>
      </c>
      <c r="B788" s="55" t="s">
        <v>3801</v>
      </c>
      <c r="C788" s="55" t="s">
        <v>5855</v>
      </c>
      <c r="D788" s="56" t="s">
        <v>5856</v>
      </c>
      <c r="E788" s="2"/>
      <c r="F788" s="57"/>
      <c r="G788" s="64" t="s">
        <v>5857</v>
      </c>
      <c r="H788" s="59">
        <v>1</v>
      </c>
    </row>
    <row r="789" spans="1:8" ht="112.5" customHeight="1" x14ac:dyDescent="0.15">
      <c r="A789" s="60">
        <v>543</v>
      </c>
      <c r="B789" s="30" t="s">
        <v>3509</v>
      </c>
      <c r="C789" s="30" t="s">
        <v>5858</v>
      </c>
      <c r="D789" s="61" t="s">
        <v>5859</v>
      </c>
      <c r="E789" s="2"/>
      <c r="F789" s="57"/>
      <c r="G789" s="63" t="s">
        <v>5860</v>
      </c>
      <c r="H789" s="59">
        <v>997</v>
      </c>
    </row>
    <row r="790" spans="1:8" ht="112.5" customHeight="1" x14ac:dyDescent="0.15">
      <c r="A790" s="54">
        <v>540</v>
      </c>
      <c r="B790" s="55" t="s">
        <v>3898</v>
      </c>
      <c r="C790" s="55" t="s">
        <v>5861</v>
      </c>
      <c r="D790" s="56" t="s">
        <v>5862</v>
      </c>
      <c r="E790" s="2"/>
      <c r="F790" s="57"/>
      <c r="G790" s="64" t="s">
        <v>5863</v>
      </c>
      <c r="H790" s="59">
        <v>988</v>
      </c>
    </row>
    <row r="791" spans="1:8" ht="112.5" customHeight="1" x14ac:dyDescent="0.15">
      <c r="A791" s="60">
        <v>3197</v>
      </c>
      <c r="B791" s="30" t="s">
        <v>3496</v>
      </c>
      <c r="C791" s="30" t="s">
        <v>5864</v>
      </c>
      <c r="D791" s="61" t="s">
        <v>5865</v>
      </c>
      <c r="E791" s="2"/>
      <c r="F791" s="57"/>
      <c r="G791" s="63" t="s">
        <v>4818</v>
      </c>
      <c r="H791" s="59">
        <v>1</v>
      </c>
    </row>
    <row r="792" spans="1:8" ht="112.5" customHeight="1" x14ac:dyDescent="0.15">
      <c r="A792" s="54">
        <v>2364</v>
      </c>
      <c r="B792" s="55" t="s">
        <v>3818</v>
      </c>
      <c r="C792" s="55" t="s">
        <v>5866</v>
      </c>
      <c r="D792" s="56" t="s">
        <v>5867</v>
      </c>
      <c r="E792" s="2"/>
      <c r="F792" s="57"/>
      <c r="G792" s="64" t="s">
        <v>5868</v>
      </c>
      <c r="H792" s="59">
        <v>982</v>
      </c>
    </row>
    <row r="793" spans="1:8" ht="112.5" customHeight="1" x14ac:dyDescent="0.15">
      <c r="A793" s="54">
        <v>2666</v>
      </c>
      <c r="B793" s="55" t="s">
        <v>3556</v>
      </c>
      <c r="C793" s="55" t="s">
        <v>5869</v>
      </c>
      <c r="D793" s="56" t="s">
        <v>5870</v>
      </c>
      <c r="E793" s="2"/>
      <c r="F793" s="57"/>
      <c r="G793" s="63" t="s">
        <v>5871</v>
      </c>
      <c r="H793" s="59">
        <v>996</v>
      </c>
    </row>
    <row r="794" spans="1:8" ht="112.5" customHeight="1" x14ac:dyDescent="0.15">
      <c r="A794" s="60">
        <v>3201</v>
      </c>
      <c r="B794" s="30" t="s">
        <v>3496</v>
      </c>
      <c r="C794" s="30" t="s">
        <v>5872</v>
      </c>
      <c r="D794" s="61" t="s">
        <v>5873</v>
      </c>
      <c r="E794" s="2"/>
      <c r="F794" s="57"/>
      <c r="G794" s="64" t="s">
        <v>5874</v>
      </c>
      <c r="H794" s="59">
        <v>996</v>
      </c>
    </row>
    <row r="795" spans="1:8" ht="112.5" customHeight="1" x14ac:dyDescent="0.15">
      <c r="A795" s="54">
        <v>2802</v>
      </c>
      <c r="B795" s="55" t="s">
        <v>3502</v>
      </c>
      <c r="C795" s="55" t="s">
        <v>5875</v>
      </c>
      <c r="D795" s="56" t="s">
        <v>5876</v>
      </c>
      <c r="E795" s="2"/>
      <c r="F795" s="57"/>
      <c r="G795" s="63" t="s">
        <v>5877</v>
      </c>
      <c r="H795" s="59">
        <v>1</v>
      </c>
    </row>
    <row r="796" spans="1:8" ht="112.5" customHeight="1" x14ac:dyDescent="0.15">
      <c r="A796" s="60">
        <v>1921</v>
      </c>
      <c r="B796" s="30" t="s">
        <v>3492</v>
      </c>
      <c r="C796" s="30" t="s">
        <v>5878</v>
      </c>
      <c r="D796" s="61" t="s">
        <v>5879</v>
      </c>
      <c r="E796" s="2"/>
      <c r="F796" s="57"/>
      <c r="G796" s="64" t="s">
        <v>5880</v>
      </c>
      <c r="H796" s="59">
        <v>1</v>
      </c>
    </row>
    <row r="797" spans="1:8" ht="112.5" customHeight="1" x14ac:dyDescent="0.15">
      <c r="A797" s="54">
        <v>1920</v>
      </c>
      <c r="B797" s="55" t="s">
        <v>3492</v>
      </c>
      <c r="C797" s="55" t="s">
        <v>5881</v>
      </c>
      <c r="D797" s="56" t="s">
        <v>5882</v>
      </c>
      <c r="E797" s="2"/>
      <c r="F797" s="57"/>
      <c r="G797" s="63" t="s">
        <v>5883</v>
      </c>
      <c r="H797" s="59">
        <v>1</v>
      </c>
    </row>
    <row r="798" spans="1:8" ht="112.5" customHeight="1" x14ac:dyDescent="0.15">
      <c r="A798" s="54">
        <v>1220</v>
      </c>
      <c r="B798" s="55" t="s">
        <v>3749</v>
      </c>
      <c r="C798" s="55" t="s">
        <v>5884</v>
      </c>
      <c r="D798" s="56" t="s">
        <v>5885</v>
      </c>
      <c r="E798" s="2"/>
      <c r="F798" s="57"/>
      <c r="G798" s="64" t="s">
        <v>5886</v>
      </c>
      <c r="H798" s="59">
        <v>1</v>
      </c>
    </row>
    <row r="799" spans="1:8" ht="112.5" customHeight="1" x14ac:dyDescent="0.15">
      <c r="A799" s="60">
        <v>539</v>
      </c>
      <c r="B799" s="30" t="s">
        <v>5887</v>
      </c>
      <c r="C799" s="30" t="s">
        <v>5888</v>
      </c>
      <c r="D799" s="61" t="s">
        <v>5889</v>
      </c>
      <c r="E799" s="2"/>
      <c r="F799" s="57"/>
      <c r="G799" s="63" t="s">
        <v>5890</v>
      </c>
      <c r="H799" s="59">
        <v>995</v>
      </c>
    </row>
    <row r="800" spans="1:8" ht="112.5" customHeight="1" x14ac:dyDescent="0.15">
      <c r="A800" s="54">
        <v>536</v>
      </c>
      <c r="B800" s="55" t="s">
        <v>3599</v>
      </c>
      <c r="C800" s="55" t="s">
        <v>5891</v>
      </c>
      <c r="D800" s="56" t="s">
        <v>5892</v>
      </c>
      <c r="E800" s="2"/>
      <c r="F800" s="57"/>
      <c r="G800" s="64" t="s">
        <v>4625</v>
      </c>
      <c r="H800" s="59">
        <v>951</v>
      </c>
    </row>
    <row r="801" spans="1:13" ht="112.5" customHeight="1" x14ac:dyDescent="0.15">
      <c r="A801" s="60">
        <v>535</v>
      </c>
      <c r="B801" s="30" t="s">
        <v>3509</v>
      </c>
      <c r="C801" s="30" t="s">
        <v>5893</v>
      </c>
      <c r="D801" s="61" t="s">
        <v>5894</v>
      </c>
      <c r="E801" s="2"/>
      <c r="F801" s="57"/>
      <c r="G801" s="63" t="s">
        <v>5895</v>
      </c>
      <c r="H801" s="59">
        <v>997</v>
      </c>
    </row>
    <row r="802" spans="1:13" ht="112.5" customHeight="1" x14ac:dyDescent="0.15">
      <c r="A802" s="60">
        <v>2293</v>
      </c>
      <c r="B802" s="30" t="s">
        <v>3496</v>
      </c>
      <c r="C802" s="30" t="s">
        <v>5896</v>
      </c>
      <c r="D802" s="61" t="s">
        <v>5897</v>
      </c>
      <c r="E802" s="2"/>
      <c r="F802" s="57"/>
      <c r="G802" s="64" t="s">
        <v>5898</v>
      </c>
      <c r="H802" s="59">
        <v>995</v>
      </c>
    </row>
    <row r="803" spans="1:13" ht="112.5" customHeight="1" x14ac:dyDescent="0.15">
      <c r="A803" s="54">
        <v>534</v>
      </c>
      <c r="B803" s="55" t="s">
        <v>3509</v>
      </c>
      <c r="C803" s="55" t="s">
        <v>5899</v>
      </c>
      <c r="D803" s="56" t="s">
        <v>5900</v>
      </c>
      <c r="E803" s="2"/>
      <c r="F803" s="57"/>
      <c r="G803" s="63" t="s">
        <v>5901</v>
      </c>
      <c r="H803" s="59">
        <v>957</v>
      </c>
    </row>
    <row r="804" spans="1:13" ht="112.5" customHeight="1" x14ac:dyDescent="0.15">
      <c r="A804" s="54">
        <v>2294</v>
      </c>
      <c r="B804" s="55" t="s">
        <v>3496</v>
      </c>
      <c r="C804" s="55" t="s">
        <v>5902</v>
      </c>
      <c r="D804" s="56" t="s">
        <v>5903</v>
      </c>
      <c r="E804" s="2"/>
      <c r="F804" s="57"/>
      <c r="G804" s="58" t="s">
        <v>5904</v>
      </c>
      <c r="H804" s="59">
        <v>97.676000000000002</v>
      </c>
      <c r="I804" s="29"/>
      <c r="J804" s="29"/>
      <c r="K804" s="29"/>
      <c r="L804" s="29"/>
      <c r="M804" s="29"/>
    </row>
    <row r="805" spans="1:13" ht="112.5" customHeight="1" x14ac:dyDescent="0.15">
      <c r="A805" s="60">
        <v>533</v>
      </c>
      <c r="B805" s="30" t="s">
        <v>3509</v>
      </c>
      <c r="C805" s="30" t="s">
        <v>5905</v>
      </c>
      <c r="D805" s="61" t="s">
        <v>5906</v>
      </c>
      <c r="E805" s="2"/>
      <c r="F805" s="57"/>
      <c r="G805" s="63" t="s">
        <v>5907</v>
      </c>
      <c r="H805" s="59">
        <v>999.995</v>
      </c>
    </row>
    <row r="806" spans="1:13" ht="112.5" customHeight="1" x14ac:dyDescent="0.15">
      <c r="A806" s="60">
        <v>531</v>
      </c>
      <c r="B806" s="30" t="s">
        <v>3898</v>
      </c>
      <c r="C806" s="30" t="s">
        <v>5908</v>
      </c>
      <c r="D806" s="61" t="s">
        <v>5909</v>
      </c>
      <c r="E806" s="2"/>
      <c r="F806" s="57"/>
      <c r="G806" s="64" t="s">
        <v>5910</v>
      </c>
      <c r="H806" s="59">
        <v>999.923</v>
      </c>
    </row>
    <row r="807" spans="1:13" ht="112.5" customHeight="1" x14ac:dyDescent="0.15">
      <c r="A807" s="54">
        <v>530</v>
      </c>
      <c r="B807" s="55" t="s">
        <v>3822</v>
      </c>
      <c r="C807" s="55" t="s">
        <v>5911</v>
      </c>
      <c r="D807" s="56" t="s">
        <v>5912</v>
      </c>
      <c r="E807" s="2"/>
      <c r="F807" s="57"/>
      <c r="G807" s="63" t="s">
        <v>5913</v>
      </c>
      <c r="H807" s="59">
        <v>999.995</v>
      </c>
    </row>
    <row r="808" spans="1:13" ht="112.5" customHeight="1" x14ac:dyDescent="0.15">
      <c r="A808" s="60">
        <v>529</v>
      </c>
      <c r="B808" s="30" t="s">
        <v>3822</v>
      </c>
      <c r="C808" s="30" t="s">
        <v>5914</v>
      </c>
      <c r="D808" s="61" t="s">
        <v>5915</v>
      </c>
      <c r="E808" s="2"/>
      <c r="F808" s="57"/>
      <c r="G808" s="64" t="s">
        <v>5916</v>
      </c>
      <c r="H808" s="59">
        <v>0</v>
      </c>
    </row>
    <row r="809" spans="1:13" ht="112.5" customHeight="1" x14ac:dyDescent="0.15">
      <c r="A809" s="54">
        <v>528</v>
      </c>
      <c r="B809" s="55" t="s">
        <v>3822</v>
      </c>
      <c r="C809" s="55" t="s">
        <v>5917</v>
      </c>
      <c r="D809" s="56" t="s">
        <v>5918</v>
      </c>
      <c r="E809" s="2"/>
      <c r="F809" s="57"/>
      <c r="G809" s="63" t="s">
        <v>4622</v>
      </c>
      <c r="H809" s="59" t="s">
        <v>4171</v>
      </c>
    </row>
    <row r="810" spans="1:13" ht="112.5" customHeight="1" x14ac:dyDescent="0.15">
      <c r="A810" s="60">
        <v>527</v>
      </c>
      <c r="B810" s="30" t="s">
        <v>3513</v>
      </c>
      <c r="C810" s="30" t="s">
        <v>5919</v>
      </c>
      <c r="D810" s="61" t="s">
        <v>5920</v>
      </c>
      <c r="E810" s="2"/>
      <c r="F810" s="57"/>
      <c r="G810" s="64" t="s">
        <v>5921</v>
      </c>
      <c r="H810" s="59">
        <v>999.92700000000002</v>
      </c>
    </row>
    <row r="811" spans="1:13" ht="112.5" customHeight="1" x14ac:dyDescent="0.15">
      <c r="A811" s="54">
        <v>526</v>
      </c>
      <c r="B811" s="55" t="s">
        <v>3509</v>
      </c>
      <c r="C811" s="55" t="s">
        <v>5922</v>
      </c>
      <c r="D811" s="56" t="s">
        <v>5923</v>
      </c>
      <c r="E811" s="2"/>
      <c r="F811" s="57"/>
      <c r="G811" s="63" t="s">
        <v>5924</v>
      </c>
      <c r="H811" s="59">
        <v>999.99</v>
      </c>
    </row>
    <row r="812" spans="1:13" ht="112.5" customHeight="1" x14ac:dyDescent="0.15">
      <c r="A812" s="60">
        <v>525</v>
      </c>
      <c r="B812" s="30" t="s">
        <v>3509</v>
      </c>
      <c r="C812" s="30" t="s">
        <v>5925</v>
      </c>
      <c r="D812" s="61" t="s">
        <v>5926</v>
      </c>
      <c r="E812" s="2"/>
      <c r="F812" s="57"/>
      <c r="G812" s="64" t="s">
        <v>5927</v>
      </c>
      <c r="H812" s="59">
        <v>999.99599999999998</v>
      </c>
    </row>
    <row r="813" spans="1:13" ht="112.5" customHeight="1" x14ac:dyDescent="0.15">
      <c r="A813" s="54">
        <v>2292</v>
      </c>
      <c r="B813" s="55" t="s">
        <v>3496</v>
      </c>
      <c r="C813" s="55" t="s">
        <v>5928</v>
      </c>
      <c r="D813" s="56" t="s">
        <v>5929</v>
      </c>
      <c r="E813" s="2"/>
      <c r="F813" s="57"/>
      <c r="G813" s="63" t="s">
        <v>5930</v>
      </c>
      <c r="H813" s="59">
        <v>999.875</v>
      </c>
    </row>
    <row r="814" spans="1:13" ht="112.5" customHeight="1" x14ac:dyDescent="0.15">
      <c r="A814" s="60">
        <v>2291</v>
      </c>
      <c r="B814" s="30" t="s">
        <v>3496</v>
      </c>
      <c r="C814" s="30" t="s">
        <v>5931</v>
      </c>
      <c r="D814" s="61" t="s">
        <v>5932</v>
      </c>
      <c r="E814" s="2"/>
      <c r="F814" s="57"/>
      <c r="G814" s="64" t="s">
        <v>5933</v>
      </c>
      <c r="H814" s="59">
        <v>999.96299999999997</v>
      </c>
    </row>
    <row r="815" spans="1:13" ht="112.5" customHeight="1" x14ac:dyDescent="0.15">
      <c r="A815" s="54">
        <v>2286</v>
      </c>
      <c r="B815" s="55" t="s">
        <v>3509</v>
      </c>
      <c r="C815" s="55" t="s">
        <v>5934</v>
      </c>
      <c r="D815" s="56" t="s">
        <v>5935</v>
      </c>
      <c r="E815" s="2"/>
      <c r="F815" s="57"/>
      <c r="G815" s="63" t="s">
        <v>5936</v>
      </c>
      <c r="H815" s="59" t="s">
        <v>4171</v>
      </c>
    </row>
    <row r="816" spans="1:13" ht="112.5" customHeight="1" x14ac:dyDescent="0.15">
      <c r="A816" s="54">
        <v>542</v>
      </c>
      <c r="B816" s="55" t="s">
        <v>3513</v>
      </c>
      <c r="C816" s="55" t="s">
        <v>5937</v>
      </c>
      <c r="D816" s="56" t="s">
        <v>5938</v>
      </c>
      <c r="E816" s="2"/>
      <c r="F816" s="57"/>
      <c r="G816" s="64" t="s">
        <v>5939</v>
      </c>
      <c r="H816" s="59">
        <v>999.99</v>
      </c>
    </row>
    <row r="817" spans="1:8" ht="112.5" customHeight="1" x14ac:dyDescent="0.15">
      <c r="A817" s="54">
        <v>3314</v>
      </c>
      <c r="B817" s="55" t="s">
        <v>3502</v>
      </c>
      <c r="C817" s="55" t="s">
        <v>5940</v>
      </c>
      <c r="D817" s="56" t="s">
        <v>5941</v>
      </c>
      <c r="E817" s="2"/>
      <c r="F817" s="57"/>
      <c r="G817" s="63" t="s">
        <v>5942</v>
      </c>
      <c r="H817" s="59" t="s">
        <v>4171</v>
      </c>
    </row>
    <row r="818" spans="1:8" ht="112.5" customHeight="1" x14ac:dyDescent="0.15">
      <c r="A818" s="54">
        <v>3332</v>
      </c>
      <c r="B818" s="55" t="s">
        <v>3502</v>
      </c>
      <c r="C818" s="55" t="s">
        <v>5943</v>
      </c>
      <c r="D818" s="56" t="s">
        <v>5944</v>
      </c>
      <c r="E818" s="2"/>
      <c r="F818" s="57"/>
      <c r="G818" s="64" t="s">
        <v>5945</v>
      </c>
      <c r="H818" s="59">
        <v>0</v>
      </c>
    </row>
    <row r="819" spans="1:8" ht="112.5" customHeight="1" x14ac:dyDescent="0.15">
      <c r="A819" s="54">
        <v>3268</v>
      </c>
      <c r="B819" s="55" t="s">
        <v>3502</v>
      </c>
      <c r="C819" s="55" t="s">
        <v>5946</v>
      </c>
      <c r="D819" s="56" t="s">
        <v>5947</v>
      </c>
      <c r="E819" s="2"/>
      <c r="F819" s="57"/>
      <c r="G819" s="63" t="s">
        <v>5948</v>
      </c>
      <c r="H819" s="59" t="s">
        <v>4171</v>
      </c>
    </row>
    <row r="820" spans="1:8" ht="112.5" customHeight="1" x14ac:dyDescent="0.15">
      <c r="A820" s="60">
        <v>3267</v>
      </c>
      <c r="B820" s="30" t="s">
        <v>3502</v>
      </c>
      <c r="C820" s="30" t="s">
        <v>5949</v>
      </c>
      <c r="D820" s="61" t="s">
        <v>5950</v>
      </c>
      <c r="E820" s="2"/>
      <c r="F820" s="57"/>
      <c r="G820" s="64" t="s">
        <v>5951</v>
      </c>
      <c r="H820" s="59" t="s">
        <v>4171</v>
      </c>
    </row>
    <row r="821" spans="1:8" ht="112.5" customHeight="1" x14ac:dyDescent="0.15">
      <c r="A821" s="60">
        <v>541</v>
      </c>
      <c r="B821" s="30" t="s">
        <v>3502</v>
      </c>
      <c r="C821" s="30" t="s">
        <v>5952</v>
      </c>
      <c r="D821" s="61" t="s">
        <v>5953</v>
      </c>
      <c r="E821" s="2"/>
      <c r="F821" s="57"/>
      <c r="G821" s="63" t="s">
        <v>5954</v>
      </c>
      <c r="H821" s="59">
        <v>999.96400000000006</v>
      </c>
    </row>
    <row r="822" spans="1:8" ht="112.5" customHeight="1" x14ac:dyDescent="0.15">
      <c r="A822" s="60">
        <v>3315</v>
      </c>
      <c r="B822" s="30" t="s">
        <v>3502</v>
      </c>
      <c r="C822" s="30" t="s">
        <v>5955</v>
      </c>
      <c r="D822" s="61" t="s">
        <v>5956</v>
      </c>
      <c r="E822" s="2"/>
      <c r="F822" s="57"/>
      <c r="G822" s="64" t="s">
        <v>5957</v>
      </c>
      <c r="H822" s="59">
        <v>999.99</v>
      </c>
    </row>
    <row r="823" spans="1:8" ht="112.5" customHeight="1" x14ac:dyDescent="0.15">
      <c r="A823" s="54">
        <v>1972</v>
      </c>
      <c r="B823" s="55" t="s">
        <v>4334</v>
      </c>
      <c r="C823" s="55" t="s">
        <v>5958</v>
      </c>
      <c r="D823" s="56" t="s">
        <v>5959</v>
      </c>
      <c r="E823" s="2"/>
      <c r="F823" s="57"/>
      <c r="G823" s="63" t="s">
        <v>5960</v>
      </c>
      <c r="H823" s="59" t="s">
        <v>4171</v>
      </c>
    </row>
    <row r="824" spans="1:8" ht="112.5" customHeight="1" x14ac:dyDescent="0.15">
      <c r="A824" s="54">
        <v>538</v>
      </c>
      <c r="B824" s="55" t="s">
        <v>3749</v>
      </c>
      <c r="C824" s="55" t="s">
        <v>5961</v>
      </c>
      <c r="D824" s="56" t="s">
        <v>5962</v>
      </c>
      <c r="E824" s="2"/>
      <c r="F824" s="57"/>
      <c r="G824" s="64" t="s">
        <v>5963</v>
      </c>
      <c r="H824" s="59">
        <v>10</v>
      </c>
    </row>
    <row r="825" spans="1:8" ht="112.5" customHeight="1" x14ac:dyDescent="0.15">
      <c r="A825" s="60">
        <v>537</v>
      </c>
      <c r="B825" s="30" t="s">
        <v>3749</v>
      </c>
      <c r="C825" s="30" t="s">
        <v>5964</v>
      </c>
      <c r="D825" s="61" t="s">
        <v>5965</v>
      </c>
      <c r="E825" s="2"/>
      <c r="F825" s="57"/>
      <c r="G825" s="63" t="s">
        <v>5966</v>
      </c>
      <c r="H825" s="59">
        <v>0</v>
      </c>
    </row>
    <row r="826" spans="1:8" ht="112.5" customHeight="1" x14ac:dyDescent="0.15">
      <c r="A826" s="54">
        <v>532</v>
      </c>
      <c r="B826" s="55" t="s">
        <v>3502</v>
      </c>
      <c r="C826" s="55" t="s">
        <v>5967</v>
      </c>
      <c r="D826" s="56" t="s">
        <v>5968</v>
      </c>
      <c r="E826" s="2"/>
      <c r="F826" s="57"/>
      <c r="G826" s="64" t="s">
        <v>5969</v>
      </c>
      <c r="H826" s="59">
        <v>0</v>
      </c>
    </row>
    <row r="827" spans="1:8" ht="112.5" customHeight="1" x14ac:dyDescent="0.15">
      <c r="A827" s="60">
        <v>3263</v>
      </c>
      <c r="B827" s="30" t="s">
        <v>3496</v>
      </c>
      <c r="C827" s="30" t="s">
        <v>5970</v>
      </c>
      <c r="D827" s="61" t="s">
        <v>5971</v>
      </c>
      <c r="E827" s="2"/>
      <c r="F827" s="57"/>
      <c r="G827" s="63" t="s">
        <v>5972</v>
      </c>
      <c r="H827" s="59">
        <v>999.89700000000005</v>
      </c>
    </row>
    <row r="828" spans="1:8" ht="112.5" customHeight="1" x14ac:dyDescent="0.15">
      <c r="A828" s="54">
        <v>524</v>
      </c>
      <c r="B828" s="55" t="s">
        <v>3549</v>
      </c>
      <c r="C828" s="55" t="s">
        <v>5973</v>
      </c>
      <c r="D828" s="56" t="s">
        <v>5974</v>
      </c>
      <c r="E828" s="2"/>
      <c r="F828" s="57"/>
      <c r="G828" s="64" t="s">
        <v>5975</v>
      </c>
      <c r="H828" s="59">
        <v>0</v>
      </c>
    </row>
    <row r="829" spans="1:8" ht="112.5" customHeight="1" x14ac:dyDescent="0.15">
      <c r="A829" s="60">
        <v>523</v>
      </c>
      <c r="B829" s="30" t="s">
        <v>3549</v>
      </c>
      <c r="C829" s="30" t="s">
        <v>5976</v>
      </c>
      <c r="D829" s="61" t="s">
        <v>5977</v>
      </c>
      <c r="E829" s="2"/>
      <c r="F829" s="57"/>
      <c r="G829" s="63" t="s">
        <v>5978</v>
      </c>
      <c r="H829" s="59">
        <v>999.99599999999998</v>
      </c>
    </row>
    <row r="830" spans="1:8" ht="112.5" customHeight="1" x14ac:dyDescent="0.15">
      <c r="A830" s="54">
        <v>522</v>
      </c>
      <c r="B830" s="55" t="s">
        <v>4330</v>
      </c>
      <c r="C830" s="55" t="s">
        <v>5979</v>
      </c>
      <c r="D830" s="56" t="s">
        <v>5980</v>
      </c>
      <c r="E830" s="2"/>
      <c r="F830" s="57"/>
      <c r="G830" s="64" t="s">
        <v>5981</v>
      </c>
      <c r="H830" s="59">
        <v>999.94500000000005</v>
      </c>
    </row>
    <row r="831" spans="1:8" ht="112.5" customHeight="1" x14ac:dyDescent="0.15">
      <c r="A831" s="60">
        <v>521</v>
      </c>
      <c r="B831" s="30" t="s">
        <v>4330</v>
      </c>
      <c r="C831" s="30" t="s">
        <v>5982</v>
      </c>
      <c r="D831" s="61" t="s">
        <v>5983</v>
      </c>
      <c r="E831" s="2"/>
      <c r="F831" s="57"/>
      <c r="G831" s="63" t="s">
        <v>5984</v>
      </c>
      <c r="H831" s="59">
        <v>890</v>
      </c>
    </row>
    <row r="832" spans="1:8" ht="112.5" customHeight="1" x14ac:dyDescent="0.15">
      <c r="A832" s="54">
        <v>520</v>
      </c>
      <c r="B832" s="55" t="s">
        <v>3814</v>
      </c>
      <c r="C832" s="55" t="s">
        <v>5985</v>
      </c>
      <c r="D832" s="56" t="s">
        <v>5986</v>
      </c>
      <c r="E832" s="2"/>
      <c r="F832" s="57"/>
      <c r="G832" s="64" t="s">
        <v>5987</v>
      </c>
      <c r="H832" s="59">
        <v>999.98699999999997</v>
      </c>
    </row>
    <row r="833" spans="1:8" ht="112.5" customHeight="1" x14ac:dyDescent="0.15">
      <c r="A833" s="60">
        <v>519</v>
      </c>
      <c r="B833" s="30" t="s">
        <v>3822</v>
      </c>
      <c r="C833" s="30" t="s">
        <v>5988</v>
      </c>
      <c r="D833" s="61" t="s">
        <v>5989</v>
      </c>
      <c r="E833" s="2"/>
      <c r="F833" s="57"/>
      <c r="G833" s="63" t="s">
        <v>5990</v>
      </c>
      <c r="H833" s="59">
        <v>0</v>
      </c>
    </row>
    <row r="834" spans="1:8" ht="112.5" customHeight="1" x14ac:dyDescent="0.15">
      <c r="A834" s="54">
        <v>518</v>
      </c>
      <c r="B834" s="55" t="s">
        <v>3822</v>
      </c>
      <c r="C834" s="55" t="s">
        <v>5991</v>
      </c>
      <c r="D834" s="56" t="s">
        <v>5992</v>
      </c>
      <c r="E834" s="2"/>
      <c r="F834" s="57"/>
      <c r="G834" s="64" t="s">
        <v>5993</v>
      </c>
      <c r="H834" s="59">
        <v>999.97900000000004</v>
      </c>
    </row>
    <row r="835" spans="1:8" ht="112.5" customHeight="1" x14ac:dyDescent="0.15">
      <c r="A835" s="60">
        <v>517</v>
      </c>
      <c r="B835" s="30" t="s">
        <v>3513</v>
      </c>
      <c r="C835" s="30" t="s">
        <v>5994</v>
      </c>
      <c r="D835" s="61" t="s">
        <v>5995</v>
      </c>
      <c r="E835" s="2"/>
      <c r="F835" s="57"/>
      <c r="G835" s="63" t="s">
        <v>5996</v>
      </c>
      <c r="H835" s="59">
        <v>0</v>
      </c>
    </row>
    <row r="836" spans="1:8" ht="112.5" customHeight="1" x14ac:dyDescent="0.15">
      <c r="A836" s="54">
        <v>516</v>
      </c>
      <c r="B836" s="55" t="s">
        <v>3513</v>
      </c>
      <c r="C836" s="55" t="s">
        <v>5997</v>
      </c>
      <c r="D836" s="56" t="s">
        <v>5998</v>
      </c>
      <c r="E836" s="2"/>
      <c r="F836" s="57"/>
      <c r="G836" s="64" t="s">
        <v>5999</v>
      </c>
      <c r="H836" s="59" t="s">
        <v>4171</v>
      </c>
    </row>
    <row r="837" spans="1:8" ht="112.5" customHeight="1" x14ac:dyDescent="0.15">
      <c r="A837" s="54">
        <v>3160</v>
      </c>
      <c r="B837" s="55" t="s">
        <v>3502</v>
      </c>
      <c r="C837" s="55" t="s">
        <v>6000</v>
      </c>
      <c r="D837" s="56" t="s">
        <v>6001</v>
      </c>
      <c r="E837" s="2"/>
      <c r="F837" s="57"/>
      <c r="G837" s="63" t="s">
        <v>6002</v>
      </c>
      <c r="H837" s="59">
        <v>0</v>
      </c>
    </row>
    <row r="838" spans="1:8" ht="112.5" customHeight="1" x14ac:dyDescent="0.15">
      <c r="A838" s="60">
        <v>515</v>
      </c>
      <c r="B838" s="30" t="s">
        <v>3549</v>
      </c>
      <c r="C838" s="30" t="s">
        <v>6003</v>
      </c>
      <c r="D838" s="61" t="s">
        <v>6004</v>
      </c>
      <c r="E838" s="2"/>
      <c r="F838" s="57"/>
      <c r="G838" s="64" t="s">
        <v>6005</v>
      </c>
      <c r="H838" s="59">
        <v>999.99800000000005</v>
      </c>
    </row>
    <row r="839" spans="1:8" ht="112.5" customHeight="1" x14ac:dyDescent="0.15">
      <c r="A839" s="54">
        <v>514</v>
      </c>
      <c r="B839" s="55" t="s">
        <v>3814</v>
      </c>
      <c r="C839" s="55" t="s">
        <v>6006</v>
      </c>
      <c r="D839" s="56" t="s">
        <v>6007</v>
      </c>
      <c r="E839" s="2"/>
      <c r="F839" s="57"/>
      <c r="G839" s="63" t="s">
        <v>6008</v>
      </c>
      <c r="H839" s="59">
        <v>999.99699999999996</v>
      </c>
    </row>
    <row r="840" spans="1:8" ht="112.5" customHeight="1" x14ac:dyDescent="0.15">
      <c r="A840" s="60">
        <v>513</v>
      </c>
      <c r="B840" s="30" t="s">
        <v>3502</v>
      </c>
      <c r="C840" s="30" t="s">
        <v>6009</v>
      </c>
      <c r="D840" s="61" t="s">
        <v>6010</v>
      </c>
      <c r="E840" s="2"/>
      <c r="F840" s="57"/>
      <c r="G840" s="64" t="s">
        <v>6011</v>
      </c>
      <c r="H840" s="59">
        <v>0</v>
      </c>
    </row>
    <row r="841" spans="1:8" ht="112.5" customHeight="1" x14ac:dyDescent="0.15">
      <c r="A841" s="54">
        <v>512</v>
      </c>
      <c r="B841" s="55" t="s">
        <v>3513</v>
      </c>
      <c r="C841" s="55" t="s">
        <v>6012</v>
      </c>
      <c r="D841" s="56" t="s">
        <v>6013</v>
      </c>
      <c r="E841" s="2"/>
      <c r="F841" s="57"/>
      <c r="G841" s="63" t="s">
        <v>6014</v>
      </c>
      <c r="H841" s="59">
        <v>999.99</v>
      </c>
    </row>
    <row r="842" spans="1:8" ht="112.5" customHeight="1" x14ac:dyDescent="0.15">
      <c r="A842" s="60">
        <v>511</v>
      </c>
      <c r="B842" s="30" t="s">
        <v>3513</v>
      </c>
      <c r="C842" s="30" t="s">
        <v>6015</v>
      </c>
      <c r="D842" s="61" t="s">
        <v>6016</v>
      </c>
      <c r="E842" s="2"/>
      <c r="F842" s="57"/>
      <c r="G842" s="64" t="s">
        <v>6017</v>
      </c>
      <c r="H842" s="59">
        <v>999.99800000000005</v>
      </c>
    </row>
    <row r="843" spans="1:8" ht="112.5" customHeight="1" x14ac:dyDescent="0.15">
      <c r="A843" s="54">
        <v>510</v>
      </c>
      <c r="B843" s="55" t="s">
        <v>3509</v>
      </c>
      <c r="C843" s="55" t="s">
        <v>6018</v>
      </c>
      <c r="D843" s="56" t="s">
        <v>6019</v>
      </c>
      <c r="E843" s="2"/>
      <c r="F843" s="57"/>
      <c r="G843" s="63" t="s">
        <v>6020</v>
      </c>
      <c r="H843" s="59" t="s">
        <v>4171</v>
      </c>
    </row>
    <row r="844" spans="1:8" ht="112.5" customHeight="1" x14ac:dyDescent="0.15">
      <c r="A844" s="60">
        <v>509</v>
      </c>
      <c r="B844" s="30" t="s">
        <v>3509</v>
      </c>
      <c r="C844" s="30" t="s">
        <v>6021</v>
      </c>
      <c r="D844" s="61" t="s">
        <v>6022</v>
      </c>
      <c r="E844" s="2"/>
      <c r="F844" s="57"/>
      <c r="G844" s="64" t="s">
        <v>6023</v>
      </c>
      <c r="H844" s="59">
        <v>999.98500000000001</v>
      </c>
    </row>
    <row r="845" spans="1:8" ht="112.5" customHeight="1" x14ac:dyDescent="0.15">
      <c r="A845" s="54">
        <v>508</v>
      </c>
      <c r="B845" s="55" t="s">
        <v>3556</v>
      </c>
      <c r="C845" s="55" t="s">
        <v>6024</v>
      </c>
      <c r="D845" s="56" t="s">
        <v>6025</v>
      </c>
      <c r="E845" s="2"/>
      <c r="F845" s="57"/>
      <c r="G845" s="63" t="s">
        <v>6026</v>
      </c>
      <c r="H845" s="59">
        <v>0</v>
      </c>
    </row>
    <row r="846" spans="1:8" ht="112.5" customHeight="1" x14ac:dyDescent="0.15">
      <c r="A846" s="60">
        <v>507</v>
      </c>
      <c r="B846" s="30" t="s">
        <v>3556</v>
      </c>
      <c r="C846" s="30" t="s">
        <v>6027</v>
      </c>
      <c r="D846" s="61" t="s">
        <v>6028</v>
      </c>
      <c r="E846" s="2"/>
      <c r="F846" s="57"/>
      <c r="G846" s="64" t="s">
        <v>6029</v>
      </c>
      <c r="H846" s="59">
        <v>999.98099999999999</v>
      </c>
    </row>
    <row r="847" spans="1:8" ht="112.5" customHeight="1" x14ac:dyDescent="0.15">
      <c r="A847" s="54">
        <v>506</v>
      </c>
      <c r="B847" s="55" t="s">
        <v>3814</v>
      </c>
      <c r="C847" s="55" t="s">
        <v>6030</v>
      </c>
      <c r="D847" s="56" t="s">
        <v>6031</v>
      </c>
      <c r="E847" s="2"/>
      <c r="F847" s="57"/>
      <c r="G847" s="63" t="s">
        <v>6032</v>
      </c>
      <c r="H847" s="59">
        <v>999.98500000000001</v>
      </c>
    </row>
    <row r="848" spans="1:8" ht="112.5" customHeight="1" x14ac:dyDescent="0.15">
      <c r="A848" s="60">
        <v>505</v>
      </c>
      <c r="B848" s="30" t="s">
        <v>3822</v>
      </c>
      <c r="C848" s="30" t="s">
        <v>6033</v>
      </c>
      <c r="D848" s="61" t="s">
        <v>6034</v>
      </c>
      <c r="E848" s="2"/>
      <c r="F848" s="57"/>
      <c r="G848" s="64" t="s">
        <v>6035</v>
      </c>
      <c r="H848" s="59">
        <v>999.99</v>
      </c>
    </row>
    <row r="849" spans="1:8" ht="112.5" customHeight="1" x14ac:dyDescent="0.15">
      <c r="A849" s="54">
        <v>504</v>
      </c>
      <c r="B849" s="55" t="s">
        <v>3749</v>
      </c>
      <c r="C849" s="55" t="s">
        <v>6036</v>
      </c>
      <c r="D849" s="56" t="s">
        <v>6037</v>
      </c>
      <c r="E849" s="2"/>
      <c r="F849" s="57"/>
      <c r="G849" s="63" t="s">
        <v>6038</v>
      </c>
      <c r="H849" s="59">
        <v>0</v>
      </c>
    </row>
    <row r="850" spans="1:8" ht="112.5" customHeight="1" x14ac:dyDescent="0.15">
      <c r="A850" s="60">
        <v>503</v>
      </c>
      <c r="B850" s="30" t="s">
        <v>3526</v>
      </c>
      <c r="C850" s="30" t="s">
        <v>6039</v>
      </c>
      <c r="D850" s="61" t="s">
        <v>6040</v>
      </c>
      <c r="E850" s="2"/>
      <c r="F850" s="57"/>
      <c r="G850" s="64" t="s">
        <v>6041</v>
      </c>
      <c r="H850" s="59" t="s">
        <v>4171</v>
      </c>
    </row>
    <row r="851" spans="1:8" ht="112.5" customHeight="1" x14ac:dyDescent="0.15">
      <c r="A851" s="54">
        <v>502</v>
      </c>
      <c r="B851" s="55" t="s">
        <v>3526</v>
      </c>
      <c r="C851" s="55" t="s">
        <v>6042</v>
      </c>
      <c r="D851" s="56" t="s">
        <v>6043</v>
      </c>
      <c r="E851" s="2"/>
      <c r="F851" s="57"/>
      <c r="G851" s="63" t="s">
        <v>6044</v>
      </c>
      <c r="H851" s="59">
        <v>0</v>
      </c>
    </row>
    <row r="852" spans="1:8" ht="112.5" customHeight="1" x14ac:dyDescent="0.15">
      <c r="A852" s="54">
        <v>1228</v>
      </c>
      <c r="B852" s="55" t="s">
        <v>3818</v>
      </c>
      <c r="C852" s="55" t="s">
        <v>6045</v>
      </c>
      <c r="D852" s="56" t="s">
        <v>6046</v>
      </c>
      <c r="E852" s="2"/>
      <c r="F852" s="57"/>
      <c r="G852" s="64" t="s">
        <v>6047</v>
      </c>
      <c r="H852" s="59">
        <v>0</v>
      </c>
    </row>
    <row r="853" spans="1:8" ht="112.5" customHeight="1" x14ac:dyDescent="0.15">
      <c r="A853" s="54">
        <v>3512</v>
      </c>
      <c r="B853" s="55" t="s">
        <v>3749</v>
      </c>
      <c r="C853" s="55" t="s">
        <v>6048</v>
      </c>
      <c r="D853" s="56" t="s">
        <v>6049</v>
      </c>
      <c r="E853" s="2"/>
      <c r="F853" s="57"/>
      <c r="G853" s="63" t="s">
        <v>6050</v>
      </c>
      <c r="H853" s="59">
        <v>999.99900000000002</v>
      </c>
    </row>
    <row r="854" spans="1:8" ht="112.5" customHeight="1" x14ac:dyDescent="0.15">
      <c r="A854" s="60">
        <v>3111</v>
      </c>
      <c r="B854" s="30" t="s">
        <v>3749</v>
      </c>
      <c r="C854" s="30" t="s">
        <v>6051</v>
      </c>
      <c r="D854" s="61" t="s">
        <v>6052</v>
      </c>
      <c r="E854" s="2"/>
      <c r="F854" s="57"/>
      <c r="G854" s="64" t="s">
        <v>6053</v>
      </c>
      <c r="H854" s="59">
        <v>999.98500000000001</v>
      </c>
    </row>
    <row r="855" spans="1:8" ht="112.5" customHeight="1" x14ac:dyDescent="0.15">
      <c r="A855" s="54">
        <v>3110</v>
      </c>
      <c r="B855" s="55" t="s">
        <v>3556</v>
      </c>
      <c r="C855" s="55" t="s">
        <v>6054</v>
      </c>
      <c r="D855" s="56" t="s">
        <v>6055</v>
      </c>
      <c r="E855" s="2"/>
      <c r="F855" s="57"/>
      <c r="G855" s="63" t="s">
        <v>6056</v>
      </c>
      <c r="H855" s="59">
        <v>999.93700000000001</v>
      </c>
    </row>
    <row r="856" spans="1:8" ht="112.5" customHeight="1" x14ac:dyDescent="0.15">
      <c r="A856" s="54">
        <v>3894</v>
      </c>
      <c r="B856" s="55" t="s">
        <v>3749</v>
      </c>
      <c r="C856" s="55" t="s">
        <v>6057</v>
      </c>
      <c r="D856" s="56" t="s">
        <v>6058</v>
      </c>
      <c r="E856" s="2"/>
      <c r="F856" s="57"/>
      <c r="G856" s="64" t="s">
        <v>6059</v>
      </c>
      <c r="H856" s="59">
        <v>0</v>
      </c>
    </row>
    <row r="857" spans="1:8" ht="112.5" customHeight="1" x14ac:dyDescent="0.15">
      <c r="A857" s="60">
        <v>3231</v>
      </c>
      <c r="B857" s="30" t="s">
        <v>3502</v>
      </c>
      <c r="C857" s="30" t="s">
        <v>6060</v>
      </c>
      <c r="D857" s="61" t="s">
        <v>6061</v>
      </c>
      <c r="E857" s="2"/>
      <c r="F857" s="57"/>
      <c r="G857" s="63" t="s">
        <v>6062</v>
      </c>
      <c r="H857" s="59" t="s">
        <v>4171</v>
      </c>
    </row>
    <row r="858" spans="1:8" ht="112.5" customHeight="1" x14ac:dyDescent="0.15">
      <c r="A858" s="54">
        <v>2284</v>
      </c>
      <c r="B858" s="55" t="s">
        <v>3749</v>
      </c>
      <c r="C858" s="55" t="s">
        <v>6063</v>
      </c>
      <c r="D858" s="56" t="s">
        <v>6064</v>
      </c>
      <c r="E858" s="2"/>
      <c r="F858" s="57"/>
      <c r="G858" s="64" t="s">
        <v>6065</v>
      </c>
      <c r="H858" s="59">
        <v>999.99</v>
      </c>
    </row>
    <row r="859" spans="1:8" ht="112.5" customHeight="1" x14ac:dyDescent="0.15">
      <c r="A859" s="60">
        <v>2283</v>
      </c>
      <c r="B859" s="30" t="s">
        <v>3749</v>
      </c>
      <c r="C859" s="30" t="s">
        <v>6066</v>
      </c>
      <c r="D859" s="61" t="s">
        <v>6067</v>
      </c>
      <c r="E859" s="2"/>
      <c r="F859" s="57"/>
      <c r="G859" s="63" t="s">
        <v>6068</v>
      </c>
      <c r="H859" s="59">
        <v>999.97199999999998</v>
      </c>
    </row>
    <row r="860" spans="1:8" ht="112.5" customHeight="1" x14ac:dyDescent="0.15">
      <c r="A860" s="60">
        <v>219</v>
      </c>
      <c r="B860" s="30" t="s">
        <v>3749</v>
      </c>
      <c r="C860" s="30" t="s">
        <v>6069</v>
      </c>
      <c r="D860" s="61" t="s">
        <v>6070</v>
      </c>
      <c r="E860" s="2"/>
      <c r="F860" s="57"/>
      <c r="G860" s="64" t="s">
        <v>6071</v>
      </c>
      <c r="H860" s="59">
        <v>999.98400000000004</v>
      </c>
    </row>
    <row r="861" spans="1:8" ht="112.5" customHeight="1" x14ac:dyDescent="0.15">
      <c r="A861" s="60">
        <v>3431</v>
      </c>
      <c r="B861" s="30" t="s">
        <v>3496</v>
      </c>
      <c r="C861" s="30" t="s">
        <v>6072</v>
      </c>
      <c r="D861" s="61" t="s">
        <v>6073</v>
      </c>
      <c r="E861" s="2"/>
      <c r="F861" s="57"/>
      <c r="G861" s="63" t="s">
        <v>6074</v>
      </c>
      <c r="H861" s="59">
        <v>0</v>
      </c>
    </row>
    <row r="862" spans="1:8" ht="112.5" customHeight="1" x14ac:dyDescent="0.15">
      <c r="A862" s="54">
        <v>3432</v>
      </c>
      <c r="B862" s="55" t="s">
        <v>3496</v>
      </c>
      <c r="C862" s="55" t="s">
        <v>6075</v>
      </c>
      <c r="D862" s="56" t="s">
        <v>6076</v>
      </c>
      <c r="E862" s="2"/>
      <c r="F862" s="57"/>
      <c r="G862" s="64" t="s">
        <v>6077</v>
      </c>
      <c r="H862" s="59">
        <v>999.98900000000003</v>
      </c>
    </row>
    <row r="863" spans="1:8" ht="112.5" customHeight="1" x14ac:dyDescent="0.15">
      <c r="A863" s="60">
        <v>2295</v>
      </c>
      <c r="B863" s="30" t="s">
        <v>3526</v>
      </c>
      <c r="C863" s="30" t="s">
        <v>6078</v>
      </c>
      <c r="D863" s="61" t="s">
        <v>6079</v>
      </c>
      <c r="E863" s="2"/>
      <c r="F863" s="57"/>
      <c r="G863" s="63" t="s">
        <v>6080</v>
      </c>
      <c r="H863" s="59">
        <v>999.96699999999998</v>
      </c>
    </row>
    <row r="864" spans="1:8" ht="112.5" customHeight="1" x14ac:dyDescent="0.15">
      <c r="A864" s="60">
        <v>2279</v>
      </c>
      <c r="B864" s="30" t="s">
        <v>3556</v>
      </c>
      <c r="C864" s="30" t="s">
        <v>6081</v>
      </c>
      <c r="D864" s="61" t="s">
        <v>6082</v>
      </c>
      <c r="E864" s="2"/>
      <c r="F864" s="57"/>
      <c r="G864" s="64" t="s">
        <v>6083</v>
      </c>
      <c r="H864" s="59">
        <v>0</v>
      </c>
    </row>
    <row r="865" spans="1:8" ht="112.5" customHeight="1" x14ac:dyDescent="0.15">
      <c r="A865" s="54">
        <v>2278</v>
      </c>
      <c r="B865" s="55" t="s">
        <v>3556</v>
      </c>
      <c r="C865" s="55" t="s">
        <v>6084</v>
      </c>
      <c r="D865" s="56" t="s">
        <v>6085</v>
      </c>
      <c r="E865" s="2"/>
      <c r="F865" s="57"/>
      <c r="G865" s="63" t="s">
        <v>6086</v>
      </c>
      <c r="H865" s="59" t="s">
        <v>4171</v>
      </c>
    </row>
    <row r="866" spans="1:8" ht="112.5" customHeight="1" x14ac:dyDescent="0.15">
      <c r="A866" s="54">
        <v>3404</v>
      </c>
      <c r="B866" s="55" t="s">
        <v>3496</v>
      </c>
      <c r="C866" s="55" t="s">
        <v>6087</v>
      </c>
      <c r="D866" s="56" t="s">
        <v>6088</v>
      </c>
      <c r="E866" s="2"/>
      <c r="F866" s="57"/>
      <c r="G866" s="64" t="s">
        <v>6089</v>
      </c>
      <c r="H866" s="59">
        <v>999.99400000000003</v>
      </c>
    </row>
    <row r="867" spans="1:8" ht="112.5" customHeight="1" x14ac:dyDescent="0.15">
      <c r="A867" s="54">
        <v>3342</v>
      </c>
      <c r="B867" s="55" t="s">
        <v>3496</v>
      </c>
      <c r="C867" s="55" t="s">
        <v>6090</v>
      </c>
      <c r="D867" s="56" t="s">
        <v>6091</v>
      </c>
      <c r="E867" s="2"/>
      <c r="F867" s="57"/>
      <c r="G867" s="63" t="s">
        <v>6092</v>
      </c>
      <c r="H867" s="59">
        <v>999.99300000000005</v>
      </c>
    </row>
    <row r="868" spans="1:8" ht="112.5" customHeight="1" x14ac:dyDescent="0.15">
      <c r="A868" s="54">
        <v>3356</v>
      </c>
      <c r="B868" s="55" t="s">
        <v>3496</v>
      </c>
      <c r="C868" s="55" t="s">
        <v>6093</v>
      </c>
      <c r="D868" s="56" t="s">
        <v>6094</v>
      </c>
      <c r="E868" s="2"/>
      <c r="F868" s="57"/>
      <c r="G868" s="64" t="s">
        <v>6095</v>
      </c>
      <c r="H868" s="59">
        <v>0</v>
      </c>
    </row>
    <row r="869" spans="1:8" ht="112.5" customHeight="1" x14ac:dyDescent="0.15">
      <c r="A869" s="60">
        <v>3383</v>
      </c>
      <c r="B869" s="30" t="s">
        <v>3496</v>
      </c>
      <c r="C869" s="30" t="s">
        <v>6096</v>
      </c>
      <c r="D869" s="61" t="s">
        <v>6097</v>
      </c>
      <c r="E869" s="2"/>
      <c r="F869" s="57"/>
      <c r="G869" s="63" t="s">
        <v>6098</v>
      </c>
      <c r="H869" s="59">
        <v>999.99400000000003</v>
      </c>
    </row>
    <row r="870" spans="1:8" ht="112.5" customHeight="1" x14ac:dyDescent="0.15">
      <c r="A870" s="54">
        <v>3382</v>
      </c>
      <c r="B870" s="55" t="s">
        <v>3496</v>
      </c>
      <c r="C870" s="55" t="s">
        <v>6099</v>
      </c>
      <c r="D870" s="56" t="s">
        <v>6100</v>
      </c>
      <c r="E870" s="2"/>
      <c r="F870" s="57"/>
      <c r="G870" s="64" t="s">
        <v>6101</v>
      </c>
      <c r="H870" s="59">
        <v>999.98500000000001</v>
      </c>
    </row>
    <row r="871" spans="1:8" ht="112.5" customHeight="1" x14ac:dyDescent="0.15">
      <c r="A871" s="60">
        <v>1975</v>
      </c>
      <c r="B871" s="30" t="s">
        <v>3556</v>
      </c>
      <c r="C871" s="30" t="s">
        <v>6102</v>
      </c>
      <c r="D871" s="61" t="s">
        <v>6103</v>
      </c>
      <c r="E871" s="2"/>
      <c r="F871" s="57"/>
      <c r="G871" s="63" t="s">
        <v>4619</v>
      </c>
      <c r="H871" s="59">
        <v>0</v>
      </c>
    </row>
    <row r="872" spans="1:8" ht="112.5" customHeight="1" x14ac:dyDescent="0.15">
      <c r="A872" s="60">
        <v>2365</v>
      </c>
      <c r="B872" s="30" t="s">
        <v>3818</v>
      </c>
      <c r="C872" s="30" t="s">
        <v>6104</v>
      </c>
      <c r="D872" s="61" t="s">
        <v>6105</v>
      </c>
      <c r="E872" s="2"/>
      <c r="F872" s="57"/>
      <c r="G872" s="64" t="s">
        <v>6106</v>
      </c>
      <c r="H872" s="59">
        <v>999.99699999999996</v>
      </c>
    </row>
    <row r="873" spans="1:8" ht="112.5" customHeight="1" x14ac:dyDescent="0.15">
      <c r="A873" s="54">
        <v>2366</v>
      </c>
      <c r="B873" s="55" t="s">
        <v>3818</v>
      </c>
      <c r="C873" s="55" t="s">
        <v>6107</v>
      </c>
      <c r="D873" s="56" t="s">
        <v>6108</v>
      </c>
      <c r="E873" s="2"/>
      <c r="F873" s="57"/>
      <c r="G873" s="63" t="s">
        <v>6109</v>
      </c>
      <c r="H873" s="59">
        <v>999.99800000000005</v>
      </c>
    </row>
    <row r="874" spans="1:8" ht="112.5" customHeight="1" x14ac:dyDescent="0.15">
      <c r="A874" s="60">
        <v>2367</v>
      </c>
      <c r="B874" s="30" t="s">
        <v>3818</v>
      </c>
      <c r="C874" s="30" t="s">
        <v>6110</v>
      </c>
      <c r="D874" s="61" t="s">
        <v>6111</v>
      </c>
      <c r="E874" s="2"/>
      <c r="F874" s="57"/>
      <c r="G874" s="64" t="s">
        <v>6112</v>
      </c>
      <c r="H874" s="59" t="s">
        <v>4171</v>
      </c>
    </row>
    <row r="875" spans="1:8" ht="112.5" customHeight="1" x14ac:dyDescent="0.15">
      <c r="A875" s="60">
        <v>3403</v>
      </c>
      <c r="B875" s="30" t="s">
        <v>3496</v>
      </c>
      <c r="C875" s="30" t="s">
        <v>6113</v>
      </c>
      <c r="D875" s="61" t="s">
        <v>6114</v>
      </c>
      <c r="E875" s="2"/>
      <c r="F875" s="57"/>
      <c r="G875" s="63" t="s">
        <v>6115</v>
      </c>
      <c r="H875" s="59">
        <v>999.99599999999998</v>
      </c>
    </row>
    <row r="876" spans="1:8" ht="112.5" customHeight="1" x14ac:dyDescent="0.15">
      <c r="A876" s="54">
        <v>462</v>
      </c>
      <c r="B876" s="55" t="s">
        <v>3496</v>
      </c>
      <c r="C876" s="55" t="s">
        <v>6116</v>
      </c>
      <c r="D876" s="56" t="s">
        <v>6117</v>
      </c>
      <c r="E876" s="2"/>
      <c r="F876" s="57"/>
      <c r="G876" s="64" t="s">
        <v>6118</v>
      </c>
      <c r="H876" s="59">
        <v>999.971</v>
      </c>
    </row>
    <row r="877" spans="1:8" ht="112.5" customHeight="1" x14ac:dyDescent="0.15">
      <c r="A877" s="60">
        <v>3389</v>
      </c>
      <c r="B877" s="30" t="s">
        <v>3496</v>
      </c>
      <c r="C877" s="30" t="s">
        <v>6119</v>
      </c>
      <c r="D877" s="61" t="s">
        <v>6120</v>
      </c>
      <c r="E877" s="2"/>
      <c r="F877" s="57"/>
      <c r="G877" s="63" t="s">
        <v>6121</v>
      </c>
      <c r="H877" s="59">
        <v>999.995</v>
      </c>
    </row>
    <row r="878" spans="1:8" ht="112.5" customHeight="1" x14ac:dyDescent="0.15">
      <c r="A878" s="60">
        <v>1297</v>
      </c>
      <c r="B878" s="30" t="s">
        <v>3502</v>
      </c>
      <c r="C878" s="30" t="s">
        <v>6122</v>
      </c>
      <c r="D878" s="61" t="s">
        <v>6123</v>
      </c>
      <c r="E878" s="2"/>
      <c r="F878" s="57"/>
      <c r="G878" s="64" t="s">
        <v>6124</v>
      </c>
      <c r="H878" s="59">
        <v>999.98599999999999</v>
      </c>
    </row>
    <row r="879" spans="1:8" ht="112.5" customHeight="1" x14ac:dyDescent="0.15">
      <c r="A879" s="54">
        <v>2270</v>
      </c>
      <c r="B879" s="55" t="s">
        <v>3496</v>
      </c>
      <c r="C879" s="55" t="s">
        <v>6125</v>
      </c>
      <c r="D879" s="56" t="s">
        <v>6126</v>
      </c>
      <c r="E879" s="2"/>
      <c r="F879" s="57"/>
      <c r="G879" s="63" t="s">
        <v>6127</v>
      </c>
      <c r="H879" s="59">
        <v>999.99599999999998</v>
      </c>
    </row>
    <row r="880" spans="1:8" ht="112.5" customHeight="1" x14ac:dyDescent="0.15">
      <c r="A880" s="60">
        <v>3325</v>
      </c>
      <c r="B880" s="30" t="s">
        <v>3549</v>
      </c>
      <c r="C880" s="30" t="s">
        <v>6128</v>
      </c>
      <c r="D880" s="61" t="s">
        <v>6129</v>
      </c>
      <c r="E880" s="2"/>
      <c r="F880" s="57"/>
      <c r="G880" s="64" t="s">
        <v>6130</v>
      </c>
      <c r="H880" s="59">
        <v>999.98500000000001</v>
      </c>
    </row>
    <row r="881" spans="1:8" ht="112.5" customHeight="1" x14ac:dyDescent="0.15">
      <c r="A881" s="54">
        <v>3326</v>
      </c>
      <c r="B881" s="55" t="s">
        <v>3549</v>
      </c>
      <c r="C881" s="55" t="s">
        <v>6131</v>
      </c>
      <c r="D881" s="56" t="s">
        <v>6132</v>
      </c>
      <c r="E881" s="2"/>
      <c r="F881" s="57"/>
      <c r="G881" s="63" t="s">
        <v>6133</v>
      </c>
      <c r="H881" s="59">
        <v>999.99099999999999</v>
      </c>
    </row>
    <row r="882" spans="1:8" ht="112.5" customHeight="1" x14ac:dyDescent="0.15">
      <c r="A882" s="60">
        <v>3269</v>
      </c>
      <c r="B882" s="30" t="s">
        <v>3496</v>
      </c>
      <c r="C882" s="30" t="s">
        <v>6134</v>
      </c>
      <c r="D882" s="61" t="s">
        <v>6135</v>
      </c>
      <c r="E882" s="2"/>
      <c r="F882" s="57"/>
      <c r="G882" s="64" t="s">
        <v>6136</v>
      </c>
      <c r="H882" s="59">
        <v>999.97799999999995</v>
      </c>
    </row>
    <row r="883" spans="1:8" ht="112.5" customHeight="1" x14ac:dyDescent="0.15">
      <c r="A883" s="54">
        <v>3426</v>
      </c>
      <c r="B883" s="55" t="s">
        <v>3513</v>
      </c>
      <c r="C883" s="55" t="s">
        <v>6137</v>
      </c>
      <c r="D883" s="56" t="s">
        <v>6138</v>
      </c>
      <c r="E883" s="2"/>
      <c r="F883" s="57"/>
      <c r="G883" s="63" t="s">
        <v>6139</v>
      </c>
      <c r="H883" s="59">
        <v>999.96900000000005</v>
      </c>
    </row>
    <row r="884" spans="1:8" ht="112.5" customHeight="1" x14ac:dyDescent="0.15">
      <c r="A884" s="60">
        <v>3427</v>
      </c>
      <c r="B884" s="30" t="s">
        <v>3496</v>
      </c>
      <c r="C884" s="30" t="s">
        <v>6140</v>
      </c>
      <c r="D884" s="61" t="s">
        <v>6141</v>
      </c>
      <c r="E884" s="2"/>
      <c r="F884" s="57"/>
      <c r="G884" s="64" t="s">
        <v>6142</v>
      </c>
      <c r="H884" s="59">
        <v>999.96500000000003</v>
      </c>
    </row>
    <row r="885" spans="1:8" ht="112.5" customHeight="1" x14ac:dyDescent="0.15">
      <c r="A885" s="54">
        <v>260</v>
      </c>
      <c r="B885" s="55" t="s">
        <v>3898</v>
      </c>
      <c r="C885" s="55" t="s">
        <v>6143</v>
      </c>
      <c r="D885" s="56" t="s">
        <v>6144</v>
      </c>
      <c r="E885" s="2"/>
      <c r="F885" s="57"/>
      <c r="G885" s="63" t="s">
        <v>6145</v>
      </c>
      <c r="H885" s="59">
        <v>999.97199999999998</v>
      </c>
    </row>
    <row r="886" spans="1:8" ht="112.5" customHeight="1" x14ac:dyDescent="0.15">
      <c r="A886" s="54">
        <v>3400</v>
      </c>
      <c r="B886" s="55" t="s">
        <v>3549</v>
      </c>
      <c r="C886" s="55" t="s">
        <v>6146</v>
      </c>
      <c r="D886" s="56" t="s">
        <v>6147</v>
      </c>
      <c r="E886" s="2"/>
      <c r="F886" s="57"/>
      <c r="G886" s="64" t="s">
        <v>6148</v>
      </c>
      <c r="H886" s="59">
        <v>999.98299999999995</v>
      </c>
    </row>
    <row r="887" spans="1:8" ht="112.5" customHeight="1" x14ac:dyDescent="0.15">
      <c r="A887" s="54">
        <v>3424</v>
      </c>
      <c r="B887" s="55" t="s">
        <v>4334</v>
      </c>
      <c r="C887" s="55" t="s">
        <v>6149</v>
      </c>
      <c r="D887" s="56" t="s">
        <v>6150</v>
      </c>
      <c r="E887" s="2"/>
      <c r="F887" s="57"/>
      <c r="G887" s="63" t="s">
        <v>6151</v>
      </c>
      <c r="H887" s="59">
        <v>999.98800000000006</v>
      </c>
    </row>
    <row r="888" spans="1:8" ht="112.5" customHeight="1" x14ac:dyDescent="0.15">
      <c r="A888" s="54">
        <v>3102</v>
      </c>
      <c r="B888" s="55" t="s">
        <v>3749</v>
      </c>
      <c r="C888" s="55" t="s">
        <v>6152</v>
      </c>
      <c r="D888" s="56" t="s">
        <v>6153</v>
      </c>
      <c r="E888" s="2"/>
      <c r="F888" s="57"/>
      <c r="G888" s="64" t="s">
        <v>6154</v>
      </c>
      <c r="H888" s="59">
        <v>999.93399999999997</v>
      </c>
    </row>
    <row r="889" spans="1:8" ht="112.5" customHeight="1" x14ac:dyDescent="0.15">
      <c r="A889" s="60">
        <v>3149</v>
      </c>
      <c r="B889" s="30" t="s">
        <v>3492</v>
      </c>
      <c r="C889" s="30" t="s">
        <v>6155</v>
      </c>
      <c r="D889" s="61" t="s">
        <v>6156</v>
      </c>
      <c r="E889" s="2"/>
      <c r="F889" s="57"/>
      <c r="G889" s="63" t="s">
        <v>6157</v>
      </c>
      <c r="H889" s="59" t="s">
        <v>4171</v>
      </c>
    </row>
    <row r="890" spans="1:8" ht="112.5" customHeight="1" x14ac:dyDescent="0.15">
      <c r="A890" s="60">
        <v>3291</v>
      </c>
      <c r="B890" s="30" t="s">
        <v>3492</v>
      </c>
      <c r="C890" s="30" t="s">
        <v>6158</v>
      </c>
      <c r="D890" s="61" t="s">
        <v>6159</v>
      </c>
      <c r="E890" s="2"/>
      <c r="F890" s="57"/>
      <c r="G890" s="64" t="s">
        <v>6160</v>
      </c>
      <c r="H890" s="59">
        <v>999.99400000000003</v>
      </c>
    </row>
    <row r="891" spans="1:8" ht="112.5" customHeight="1" x14ac:dyDescent="0.15">
      <c r="A891" s="54">
        <v>3292</v>
      </c>
      <c r="B891" s="55" t="s">
        <v>3492</v>
      </c>
      <c r="C891" s="55" t="s">
        <v>6161</v>
      </c>
      <c r="D891" s="56" t="s">
        <v>6162</v>
      </c>
      <c r="E891" s="2"/>
      <c r="F891" s="57"/>
      <c r="G891" s="63" t="s">
        <v>4616</v>
      </c>
      <c r="H891" s="59">
        <v>999.98199999999997</v>
      </c>
    </row>
    <row r="892" spans="1:8" ht="112.5" customHeight="1" x14ac:dyDescent="0.15">
      <c r="A892" s="54">
        <v>3290</v>
      </c>
      <c r="B892" s="55" t="s">
        <v>3492</v>
      </c>
      <c r="C892" s="55" t="s">
        <v>6163</v>
      </c>
      <c r="D892" s="56" t="s">
        <v>6164</v>
      </c>
      <c r="E892" s="2"/>
      <c r="F892" s="57"/>
      <c r="G892" s="64" t="s">
        <v>6165</v>
      </c>
      <c r="H892" s="59">
        <v>999.995</v>
      </c>
    </row>
    <row r="893" spans="1:8" ht="112.5" customHeight="1" x14ac:dyDescent="0.15">
      <c r="A893" s="54">
        <v>3148</v>
      </c>
      <c r="B893" s="55" t="s">
        <v>3492</v>
      </c>
      <c r="C893" s="55" t="s">
        <v>6166</v>
      </c>
      <c r="D893" s="56" t="s">
        <v>6167</v>
      </c>
      <c r="E893" s="2"/>
      <c r="F893" s="57"/>
      <c r="G893" s="63" t="s">
        <v>6168</v>
      </c>
      <c r="H893" s="59">
        <v>1</v>
      </c>
    </row>
    <row r="894" spans="1:8" ht="112.5" customHeight="1" x14ac:dyDescent="0.15">
      <c r="A894" s="60">
        <v>2521</v>
      </c>
      <c r="B894" s="30" t="s">
        <v>3670</v>
      </c>
      <c r="C894" s="30" t="s">
        <v>6169</v>
      </c>
      <c r="D894" s="61" t="s">
        <v>6170</v>
      </c>
      <c r="E894" s="2"/>
      <c r="F894" s="57"/>
      <c r="G894" s="64" t="s">
        <v>6171</v>
      </c>
      <c r="H894" s="59">
        <v>1</v>
      </c>
    </row>
    <row r="895" spans="1:8" ht="112.5" customHeight="1" x14ac:dyDescent="0.15">
      <c r="A895" s="54">
        <v>2300</v>
      </c>
      <c r="B895" s="55" t="s">
        <v>3513</v>
      </c>
      <c r="C895" s="55" t="s">
        <v>6172</v>
      </c>
      <c r="D895" s="56" t="s">
        <v>6173</v>
      </c>
      <c r="E895" s="2"/>
      <c r="F895" s="57"/>
      <c r="G895" s="63" t="s">
        <v>6174</v>
      </c>
      <c r="H895" s="59">
        <v>1</v>
      </c>
    </row>
    <row r="896" spans="1:8" ht="112.5" customHeight="1" x14ac:dyDescent="0.15">
      <c r="A896" s="60">
        <v>3249</v>
      </c>
      <c r="B896" s="30" t="s">
        <v>3502</v>
      </c>
      <c r="C896" s="30" t="s">
        <v>6175</v>
      </c>
      <c r="D896" s="61" t="s">
        <v>6176</v>
      </c>
      <c r="E896" s="2"/>
      <c r="F896" s="57"/>
      <c r="G896" s="64" t="s">
        <v>6177</v>
      </c>
      <c r="H896" s="59">
        <v>1</v>
      </c>
    </row>
    <row r="897" spans="1:8" ht="112.5" customHeight="1" x14ac:dyDescent="0.15">
      <c r="A897" s="60">
        <v>3461</v>
      </c>
      <c r="B897" s="30" t="s">
        <v>3496</v>
      </c>
      <c r="C897" s="30" t="s">
        <v>6178</v>
      </c>
      <c r="D897" s="61" t="s">
        <v>6179</v>
      </c>
      <c r="E897" s="2"/>
      <c r="F897" s="57"/>
      <c r="G897" s="63" t="s">
        <v>6180</v>
      </c>
      <c r="H897" s="59">
        <v>990</v>
      </c>
    </row>
    <row r="898" spans="1:8" ht="112.5" customHeight="1" x14ac:dyDescent="0.15">
      <c r="A898" s="54">
        <v>3876</v>
      </c>
      <c r="B898" s="55" t="s">
        <v>3801</v>
      </c>
      <c r="C898" s="55" t="s">
        <v>6181</v>
      </c>
      <c r="D898" s="56" t="s">
        <v>6182</v>
      </c>
      <c r="E898" s="2"/>
      <c r="F898" s="57"/>
      <c r="G898" s="64" t="s">
        <v>6183</v>
      </c>
      <c r="H898" s="59">
        <v>1</v>
      </c>
    </row>
    <row r="899" spans="1:8" ht="112.5" customHeight="1" x14ac:dyDescent="0.15">
      <c r="A899" s="60">
        <v>3247</v>
      </c>
      <c r="B899" s="30" t="s">
        <v>3801</v>
      </c>
      <c r="C899" s="30" t="s">
        <v>6184</v>
      </c>
      <c r="D899" s="61" t="s">
        <v>6185</v>
      </c>
      <c r="E899" s="2"/>
      <c r="F899" s="57"/>
      <c r="G899" s="63" t="s">
        <v>6186</v>
      </c>
      <c r="H899" s="59">
        <v>1</v>
      </c>
    </row>
    <row r="900" spans="1:8" ht="112.5" customHeight="1" x14ac:dyDescent="0.15">
      <c r="A900" s="54">
        <v>3246</v>
      </c>
      <c r="B900" s="55" t="s">
        <v>3801</v>
      </c>
      <c r="C900" s="55" t="s">
        <v>6187</v>
      </c>
      <c r="D900" s="56" t="s">
        <v>6188</v>
      </c>
      <c r="E900" s="2"/>
      <c r="F900" s="57"/>
      <c r="G900" s="64" t="s">
        <v>6189</v>
      </c>
      <c r="H900" s="59">
        <v>1</v>
      </c>
    </row>
    <row r="901" spans="1:8" ht="112.5" customHeight="1" x14ac:dyDescent="0.15">
      <c r="A901" s="54">
        <v>3244</v>
      </c>
      <c r="B901" s="55" t="s">
        <v>3801</v>
      </c>
      <c r="C901" s="55" t="s">
        <v>6190</v>
      </c>
      <c r="D901" s="56" t="s">
        <v>6191</v>
      </c>
      <c r="E901" s="2"/>
      <c r="F901" s="57"/>
      <c r="G901" s="63" t="s">
        <v>6192</v>
      </c>
      <c r="H901" s="59">
        <v>1</v>
      </c>
    </row>
    <row r="902" spans="1:8" ht="112.5" customHeight="1" x14ac:dyDescent="0.15">
      <c r="A902" s="60">
        <v>3245</v>
      </c>
      <c r="B902" s="30" t="s">
        <v>3801</v>
      </c>
      <c r="C902" s="30" t="s">
        <v>6193</v>
      </c>
      <c r="D902" s="61" t="s">
        <v>6194</v>
      </c>
      <c r="E902" s="2"/>
      <c r="F902" s="57"/>
      <c r="G902" s="64" t="s">
        <v>6195</v>
      </c>
      <c r="H902" s="59">
        <v>0</v>
      </c>
    </row>
    <row r="903" spans="1:8" ht="112.5" customHeight="1" x14ac:dyDescent="0.15">
      <c r="A903" s="60">
        <v>2361</v>
      </c>
      <c r="B903" s="30" t="s">
        <v>3496</v>
      </c>
      <c r="C903" s="30" t="s">
        <v>6196</v>
      </c>
      <c r="D903" s="61" t="s">
        <v>6197</v>
      </c>
      <c r="E903" s="2"/>
      <c r="F903" s="57"/>
      <c r="G903" s="63" t="s">
        <v>6198</v>
      </c>
      <c r="H903" s="59">
        <v>1</v>
      </c>
    </row>
    <row r="904" spans="1:8" ht="112.5" customHeight="1" x14ac:dyDescent="0.15">
      <c r="A904" s="54">
        <v>1970</v>
      </c>
      <c r="B904" s="55" t="s">
        <v>3496</v>
      </c>
      <c r="C904" s="55" t="s">
        <v>6199</v>
      </c>
      <c r="D904" s="56" t="s">
        <v>6200</v>
      </c>
      <c r="E904" s="2"/>
      <c r="F904" s="57"/>
      <c r="G904" s="64" t="s">
        <v>6201</v>
      </c>
      <c r="H904" s="59">
        <v>0</v>
      </c>
    </row>
    <row r="905" spans="1:8" ht="112.5" customHeight="1" x14ac:dyDescent="0.15">
      <c r="A905" s="60">
        <v>1969</v>
      </c>
      <c r="B905" s="30" t="s">
        <v>3496</v>
      </c>
      <c r="C905" s="30" t="s">
        <v>6202</v>
      </c>
      <c r="D905" s="61" t="s">
        <v>6203</v>
      </c>
      <c r="E905" s="2"/>
      <c r="F905" s="57"/>
      <c r="G905" s="63" t="s">
        <v>6204</v>
      </c>
      <c r="H905" s="59">
        <v>1</v>
      </c>
    </row>
    <row r="906" spans="1:8" ht="112.5" customHeight="1" x14ac:dyDescent="0.15">
      <c r="A906" s="54">
        <v>280</v>
      </c>
      <c r="B906" s="55" t="s">
        <v>3814</v>
      </c>
      <c r="C906" s="55" t="s">
        <v>6205</v>
      </c>
      <c r="D906" s="56" t="s">
        <v>6206</v>
      </c>
      <c r="E906" s="2"/>
      <c r="F906" s="57"/>
      <c r="G906" s="64" t="s">
        <v>6207</v>
      </c>
      <c r="H906" s="59">
        <v>0</v>
      </c>
    </row>
    <row r="907" spans="1:8" ht="112.5" customHeight="1" x14ac:dyDescent="0.15">
      <c r="A907" s="60">
        <v>3243</v>
      </c>
      <c r="B907" s="30" t="s">
        <v>3801</v>
      </c>
      <c r="C907" s="30" t="s">
        <v>6208</v>
      </c>
      <c r="D907" s="61" t="s">
        <v>6209</v>
      </c>
      <c r="E907" s="2"/>
      <c r="F907" s="57"/>
      <c r="G907" s="63" t="s">
        <v>6210</v>
      </c>
      <c r="H907" s="59">
        <v>993</v>
      </c>
    </row>
    <row r="908" spans="1:8" ht="112.5" customHeight="1" x14ac:dyDescent="0.15">
      <c r="A908" s="60">
        <v>3241</v>
      </c>
      <c r="B908" s="30" t="s">
        <v>3801</v>
      </c>
      <c r="C908" s="30" t="s">
        <v>6211</v>
      </c>
      <c r="D908" s="61" t="s">
        <v>6212</v>
      </c>
      <c r="E908" s="2"/>
      <c r="F908" s="57"/>
      <c r="G908" s="64" t="s">
        <v>6213</v>
      </c>
      <c r="H908" s="59">
        <v>1</v>
      </c>
    </row>
    <row r="909" spans="1:8" ht="112.5" customHeight="1" x14ac:dyDescent="0.15">
      <c r="A909" s="54">
        <v>3242</v>
      </c>
      <c r="B909" s="55" t="s">
        <v>3801</v>
      </c>
      <c r="C909" s="55" t="s">
        <v>6214</v>
      </c>
      <c r="D909" s="56" t="s">
        <v>6215</v>
      </c>
      <c r="E909" s="2"/>
      <c r="F909" s="57"/>
      <c r="G909" s="63" t="s">
        <v>6216</v>
      </c>
      <c r="H909" s="59">
        <v>993</v>
      </c>
    </row>
    <row r="910" spans="1:8" ht="112.5" customHeight="1" x14ac:dyDescent="0.15">
      <c r="A910" s="60">
        <v>3307</v>
      </c>
      <c r="B910" s="30" t="s">
        <v>3496</v>
      </c>
      <c r="C910" s="30" t="s">
        <v>6217</v>
      </c>
      <c r="D910" s="61" t="s">
        <v>6218</v>
      </c>
      <c r="E910" s="2"/>
      <c r="F910" s="57"/>
      <c r="G910" s="64" t="s">
        <v>6219</v>
      </c>
      <c r="H910" s="59">
        <v>1</v>
      </c>
    </row>
    <row r="911" spans="1:8" ht="112.5" customHeight="1" x14ac:dyDescent="0.15">
      <c r="A911" s="54">
        <v>288</v>
      </c>
      <c r="B911" s="55" t="s">
        <v>3822</v>
      </c>
      <c r="C911" s="55" t="s">
        <v>6220</v>
      </c>
      <c r="D911" s="56" t="s">
        <v>6221</v>
      </c>
      <c r="E911" s="2"/>
      <c r="F911" s="57"/>
      <c r="G911" s="63" t="s">
        <v>4613</v>
      </c>
      <c r="H911" s="59">
        <v>988</v>
      </c>
    </row>
    <row r="912" spans="1:8" ht="112.5" customHeight="1" x14ac:dyDescent="0.15">
      <c r="A912" s="60">
        <v>3285</v>
      </c>
      <c r="B912" s="30" t="s">
        <v>3822</v>
      </c>
      <c r="C912" s="30" t="s">
        <v>6222</v>
      </c>
      <c r="D912" s="61" t="s">
        <v>6223</v>
      </c>
      <c r="E912" s="2"/>
      <c r="F912" s="57"/>
      <c r="G912" s="64" t="s">
        <v>6224</v>
      </c>
      <c r="H912" s="59">
        <v>1</v>
      </c>
    </row>
    <row r="913" spans="1:8" ht="112.5" customHeight="1" x14ac:dyDescent="0.15">
      <c r="A913" s="54">
        <v>2288</v>
      </c>
      <c r="B913" s="55" t="s">
        <v>3496</v>
      </c>
      <c r="C913" s="55" t="s">
        <v>6225</v>
      </c>
      <c r="D913" s="56" t="s">
        <v>6226</v>
      </c>
      <c r="E913" s="2"/>
      <c r="F913" s="57"/>
      <c r="G913" s="63" t="s">
        <v>6227</v>
      </c>
      <c r="H913" s="59">
        <v>1</v>
      </c>
    </row>
    <row r="914" spans="1:8" ht="112.5" customHeight="1" x14ac:dyDescent="0.15">
      <c r="A914" s="54">
        <v>3138</v>
      </c>
      <c r="B914" s="55" t="s">
        <v>3556</v>
      </c>
      <c r="C914" s="55" t="s">
        <v>6228</v>
      </c>
      <c r="D914" s="56" t="s">
        <v>6229</v>
      </c>
      <c r="E914" s="2"/>
      <c r="F914" s="57"/>
      <c r="G914" s="64" t="s">
        <v>6230</v>
      </c>
      <c r="H914" s="59">
        <v>992</v>
      </c>
    </row>
    <row r="915" spans="1:8" ht="112.5" customHeight="1" x14ac:dyDescent="0.15">
      <c r="A915" s="60">
        <v>3085</v>
      </c>
      <c r="B915" s="30" t="s">
        <v>3556</v>
      </c>
      <c r="C915" s="30" t="s">
        <v>6231</v>
      </c>
      <c r="D915" s="61" t="s">
        <v>6232</v>
      </c>
      <c r="E915" s="2"/>
      <c r="F915" s="57"/>
      <c r="G915" s="63" t="s">
        <v>6233</v>
      </c>
      <c r="H915" s="59">
        <v>1</v>
      </c>
    </row>
    <row r="916" spans="1:8" ht="112.5" customHeight="1" x14ac:dyDescent="0.15">
      <c r="A916" s="54">
        <v>3358</v>
      </c>
      <c r="B916" s="55" t="s">
        <v>3556</v>
      </c>
      <c r="C916" s="55" t="s">
        <v>6234</v>
      </c>
      <c r="D916" s="56" t="s">
        <v>6235</v>
      </c>
      <c r="E916" s="2"/>
      <c r="F916" s="57"/>
      <c r="G916" s="64" t="s">
        <v>6236</v>
      </c>
      <c r="H916" s="59">
        <v>996</v>
      </c>
    </row>
    <row r="917" spans="1:8" ht="112.5" customHeight="1" x14ac:dyDescent="0.15">
      <c r="A917" s="60">
        <v>3135</v>
      </c>
      <c r="B917" s="30" t="s">
        <v>3496</v>
      </c>
      <c r="C917" s="30" t="s">
        <v>6237</v>
      </c>
      <c r="D917" s="61" t="s">
        <v>6238</v>
      </c>
      <c r="E917" s="2"/>
      <c r="F917" s="57"/>
      <c r="G917" s="63" t="s">
        <v>6239</v>
      </c>
      <c r="H917" s="59">
        <v>998</v>
      </c>
    </row>
    <row r="918" spans="1:8" ht="112.5" customHeight="1" x14ac:dyDescent="0.15">
      <c r="A918" s="60">
        <v>3133</v>
      </c>
      <c r="B918" s="30" t="s">
        <v>3496</v>
      </c>
      <c r="C918" s="30" t="s">
        <v>6240</v>
      </c>
      <c r="D918" s="61" t="s">
        <v>6241</v>
      </c>
      <c r="E918" s="2"/>
      <c r="F918" s="57"/>
      <c r="G918" s="64" t="s">
        <v>6242</v>
      </c>
      <c r="H918" s="59">
        <v>993</v>
      </c>
    </row>
    <row r="919" spans="1:8" ht="112.5" customHeight="1" x14ac:dyDescent="0.15">
      <c r="A919" s="54">
        <v>3134</v>
      </c>
      <c r="B919" s="55" t="s">
        <v>3496</v>
      </c>
      <c r="C919" s="55" t="s">
        <v>6243</v>
      </c>
      <c r="D919" s="56" t="s">
        <v>6244</v>
      </c>
      <c r="E919" s="2"/>
      <c r="F919" s="57"/>
      <c r="G919" s="63" t="s">
        <v>6245</v>
      </c>
      <c r="H919" s="59">
        <v>986</v>
      </c>
    </row>
    <row r="920" spans="1:8" ht="112.5" customHeight="1" x14ac:dyDescent="0.15">
      <c r="A920" s="54">
        <v>3132</v>
      </c>
      <c r="B920" s="55" t="s">
        <v>3496</v>
      </c>
      <c r="C920" s="55" t="s">
        <v>6246</v>
      </c>
      <c r="D920" s="56" t="s">
        <v>6247</v>
      </c>
      <c r="E920" s="2"/>
      <c r="F920" s="57"/>
      <c r="G920" s="64" t="s">
        <v>6248</v>
      </c>
      <c r="H920" s="59">
        <v>999</v>
      </c>
    </row>
    <row r="921" spans="1:8" ht="112.5" customHeight="1" x14ac:dyDescent="0.15">
      <c r="A921" s="60">
        <v>3103</v>
      </c>
      <c r="B921" s="30" t="s">
        <v>3496</v>
      </c>
      <c r="C921" s="30" t="s">
        <v>6249</v>
      </c>
      <c r="D921" s="61" t="s">
        <v>6250</v>
      </c>
      <c r="E921" s="2"/>
      <c r="F921" s="57"/>
      <c r="G921" s="63" t="s">
        <v>6251</v>
      </c>
      <c r="H921" s="59">
        <v>919</v>
      </c>
    </row>
    <row r="922" spans="1:8" ht="112.5" customHeight="1" x14ac:dyDescent="0.15">
      <c r="A922" s="60">
        <v>3105</v>
      </c>
      <c r="B922" s="30" t="s">
        <v>3496</v>
      </c>
      <c r="C922" s="30" t="s">
        <v>6252</v>
      </c>
      <c r="D922" s="61" t="s">
        <v>6253</v>
      </c>
      <c r="E922" s="2"/>
      <c r="F922" s="57"/>
      <c r="G922" s="64" t="s">
        <v>6254</v>
      </c>
      <c r="H922" s="59">
        <v>1</v>
      </c>
    </row>
    <row r="923" spans="1:8" ht="112.5" customHeight="1" x14ac:dyDescent="0.15">
      <c r="A923" s="54">
        <v>3104</v>
      </c>
      <c r="B923" s="55" t="s">
        <v>3496</v>
      </c>
      <c r="C923" s="55" t="s">
        <v>6255</v>
      </c>
      <c r="D923" s="56" t="s">
        <v>6256</v>
      </c>
      <c r="E923" s="2"/>
      <c r="F923" s="57"/>
      <c r="G923" s="63" t="s">
        <v>6257</v>
      </c>
      <c r="H923" s="59">
        <v>1</v>
      </c>
    </row>
    <row r="924" spans="1:8" ht="112.5" customHeight="1" x14ac:dyDescent="0.15">
      <c r="A924" s="60">
        <v>2277</v>
      </c>
      <c r="B924" s="30" t="s">
        <v>3814</v>
      </c>
      <c r="C924" s="30" t="s">
        <v>6258</v>
      </c>
      <c r="D924" s="61" t="s">
        <v>6259</v>
      </c>
      <c r="E924" s="2"/>
      <c r="F924" s="57"/>
      <c r="G924" s="64" t="s">
        <v>6260</v>
      </c>
      <c r="H924" s="59">
        <v>970</v>
      </c>
    </row>
    <row r="925" spans="1:8" ht="112.5" customHeight="1" x14ac:dyDescent="0.15">
      <c r="A925" s="54">
        <v>3136</v>
      </c>
      <c r="B925" s="55" t="s">
        <v>5887</v>
      </c>
      <c r="C925" s="55" t="s">
        <v>6261</v>
      </c>
      <c r="D925" s="56" t="s">
        <v>6262</v>
      </c>
      <c r="E925" s="2"/>
      <c r="F925" s="57"/>
      <c r="G925" s="63" t="s">
        <v>6263</v>
      </c>
      <c r="H925" s="59">
        <v>998</v>
      </c>
    </row>
    <row r="926" spans="1:8" ht="112.5" customHeight="1" x14ac:dyDescent="0.15">
      <c r="A926" s="54">
        <v>3384</v>
      </c>
      <c r="B926" s="55" t="s">
        <v>3496</v>
      </c>
      <c r="C926" s="55" t="s">
        <v>6264</v>
      </c>
      <c r="D926" s="56" t="s">
        <v>6265</v>
      </c>
      <c r="E926" s="2"/>
      <c r="F926" s="57"/>
      <c r="G926" s="64" t="s">
        <v>4815</v>
      </c>
      <c r="H926" s="59">
        <v>998</v>
      </c>
    </row>
    <row r="927" spans="1:8" ht="112.5" customHeight="1" x14ac:dyDescent="0.15">
      <c r="A927" s="54">
        <v>3126</v>
      </c>
      <c r="B927" s="55" t="s">
        <v>3496</v>
      </c>
      <c r="C927" s="55" t="s">
        <v>6266</v>
      </c>
      <c r="D927" s="56" t="s">
        <v>6267</v>
      </c>
      <c r="E927" s="2"/>
      <c r="F927" s="57"/>
      <c r="G927" s="63" t="s">
        <v>6268</v>
      </c>
      <c r="H927" s="59">
        <v>1</v>
      </c>
    </row>
    <row r="928" spans="1:8" ht="112.5" customHeight="1" x14ac:dyDescent="0.15">
      <c r="A928" s="60">
        <v>3141</v>
      </c>
      <c r="B928" s="30" t="s">
        <v>3513</v>
      </c>
      <c r="C928" s="30" t="s">
        <v>6269</v>
      </c>
      <c r="D928" s="61" t="s">
        <v>6270</v>
      </c>
      <c r="E928" s="2"/>
      <c r="F928" s="57"/>
      <c r="G928" s="64" t="s">
        <v>6271</v>
      </c>
      <c r="H928" s="59">
        <v>981</v>
      </c>
    </row>
    <row r="929" spans="1:8" ht="112.5" customHeight="1" x14ac:dyDescent="0.15">
      <c r="A929" s="60">
        <v>3817</v>
      </c>
      <c r="B929" s="30" t="s">
        <v>3898</v>
      </c>
      <c r="C929" s="30" t="s">
        <v>6272</v>
      </c>
      <c r="D929" s="61" t="s">
        <v>6273</v>
      </c>
      <c r="E929" s="2"/>
      <c r="F929" s="57"/>
      <c r="G929" s="63" t="s">
        <v>6274</v>
      </c>
      <c r="H929" s="59">
        <v>995</v>
      </c>
    </row>
    <row r="930" spans="1:8" ht="112.5" customHeight="1" x14ac:dyDescent="0.15">
      <c r="A930" s="60">
        <v>3261</v>
      </c>
      <c r="B930" s="30" t="s">
        <v>3496</v>
      </c>
      <c r="C930" s="30" t="s">
        <v>6275</v>
      </c>
      <c r="D930" s="61" t="s">
        <v>6276</v>
      </c>
      <c r="E930" s="2"/>
      <c r="F930" s="57"/>
      <c r="G930" s="64" t="s">
        <v>6277</v>
      </c>
      <c r="H930" s="59">
        <v>995</v>
      </c>
    </row>
    <row r="931" spans="1:8" ht="112.5" customHeight="1" x14ac:dyDescent="0.15">
      <c r="A931" s="54">
        <v>3240</v>
      </c>
      <c r="B931" s="55" t="s">
        <v>3801</v>
      </c>
      <c r="C931" s="55" t="s">
        <v>6278</v>
      </c>
      <c r="D931" s="56" t="s">
        <v>6279</v>
      </c>
      <c r="E931" s="2"/>
      <c r="F931" s="57"/>
      <c r="G931" s="63" t="s">
        <v>6280</v>
      </c>
      <c r="H931" s="59">
        <v>999</v>
      </c>
    </row>
    <row r="932" spans="1:8" ht="112.5" customHeight="1" x14ac:dyDescent="0.15">
      <c r="A932" s="54">
        <v>232</v>
      </c>
      <c r="B932" s="55" t="s">
        <v>3801</v>
      </c>
      <c r="C932" s="55" t="s">
        <v>6281</v>
      </c>
      <c r="D932" s="56" t="s">
        <v>6282</v>
      </c>
      <c r="E932" s="2"/>
      <c r="F932" s="57"/>
      <c r="G932" s="64" t="s">
        <v>6283</v>
      </c>
      <c r="H932" s="59">
        <v>109.99</v>
      </c>
    </row>
    <row r="933" spans="1:8" ht="112.5" customHeight="1" x14ac:dyDescent="0.15">
      <c r="A933" s="60">
        <v>3407</v>
      </c>
      <c r="B933" s="30" t="s">
        <v>3801</v>
      </c>
      <c r="C933" s="30" t="s">
        <v>6284</v>
      </c>
      <c r="D933" s="61" t="s">
        <v>6285</v>
      </c>
      <c r="E933" s="2"/>
      <c r="F933" s="57"/>
      <c r="G933" s="63" t="s">
        <v>6286</v>
      </c>
      <c r="H933" s="59">
        <v>1</v>
      </c>
    </row>
    <row r="934" spans="1:8" ht="112.5" customHeight="1" x14ac:dyDescent="0.15">
      <c r="A934" s="54">
        <v>3408</v>
      </c>
      <c r="B934" s="55" t="s">
        <v>3801</v>
      </c>
      <c r="C934" s="55" t="s">
        <v>6287</v>
      </c>
      <c r="D934" s="56" t="s">
        <v>6288</v>
      </c>
      <c r="E934" s="2"/>
      <c r="F934" s="57"/>
      <c r="G934" s="64" t="s">
        <v>6289</v>
      </c>
      <c r="H934" s="59">
        <v>998</v>
      </c>
    </row>
    <row r="935" spans="1:8" ht="112.5" customHeight="1" x14ac:dyDescent="0.15">
      <c r="A935" s="54">
        <v>3238</v>
      </c>
      <c r="B935" s="55" t="s">
        <v>3801</v>
      </c>
      <c r="C935" s="55" t="s">
        <v>6290</v>
      </c>
      <c r="D935" s="56" t="s">
        <v>6291</v>
      </c>
      <c r="E935" s="2"/>
      <c r="F935" s="57"/>
      <c r="G935" s="63" t="s">
        <v>6292</v>
      </c>
      <c r="H935" s="59">
        <v>479</v>
      </c>
    </row>
    <row r="936" spans="1:8" ht="112.5" customHeight="1" x14ac:dyDescent="0.15">
      <c r="A936" s="60">
        <v>3355</v>
      </c>
      <c r="B936" s="30" t="s">
        <v>3801</v>
      </c>
      <c r="C936" s="30" t="s">
        <v>6293</v>
      </c>
      <c r="D936" s="61" t="s">
        <v>6294</v>
      </c>
      <c r="E936" s="2"/>
      <c r="F936" s="57"/>
      <c r="G936" s="64" t="s">
        <v>6295</v>
      </c>
      <c r="H936" s="59">
        <v>0</v>
      </c>
    </row>
    <row r="937" spans="1:8" ht="112.5" customHeight="1" x14ac:dyDescent="0.15">
      <c r="A937" s="54">
        <v>3406</v>
      </c>
      <c r="B937" s="55" t="s">
        <v>3801</v>
      </c>
      <c r="C937" s="55" t="s">
        <v>6296</v>
      </c>
      <c r="D937" s="56" t="s">
        <v>6297</v>
      </c>
      <c r="E937" s="2"/>
      <c r="F937" s="57"/>
      <c r="G937" s="63" t="s">
        <v>6298</v>
      </c>
      <c r="H937" s="59">
        <v>784</v>
      </c>
    </row>
    <row r="938" spans="1:8" ht="112.5" customHeight="1" x14ac:dyDescent="0.15">
      <c r="A938" s="60">
        <v>3239</v>
      </c>
      <c r="B938" s="30" t="s">
        <v>3801</v>
      </c>
      <c r="C938" s="30" t="s">
        <v>6299</v>
      </c>
      <c r="D938" s="61" t="s">
        <v>6300</v>
      </c>
      <c r="E938" s="2"/>
      <c r="F938" s="57"/>
      <c r="G938" s="64" t="s">
        <v>6301</v>
      </c>
      <c r="H938" s="59">
        <v>749</v>
      </c>
    </row>
    <row r="939" spans="1:8" ht="112.5" customHeight="1" x14ac:dyDescent="0.15">
      <c r="A939" s="54">
        <v>3222</v>
      </c>
      <c r="B939" s="55" t="s">
        <v>3496</v>
      </c>
      <c r="C939" s="55" t="s">
        <v>6302</v>
      </c>
      <c r="D939" s="56" t="s">
        <v>6303</v>
      </c>
      <c r="E939" s="2"/>
      <c r="F939" s="57"/>
      <c r="G939" s="63" t="s">
        <v>6304</v>
      </c>
      <c r="H939" s="59">
        <v>0</v>
      </c>
    </row>
    <row r="940" spans="1:8" ht="112.5" customHeight="1" x14ac:dyDescent="0.15">
      <c r="A940" s="60">
        <v>3371</v>
      </c>
      <c r="B940" s="30" t="s">
        <v>3496</v>
      </c>
      <c r="C940" s="30" t="s">
        <v>6305</v>
      </c>
      <c r="D940" s="61" t="s">
        <v>6306</v>
      </c>
      <c r="E940" s="2"/>
      <c r="F940" s="57"/>
      <c r="G940" s="64" t="s">
        <v>6307</v>
      </c>
      <c r="H940" s="59">
        <v>1</v>
      </c>
    </row>
    <row r="941" spans="1:8" ht="112.5" customHeight="1" x14ac:dyDescent="0.15">
      <c r="A941" s="60">
        <v>455</v>
      </c>
      <c r="B941" s="30" t="s">
        <v>3496</v>
      </c>
      <c r="C941" s="30" t="s">
        <v>6308</v>
      </c>
      <c r="D941" s="61" t="s">
        <v>6309</v>
      </c>
      <c r="E941" s="2"/>
      <c r="F941" s="57"/>
      <c r="G941" s="63" t="s">
        <v>6310</v>
      </c>
      <c r="H941" s="59">
        <v>968</v>
      </c>
    </row>
    <row r="942" spans="1:8" ht="112.5" customHeight="1" x14ac:dyDescent="0.15">
      <c r="A942" s="54">
        <v>3330</v>
      </c>
      <c r="B942" s="55" t="s">
        <v>3496</v>
      </c>
      <c r="C942" s="55" t="s">
        <v>6311</v>
      </c>
      <c r="D942" s="56" t="s">
        <v>6312</v>
      </c>
      <c r="E942" s="2"/>
      <c r="F942" s="57"/>
      <c r="G942" s="64" t="s">
        <v>6313</v>
      </c>
      <c r="H942" s="59">
        <v>1</v>
      </c>
    </row>
    <row r="943" spans="1:8" ht="112.5" customHeight="1" x14ac:dyDescent="0.15">
      <c r="A943" s="60">
        <v>3507</v>
      </c>
      <c r="B943" s="30" t="s">
        <v>3502</v>
      </c>
      <c r="C943" s="30" t="s">
        <v>6314</v>
      </c>
      <c r="D943" s="61" t="s">
        <v>6315</v>
      </c>
      <c r="E943" s="2"/>
      <c r="F943" s="57"/>
      <c r="G943" s="63" t="s">
        <v>6316</v>
      </c>
      <c r="H943" s="59">
        <v>998</v>
      </c>
    </row>
    <row r="944" spans="1:8" ht="112.5" customHeight="1" x14ac:dyDescent="0.15">
      <c r="A944" s="60">
        <v>3503</v>
      </c>
      <c r="B944" s="30" t="s">
        <v>3502</v>
      </c>
      <c r="C944" s="30" t="s">
        <v>6317</v>
      </c>
      <c r="D944" s="61" t="s">
        <v>6318</v>
      </c>
      <c r="E944" s="2"/>
      <c r="F944" s="57"/>
      <c r="G944" s="64" t="s">
        <v>6319</v>
      </c>
      <c r="H944" s="59">
        <v>0</v>
      </c>
    </row>
    <row r="945" spans="1:8" ht="112.5" customHeight="1" x14ac:dyDescent="0.15">
      <c r="A945" s="54">
        <v>464</v>
      </c>
      <c r="B945" s="55" t="s">
        <v>3509</v>
      </c>
      <c r="C945" s="55" t="s">
        <v>6320</v>
      </c>
      <c r="D945" s="56" t="s">
        <v>6321</v>
      </c>
      <c r="E945" s="2"/>
      <c r="F945" s="57"/>
      <c r="G945" s="63" t="s">
        <v>6322</v>
      </c>
      <c r="H945" s="59">
        <v>1</v>
      </c>
    </row>
    <row r="946" spans="1:8" ht="112.5" customHeight="1" x14ac:dyDescent="0.15">
      <c r="A946" s="60">
        <v>465</v>
      </c>
      <c r="B946" s="30" t="s">
        <v>3509</v>
      </c>
      <c r="C946" s="30" t="s">
        <v>6323</v>
      </c>
      <c r="D946" s="61" t="s">
        <v>6324</v>
      </c>
      <c r="E946" s="2"/>
      <c r="F946" s="57"/>
      <c r="G946" s="64" t="s">
        <v>6325</v>
      </c>
      <c r="H946" s="59">
        <v>965</v>
      </c>
    </row>
    <row r="947" spans="1:8" ht="112.5" customHeight="1" x14ac:dyDescent="0.15">
      <c r="A947" s="54">
        <v>2308</v>
      </c>
      <c r="B947" s="55" t="s">
        <v>3496</v>
      </c>
      <c r="C947" s="55" t="s">
        <v>6326</v>
      </c>
      <c r="D947" s="56" t="s">
        <v>6327</v>
      </c>
      <c r="E947" s="2"/>
      <c r="F947" s="57"/>
      <c r="G947" s="63" t="s">
        <v>6328</v>
      </c>
      <c r="H947" s="59">
        <v>995</v>
      </c>
    </row>
    <row r="948" spans="1:8" ht="112.5" customHeight="1" x14ac:dyDescent="0.15">
      <c r="A948" s="60">
        <v>2285</v>
      </c>
      <c r="B948" s="30" t="s">
        <v>3749</v>
      </c>
      <c r="C948" s="30" t="s">
        <v>6329</v>
      </c>
      <c r="D948" s="61" t="s">
        <v>6330</v>
      </c>
      <c r="E948" s="2"/>
      <c r="F948" s="57"/>
      <c r="G948" s="64" t="s">
        <v>6331</v>
      </c>
      <c r="H948" s="59">
        <v>998</v>
      </c>
    </row>
    <row r="949" spans="1:8" ht="112.5" customHeight="1" x14ac:dyDescent="0.15">
      <c r="A949" s="60">
        <v>2275</v>
      </c>
      <c r="B949" s="30" t="s">
        <v>3814</v>
      </c>
      <c r="C949" s="30" t="s">
        <v>6332</v>
      </c>
      <c r="D949" s="61" t="s">
        <v>6333</v>
      </c>
      <c r="E949" s="2"/>
      <c r="F949" s="57"/>
      <c r="G949" s="63" t="s">
        <v>6334</v>
      </c>
      <c r="H949" s="59">
        <v>1</v>
      </c>
    </row>
    <row r="950" spans="1:8" ht="112.5" customHeight="1" x14ac:dyDescent="0.15">
      <c r="A950" s="54">
        <v>2274</v>
      </c>
      <c r="B950" s="55" t="s">
        <v>3814</v>
      </c>
      <c r="C950" s="55" t="s">
        <v>6335</v>
      </c>
      <c r="D950" s="56" t="s">
        <v>6336</v>
      </c>
      <c r="E950" s="2"/>
      <c r="F950" s="57"/>
      <c r="G950" s="64" t="s">
        <v>6337</v>
      </c>
      <c r="H950" s="59">
        <v>999</v>
      </c>
    </row>
    <row r="951" spans="1:8" ht="112.5" customHeight="1" x14ac:dyDescent="0.15">
      <c r="A951" s="60">
        <v>2273</v>
      </c>
      <c r="B951" s="30" t="s">
        <v>3814</v>
      </c>
      <c r="C951" s="30" t="s">
        <v>6338</v>
      </c>
      <c r="D951" s="61" t="s">
        <v>6339</v>
      </c>
      <c r="E951" s="2"/>
      <c r="F951" s="57"/>
      <c r="G951" s="63" t="s">
        <v>6340</v>
      </c>
      <c r="H951" s="59">
        <v>580</v>
      </c>
    </row>
    <row r="952" spans="1:8" ht="112.5" customHeight="1" x14ac:dyDescent="0.15">
      <c r="A952" s="54">
        <v>2272</v>
      </c>
      <c r="B952" s="55" t="s">
        <v>3814</v>
      </c>
      <c r="C952" s="55" t="s">
        <v>6341</v>
      </c>
      <c r="D952" s="56" t="s">
        <v>6342</v>
      </c>
      <c r="E952" s="2"/>
      <c r="F952" s="57"/>
      <c r="G952" s="64" t="s">
        <v>6343</v>
      </c>
      <c r="H952" s="59">
        <v>999</v>
      </c>
    </row>
    <row r="953" spans="1:8" ht="112.5" customHeight="1" x14ac:dyDescent="0.15">
      <c r="A953" s="54">
        <v>2302</v>
      </c>
      <c r="B953" s="55" t="s">
        <v>3749</v>
      </c>
      <c r="C953" s="55" t="s">
        <v>6344</v>
      </c>
      <c r="D953" s="56" t="s">
        <v>6345</v>
      </c>
      <c r="E953" s="2"/>
      <c r="F953" s="57"/>
      <c r="G953" s="63" t="s">
        <v>6346</v>
      </c>
      <c r="H953" s="59">
        <v>1</v>
      </c>
    </row>
    <row r="954" spans="1:8" ht="112.5" customHeight="1" x14ac:dyDescent="0.15">
      <c r="A954" s="60">
        <v>2301</v>
      </c>
      <c r="B954" s="30" t="s">
        <v>3749</v>
      </c>
      <c r="C954" s="30" t="s">
        <v>6347</v>
      </c>
      <c r="D954" s="61" t="s">
        <v>6348</v>
      </c>
      <c r="E954" s="2"/>
      <c r="F954" s="57"/>
      <c r="G954" s="64" t="s">
        <v>6349</v>
      </c>
      <c r="H954" s="59">
        <v>1</v>
      </c>
    </row>
    <row r="955" spans="1:8" ht="112.5" customHeight="1" x14ac:dyDescent="0.15">
      <c r="A955" s="60">
        <v>491</v>
      </c>
      <c r="B955" s="30" t="s">
        <v>3822</v>
      </c>
      <c r="C955" s="30" t="s">
        <v>6350</v>
      </c>
      <c r="D955" s="61" t="s">
        <v>6351</v>
      </c>
      <c r="E955" s="2"/>
      <c r="F955" s="57"/>
      <c r="G955" s="63" t="s">
        <v>6352</v>
      </c>
      <c r="H955" s="59">
        <v>998</v>
      </c>
    </row>
    <row r="956" spans="1:8" ht="112.5" customHeight="1" x14ac:dyDescent="0.15">
      <c r="A956" s="54">
        <v>490</v>
      </c>
      <c r="B956" s="55" t="s">
        <v>3502</v>
      </c>
      <c r="C956" s="55" t="s">
        <v>6353</v>
      </c>
      <c r="D956" s="56" t="s">
        <v>6354</v>
      </c>
      <c r="E956" s="2"/>
      <c r="F956" s="57"/>
      <c r="G956" s="64" t="s">
        <v>6355</v>
      </c>
      <c r="H956" s="59">
        <v>1</v>
      </c>
    </row>
    <row r="957" spans="1:8" ht="112.5" customHeight="1" x14ac:dyDescent="0.15">
      <c r="A957" s="60">
        <v>489</v>
      </c>
      <c r="B957" s="30" t="s">
        <v>3818</v>
      </c>
      <c r="C957" s="30" t="s">
        <v>6356</v>
      </c>
      <c r="D957" s="61" t="s">
        <v>6357</v>
      </c>
      <c r="E957" s="2"/>
      <c r="F957" s="57"/>
      <c r="G957" s="63" t="s">
        <v>6358</v>
      </c>
      <c r="H957" s="59">
        <v>992</v>
      </c>
    </row>
    <row r="958" spans="1:8" ht="112.5" customHeight="1" x14ac:dyDescent="0.15">
      <c r="A958" s="54">
        <v>488</v>
      </c>
      <c r="B958" s="55" t="s">
        <v>3526</v>
      </c>
      <c r="C958" s="55" t="s">
        <v>6359</v>
      </c>
      <c r="D958" s="56" t="s">
        <v>6360</v>
      </c>
      <c r="E958" s="2"/>
      <c r="F958" s="57"/>
      <c r="G958" s="64" t="s">
        <v>6361</v>
      </c>
      <c r="H958" s="59">
        <v>1</v>
      </c>
    </row>
    <row r="959" spans="1:8" ht="112.5" customHeight="1" x14ac:dyDescent="0.15">
      <c r="A959" s="60">
        <v>487</v>
      </c>
      <c r="B959" s="30" t="s">
        <v>3556</v>
      </c>
      <c r="C959" s="30" t="s">
        <v>6362</v>
      </c>
      <c r="D959" s="61" t="s">
        <v>6363</v>
      </c>
      <c r="E959" s="2"/>
      <c r="F959" s="57"/>
      <c r="G959" s="63" t="s">
        <v>6364</v>
      </c>
      <c r="H959" s="59">
        <v>994</v>
      </c>
    </row>
    <row r="960" spans="1:8" ht="112.5" customHeight="1" x14ac:dyDescent="0.15">
      <c r="A960" s="54">
        <v>486</v>
      </c>
      <c r="B960" s="55" t="s">
        <v>3556</v>
      </c>
      <c r="C960" s="55" t="s">
        <v>6365</v>
      </c>
      <c r="D960" s="56" t="s">
        <v>6366</v>
      </c>
      <c r="E960" s="2"/>
      <c r="F960" s="57"/>
      <c r="G960" s="64" t="s">
        <v>6367</v>
      </c>
      <c r="H960" s="59">
        <v>987</v>
      </c>
    </row>
    <row r="961" spans="1:8" ht="112.5" customHeight="1" x14ac:dyDescent="0.15">
      <c r="A961" s="60">
        <v>485</v>
      </c>
      <c r="B961" s="30" t="s">
        <v>3502</v>
      </c>
      <c r="C961" s="30" t="s">
        <v>6368</v>
      </c>
      <c r="D961" s="61" t="s">
        <v>6369</v>
      </c>
      <c r="E961" s="2"/>
      <c r="F961" s="57"/>
      <c r="G961" s="63" t="s">
        <v>6370</v>
      </c>
      <c r="H961" s="59">
        <v>1</v>
      </c>
    </row>
    <row r="962" spans="1:8" ht="112.5" customHeight="1" x14ac:dyDescent="0.15">
      <c r="A962" s="54">
        <v>484</v>
      </c>
      <c r="B962" s="55" t="s">
        <v>3549</v>
      </c>
      <c r="C962" s="55" t="s">
        <v>6371</v>
      </c>
      <c r="D962" s="56" t="s">
        <v>6372</v>
      </c>
      <c r="E962" s="2"/>
      <c r="F962" s="57"/>
      <c r="G962" s="64" t="s">
        <v>6373</v>
      </c>
      <c r="H962" s="59">
        <v>1</v>
      </c>
    </row>
    <row r="963" spans="1:8" ht="112.5" customHeight="1" x14ac:dyDescent="0.15">
      <c r="A963" s="54">
        <v>482</v>
      </c>
      <c r="B963" s="55" t="s">
        <v>3556</v>
      </c>
      <c r="C963" s="55" t="s">
        <v>6374</v>
      </c>
      <c r="D963" s="56" t="s">
        <v>6375</v>
      </c>
      <c r="E963" s="2"/>
      <c r="F963" s="57"/>
      <c r="G963" s="63" t="s">
        <v>6376</v>
      </c>
      <c r="H963" s="59">
        <v>975</v>
      </c>
    </row>
    <row r="964" spans="1:8" ht="112.5" customHeight="1" x14ac:dyDescent="0.15">
      <c r="A964" s="60">
        <v>481</v>
      </c>
      <c r="B964" s="30" t="s">
        <v>3822</v>
      </c>
      <c r="C964" s="30" t="s">
        <v>6377</v>
      </c>
      <c r="D964" s="61" t="s">
        <v>6378</v>
      </c>
      <c r="E964" s="2"/>
      <c r="F964" s="57"/>
      <c r="G964" s="64" t="s">
        <v>6379</v>
      </c>
      <c r="H964" s="59">
        <v>930</v>
      </c>
    </row>
    <row r="965" spans="1:8" ht="112.5" customHeight="1" x14ac:dyDescent="0.15">
      <c r="A965" s="54">
        <v>480</v>
      </c>
      <c r="B965" s="55" t="s">
        <v>3492</v>
      </c>
      <c r="C965" s="55" t="s">
        <v>6380</v>
      </c>
      <c r="D965" s="56" t="s">
        <v>6381</v>
      </c>
      <c r="E965" s="2"/>
      <c r="F965" s="57"/>
      <c r="G965" s="63" t="s">
        <v>6382</v>
      </c>
      <c r="H965" s="59">
        <v>1</v>
      </c>
    </row>
    <row r="966" spans="1:8" ht="112.5" customHeight="1" x14ac:dyDescent="0.15">
      <c r="A966" s="54">
        <v>3288</v>
      </c>
      <c r="B966" s="55" t="s">
        <v>3556</v>
      </c>
      <c r="C966" s="55" t="s">
        <v>6383</v>
      </c>
      <c r="D966" s="56" t="s">
        <v>6384</v>
      </c>
      <c r="E966" s="2"/>
      <c r="F966" s="57"/>
      <c r="G966" s="64" t="s">
        <v>6385</v>
      </c>
      <c r="H966" s="59">
        <v>1</v>
      </c>
    </row>
    <row r="967" spans="1:8" ht="112.5" customHeight="1" x14ac:dyDescent="0.15">
      <c r="A967" s="60">
        <v>3349</v>
      </c>
      <c r="B967" s="30" t="s">
        <v>3556</v>
      </c>
      <c r="C967" s="30" t="s">
        <v>6386</v>
      </c>
      <c r="D967" s="61" t="s">
        <v>6387</v>
      </c>
      <c r="E967" s="2"/>
      <c r="F967" s="57"/>
      <c r="G967" s="63" t="s">
        <v>6388</v>
      </c>
      <c r="H967" s="59">
        <v>993</v>
      </c>
    </row>
    <row r="968" spans="1:8" ht="112.5" customHeight="1" x14ac:dyDescent="0.15">
      <c r="A968" s="54">
        <v>3378</v>
      </c>
      <c r="B968" s="55" t="s">
        <v>3556</v>
      </c>
      <c r="C968" s="55" t="s">
        <v>6389</v>
      </c>
      <c r="D968" s="56" t="s">
        <v>6390</v>
      </c>
      <c r="E968" s="2"/>
      <c r="F968" s="57"/>
      <c r="G968" s="64" t="s">
        <v>6391</v>
      </c>
      <c r="H968" s="59">
        <v>960</v>
      </c>
    </row>
    <row r="969" spans="1:8" ht="112.5" customHeight="1" x14ac:dyDescent="0.15">
      <c r="A969" s="54">
        <v>3786</v>
      </c>
      <c r="B969" s="55" t="s">
        <v>3556</v>
      </c>
      <c r="C969" s="55" t="s">
        <v>6392</v>
      </c>
      <c r="D969" s="56" t="s">
        <v>6393</v>
      </c>
      <c r="E969" s="2"/>
      <c r="F969" s="57"/>
      <c r="G969" s="63" t="s">
        <v>6394</v>
      </c>
      <c r="H969" s="59">
        <v>949</v>
      </c>
    </row>
    <row r="970" spans="1:8" ht="112.5" customHeight="1" x14ac:dyDescent="0.15">
      <c r="A970" s="60">
        <v>3517</v>
      </c>
      <c r="B970" s="30" t="s">
        <v>3502</v>
      </c>
      <c r="C970" s="30" t="s">
        <v>6395</v>
      </c>
      <c r="D970" s="61" t="s">
        <v>6396</v>
      </c>
      <c r="E970" s="2"/>
      <c r="F970" s="57"/>
      <c r="G970" s="64" t="s">
        <v>6397</v>
      </c>
      <c r="H970" s="59">
        <v>1</v>
      </c>
    </row>
    <row r="971" spans="1:8" ht="112.5" customHeight="1" x14ac:dyDescent="0.15">
      <c r="A971" s="60">
        <v>3233</v>
      </c>
      <c r="B971" s="30" t="s">
        <v>3556</v>
      </c>
      <c r="C971" s="30" t="s">
        <v>6398</v>
      </c>
      <c r="D971" s="61" t="s">
        <v>6399</v>
      </c>
      <c r="E971" s="2"/>
      <c r="F971" s="57"/>
      <c r="G971" s="63" t="s">
        <v>6400</v>
      </c>
      <c r="H971" s="59">
        <v>989</v>
      </c>
    </row>
    <row r="972" spans="1:8" ht="112.5" customHeight="1" x14ac:dyDescent="0.15">
      <c r="A972" s="54">
        <v>3088</v>
      </c>
      <c r="B972" s="55" t="s">
        <v>3556</v>
      </c>
      <c r="C972" s="55" t="s">
        <v>6401</v>
      </c>
      <c r="D972" s="56" t="s">
        <v>6402</v>
      </c>
      <c r="E972" s="2"/>
      <c r="F972" s="57"/>
      <c r="G972" s="64" t="s">
        <v>6403</v>
      </c>
      <c r="H972" s="59">
        <v>995</v>
      </c>
    </row>
    <row r="973" spans="1:8" ht="112.5" customHeight="1" x14ac:dyDescent="0.15">
      <c r="A973" s="54">
        <v>3092</v>
      </c>
      <c r="B973" s="55" t="s">
        <v>3556</v>
      </c>
      <c r="C973" s="55" t="s">
        <v>6404</v>
      </c>
      <c r="D973" s="56" t="s">
        <v>6405</v>
      </c>
      <c r="E973" s="2"/>
      <c r="F973" s="57"/>
      <c r="G973" s="63" t="s">
        <v>6406</v>
      </c>
      <c r="H973" s="59">
        <v>0</v>
      </c>
    </row>
    <row r="974" spans="1:8" ht="112.5" customHeight="1" x14ac:dyDescent="0.15">
      <c r="A974" s="54">
        <v>3122</v>
      </c>
      <c r="B974" s="55" t="s">
        <v>3556</v>
      </c>
      <c r="C974" s="55" t="s">
        <v>6407</v>
      </c>
      <c r="D974" s="56" t="s">
        <v>6408</v>
      </c>
      <c r="E974" s="2"/>
      <c r="F974" s="57"/>
      <c r="G974" s="64" t="s">
        <v>6409</v>
      </c>
      <c r="H974" s="59">
        <v>1</v>
      </c>
    </row>
    <row r="975" spans="1:8" ht="112.5" customHeight="1" x14ac:dyDescent="0.15">
      <c r="A975" s="54">
        <v>3308</v>
      </c>
      <c r="B975" s="55" t="s">
        <v>3556</v>
      </c>
      <c r="C975" s="55" t="s">
        <v>6410</v>
      </c>
      <c r="D975" s="56" t="s">
        <v>6411</v>
      </c>
      <c r="E975" s="2"/>
      <c r="F975" s="57"/>
      <c r="G975" s="63" t="s">
        <v>6412</v>
      </c>
      <c r="H975" s="59">
        <v>1</v>
      </c>
    </row>
    <row r="976" spans="1:8" ht="112.5" customHeight="1" x14ac:dyDescent="0.15">
      <c r="A976" s="60">
        <v>3309</v>
      </c>
      <c r="B976" s="30" t="s">
        <v>3556</v>
      </c>
      <c r="C976" s="30" t="s">
        <v>6413</v>
      </c>
      <c r="D976" s="61" t="s">
        <v>6414</v>
      </c>
      <c r="E976" s="2"/>
      <c r="F976" s="57"/>
      <c r="G976" s="64" t="s">
        <v>6415</v>
      </c>
      <c r="H976" s="59">
        <v>999</v>
      </c>
    </row>
    <row r="977" spans="1:8" ht="112.5" customHeight="1" x14ac:dyDescent="0.15">
      <c r="A977" s="60">
        <v>3361</v>
      </c>
      <c r="B977" s="30" t="s">
        <v>3556</v>
      </c>
      <c r="C977" s="30" t="s">
        <v>6416</v>
      </c>
      <c r="D977" s="61" t="s">
        <v>6417</v>
      </c>
      <c r="E977" s="2"/>
      <c r="F977" s="57"/>
      <c r="G977" s="63" t="s">
        <v>6418</v>
      </c>
      <c r="H977" s="59">
        <v>1</v>
      </c>
    </row>
    <row r="978" spans="1:8" ht="112.5" customHeight="1" x14ac:dyDescent="0.15">
      <c r="A978" s="60">
        <v>3359</v>
      </c>
      <c r="B978" s="30" t="s">
        <v>3556</v>
      </c>
      <c r="C978" s="30" t="s">
        <v>6419</v>
      </c>
      <c r="D978" s="61" t="s">
        <v>6420</v>
      </c>
      <c r="E978" s="2"/>
      <c r="F978" s="57"/>
      <c r="G978" s="64" t="s">
        <v>6421</v>
      </c>
      <c r="H978" s="59">
        <v>1</v>
      </c>
    </row>
    <row r="979" spans="1:8" ht="112.5" customHeight="1" x14ac:dyDescent="0.15">
      <c r="A979" s="54">
        <v>3086</v>
      </c>
      <c r="B979" s="55" t="s">
        <v>3556</v>
      </c>
      <c r="C979" s="55" t="s">
        <v>6422</v>
      </c>
      <c r="D979" s="56" t="s">
        <v>6423</v>
      </c>
      <c r="E979" s="2"/>
      <c r="F979" s="57"/>
      <c r="G979" s="63" t="s">
        <v>6424</v>
      </c>
      <c r="H979" s="59">
        <v>988</v>
      </c>
    </row>
    <row r="980" spans="1:8" ht="112.5" customHeight="1" x14ac:dyDescent="0.15">
      <c r="A980" s="54">
        <v>3784</v>
      </c>
      <c r="B980" s="55" t="s">
        <v>3502</v>
      </c>
      <c r="C980" s="55" t="s">
        <v>6425</v>
      </c>
      <c r="D980" s="56" t="s">
        <v>6426</v>
      </c>
      <c r="E980" s="2"/>
      <c r="F980" s="57"/>
      <c r="G980" s="64" t="s">
        <v>6427</v>
      </c>
      <c r="H980" s="59">
        <v>993</v>
      </c>
    </row>
    <row r="981" spans="1:8" ht="112.5" customHeight="1" x14ac:dyDescent="0.15">
      <c r="A981" s="54">
        <v>3420</v>
      </c>
      <c r="B981" s="55" t="s">
        <v>3502</v>
      </c>
      <c r="C981" s="55" t="s">
        <v>6428</v>
      </c>
      <c r="D981" s="56" t="s">
        <v>6429</v>
      </c>
      <c r="E981" s="2"/>
      <c r="F981" s="57"/>
      <c r="G981" s="63" t="s">
        <v>6430</v>
      </c>
      <c r="H981" s="59">
        <v>0</v>
      </c>
    </row>
    <row r="982" spans="1:8" ht="112.5" customHeight="1" x14ac:dyDescent="0.15">
      <c r="A982" s="60">
        <v>499</v>
      </c>
      <c r="B982" s="30" t="s">
        <v>3502</v>
      </c>
      <c r="C982" s="30" t="s">
        <v>6431</v>
      </c>
      <c r="D982" s="61" t="s">
        <v>6432</v>
      </c>
      <c r="E982" s="2"/>
      <c r="F982" s="57"/>
      <c r="G982" s="64" t="s">
        <v>6433</v>
      </c>
      <c r="H982" s="59">
        <v>998</v>
      </c>
    </row>
    <row r="983" spans="1:8" ht="112.5" customHeight="1" x14ac:dyDescent="0.15">
      <c r="A983" s="54">
        <v>498</v>
      </c>
      <c r="B983" s="55" t="s">
        <v>3556</v>
      </c>
      <c r="C983" s="55" t="s">
        <v>6434</v>
      </c>
      <c r="D983" s="56" t="s">
        <v>6435</v>
      </c>
      <c r="E983" s="2"/>
      <c r="F983" s="57"/>
      <c r="G983" s="63" t="s">
        <v>6436</v>
      </c>
      <c r="H983" s="59">
        <v>965</v>
      </c>
    </row>
    <row r="984" spans="1:8" ht="112.5" customHeight="1" x14ac:dyDescent="0.15">
      <c r="A984" s="60">
        <v>497</v>
      </c>
      <c r="B984" s="30" t="s">
        <v>3801</v>
      </c>
      <c r="C984" s="30" t="s">
        <v>6437</v>
      </c>
      <c r="D984" s="61" t="s">
        <v>6438</v>
      </c>
      <c r="E984" s="2"/>
      <c r="F984" s="57"/>
      <c r="G984" s="64" t="s">
        <v>6439</v>
      </c>
      <c r="H984" s="59">
        <v>999.91</v>
      </c>
    </row>
    <row r="985" spans="1:8" ht="112.5" customHeight="1" x14ac:dyDescent="0.15">
      <c r="A985" s="54">
        <v>496</v>
      </c>
      <c r="B985" s="55" t="s">
        <v>3749</v>
      </c>
      <c r="C985" s="55" t="s">
        <v>6440</v>
      </c>
      <c r="D985" s="56" t="s">
        <v>6441</v>
      </c>
      <c r="E985" s="2"/>
      <c r="F985" s="57"/>
      <c r="G985" s="63" t="s">
        <v>4610</v>
      </c>
      <c r="H985" s="59">
        <v>984</v>
      </c>
    </row>
    <row r="986" spans="1:8" ht="112.5" customHeight="1" x14ac:dyDescent="0.15">
      <c r="A986" s="60">
        <v>495</v>
      </c>
      <c r="B986" s="30" t="s">
        <v>3502</v>
      </c>
      <c r="C986" s="30" t="s">
        <v>6442</v>
      </c>
      <c r="D986" s="61" t="s">
        <v>6443</v>
      </c>
      <c r="E986" s="2"/>
      <c r="F986" s="57"/>
      <c r="G986" s="64" t="s">
        <v>6444</v>
      </c>
      <c r="H986" s="59">
        <v>984</v>
      </c>
    </row>
    <row r="987" spans="1:8" ht="112.5" customHeight="1" x14ac:dyDescent="0.15">
      <c r="A987" s="54">
        <v>1296</v>
      </c>
      <c r="B987" s="55" t="s">
        <v>3502</v>
      </c>
      <c r="C987" s="55" t="s">
        <v>6445</v>
      </c>
      <c r="D987" s="56" t="s">
        <v>6446</v>
      </c>
      <c r="E987" s="2"/>
      <c r="F987" s="57"/>
      <c r="G987" s="63" t="s">
        <v>6447</v>
      </c>
      <c r="H987" s="59">
        <v>994</v>
      </c>
    </row>
    <row r="988" spans="1:8" ht="112.5" customHeight="1" x14ac:dyDescent="0.15">
      <c r="A988" s="54">
        <v>494</v>
      </c>
      <c r="B988" s="55" t="s">
        <v>3502</v>
      </c>
      <c r="C988" s="55" t="s">
        <v>6448</v>
      </c>
      <c r="D988" s="56" t="s">
        <v>6449</v>
      </c>
      <c r="E988" s="2"/>
      <c r="F988" s="57"/>
      <c r="G988" s="64" t="s">
        <v>6450</v>
      </c>
      <c r="H988" s="59">
        <v>1</v>
      </c>
    </row>
    <row r="989" spans="1:8" ht="112.5" customHeight="1" x14ac:dyDescent="0.15">
      <c r="A989" s="60">
        <v>493</v>
      </c>
      <c r="B989" s="30" t="s">
        <v>3502</v>
      </c>
      <c r="C989" s="30" t="s">
        <v>6451</v>
      </c>
      <c r="D989" s="61" t="s">
        <v>6452</v>
      </c>
      <c r="E989" s="2"/>
      <c r="F989" s="57"/>
      <c r="G989" s="63" t="s">
        <v>6453</v>
      </c>
      <c r="H989" s="59">
        <v>1</v>
      </c>
    </row>
    <row r="990" spans="1:8" ht="112.5" customHeight="1" x14ac:dyDescent="0.15">
      <c r="A990" s="54">
        <v>492</v>
      </c>
      <c r="B990" s="55" t="s">
        <v>3502</v>
      </c>
      <c r="C990" s="55" t="s">
        <v>6454</v>
      </c>
      <c r="D990" s="56" t="s">
        <v>6455</v>
      </c>
      <c r="E990" s="2"/>
      <c r="F990" s="57"/>
      <c r="G990" s="64" t="s">
        <v>6456</v>
      </c>
      <c r="H990" s="59">
        <v>1</v>
      </c>
    </row>
    <row r="991" spans="1:8" ht="112.5" customHeight="1" x14ac:dyDescent="0.15">
      <c r="A991" s="60">
        <v>501</v>
      </c>
      <c r="B991" s="30" t="s">
        <v>3502</v>
      </c>
      <c r="C991" s="30" t="s">
        <v>6457</v>
      </c>
      <c r="D991" s="61" t="s">
        <v>6458</v>
      </c>
      <c r="E991" s="2"/>
      <c r="F991" s="57"/>
      <c r="G991" s="63" t="s">
        <v>6459</v>
      </c>
      <c r="H991" s="59">
        <v>997</v>
      </c>
    </row>
    <row r="992" spans="1:8" ht="112.5" customHeight="1" x14ac:dyDescent="0.15">
      <c r="A992" s="54">
        <v>500</v>
      </c>
      <c r="B992" s="55" t="s">
        <v>3814</v>
      </c>
      <c r="C992" s="55" t="s">
        <v>6460</v>
      </c>
      <c r="D992" s="56" t="s">
        <v>6461</v>
      </c>
      <c r="E992" s="2"/>
      <c r="F992" s="57"/>
      <c r="G992" s="64" t="s">
        <v>6462</v>
      </c>
      <c r="H992" s="59">
        <v>1</v>
      </c>
    </row>
    <row r="993" spans="1:8" ht="112.5" customHeight="1" x14ac:dyDescent="0.15">
      <c r="A993" s="54">
        <v>626</v>
      </c>
      <c r="B993" s="55" t="s">
        <v>3749</v>
      </c>
      <c r="C993" s="55" t="s">
        <v>6463</v>
      </c>
      <c r="D993" s="56" t="s">
        <v>6464</v>
      </c>
      <c r="E993" s="2"/>
      <c r="F993" s="57"/>
      <c r="G993" s="63" t="s">
        <v>6465</v>
      </c>
      <c r="H993" s="59">
        <v>1</v>
      </c>
    </row>
    <row r="994" spans="1:8" ht="112.5" customHeight="1" x14ac:dyDescent="0.15">
      <c r="A994" s="60">
        <v>625</v>
      </c>
      <c r="B994" s="30" t="s">
        <v>3749</v>
      </c>
      <c r="C994" s="30" t="s">
        <v>6466</v>
      </c>
      <c r="D994" s="61" t="s">
        <v>6467</v>
      </c>
      <c r="E994" s="2"/>
      <c r="F994" s="57"/>
      <c r="G994" s="64" t="s">
        <v>6468</v>
      </c>
      <c r="H994" s="59">
        <v>0</v>
      </c>
    </row>
    <row r="995" spans="1:8" ht="112.5" customHeight="1" x14ac:dyDescent="0.15">
      <c r="A995" s="54">
        <v>624</v>
      </c>
      <c r="B995" s="55" t="s">
        <v>3749</v>
      </c>
      <c r="C995" s="55" t="s">
        <v>6469</v>
      </c>
      <c r="D995" s="56" t="s">
        <v>6470</v>
      </c>
      <c r="E995" s="2"/>
      <c r="F995" s="57"/>
      <c r="G995" s="63" t="s">
        <v>6471</v>
      </c>
      <c r="H995" s="59">
        <v>1</v>
      </c>
    </row>
    <row r="996" spans="1:8" ht="112.5" customHeight="1" x14ac:dyDescent="0.15">
      <c r="A996" s="60">
        <v>623</v>
      </c>
      <c r="B996" s="30" t="s">
        <v>3898</v>
      </c>
      <c r="C996" s="30" t="s">
        <v>6472</v>
      </c>
      <c r="D996" s="61" t="s">
        <v>6473</v>
      </c>
      <c r="E996" s="2"/>
      <c r="F996" s="57"/>
      <c r="G996" s="64" t="s">
        <v>6474</v>
      </c>
      <c r="H996" s="59">
        <v>1</v>
      </c>
    </row>
    <row r="997" spans="1:8" ht="112.5" customHeight="1" x14ac:dyDescent="0.15">
      <c r="A997" s="60">
        <v>2153</v>
      </c>
      <c r="B997" s="30" t="s">
        <v>4334</v>
      </c>
      <c r="C997" s="30" t="s">
        <v>6475</v>
      </c>
      <c r="D997" s="61" t="s">
        <v>6476</v>
      </c>
      <c r="E997" s="2"/>
      <c r="F997" s="57"/>
      <c r="G997" s="63" t="s">
        <v>6477</v>
      </c>
      <c r="H997" s="59">
        <v>998</v>
      </c>
    </row>
    <row r="998" spans="1:8" ht="112.5" customHeight="1" x14ac:dyDescent="0.15">
      <c r="A998" s="54">
        <v>2152</v>
      </c>
      <c r="B998" s="55" t="s">
        <v>4334</v>
      </c>
      <c r="C998" s="55" t="s">
        <v>6478</v>
      </c>
      <c r="D998" s="56" t="s">
        <v>6479</v>
      </c>
      <c r="E998" s="2"/>
      <c r="F998" s="57"/>
      <c r="G998" s="64" t="s">
        <v>6480</v>
      </c>
      <c r="H998" s="59">
        <v>990</v>
      </c>
    </row>
    <row r="999" spans="1:8" ht="112.5" customHeight="1" x14ac:dyDescent="0.15">
      <c r="A999" s="60">
        <v>2151</v>
      </c>
      <c r="B999" s="30" t="s">
        <v>4334</v>
      </c>
      <c r="C999" s="30" t="s">
        <v>6481</v>
      </c>
      <c r="D999" s="61" t="s">
        <v>6482</v>
      </c>
      <c r="E999" s="2"/>
      <c r="F999" s="57"/>
      <c r="G999" s="63" t="s">
        <v>6483</v>
      </c>
      <c r="H999" s="59">
        <v>1</v>
      </c>
    </row>
    <row r="1000" spans="1:8" ht="112.5" customHeight="1" x14ac:dyDescent="0.15">
      <c r="A1000" s="54">
        <v>2150</v>
      </c>
      <c r="B1000" s="55" t="s">
        <v>4334</v>
      </c>
      <c r="C1000" s="55" t="s">
        <v>6484</v>
      </c>
      <c r="D1000" s="56" t="s">
        <v>6485</v>
      </c>
      <c r="E1000" s="2"/>
      <c r="F1000" s="57"/>
      <c r="G1000" s="64" t="s">
        <v>6486</v>
      </c>
      <c r="H1000" s="59">
        <v>994</v>
      </c>
    </row>
    <row r="1001" spans="1:8" ht="112.5" customHeight="1" x14ac:dyDescent="0.15">
      <c r="A1001" s="60">
        <v>2149</v>
      </c>
      <c r="B1001" s="30" t="s">
        <v>4334</v>
      </c>
      <c r="C1001" s="30" t="s">
        <v>6487</v>
      </c>
      <c r="D1001" s="61" t="s">
        <v>6488</v>
      </c>
      <c r="E1001" s="2"/>
      <c r="F1001" s="57"/>
      <c r="G1001" s="63" t="s">
        <v>6489</v>
      </c>
      <c r="H1001" s="59">
        <v>852</v>
      </c>
    </row>
    <row r="1002" spans="1:8" ht="112.5" customHeight="1" x14ac:dyDescent="0.15">
      <c r="A1002" s="54">
        <v>622</v>
      </c>
      <c r="B1002" s="55" t="s">
        <v>3502</v>
      </c>
      <c r="C1002" s="55" t="s">
        <v>6490</v>
      </c>
      <c r="D1002" s="56" t="s">
        <v>6491</v>
      </c>
      <c r="E1002" s="2"/>
      <c r="F1002" s="57"/>
      <c r="G1002" s="64" t="s">
        <v>6492</v>
      </c>
      <c r="H1002" s="59">
        <v>991</v>
      </c>
    </row>
    <row r="1003" spans="1:8" ht="112.5" customHeight="1" x14ac:dyDescent="0.15">
      <c r="A1003" s="60">
        <v>621</v>
      </c>
      <c r="B1003" s="30" t="s">
        <v>3502</v>
      </c>
      <c r="C1003" s="30" t="s">
        <v>6493</v>
      </c>
      <c r="D1003" s="61" t="s">
        <v>6494</v>
      </c>
      <c r="E1003" s="2"/>
      <c r="F1003" s="57"/>
      <c r="G1003" s="63" t="s">
        <v>6495</v>
      </c>
      <c r="H1003" s="59">
        <v>996</v>
      </c>
    </row>
    <row r="1004" spans="1:8" ht="112.5" customHeight="1" x14ac:dyDescent="0.15">
      <c r="A1004" s="54">
        <v>620</v>
      </c>
      <c r="B1004" s="55" t="s">
        <v>3549</v>
      </c>
      <c r="C1004" s="55" t="s">
        <v>6496</v>
      </c>
      <c r="D1004" s="56" t="s">
        <v>6497</v>
      </c>
      <c r="E1004" s="2"/>
      <c r="F1004" s="57"/>
      <c r="G1004" s="64" t="s">
        <v>6498</v>
      </c>
      <c r="H1004" s="59">
        <v>0</v>
      </c>
    </row>
    <row r="1005" spans="1:8" ht="112.5" customHeight="1" x14ac:dyDescent="0.15">
      <c r="A1005" s="54">
        <v>618</v>
      </c>
      <c r="B1005" s="55" t="s">
        <v>3814</v>
      </c>
      <c r="C1005" s="55" t="s">
        <v>6499</v>
      </c>
      <c r="D1005" s="56" t="s">
        <v>6500</v>
      </c>
      <c r="E1005" s="2"/>
      <c r="F1005" s="57"/>
      <c r="G1005" s="63" t="s">
        <v>6501</v>
      </c>
      <c r="H1005" s="59">
        <v>999</v>
      </c>
    </row>
    <row r="1006" spans="1:8" ht="112.5" customHeight="1" x14ac:dyDescent="0.15">
      <c r="A1006" s="60">
        <v>615</v>
      </c>
      <c r="B1006" s="30" t="s">
        <v>3814</v>
      </c>
      <c r="C1006" s="30" t="s">
        <v>6502</v>
      </c>
      <c r="D1006" s="61" t="s">
        <v>6503</v>
      </c>
      <c r="E1006" s="2"/>
      <c r="F1006" s="57"/>
      <c r="G1006" s="64" t="s">
        <v>6504</v>
      </c>
      <c r="H1006" s="59">
        <v>879</v>
      </c>
    </row>
    <row r="1007" spans="1:8" ht="112.5" customHeight="1" x14ac:dyDescent="0.15">
      <c r="A1007" s="60">
        <v>619</v>
      </c>
      <c r="B1007" s="30" t="s">
        <v>3814</v>
      </c>
      <c r="C1007" s="30" t="s">
        <v>6505</v>
      </c>
      <c r="D1007" s="61" t="s">
        <v>6506</v>
      </c>
      <c r="E1007" s="2"/>
      <c r="F1007" s="57"/>
      <c r="G1007" s="63" t="s">
        <v>6507</v>
      </c>
      <c r="H1007" s="59">
        <v>1</v>
      </c>
    </row>
    <row r="1008" spans="1:8" ht="112.5" customHeight="1" x14ac:dyDescent="0.15">
      <c r="A1008" s="60">
        <v>617</v>
      </c>
      <c r="B1008" s="30" t="s">
        <v>3814</v>
      </c>
      <c r="C1008" s="30" t="s">
        <v>6508</v>
      </c>
      <c r="D1008" s="61" t="s">
        <v>6509</v>
      </c>
      <c r="E1008" s="2"/>
      <c r="F1008" s="57"/>
      <c r="G1008" s="64" t="s">
        <v>6510</v>
      </c>
      <c r="H1008" s="59">
        <v>1</v>
      </c>
    </row>
    <row r="1009" spans="1:8" ht="112.5" customHeight="1" x14ac:dyDescent="0.15">
      <c r="A1009" s="54">
        <v>616</v>
      </c>
      <c r="B1009" s="55" t="s">
        <v>3814</v>
      </c>
      <c r="C1009" s="55" t="s">
        <v>6511</v>
      </c>
      <c r="D1009" s="56" t="s">
        <v>6512</v>
      </c>
      <c r="E1009" s="2"/>
      <c r="F1009" s="57"/>
      <c r="G1009" s="63" t="s">
        <v>6513</v>
      </c>
      <c r="H1009" s="59">
        <v>999</v>
      </c>
    </row>
    <row r="1010" spans="1:8" ht="112.5" customHeight="1" x14ac:dyDescent="0.15">
      <c r="A1010" s="60">
        <v>3191</v>
      </c>
      <c r="B1010" s="30" t="s">
        <v>3496</v>
      </c>
      <c r="C1010" s="30" t="s">
        <v>6514</v>
      </c>
      <c r="D1010" s="61" t="s">
        <v>6515</v>
      </c>
      <c r="E1010" s="2"/>
      <c r="F1010" s="57"/>
      <c r="G1010" s="64" t="s">
        <v>6516</v>
      </c>
      <c r="H1010" s="59">
        <v>1</v>
      </c>
    </row>
    <row r="1011" spans="1:8" ht="112.5" customHeight="1" x14ac:dyDescent="0.15">
      <c r="A1011" s="54">
        <v>3192</v>
      </c>
      <c r="B1011" s="55" t="s">
        <v>3496</v>
      </c>
      <c r="C1011" s="55" t="s">
        <v>6517</v>
      </c>
      <c r="D1011" s="56" t="s">
        <v>6518</v>
      </c>
      <c r="E1011" s="2"/>
      <c r="F1011" s="57"/>
      <c r="G1011" s="63" t="s">
        <v>6519</v>
      </c>
      <c r="H1011" s="59">
        <v>994</v>
      </c>
    </row>
    <row r="1012" spans="1:8" ht="112.5" customHeight="1" x14ac:dyDescent="0.15">
      <c r="A1012" s="54">
        <v>2156</v>
      </c>
      <c r="B1012" s="55" t="s">
        <v>3818</v>
      </c>
      <c r="C1012" s="55" t="s">
        <v>6520</v>
      </c>
      <c r="D1012" s="56" t="s">
        <v>6521</v>
      </c>
      <c r="E1012" s="2"/>
      <c r="F1012" s="57"/>
      <c r="G1012" s="64" t="s">
        <v>6522</v>
      </c>
      <c r="H1012" s="59">
        <v>977</v>
      </c>
    </row>
    <row r="1013" spans="1:8" ht="112.5" customHeight="1" x14ac:dyDescent="0.15">
      <c r="A1013" s="60">
        <v>2155</v>
      </c>
      <c r="B1013" s="30" t="s">
        <v>3818</v>
      </c>
      <c r="C1013" s="30" t="s">
        <v>6523</v>
      </c>
      <c r="D1013" s="61" t="s">
        <v>6524</v>
      </c>
      <c r="E1013" s="2"/>
      <c r="F1013" s="57"/>
      <c r="G1013" s="63" t="s">
        <v>6525</v>
      </c>
      <c r="H1013" s="59">
        <v>998</v>
      </c>
    </row>
    <row r="1014" spans="1:8" ht="112.5" customHeight="1" x14ac:dyDescent="0.15">
      <c r="A1014" s="54">
        <v>2154</v>
      </c>
      <c r="B1014" s="55" t="s">
        <v>3818</v>
      </c>
      <c r="C1014" s="55" t="s">
        <v>6526</v>
      </c>
      <c r="D1014" s="56" t="s">
        <v>6527</v>
      </c>
      <c r="E1014" s="2"/>
      <c r="F1014" s="57"/>
      <c r="G1014" s="64" t="s">
        <v>6528</v>
      </c>
      <c r="H1014" s="59">
        <v>995</v>
      </c>
    </row>
    <row r="1015" spans="1:8" ht="112.5" customHeight="1" x14ac:dyDescent="0.15">
      <c r="A1015" s="54">
        <v>614</v>
      </c>
      <c r="B1015" s="55" t="s">
        <v>3502</v>
      </c>
      <c r="C1015" s="55" t="s">
        <v>6529</v>
      </c>
      <c r="D1015" s="56" t="s">
        <v>6530</v>
      </c>
      <c r="E1015" s="2"/>
      <c r="F1015" s="57"/>
      <c r="G1015" s="63" t="s">
        <v>6531</v>
      </c>
      <c r="H1015" s="59">
        <v>0</v>
      </c>
    </row>
    <row r="1016" spans="1:8" ht="112.5" customHeight="1" x14ac:dyDescent="0.15">
      <c r="A1016" s="60">
        <v>613</v>
      </c>
      <c r="B1016" s="30" t="s">
        <v>3513</v>
      </c>
      <c r="C1016" s="30" t="s">
        <v>6532</v>
      </c>
      <c r="D1016" s="61" t="s">
        <v>6533</v>
      </c>
      <c r="E1016" s="2"/>
      <c r="F1016" s="57"/>
      <c r="G1016" s="64" t="s">
        <v>6534</v>
      </c>
      <c r="H1016" s="59">
        <v>999.99400000000003</v>
      </c>
    </row>
    <row r="1017" spans="1:8" ht="112.5" customHeight="1" x14ac:dyDescent="0.15">
      <c r="A1017" s="54">
        <v>612</v>
      </c>
      <c r="B1017" s="55" t="s">
        <v>3822</v>
      </c>
      <c r="C1017" s="55" t="s">
        <v>6535</v>
      </c>
      <c r="D1017" s="56" t="s">
        <v>6536</v>
      </c>
      <c r="E1017" s="2"/>
      <c r="F1017" s="57"/>
      <c r="G1017" s="63" t="s">
        <v>6537</v>
      </c>
      <c r="H1017" s="59">
        <v>0</v>
      </c>
    </row>
    <row r="1018" spans="1:8" ht="112.5" customHeight="1" x14ac:dyDescent="0.15">
      <c r="A1018" s="60">
        <v>611</v>
      </c>
      <c r="B1018" s="30" t="s">
        <v>3822</v>
      </c>
      <c r="C1018" s="30" t="s">
        <v>6538</v>
      </c>
      <c r="D1018" s="61" t="s">
        <v>6539</v>
      </c>
      <c r="E1018" s="2"/>
      <c r="F1018" s="57"/>
      <c r="G1018" s="64" t="s">
        <v>6540</v>
      </c>
      <c r="H1018" s="59">
        <v>999.98</v>
      </c>
    </row>
    <row r="1019" spans="1:8" ht="112.5" customHeight="1" x14ac:dyDescent="0.15">
      <c r="A1019" s="54">
        <v>610</v>
      </c>
      <c r="B1019" s="55" t="s">
        <v>3822</v>
      </c>
      <c r="C1019" s="55" t="s">
        <v>6541</v>
      </c>
      <c r="D1019" s="56" t="s">
        <v>6542</v>
      </c>
      <c r="E1019" s="2"/>
      <c r="F1019" s="57"/>
      <c r="G1019" s="63" t="s">
        <v>6543</v>
      </c>
      <c r="H1019" s="59">
        <v>999.95799999999997</v>
      </c>
    </row>
    <row r="1020" spans="1:8" ht="112.5" customHeight="1" x14ac:dyDescent="0.15">
      <c r="A1020" s="60">
        <v>609</v>
      </c>
      <c r="B1020" s="30" t="s">
        <v>3822</v>
      </c>
      <c r="C1020" s="30" t="s">
        <v>6544</v>
      </c>
      <c r="D1020" s="61" t="s">
        <v>6545</v>
      </c>
      <c r="E1020" s="2"/>
      <c r="F1020" s="57"/>
      <c r="G1020" s="64" t="s">
        <v>6546</v>
      </c>
      <c r="H1020" s="59" t="s">
        <v>4171</v>
      </c>
    </row>
    <row r="1021" spans="1:8" ht="112.5" customHeight="1" x14ac:dyDescent="0.15">
      <c r="A1021" s="54">
        <v>608</v>
      </c>
      <c r="B1021" s="55" t="s">
        <v>3822</v>
      </c>
      <c r="C1021" s="55" t="s">
        <v>6547</v>
      </c>
      <c r="D1021" s="56" t="s">
        <v>6548</v>
      </c>
      <c r="E1021" s="2"/>
      <c r="F1021" s="57"/>
      <c r="G1021" s="63" t="s">
        <v>6549</v>
      </c>
      <c r="H1021" s="59" t="s">
        <v>4171</v>
      </c>
    </row>
    <row r="1022" spans="1:8" ht="112.5" customHeight="1" x14ac:dyDescent="0.15">
      <c r="A1022" s="60">
        <v>3777</v>
      </c>
      <c r="B1022" s="30" t="s">
        <v>3822</v>
      </c>
      <c r="C1022" s="30" t="s">
        <v>6550</v>
      </c>
      <c r="D1022" s="61" t="s">
        <v>6551</v>
      </c>
      <c r="E1022" s="2"/>
      <c r="F1022" s="57"/>
      <c r="G1022" s="64" t="s">
        <v>6552</v>
      </c>
      <c r="H1022" s="59">
        <v>999.99900000000002</v>
      </c>
    </row>
    <row r="1023" spans="1:8" ht="112.5" customHeight="1" x14ac:dyDescent="0.15">
      <c r="A1023" s="60">
        <v>607</v>
      </c>
      <c r="B1023" s="30" t="s">
        <v>3822</v>
      </c>
      <c r="C1023" s="30" t="s">
        <v>6553</v>
      </c>
      <c r="D1023" s="61" t="s">
        <v>6554</v>
      </c>
      <c r="E1023" s="2"/>
      <c r="F1023" s="57"/>
      <c r="G1023" s="63" t="s">
        <v>6555</v>
      </c>
      <c r="H1023" s="59">
        <v>999.99699999999996</v>
      </c>
    </row>
    <row r="1024" spans="1:8" ht="112.5" customHeight="1" x14ac:dyDescent="0.15">
      <c r="A1024" s="54">
        <v>3776</v>
      </c>
      <c r="B1024" s="55" t="s">
        <v>3822</v>
      </c>
      <c r="C1024" s="55" t="s">
        <v>6556</v>
      </c>
      <c r="D1024" s="56" t="s">
        <v>6557</v>
      </c>
      <c r="E1024" s="2"/>
      <c r="F1024" s="57"/>
      <c r="G1024" s="64" t="s">
        <v>6558</v>
      </c>
      <c r="H1024" s="59" t="s">
        <v>4171</v>
      </c>
    </row>
    <row r="1025" spans="1:8" ht="112.5" customHeight="1" x14ac:dyDescent="0.15">
      <c r="A1025" s="54">
        <v>2298</v>
      </c>
      <c r="B1025" s="55" t="s">
        <v>3496</v>
      </c>
      <c r="C1025" s="55" t="s">
        <v>6559</v>
      </c>
      <c r="D1025" s="56" t="s">
        <v>6560</v>
      </c>
      <c r="E1025" s="2"/>
      <c r="F1025" s="57"/>
      <c r="G1025" s="63" t="s">
        <v>6561</v>
      </c>
      <c r="H1025" s="59" t="s">
        <v>4171</v>
      </c>
    </row>
    <row r="1026" spans="1:8" ht="112.5" customHeight="1" x14ac:dyDescent="0.15">
      <c r="A1026" s="54">
        <v>606</v>
      </c>
      <c r="B1026" s="55" t="s">
        <v>3556</v>
      </c>
      <c r="C1026" s="55" t="s">
        <v>6562</v>
      </c>
      <c r="D1026" s="56" t="s">
        <v>6563</v>
      </c>
      <c r="E1026" s="2"/>
      <c r="F1026" s="57"/>
      <c r="G1026" s="64" t="s">
        <v>6564</v>
      </c>
      <c r="H1026" s="59" t="s">
        <v>4171</v>
      </c>
    </row>
    <row r="1027" spans="1:8" ht="112.5" customHeight="1" x14ac:dyDescent="0.15">
      <c r="A1027" s="60">
        <v>605</v>
      </c>
      <c r="B1027" s="30" t="s">
        <v>3556</v>
      </c>
      <c r="C1027" s="30" t="s">
        <v>6565</v>
      </c>
      <c r="D1027" s="61" t="s">
        <v>6566</v>
      </c>
      <c r="E1027" s="2"/>
      <c r="F1027" s="57"/>
      <c r="G1027" s="63" t="s">
        <v>6567</v>
      </c>
      <c r="H1027" s="59">
        <v>999.98299999999995</v>
      </c>
    </row>
    <row r="1028" spans="1:8" ht="112.5" customHeight="1" x14ac:dyDescent="0.15">
      <c r="A1028" s="54">
        <v>604</v>
      </c>
      <c r="B1028" s="55" t="s">
        <v>3513</v>
      </c>
      <c r="C1028" s="55" t="s">
        <v>6568</v>
      </c>
      <c r="D1028" s="56" t="s">
        <v>6569</v>
      </c>
      <c r="E1028" s="2"/>
      <c r="F1028" s="57"/>
      <c r="G1028" s="64" t="s">
        <v>6570</v>
      </c>
      <c r="H1028" s="59">
        <v>99.998000000000005</v>
      </c>
    </row>
    <row r="1029" spans="1:8" ht="112.5" customHeight="1" x14ac:dyDescent="0.15">
      <c r="A1029" s="60">
        <v>603</v>
      </c>
      <c r="B1029" s="30" t="s">
        <v>3502</v>
      </c>
      <c r="C1029" s="30" t="s">
        <v>6571</v>
      </c>
      <c r="D1029" s="61" t="s">
        <v>6572</v>
      </c>
      <c r="E1029" s="2"/>
      <c r="F1029" s="57"/>
      <c r="G1029" s="63" t="s">
        <v>6573</v>
      </c>
      <c r="H1029" s="59">
        <v>999.99900000000002</v>
      </c>
    </row>
    <row r="1030" spans="1:8" ht="112.5" customHeight="1" x14ac:dyDescent="0.15">
      <c r="A1030" s="54">
        <v>602</v>
      </c>
      <c r="B1030" s="55" t="s">
        <v>3513</v>
      </c>
      <c r="C1030" s="55" t="s">
        <v>6574</v>
      </c>
      <c r="D1030" s="56" t="s">
        <v>6575</v>
      </c>
      <c r="E1030" s="2"/>
      <c r="F1030" s="57"/>
      <c r="G1030" s="64" t="s">
        <v>6576</v>
      </c>
      <c r="H1030" s="59">
        <v>999.99</v>
      </c>
    </row>
    <row r="1031" spans="1:8" ht="112.5" customHeight="1" x14ac:dyDescent="0.15">
      <c r="A1031" s="60">
        <v>601</v>
      </c>
      <c r="B1031" s="30" t="s">
        <v>3556</v>
      </c>
      <c r="C1031" s="30" t="s">
        <v>6577</v>
      </c>
      <c r="D1031" s="61" t="s">
        <v>6578</v>
      </c>
      <c r="E1031" s="2"/>
      <c r="F1031" s="57"/>
      <c r="G1031" s="63" t="s">
        <v>6579</v>
      </c>
      <c r="H1031" s="59">
        <v>999.99699999999996</v>
      </c>
    </row>
    <row r="1032" spans="1:8" ht="112.5" customHeight="1" x14ac:dyDescent="0.15">
      <c r="A1032" s="54">
        <v>600</v>
      </c>
      <c r="B1032" s="55" t="s">
        <v>3556</v>
      </c>
      <c r="C1032" s="55" t="s">
        <v>6580</v>
      </c>
      <c r="D1032" s="56" t="s">
        <v>6581</v>
      </c>
      <c r="E1032" s="2"/>
      <c r="F1032" s="57"/>
      <c r="G1032" s="64" t="s">
        <v>6582</v>
      </c>
      <c r="H1032" s="59" t="s">
        <v>4171</v>
      </c>
    </row>
    <row r="1033" spans="1:8" ht="112.5" customHeight="1" x14ac:dyDescent="0.15">
      <c r="A1033" s="60">
        <v>599</v>
      </c>
      <c r="B1033" s="30" t="s">
        <v>3556</v>
      </c>
      <c r="C1033" s="30" t="s">
        <v>6583</v>
      </c>
      <c r="D1033" s="61" t="s">
        <v>6584</v>
      </c>
      <c r="E1033" s="2"/>
      <c r="F1033" s="57"/>
      <c r="G1033" s="63" t="s">
        <v>6585</v>
      </c>
      <c r="H1033" s="59">
        <v>999.99800000000005</v>
      </c>
    </row>
    <row r="1034" spans="1:8" ht="112.5" customHeight="1" x14ac:dyDescent="0.15">
      <c r="A1034" s="54">
        <v>598</v>
      </c>
      <c r="B1034" s="55" t="s">
        <v>3670</v>
      </c>
      <c r="C1034" s="55" t="s">
        <v>6586</v>
      </c>
      <c r="D1034" s="56" t="s">
        <v>6587</v>
      </c>
      <c r="E1034" s="2"/>
      <c r="F1034" s="57"/>
      <c r="G1034" s="64" t="s">
        <v>6588</v>
      </c>
      <c r="H1034" s="59">
        <v>999.97500000000002</v>
      </c>
    </row>
    <row r="1035" spans="1:8" ht="112.5" customHeight="1" x14ac:dyDescent="0.15">
      <c r="A1035" s="60">
        <v>597</v>
      </c>
      <c r="B1035" s="30" t="s">
        <v>3749</v>
      </c>
      <c r="C1035" s="30" t="s">
        <v>6589</v>
      </c>
      <c r="D1035" s="61" t="s">
        <v>6590</v>
      </c>
      <c r="E1035" s="2"/>
      <c r="F1035" s="57"/>
      <c r="G1035" s="63" t="s">
        <v>6591</v>
      </c>
      <c r="H1035" s="59">
        <v>999.99199999999996</v>
      </c>
    </row>
    <row r="1036" spans="1:8" ht="112.5" customHeight="1" x14ac:dyDescent="0.15">
      <c r="A1036" s="54">
        <v>596</v>
      </c>
      <c r="B1036" s="55" t="s">
        <v>3549</v>
      </c>
      <c r="C1036" s="55" t="s">
        <v>6592</v>
      </c>
      <c r="D1036" s="56" t="s">
        <v>6593</v>
      </c>
      <c r="E1036" s="2"/>
      <c r="F1036" s="57"/>
      <c r="G1036" s="64" t="s">
        <v>6594</v>
      </c>
      <c r="H1036" s="59">
        <v>999.95299999999997</v>
      </c>
    </row>
    <row r="1037" spans="1:8" ht="112.5" customHeight="1" x14ac:dyDescent="0.15">
      <c r="A1037" s="60">
        <v>595</v>
      </c>
      <c r="B1037" s="30" t="s">
        <v>3549</v>
      </c>
      <c r="C1037" s="30" t="s">
        <v>6595</v>
      </c>
      <c r="D1037" s="61" t="s">
        <v>6596</v>
      </c>
      <c r="E1037" s="2"/>
      <c r="F1037" s="57"/>
      <c r="G1037" s="63" t="s">
        <v>6597</v>
      </c>
      <c r="H1037" s="59" t="s">
        <v>4171</v>
      </c>
    </row>
    <row r="1038" spans="1:8" ht="112.5" customHeight="1" x14ac:dyDescent="0.15">
      <c r="A1038" s="54">
        <v>594</v>
      </c>
      <c r="B1038" s="55" t="s">
        <v>3513</v>
      </c>
      <c r="C1038" s="55" t="s">
        <v>6598</v>
      </c>
      <c r="D1038" s="56" t="s">
        <v>6599</v>
      </c>
      <c r="E1038" s="2"/>
      <c r="F1038" s="57"/>
      <c r="G1038" s="64" t="s">
        <v>6600</v>
      </c>
      <c r="H1038" s="59">
        <v>0</v>
      </c>
    </row>
    <row r="1039" spans="1:8" ht="112.5" customHeight="1" x14ac:dyDescent="0.15">
      <c r="A1039" s="54">
        <v>674</v>
      </c>
      <c r="B1039" s="55" t="s">
        <v>3492</v>
      </c>
      <c r="C1039" s="55" t="s">
        <v>6601</v>
      </c>
      <c r="D1039" s="56" t="s">
        <v>6602</v>
      </c>
      <c r="E1039" s="2"/>
      <c r="F1039" s="57"/>
      <c r="G1039" s="63" t="s">
        <v>6603</v>
      </c>
      <c r="H1039" s="59">
        <v>999.96799999999996</v>
      </c>
    </row>
    <row r="1040" spans="1:8" ht="112.5" customHeight="1" x14ac:dyDescent="0.15">
      <c r="A1040" s="60">
        <v>673</v>
      </c>
      <c r="B1040" s="30" t="s">
        <v>3556</v>
      </c>
      <c r="C1040" s="30" t="s">
        <v>6604</v>
      </c>
      <c r="D1040" s="61" t="s">
        <v>6605</v>
      </c>
      <c r="E1040" s="2"/>
      <c r="F1040" s="57"/>
      <c r="G1040" s="64" t="s">
        <v>6606</v>
      </c>
      <c r="H1040" s="59">
        <v>999.99699999999996</v>
      </c>
    </row>
    <row r="1041" spans="1:8" ht="112.5" customHeight="1" x14ac:dyDescent="0.15">
      <c r="A1041" s="54">
        <v>672</v>
      </c>
      <c r="B1041" s="55" t="s">
        <v>3492</v>
      </c>
      <c r="C1041" s="55" t="s">
        <v>6607</v>
      </c>
      <c r="D1041" s="56" t="s">
        <v>6608</v>
      </c>
      <c r="E1041" s="2"/>
      <c r="F1041" s="57"/>
      <c r="G1041" s="63" t="s">
        <v>6609</v>
      </c>
      <c r="H1041" s="59">
        <v>999.99199999999996</v>
      </c>
    </row>
    <row r="1042" spans="1:8" ht="112.5" customHeight="1" x14ac:dyDescent="0.15">
      <c r="A1042" s="60">
        <v>671</v>
      </c>
      <c r="B1042" s="30" t="s">
        <v>3492</v>
      </c>
      <c r="C1042" s="30" t="s">
        <v>6610</v>
      </c>
      <c r="D1042" s="61" t="s">
        <v>6611</v>
      </c>
      <c r="E1042" s="2"/>
      <c r="F1042" s="57"/>
      <c r="G1042" s="64" t="s">
        <v>6612</v>
      </c>
      <c r="H1042" s="59">
        <v>999.95299999999997</v>
      </c>
    </row>
    <row r="1043" spans="1:8" ht="112.5" customHeight="1" x14ac:dyDescent="0.15">
      <c r="A1043" s="54">
        <v>670</v>
      </c>
      <c r="B1043" s="55" t="s">
        <v>3492</v>
      </c>
      <c r="C1043" s="55" t="s">
        <v>6613</v>
      </c>
      <c r="D1043" s="56" t="s">
        <v>6614</v>
      </c>
      <c r="E1043" s="2"/>
      <c r="F1043" s="57"/>
      <c r="G1043" s="63" t="s">
        <v>6615</v>
      </c>
      <c r="H1043" s="59" t="s">
        <v>4171</v>
      </c>
    </row>
    <row r="1044" spans="1:8" ht="112.5" customHeight="1" x14ac:dyDescent="0.15">
      <c r="A1044" s="60">
        <v>669</v>
      </c>
      <c r="B1044" s="30" t="s">
        <v>3556</v>
      </c>
      <c r="C1044" s="30" t="s">
        <v>6616</v>
      </c>
      <c r="D1044" s="61" t="s">
        <v>6617</v>
      </c>
      <c r="E1044" s="2"/>
      <c r="F1044" s="57"/>
      <c r="G1044" s="64" t="s">
        <v>6618</v>
      </c>
      <c r="H1044" s="59">
        <v>0</v>
      </c>
    </row>
    <row r="1045" spans="1:8" ht="112.5" customHeight="1" x14ac:dyDescent="0.15">
      <c r="A1045" s="54">
        <v>668</v>
      </c>
      <c r="B1045" s="55" t="s">
        <v>3876</v>
      </c>
      <c r="C1045" s="55" t="s">
        <v>6619</v>
      </c>
      <c r="D1045" s="56" t="s">
        <v>6620</v>
      </c>
      <c r="E1045" s="2"/>
      <c r="F1045" s="57"/>
      <c r="G1045" s="63" t="s">
        <v>6621</v>
      </c>
      <c r="H1045" s="59">
        <v>999.95399999999995</v>
      </c>
    </row>
    <row r="1046" spans="1:8" ht="112.5" customHeight="1" x14ac:dyDescent="0.15">
      <c r="A1046" s="60">
        <v>667</v>
      </c>
      <c r="B1046" s="30" t="s">
        <v>3533</v>
      </c>
      <c r="C1046" s="30" t="s">
        <v>6622</v>
      </c>
      <c r="D1046" s="61" t="s">
        <v>6623</v>
      </c>
      <c r="E1046" s="2"/>
      <c r="F1046" s="57"/>
      <c r="G1046" s="64" t="s">
        <v>6624</v>
      </c>
      <c r="H1046" s="59" t="s">
        <v>4171</v>
      </c>
    </row>
    <row r="1047" spans="1:8" ht="112.5" customHeight="1" x14ac:dyDescent="0.15">
      <c r="A1047" s="54">
        <v>666</v>
      </c>
      <c r="B1047" s="55" t="s">
        <v>3533</v>
      </c>
      <c r="C1047" s="55" t="s">
        <v>6625</v>
      </c>
      <c r="D1047" s="56" t="s">
        <v>6626</v>
      </c>
      <c r="E1047" s="2"/>
      <c r="F1047" s="57"/>
      <c r="G1047" s="63" t="s">
        <v>6627</v>
      </c>
      <c r="H1047" s="59" t="s">
        <v>4171</v>
      </c>
    </row>
    <row r="1048" spans="1:8" ht="112.5" customHeight="1" x14ac:dyDescent="0.15">
      <c r="A1048" s="60">
        <v>665</v>
      </c>
      <c r="B1048" s="30" t="s">
        <v>3556</v>
      </c>
      <c r="C1048" s="30" t="s">
        <v>6628</v>
      </c>
      <c r="D1048" s="61" t="s">
        <v>6629</v>
      </c>
      <c r="E1048" s="2"/>
      <c r="F1048" s="57"/>
      <c r="G1048" s="64" t="s">
        <v>6630</v>
      </c>
      <c r="H1048" s="59" t="s">
        <v>4171</v>
      </c>
    </row>
    <row r="1049" spans="1:8" ht="112.5" customHeight="1" x14ac:dyDescent="0.15">
      <c r="A1049" s="54">
        <v>664</v>
      </c>
      <c r="B1049" s="55" t="s">
        <v>3822</v>
      </c>
      <c r="C1049" s="55" t="s">
        <v>6631</v>
      </c>
      <c r="D1049" s="56" t="s">
        <v>6632</v>
      </c>
      <c r="E1049" s="2"/>
      <c r="F1049" s="57"/>
      <c r="G1049" s="63" t="s">
        <v>6633</v>
      </c>
      <c r="H1049" s="59" t="s">
        <v>4171</v>
      </c>
    </row>
    <row r="1050" spans="1:8" ht="112.5" customHeight="1" x14ac:dyDescent="0.15">
      <c r="A1050" s="60">
        <v>663</v>
      </c>
      <c r="B1050" s="30" t="s">
        <v>3496</v>
      </c>
      <c r="C1050" s="30" t="s">
        <v>6634</v>
      </c>
      <c r="D1050" s="61" t="s">
        <v>6635</v>
      </c>
      <c r="E1050" s="2"/>
      <c r="F1050" s="57"/>
      <c r="G1050" s="64" t="s">
        <v>6636</v>
      </c>
      <c r="H1050" s="59">
        <v>999.88800000000003</v>
      </c>
    </row>
    <row r="1051" spans="1:8" ht="112.5" customHeight="1" x14ac:dyDescent="0.15">
      <c r="A1051" s="54">
        <v>662</v>
      </c>
      <c r="B1051" s="55" t="s">
        <v>3496</v>
      </c>
      <c r="C1051" s="55" t="s">
        <v>6637</v>
      </c>
      <c r="D1051" s="56" t="s">
        <v>6638</v>
      </c>
      <c r="E1051" s="2"/>
      <c r="F1051" s="57"/>
      <c r="G1051" s="63" t="s">
        <v>6639</v>
      </c>
      <c r="H1051" s="59" t="s">
        <v>4171</v>
      </c>
    </row>
    <row r="1052" spans="1:8" ht="112.5" customHeight="1" x14ac:dyDescent="0.15">
      <c r="A1052" s="60">
        <v>661</v>
      </c>
      <c r="B1052" s="30" t="s">
        <v>3496</v>
      </c>
      <c r="C1052" s="30" t="s">
        <v>6640</v>
      </c>
      <c r="D1052" s="61" t="s">
        <v>6641</v>
      </c>
      <c r="E1052" s="2"/>
      <c r="F1052" s="57"/>
      <c r="G1052" s="64" t="s">
        <v>6642</v>
      </c>
      <c r="H1052" s="59" t="s">
        <v>4171</v>
      </c>
    </row>
    <row r="1053" spans="1:8" ht="112.5" customHeight="1" x14ac:dyDescent="0.15">
      <c r="A1053" s="54">
        <v>660</v>
      </c>
      <c r="B1053" s="55" t="s">
        <v>3502</v>
      </c>
      <c r="C1053" s="55" t="s">
        <v>6643</v>
      </c>
      <c r="D1053" s="56" t="s">
        <v>6644</v>
      </c>
      <c r="E1053" s="2"/>
      <c r="F1053" s="57"/>
      <c r="G1053" s="63" t="s">
        <v>6645</v>
      </c>
      <c r="H1053" s="59" t="s">
        <v>4171</v>
      </c>
    </row>
    <row r="1054" spans="1:8" ht="112.5" customHeight="1" x14ac:dyDescent="0.15">
      <c r="A1054" s="60">
        <v>659</v>
      </c>
      <c r="B1054" s="30" t="s">
        <v>3513</v>
      </c>
      <c r="C1054" s="30" t="s">
        <v>6646</v>
      </c>
      <c r="D1054" s="61" t="s">
        <v>6647</v>
      </c>
      <c r="E1054" s="2"/>
      <c r="F1054" s="57"/>
      <c r="G1054" s="64" t="s">
        <v>6648</v>
      </c>
      <c r="H1054" s="59" t="s">
        <v>4171</v>
      </c>
    </row>
    <row r="1055" spans="1:8" ht="112.5" customHeight="1" x14ac:dyDescent="0.15">
      <c r="A1055" s="54">
        <v>658</v>
      </c>
      <c r="B1055" s="55" t="s">
        <v>3513</v>
      </c>
      <c r="C1055" s="55" t="s">
        <v>6649</v>
      </c>
      <c r="D1055" s="56" t="s">
        <v>6650</v>
      </c>
      <c r="E1055" s="2"/>
      <c r="F1055" s="57"/>
      <c r="G1055" s="63" t="s">
        <v>6651</v>
      </c>
      <c r="H1055" s="59">
        <v>999.99300000000005</v>
      </c>
    </row>
    <row r="1056" spans="1:8" ht="112.5" customHeight="1" x14ac:dyDescent="0.15">
      <c r="A1056" s="60">
        <v>657</v>
      </c>
      <c r="B1056" s="30" t="s">
        <v>3533</v>
      </c>
      <c r="C1056" s="30" t="s">
        <v>6652</v>
      </c>
      <c r="D1056" s="61" t="s">
        <v>6653</v>
      </c>
      <c r="E1056" s="2"/>
      <c r="F1056" s="57"/>
      <c r="G1056" s="64" t="s">
        <v>6654</v>
      </c>
      <c r="H1056" s="59">
        <v>999.97400000000005</v>
      </c>
    </row>
    <row r="1057" spans="1:8" ht="112.5" customHeight="1" x14ac:dyDescent="0.15">
      <c r="A1057" s="54">
        <v>656</v>
      </c>
      <c r="B1057" s="55" t="s">
        <v>3549</v>
      </c>
      <c r="C1057" s="55" t="s">
        <v>6655</v>
      </c>
      <c r="D1057" s="56" t="s">
        <v>6656</v>
      </c>
      <c r="E1057" s="2"/>
      <c r="F1057" s="57"/>
      <c r="G1057" s="63" t="s">
        <v>6657</v>
      </c>
      <c r="H1057" s="59">
        <v>999.99800000000005</v>
      </c>
    </row>
    <row r="1058" spans="1:8" ht="112.5" customHeight="1" x14ac:dyDescent="0.15">
      <c r="A1058" s="60">
        <v>655</v>
      </c>
      <c r="B1058" s="30" t="s">
        <v>3549</v>
      </c>
      <c r="C1058" s="30" t="s">
        <v>6658</v>
      </c>
      <c r="D1058" s="61" t="s">
        <v>6659</v>
      </c>
      <c r="E1058" s="2"/>
      <c r="F1058" s="57"/>
      <c r="G1058" s="64" t="s">
        <v>6660</v>
      </c>
      <c r="H1058" s="59">
        <v>996</v>
      </c>
    </row>
    <row r="1059" spans="1:8" ht="112.5" customHeight="1" x14ac:dyDescent="0.15">
      <c r="A1059" s="54">
        <v>654</v>
      </c>
      <c r="B1059" s="55" t="s">
        <v>3513</v>
      </c>
      <c r="C1059" s="55" t="s">
        <v>6661</v>
      </c>
      <c r="D1059" s="56" t="s">
        <v>6662</v>
      </c>
      <c r="E1059" s="2"/>
      <c r="F1059" s="57"/>
      <c r="G1059" s="63" t="s">
        <v>6663</v>
      </c>
      <c r="H1059" s="59">
        <v>1</v>
      </c>
    </row>
    <row r="1060" spans="1:8" ht="112.5" customHeight="1" x14ac:dyDescent="0.15">
      <c r="A1060" s="60">
        <v>653</v>
      </c>
      <c r="B1060" s="30" t="s">
        <v>3513</v>
      </c>
      <c r="C1060" s="30" t="s">
        <v>6664</v>
      </c>
      <c r="D1060" s="61" t="s">
        <v>6665</v>
      </c>
      <c r="E1060" s="2"/>
      <c r="F1060" s="57"/>
      <c r="G1060" s="64" t="s">
        <v>6666</v>
      </c>
      <c r="H1060" s="59">
        <v>0</v>
      </c>
    </row>
    <row r="1061" spans="1:8" ht="112.5" customHeight="1" x14ac:dyDescent="0.15">
      <c r="A1061" s="54">
        <v>652</v>
      </c>
      <c r="B1061" s="55" t="s">
        <v>4330</v>
      </c>
      <c r="C1061" s="55" t="s">
        <v>6667</v>
      </c>
      <c r="D1061" s="56" t="s">
        <v>6668</v>
      </c>
      <c r="E1061" s="2"/>
      <c r="F1061" s="57"/>
      <c r="G1061" s="63" t="s">
        <v>6669</v>
      </c>
      <c r="H1061" s="59">
        <v>997</v>
      </c>
    </row>
    <row r="1062" spans="1:8" ht="112.5" customHeight="1" x14ac:dyDescent="0.15">
      <c r="A1062" s="60">
        <v>651</v>
      </c>
      <c r="B1062" s="30" t="s">
        <v>3822</v>
      </c>
      <c r="C1062" s="30" t="s">
        <v>6670</v>
      </c>
      <c r="D1062" s="61" t="s">
        <v>6671</v>
      </c>
      <c r="E1062" s="2"/>
      <c r="F1062" s="57"/>
      <c r="G1062" s="64" t="s">
        <v>6672</v>
      </c>
      <c r="H1062" s="59">
        <v>993</v>
      </c>
    </row>
    <row r="1063" spans="1:8" ht="112.5" customHeight="1" x14ac:dyDescent="0.15">
      <c r="A1063" s="54">
        <v>650</v>
      </c>
      <c r="B1063" s="55" t="s">
        <v>3599</v>
      </c>
      <c r="C1063" s="55" t="s">
        <v>6673</v>
      </c>
      <c r="D1063" s="56" t="s">
        <v>6674</v>
      </c>
      <c r="E1063" s="2"/>
      <c r="F1063" s="57"/>
      <c r="G1063" s="63" t="s">
        <v>6675</v>
      </c>
      <c r="H1063" s="59">
        <v>9.99</v>
      </c>
    </row>
    <row r="1064" spans="1:8" ht="112.5" customHeight="1" x14ac:dyDescent="0.15">
      <c r="A1064" s="60">
        <v>649</v>
      </c>
      <c r="B1064" s="30" t="s">
        <v>3599</v>
      </c>
      <c r="C1064" s="30" t="s">
        <v>6676</v>
      </c>
      <c r="D1064" s="61" t="s">
        <v>6677</v>
      </c>
      <c r="E1064" s="2"/>
      <c r="F1064" s="57"/>
      <c r="G1064" s="64" t="s">
        <v>6678</v>
      </c>
      <c r="H1064" s="59">
        <v>1</v>
      </c>
    </row>
    <row r="1065" spans="1:8" ht="112.5" customHeight="1" x14ac:dyDescent="0.15">
      <c r="A1065" s="54">
        <v>648</v>
      </c>
      <c r="B1065" s="55" t="s">
        <v>3533</v>
      </c>
      <c r="C1065" s="55" t="s">
        <v>6679</v>
      </c>
      <c r="D1065" s="56" t="s">
        <v>6680</v>
      </c>
      <c r="E1065" s="2"/>
      <c r="F1065" s="57"/>
      <c r="G1065" s="63" t="s">
        <v>6681</v>
      </c>
      <c r="H1065" s="59">
        <v>954</v>
      </c>
    </row>
    <row r="1066" spans="1:8" ht="112.5" customHeight="1" x14ac:dyDescent="0.15">
      <c r="A1066" s="60">
        <v>647</v>
      </c>
      <c r="B1066" s="30" t="s">
        <v>3599</v>
      </c>
      <c r="C1066" s="30" t="s">
        <v>6682</v>
      </c>
      <c r="D1066" s="61" t="s">
        <v>6683</v>
      </c>
      <c r="E1066" s="2"/>
      <c r="F1066" s="57"/>
      <c r="G1066" s="64" t="s">
        <v>6684</v>
      </c>
      <c r="H1066" s="59">
        <v>988</v>
      </c>
    </row>
    <row r="1067" spans="1:8" ht="112.5" customHeight="1" x14ac:dyDescent="0.15">
      <c r="A1067" s="54">
        <v>646</v>
      </c>
      <c r="B1067" s="55" t="s">
        <v>3533</v>
      </c>
      <c r="C1067" s="55" t="s">
        <v>6685</v>
      </c>
      <c r="D1067" s="56" t="s">
        <v>6686</v>
      </c>
      <c r="E1067" s="2"/>
      <c r="F1067" s="57"/>
      <c r="G1067" s="63" t="s">
        <v>6687</v>
      </c>
      <c r="H1067" s="59">
        <v>966</v>
      </c>
    </row>
    <row r="1068" spans="1:8" ht="112.5" customHeight="1" x14ac:dyDescent="0.15">
      <c r="A1068" s="60">
        <v>645</v>
      </c>
      <c r="B1068" s="30" t="s">
        <v>3670</v>
      </c>
      <c r="C1068" s="30" t="s">
        <v>6688</v>
      </c>
      <c r="D1068" s="61" t="s">
        <v>6689</v>
      </c>
      <c r="E1068" s="2"/>
      <c r="F1068" s="57"/>
      <c r="G1068" s="64" t="s">
        <v>6690</v>
      </c>
      <c r="H1068" s="59">
        <v>1</v>
      </c>
    </row>
    <row r="1069" spans="1:8" ht="112.5" customHeight="1" x14ac:dyDescent="0.15">
      <c r="A1069" s="54">
        <v>644</v>
      </c>
      <c r="B1069" s="55" t="s">
        <v>3556</v>
      </c>
      <c r="C1069" s="55" t="s">
        <v>6691</v>
      </c>
      <c r="D1069" s="56" t="s">
        <v>6692</v>
      </c>
      <c r="E1069" s="2"/>
      <c r="F1069" s="57"/>
      <c r="G1069" s="63" t="s">
        <v>6693</v>
      </c>
      <c r="H1069" s="59">
        <v>1</v>
      </c>
    </row>
    <row r="1070" spans="1:8" ht="112.5" customHeight="1" x14ac:dyDescent="0.15">
      <c r="A1070" s="60">
        <v>643</v>
      </c>
      <c r="B1070" s="30" t="s">
        <v>3814</v>
      </c>
      <c r="C1070" s="30" t="s">
        <v>6694</v>
      </c>
      <c r="D1070" s="61" t="s">
        <v>6695</v>
      </c>
      <c r="E1070" s="2"/>
      <c r="F1070" s="57"/>
      <c r="G1070" s="64" t="s">
        <v>6696</v>
      </c>
      <c r="H1070" s="59">
        <v>987</v>
      </c>
    </row>
    <row r="1071" spans="1:8" ht="112.5" customHeight="1" x14ac:dyDescent="0.15">
      <c r="A1071" s="54">
        <v>642</v>
      </c>
      <c r="B1071" s="55" t="s">
        <v>3509</v>
      </c>
      <c r="C1071" s="55" t="s">
        <v>6697</v>
      </c>
      <c r="D1071" s="56" t="s">
        <v>6698</v>
      </c>
      <c r="E1071" s="2"/>
      <c r="F1071" s="57"/>
      <c r="G1071" s="63" t="s">
        <v>6699</v>
      </c>
      <c r="H1071" s="59">
        <v>980</v>
      </c>
    </row>
    <row r="1072" spans="1:8" ht="112.5" customHeight="1" x14ac:dyDescent="0.15">
      <c r="A1072" s="60">
        <v>641</v>
      </c>
      <c r="B1072" s="30" t="s">
        <v>3814</v>
      </c>
      <c r="C1072" s="30" t="s">
        <v>6700</v>
      </c>
      <c r="D1072" s="61" t="s">
        <v>6701</v>
      </c>
      <c r="E1072" s="2"/>
      <c r="F1072" s="57"/>
      <c r="G1072" s="64" t="s">
        <v>6702</v>
      </c>
      <c r="H1072" s="59">
        <v>1</v>
      </c>
    </row>
    <row r="1073" spans="1:8" ht="112.5" customHeight="1" x14ac:dyDescent="0.15">
      <c r="A1073" s="54">
        <v>640</v>
      </c>
      <c r="B1073" s="55" t="s">
        <v>3822</v>
      </c>
      <c r="C1073" s="55" t="s">
        <v>6703</v>
      </c>
      <c r="D1073" s="56" t="s">
        <v>6704</v>
      </c>
      <c r="E1073" s="2"/>
      <c r="F1073" s="57"/>
      <c r="G1073" s="63" t="s">
        <v>6705</v>
      </c>
      <c r="H1073" s="59">
        <v>995</v>
      </c>
    </row>
    <row r="1074" spans="1:8" ht="112.5" customHeight="1" x14ac:dyDescent="0.15">
      <c r="A1074" s="60">
        <v>639</v>
      </c>
      <c r="B1074" s="30" t="s">
        <v>3822</v>
      </c>
      <c r="C1074" s="30" t="s">
        <v>6706</v>
      </c>
      <c r="D1074" s="61" t="s">
        <v>6707</v>
      </c>
      <c r="E1074" s="2"/>
      <c r="F1074" s="57"/>
      <c r="G1074" s="64" t="s">
        <v>4607</v>
      </c>
      <c r="H1074" s="59">
        <v>0</v>
      </c>
    </row>
    <row r="1075" spans="1:8" ht="112.5" customHeight="1" x14ac:dyDescent="0.15">
      <c r="A1075" s="60">
        <v>2289</v>
      </c>
      <c r="B1075" s="30" t="s">
        <v>3496</v>
      </c>
      <c r="C1075" s="30" t="s">
        <v>6708</v>
      </c>
      <c r="D1075" s="61" t="s">
        <v>6709</v>
      </c>
      <c r="E1075" s="2"/>
      <c r="F1075" s="57"/>
      <c r="G1075" s="63" t="s">
        <v>6710</v>
      </c>
      <c r="H1075" s="59">
        <v>99.834999999999994</v>
      </c>
    </row>
    <row r="1076" spans="1:8" ht="112.5" customHeight="1" x14ac:dyDescent="0.15">
      <c r="A1076" s="54">
        <v>2290</v>
      </c>
      <c r="B1076" s="55" t="s">
        <v>3496</v>
      </c>
      <c r="C1076" s="55" t="s">
        <v>6711</v>
      </c>
      <c r="D1076" s="56" t="s">
        <v>6712</v>
      </c>
      <c r="E1076" s="2"/>
      <c r="F1076" s="57"/>
      <c r="G1076" s="64" t="s">
        <v>6713</v>
      </c>
      <c r="H1076" s="59">
        <v>1</v>
      </c>
    </row>
    <row r="1077" spans="1:8" ht="112.5" customHeight="1" x14ac:dyDescent="0.15">
      <c r="A1077" s="54">
        <v>638</v>
      </c>
      <c r="B1077" s="55" t="s">
        <v>3749</v>
      </c>
      <c r="C1077" s="55" t="s">
        <v>6714</v>
      </c>
      <c r="D1077" s="56" t="s">
        <v>6715</v>
      </c>
      <c r="E1077" s="2"/>
      <c r="F1077" s="57"/>
      <c r="G1077" s="63" t="s">
        <v>6716</v>
      </c>
      <c r="H1077" s="59">
        <v>993</v>
      </c>
    </row>
    <row r="1078" spans="1:8" ht="112.5" customHeight="1" x14ac:dyDescent="0.15">
      <c r="A1078" s="54">
        <v>2362</v>
      </c>
      <c r="B1078" s="55" t="s">
        <v>3818</v>
      </c>
      <c r="C1078" s="55" t="s">
        <v>6717</v>
      </c>
      <c r="D1078" s="56" t="s">
        <v>6718</v>
      </c>
      <c r="E1078" s="2"/>
      <c r="F1078" s="57"/>
      <c r="G1078" s="64" t="s">
        <v>6719</v>
      </c>
      <c r="H1078" s="59">
        <v>0</v>
      </c>
    </row>
    <row r="1079" spans="1:8" ht="112.5" customHeight="1" x14ac:dyDescent="0.15">
      <c r="A1079" s="54">
        <v>636</v>
      </c>
      <c r="B1079" s="55" t="s">
        <v>3818</v>
      </c>
      <c r="C1079" s="55" t="s">
        <v>6720</v>
      </c>
      <c r="D1079" s="56" t="s">
        <v>6721</v>
      </c>
      <c r="E1079" s="2"/>
      <c r="F1079" s="57"/>
      <c r="G1079" s="63" t="s">
        <v>6722</v>
      </c>
      <c r="H1079" s="59">
        <v>0</v>
      </c>
    </row>
    <row r="1080" spans="1:8" ht="112.5" customHeight="1" x14ac:dyDescent="0.15">
      <c r="A1080" s="60">
        <v>635</v>
      </c>
      <c r="B1080" s="30" t="s">
        <v>3818</v>
      </c>
      <c r="C1080" s="30" t="s">
        <v>6723</v>
      </c>
      <c r="D1080" s="61" t="s">
        <v>6724</v>
      </c>
      <c r="E1080" s="2"/>
      <c r="F1080" s="57"/>
      <c r="G1080" s="64" t="s">
        <v>6725</v>
      </c>
      <c r="H1080" s="59">
        <v>10</v>
      </c>
    </row>
    <row r="1081" spans="1:8" ht="112.5" customHeight="1" x14ac:dyDescent="0.15">
      <c r="A1081" s="60">
        <v>629</v>
      </c>
      <c r="B1081" s="30" t="s">
        <v>3822</v>
      </c>
      <c r="C1081" s="30" t="s">
        <v>6726</v>
      </c>
      <c r="D1081" s="61" t="s">
        <v>6727</v>
      </c>
      <c r="E1081" s="2"/>
      <c r="F1081" s="57"/>
      <c r="G1081" s="63" t="s">
        <v>4604</v>
      </c>
      <c r="H1081" s="59">
        <v>959</v>
      </c>
    </row>
    <row r="1082" spans="1:8" ht="112.5" customHeight="1" x14ac:dyDescent="0.15">
      <c r="A1082" s="60">
        <v>633</v>
      </c>
      <c r="B1082" s="30" t="s">
        <v>3822</v>
      </c>
      <c r="C1082" s="30" t="s">
        <v>6728</v>
      </c>
      <c r="D1082" s="61" t="s">
        <v>6729</v>
      </c>
      <c r="E1082" s="2"/>
      <c r="F1082" s="57"/>
      <c r="G1082" s="64" t="s">
        <v>4601</v>
      </c>
      <c r="H1082" s="59">
        <v>9</v>
      </c>
    </row>
    <row r="1083" spans="1:8" ht="112.5" customHeight="1" x14ac:dyDescent="0.15">
      <c r="A1083" s="60">
        <v>631</v>
      </c>
      <c r="B1083" s="30" t="s">
        <v>3822</v>
      </c>
      <c r="C1083" s="30" t="s">
        <v>6730</v>
      </c>
      <c r="D1083" s="61" t="s">
        <v>6731</v>
      </c>
      <c r="E1083" s="2"/>
      <c r="F1083" s="57"/>
      <c r="G1083" s="63" t="s">
        <v>6732</v>
      </c>
      <c r="H1083" s="59">
        <v>997</v>
      </c>
    </row>
    <row r="1084" spans="1:8" ht="112.5" customHeight="1" x14ac:dyDescent="0.15">
      <c r="A1084" s="54">
        <v>634</v>
      </c>
      <c r="B1084" s="55" t="s">
        <v>3822</v>
      </c>
      <c r="C1084" s="55" t="s">
        <v>6733</v>
      </c>
      <c r="D1084" s="56" t="s">
        <v>6734</v>
      </c>
      <c r="E1084" s="2"/>
      <c r="F1084" s="57"/>
      <c r="G1084" s="64" t="s">
        <v>6735</v>
      </c>
      <c r="H1084" s="59">
        <v>988</v>
      </c>
    </row>
    <row r="1085" spans="1:8" ht="112.5" customHeight="1" x14ac:dyDescent="0.15">
      <c r="A1085" s="54">
        <v>632</v>
      </c>
      <c r="B1085" s="55" t="s">
        <v>3822</v>
      </c>
      <c r="C1085" s="55" t="s">
        <v>6736</v>
      </c>
      <c r="D1085" s="56" t="s">
        <v>6737</v>
      </c>
      <c r="E1085" s="2"/>
      <c r="F1085" s="57"/>
      <c r="G1085" s="63" t="s">
        <v>6738</v>
      </c>
      <c r="H1085" s="59">
        <v>961</v>
      </c>
    </row>
    <row r="1086" spans="1:8" ht="112.5" customHeight="1" x14ac:dyDescent="0.15">
      <c r="A1086" s="54">
        <v>630</v>
      </c>
      <c r="B1086" s="55" t="s">
        <v>3822</v>
      </c>
      <c r="C1086" s="55" t="s">
        <v>6739</v>
      </c>
      <c r="D1086" s="56" t="s">
        <v>6740</v>
      </c>
      <c r="E1086" s="2"/>
      <c r="F1086" s="57"/>
      <c r="G1086" s="64" t="s">
        <v>6741</v>
      </c>
      <c r="H1086" s="59">
        <v>1</v>
      </c>
    </row>
    <row r="1087" spans="1:8" ht="112.5" customHeight="1" x14ac:dyDescent="0.15">
      <c r="A1087" s="60">
        <v>627</v>
      </c>
      <c r="B1087" s="30" t="s">
        <v>3818</v>
      </c>
      <c r="C1087" s="30" t="s">
        <v>6742</v>
      </c>
      <c r="D1087" s="61" t="s">
        <v>6743</v>
      </c>
      <c r="E1087" s="2"/>
      <c r="F1087" s="57"/>
      <c r="G1087" s="63" t="s">
        <v>6744</v>
      </c>
      <c r="H1087" s="59">
        <v>998</v>
      </c>
    </row>
    <row r="1088" spans="1:8" ht="112.5" customHeight="1" x14ac:dyDescent="0.15">
      <c r="A1088" s="54">
        <v>628</v>
      </c>
      <c r="B1088" s="55" t="s">
        <v>3818</v>
      </c>
      <c r="C1088" s="55" t="s">
        <v>6745</v>
      </c>
      <c r="D1088" s="56" t="s">
        <v>6746</v>
      </c>
      <c r="E1088" s="2"/>
      <c r="F1088" s="57"/>
      <c r="G1088" s="64" t="s">
        <v>6747</v>
      </c>
      <c r="H1088" s="59">
        <v>0</v>
      </c>
    </row>
    <row r="1089" spans="1:8" ht="112.5" customHeight="1" x14ac:dyDescent="0.15">
      <c r="A1089" s="54">
        <v>696</v>
      </c>
      <c r="B1089" s="55" t="s">
        <v>3526</v>
      </c>
      <c r="C1089" s="55" t="s">
        <v>6748</v>
      </c>
      <c r="D1089" s="56" t="s">
        <v>6749</v>
      </c>
      <c r="E1089" s="2"/>
      <c r="F1089" s="57"/>
      <c r="G1089" s="63" t="s">
        <v>6750</v>
      </c>
      <c r="H1089" s="59">
        <v>1</v>
      </c>
    </row>
    <row r="1090" spans="1:8" ht="112.5" customHeight="1" x14ac:dyDescent="0.15">
      <c r="A1090" s="54">
        <v>3456</v>
      </c>
      <c r="B1090" s="55" t="s">
        <v>3496</v>
      </c>
      <c r="C1090" s="55" t="s">
        <v>6751</v>
      </c>
      <c r="D1090" s="56" t="s">
        <v>6752</v>
      </c>
      <c r="E1090" s="2"/>
      <c r="F1090" s="57"/>
      <c r="G1090" s="64" t="s">
        <v>6753</v>
      </c>
      <c r="H1090" s="59">
        <v>1</v>
      </c>
    </row>
    <row r="1091" spans="1:8" ht="112.5" customHeight="1" x14ac:dyDescent="0.15">
      <c r="A1091" s="54">
        <v>3386</v>
      </c>
      <c r="B1091" s="55" t="s">
        <v>3496</v>
      </c>
      <c r="C1091" s="55" t="s">
        <v>6754</v>
      </c>
      <c r="D1091" s="56" t="s">
        <v>6755</v>
      </c>
      <c r="E1091" s="2"/>
      <c r="F1091" s="57"/>
      <c r="G1091" s="63" t="s">
        <v>6756</v>
      </c>
      <c r="H1091" s="59">
        <v>0</v>
      </c>
    </row>
    <row r="1092" spans="1:8" ht="112.5" customHeight="1" x14ac:dyDescent="0.15">
      <c r="A1092" s="60">
        <v>3385</v>
      </c>
      <c r="B1092" s="30" t="s">
        <v>3496</v>
      </c>
      <c r="C1092" s="30" t="s">
        <v>6757</v>
      </c>
      <c r="D1092" s="61" t="s">
        <v>6758</v>
      </c>
      <c r="E1092" s="2"/>
      <c r="F1092" s="57"/>
      <c r="G1092" s="64" t="s">
        <v>6759</v>
      </c>
      <c r="H1092" s="59">
        <v>980</v>
      </c>
    </row>
    <row r="1093" spans="1:8" ht="112.5" customHeight="1" x14ac:dyDescent="0.15">
      <c r="A1093" s="60">
        <v>757</v>
      </c>
      <c r="B1093" s="30" t="s">
        <v>3509</v>
      </c>
      <c r="C1093" s="30" t="s">
        <v>6760</v>
      </c>
      <c r="D1093" s="61" t="s">
        <v>6761</v>
      </c>
      <c r="E1093" s="2"/>
      <c r="F1093" s="57"/>
      <c r="G1093" s="63" t="s">
        <v>6762</v>
      </c>
      <c r="H1093" s="59">
        <v>1</v>
      </c>
    </row>
    <row r="1094" spans="1:8" ht="112.5" customHeight="1" x14ac:dyDescent="0.15">
      <c r="A1094" s="54">
        <v>756</v>
      </c>
      <c r="B1094" s="55" t="s">
        <v>4330</v>
      </c>
      <c r="C1094" s="55" t="s">
        <v>6763</v>
      </c>
      <c r="D1094" s="56" t="s">
        <v>6764</v>
      </c>
      <c r="E1094" s="2"/>
      <c r="F1094" s="57"/>
      <c r="G1094" s="64" t="s">
        <v>6765</v>
      </c>
      <c r="H1094" s="59">
        <v>1</v>
      </c>
    </row>
    <row r="1095" spans="1:8" ht="112.5" customHeight="1" x14ac:dyDescent="0.15">
      <c r="A1095" s="60">
        <v>755</v>
      </c>
      <c r="B1095" s="30" t="s">
        <v>4330</v>
      </c>
      <c r="C1095" s="30" t="s">
        <v>6766</v>
      </c>
      <c r="D1095" s="61" t="s">
        <v>6767</v>
      </c>
      <c r="E1095" s="2"/>
      <c r="F1095" s="57"/>
      <c r="G1095" s="63" t="s">
        <v>6768</v>
      </c>
      <c r="H1095" s="59">
        <v>1</v>
      </c>
    </row>
    <row r="1096" spans="1:8" ht="112.5" customHeight="1" x14ac:dyDescent="0.15">
      <c r="A1096" s="54">
        <v>754</v>
      </c>
      <c r="B1096" s="55" t="s">
        <v>4330</v>
      </c>
      <c r="C1096" s="55" t="s">
        <v>6769</v>
      </c>
      <c r="D1096" s="56" t="s">
        <v>6770</v>
      </c>
      <c r="E1096" s="2"/>
      <c r="F1096" s="57"/>
      <c r="G1096" s="64" t="s">
        <v>6771</v>
      </c>
      <c r="H1096" s="59">
        <v>1</v>
      </c>
    </row>
    <row r="1097" spans="1:8" ht="112.5" customHeight="1" x14ac:dyDescent="0.15">
      <c r="A1097" s="60">
        <v>753</v>
      </c>
      <c r="B1097" s="30" t="s">
        <v>4330</v>
      </c>
      <c r="C1097" s="30" t="s">
        <v>6772</v>
      </c>
      <c r="D1097" s="61" t="s">
        <v>6773</v>
      </c>
      <c r="E1097" s="2"/>
      <c r="F1097" s="57"/>
      <c r="G1097" s="63" t="s">
        <v>6774</v>
      </c>
      <c r="H1097" s="59">
        <v>1</v>
      </c>
    </row>
    <row r="1098" spans="1:8" ht="112.5" customHeight="1" x14ac:dyDescent="0.15">
      <c r="A1098" s="54">
        <v>752</v>
      </c>
      <c r="B1098" s="55" t="s">
        <v>4330</v>
      </c>
      <c r="C1098" s="55" t="s">
        <v>6775</v>
      </c>
      <c r="D1098" s="56" t="s">
        <v>6776</v>
      </c>
      <c r="E1098" s="2"/>
      <c r="F1098" s="57"/>
      <c r="G1098" s="64" t="s">
        <v>6777</v>
      </c>
      <c r="H1098" s="59">
        <v>929</v>
      </c>
    </row>
    <row r="1099" spans="1:8" ht="112.5" customHeight="1" x14ac:dyDescent="0.15">
      <c r="A1099" s="60">
        <v>751</v>
      </c>
      <c r="B1099" s="30" t="s">
        <v>3549</v>
      </c>
      <c r="C1099" s="30" t="s">
        <v>6778</v>
      </c>
      <c r="D1099" s="61" t="s">
        <v>6779</v>
      </c>
      <c r="E1099" s="2"/>
      <c r="F1099" s="57"/>
      <c r="G1099" s="63" t="s">
        <v>4598</v>
      </c>
      <c r="H1099" s="59">
        <v>1</v>
      </c>
    </row>
    <row r="1100" spans="1:8" ht="112.5" customHeight="1" x14ac:dyDescent="0.15">
      <c r="A1100" s="54">
        <v>750</v>
      </c>
      <c r="B1100" s="55" t="s">
        <v>4330</v>
      </c>
      <c r="C1100" s="55" t="s">
        <v>6780</v>
      </c>
      <c r="D1100" s="56" t="s">
        <v>6781</v>
      </c>
      <c r="E1100" s="2"/>
      <c r="F1100" s="57"/>
      <c r="G1100" s="64" t="s">
        <v>6782</v>
      </c>
      <c r="H1100" s="59">
        <v>1</v>
      </c>
    </row>
    <row r="1101" spans="1:8" ht="112.5" customHeight="1" x14ac:dyDescent="0.15">
      <c r="A1101" s="60">
        <v>749</v>
      </c>
      <c r="B1101" s="30" t="s">
        <v>4330</v>
      </c>
      <c r="C1101" s="30" t="s">
        <v>6783</v>
      </c>
      <c r="D1101" s="61" t="s">
        <v>6784</v>
      </c>
      <c r="E1101" s="2"/>
      <c r="F1101" s="57"/>
      <c r="G1101" s="63" t="s">
        <v>6785</v>
      </c>
      <c r="H1101" s="59">
        <v>907</v>
      </c>
    </row>
    <row r="1102" spans="1:8" ht="112.5" customHeight="1" x14ac:dyDescent="0.15">
      <c r="A1102" s="60">
        <v>1295</v>
      </c>
      <c r="B1102" s="30" t="s">
        <v>3502</v>
      </c>
      <c r="C1102" s="30" t="s">
        <v>6786</v>
      </c>
      <c r="D1102" s="61" t="s">
        <v>6787</v>
      </c>
      <c r="E1102" s="2"/>
      <c r="F1102" s="57"/>
      <c r="G1102" s="64" t="s">
        <v>6788</v>
      </c>
      <c r="H1102" s="59">
        <v>932</v>
      </c>
    </row>
    <row r="1103" spans="1:8" ht="112.5" customHeight="1" x14ac:dyDescent="0.15">
      <c r="A1103" s="54">
        <v>748</v>
      </c>
      <c r="B1103" s="55" t="s">
        <v>3509</v>
      </c>
      <c r="C1103" s="55" t="s">
        <v>6789</v>
      </c>
      <c r="D1103" s="56" t="s">
        <v>6790</v>
      </c>
      <c r="E1103" s="2"/>
      <c r="F1103" s="57"/>
      <c r="G1103" s="63" t="s">
        <v>6791</v>
      </c>
      <c r="H1103" s="59">
        <v>1</v>
      </c>
    </row>
    <row r="1104" spans="1:8" ht="112.5" customHeight="1" x14ac:dyDescent="0.15">
      <c r="A1104" s="60">
        <v>747</v>
      </c>
      <c r="B1104" s="30" t="s">
        <v>3509</v>
      </c>
      <c r="C1104" s="30" t="s">
        <v>6792</v>
      </c>
      <c r="D1104" s="61" t="s">
        <v>6793</v>
      </c>
      <c r="E1104" s="2"/>
      <c r="F1104" s="57"/>
      <c r="G1104" s="64" t="s">
        <v>6794</v>
      </c>
      <c r="H1104" s="59">
        <v>1</v>
      </c>
    </row>
    <row r="1105" spans="1:13" ht="112.5" customHeight="1" x14ac:dyDescent="0.15">
      <c r="A1105" s="54">
        <v>746</v>
      </c>
      <c r="B1105" s="55" t="s">
        <v>3509</v>
      </c>
      <c r="C1105" s="55" t="s">
        <v>6795</v>
      </c>
      <c r="D1105" s="56" t="s">
        <v>6796</v>
      </c>
      <c r="E1105" s="2"/>
      <c r="F1105" s="57"/>
      <c r="G1105" s="63" t="s">
        <v>6797</v>
      </c>
      <c r="H1105" s="59">
        <v>999</v>
      </c>
    </row>
    <row r="1106" spans="1:13" ht="112.5" customHeight="1" x14ac:dyDescent="0.15">
      <c r="A1106" s="60">
        <v>745</v>
      </c>
      <c r="B1106" s="30" t="s">
        <v>3509</v>
      </c>
      <c r="C1106" s="30" t="s">
        <v>6798</v>
      </c>
      <c r="D1106" s="61" t="s">
        <v>6799</v>
      </c>
      <c r="E1106" s="2"/>
      <c r="F1106" s="57"/>
      <c r="G1106" s="64" t="s">
        <v>6800</v>
      </c>
      <c r="H1106" s="59">
        <v>969</v>
      </c>
    </row>
    <row r="1107" spans="1:13" ht="112.5" customHeight="1" x14ac:dyDescent="0.15">
      <c r="A1107" s="54">
        <v>744</v>
      </c>
      <c r="B1107" s="55" t="s">
        <v>3509</v>
      </c>
      <c r="C1107" s="55" t="s">
        <v>6801</v>
      </c>
      <c r="D1107" s="56" t="s">
        <v>6802</v>
      </c>
      <c r="E1107" s="2"/>
      <c r="F1107" s="57"/>
      <c r="G1107" s="63" t="s">
        <v>6803</v>
      </c>
      <c r="H1107" s="59">
        <v>990</v>
      </c>
    </row>
    <row r="1108" spans="1:13" ht="112.5" customHeight="1" x14ac:dyDescent="0.15">
      <c r="A1108" s="60">
        <v>743</v>
      </c>
      <c r="B1108" s="30" t="s">
        <v>3599</v>
      </c>
      <c r="C1108" s="30" t="s">
        <v>6804</v>
      </c>
      <c r="D1108" s="61" t="s">
        <v>6805</v>
      </c>
      <c r="E1108" s="2"/>
      <c r="F1108" s="57"/>
      <c r="G1108" s="64" t="s">
        <v>6806</v>
      </c>
      <c r="H1108" s="59">
        <v>0</v>
      </c>
    </row>
    <row r="1109" spans="1:13" ht="112.5" customHeight="1" x14ac:dyDescent="0.15">
      <c r="A1109" s="54">
        <v>742</v>
      </c>
      <c r="B1109" s="55" t="s">
        <v>3599</v>
      </c>
      <c r="C1109" s="55" t="s">
        <v>6807</v>
      </c>
      <c r="D1109" s="56" t="s">
        <v>6808</v>
      </c>
      <c r="E1109" s="2"/>
      <c r="F1109" s="57"/>
      <c r="G1109" s="62" t="s">
        <v>6809</v>
      </c>
      <c r="H1109" s="59">
        <v>118</v>
      </c>
      <c r="I1109" s="29"/>
      <c r="J1109" s="29"/>
      <c r="K1109" s="29"/>
      <c r="L1109" s="29"/>
      <c r="M1109" s="29"/>
    </row>
    <row r="1110" spans="1:13" ht="112.5" customHeight="1" x14ac:dyDescent="0.15">
      <c r="A1110" s="60">
        <v>741</v>
      </c>
      <c r="B1110" s="30" t="s">
        <v>3599</v>
      </c>
      <c r="C1110" s="30" t="s">
        <v>6810</v>
      </c>
      <c r="D1110" s="61" t="s">
        <v>6811</v>
      </c>
      <c r="E1110" s="2"/>
      <c r="F1110" s="57"/>
      <c r="G1110" s="64" t="s">
        <v>6812</v>
      </c>
      <c r="H1110" s="59">
        <v>1</v>
      </c>
    </row>
    <row r="1111" spans="1:13" ht="112.5" customHeight="1" x14ac:dyDescent="0.15">
      <c r="A1111" s="54">
        <v>740</v>
      </c>
      <c r="B1111" s="55" t="s">
        <v>3502</v>
      </c>
      <c r="C1111" s="55" t="s">
        <v>6813</v>
      </c>
      <c r="D1111" s="56" t="s">
        <v>6814</v>
      </c>
      <c r="E1111" s="2"/>
      <c r="F1111" s="57"/>
      <c r="G1111" s="63" t="s">
        <v>6815</v>
      </c>
      <c r="H1111" s="59">
        <v>995</v>
      </c>
    </row>
    <row r="1112" spans="1:13" ht="112.5" customHeight="1" x14ac:dyDescent="0.15">
      <c r="A1112" s="60">
        <v>739</v>
      </c>
      <c r="B1112" s="30" t="s">
        <v>3513</v>
      </c>
      <c r="C1112" s="30" t="s">
        <v>6816</v>
      </c>
      <c r="D1112" s="61" t="s">
        <v>6817</v>
      </c>
      <c r="E1112" s="2"/>
      <c r="F1112" s="57"/>
      <c r="G1112" s="64" t="s">
        <v>6818</v>
      </c>
      <c r="H1112" s="59">
        <v>1</v>
      </c>
    </row>
    <row r="1113" spans="1:13" ht="112.5" customHeight="1" x14ac:dyDescent="0.15">
      <c r="A1113" s="60">
        <v>695</v>
      </c>
      <c r="B1113" s="30" t="s">
        <v>3599</v>
      </c>
      <c r="C1113" s="30" t="s">
        <v>6819</v>
      </c>
      <c r="D1113" s="61" t="s">
        <v>6820</v>
      </c>
      <c r="E1113" s="2"/>
      <c r="F1113" s="57"/>
      <c r="G1113" s="63" t="s">
        <v>6821</v>
      </c>
      <c r="H1113" s="59">
        <v>998</v>
      </c>
    </row>
    <row r="1114" spans="1:13" ht="112.5" customHeight="1" x14ac:dyDescent="0.15">
      <c r="A1114" s="54">
        <v>694</v>
      </c>
      <c r="B1114" s="55" t="s">
        <v>3556</v>
      </c>
      <c r="C1114" s="55" t="s">
        <v>6822</v>
      </c>
      <c r="D1114" s="56" t="s">
        <v>6823</v>
      </c>
      <c r="E1114" s="2"/>
      <c r="F1114" s="57"/>
      <c r="G1114" s="64" t="s">
        <v>6824</v>
      </c>
      <c r="H1114" s="59">
        <v>969</v>
      </c>
    </row>
    <row r="1115" spans="1:13" ht="112.5" customHeight="1" x14ac:dyDescent="0.15">
      <c r="A1115" s="60">
        <v>693</v>
      </c>
      <c r="B1115" s="30" t="s">
        <v>3509</v>
      </c>
      <c r="C1115" s="30" t="s">
        <v>6825</v>
      </c>
      <c r="D1115" s="61" t="s">
        <v>6826</v>
      </c>
      <c r="E1115" s="2"/>
      <c r="F1115" s="57"/>
      <c r="G1115" s="63" t="s">
        <v>6827</v>
      </c>
      <c r="H1115" s="59">
        <v>1</v>
      </c>
    </row>
    <row r="1116" spans="1:13" ht="112.5" customHeight="1" x14ac:dyDescent="0.15">
      <c r="A1116" s="54">
        <v>692</v>
      </c>
      <c r="B1116" s="55" t="s">
        <v>3549</v>
      </c>
      <c r="C1116" s="55" t="s">
        <v>6828</v>
      </c>
      <c r="D1116" s="56" t="s">
        <v>6829</v>
      </c>
      <c r="E1116" s="2"/>
      <c r="F1116" s="57"/>
      <c r="G1116" s="64" t="s">
        <v>6830</v>
      </c>
      <c r="H1116" s="59">
        <v>1</v>
      </c>
    </row>
    <row r="1117" spans="1:13" ht="112.5" customHeight="1" x14ac:dyDescent="0.15">
      <c r="A1117" s="60">
        <v>691</v>
      </c>
      <c r="B1117" s="30" t="s">
        <v>3533</v>
      </c>
      <c r="C1117" s="30" t="s">
        <v>6831</v>
      </c>
      <c r="D1117" s="61" t="s">
        <v>6832</v>
      </c>
      <c r="E1117" s="2"/>
      <c r="F1117" s="57"/>
      <c r="G1117" s="63" t="s">
        <v>6833</v>
      </c>
      <c r="H1117" s="59">
        <v>990</v>
      </c>
    </row>
    <row r="1118" spans="1:13" ht="112.5" customHeight="1" x14ac:dyDescent="0.15">
      <c r="A1118" s="60">
        <v>3757</v>
      </c>
      <c r="B1118" s="30" t="s">
        <v>3496</v>
      </c>
      <c r="C1118" s="30" t="s">
        <v>6834</v>
      </c>
      <c r="D1118" s="61" t="s">
        <v>6835</v>
      </c>
      <c r="E1118" s="2"/>
      <c r="F1118" s="57"/>
      <c r="G1118" s="64" t="s">
        <v>6836</v>
      </c>
      <c r="H1118" s="59">
        <v>960</v>
      </c>
    </row>
    <row r="1119" spans="1:13" ht="112.5" customHeight="1" x14ac:dyDescent="0.15">
      <c r="A1119" s="60">
        <v>689</v>
      </c>
      <c r="B1119" s="30" t="s">
        <v>3801</v>
      </c>
      <c r="C1119" s="30" t="s">
        <v>6837</v>
      </c>
      <c r="D1119" s="61" t="s">
        <v>6838</v>
      </c>
      <c r="E1119" s="2"/>
      <c r="F1119" s="57"/>
      <c r="G1119" s="63" t="s">
        <v>6839</v>
      </c>
      <c r="H1119" s="59">
        <v>933</v>
      </c>
    </row>
    <row r="1120" spans="1:13" ht="112.5" customHeight="1" x14ac:dyDescent="0.15">
      <c r="A1120" s="54">
        <v>688</v>
      </c>
      <c r="B1120" s="55" t="s">
        <v>3513</v>
      </c>
      <c r="C1120" s="55" t="s">
        <v>6840</v>
      </c>
      <c r="D1120" s="56" t="s">
        <v>6841</v>
      </c>
      <c r="E1120" s="2"/>
      <c r="F1120" s="57"/>
      <c r="G1120" s="64" t="s">
        <v>6842</v>
      </c>
      <c r="H1120" s="59">
        <v>1</v>
      </c>
    </row>
    <row r="1121" spans="1:8" ht="112.5" customHeight="1" x14ac:dyDescent="0.15">
      <c r="A1121" s="60">
        <v>687</v>
      </c>
      <c r="B1121" s="30" t="s">
        <v>3513</v>
      </c>
      <c r="C1121" s="30" t="s">
        <v>6843</v>
      </c>
      <c r="D1121" s="61" t="s">
        <v>6844</v>
      </c>
      <c r="E1121" s="2"/>
      <c r="F1121" s="57"/>
      <c r="G1121" s="63" t="s">
        <v>6845</v>
      </c>
      <c r="H1121" s="59">
        <v>989</v>
      </c>
    </row>
    <row r="1122" spans="1:8" ht="112.5" customHeight="1" x14ac:dyDescent="0.15">
      <c r="A1122" s="54">
        <v>686</v>
      </c>
      <c r="B1122" s="55" t="s">
        <v>3513</v>
      </c>
      <c r="C1122" s="55" t="s">
        <v>6846</v>
      </c>
      <c r="D1122" s="56" t="s">
        <v>6847</v>
      </c>
      <c r="E1122" s="2"/>
      <c r="F1122" s="57"/>
      <c r="G1122" s="64" t="s">
        <v>6848</v>
      </c>
      <c r="H1122" s="59">
        <v>995</v>
      </c>
    </row>
    <row r="1123" spans="1:8" ht="112.5" customHeight="1" x14ac:dyDescent="0.15">
      <c r="A1123" s="60">
        <v>685</v>
      </c>
      <c r="B1123" s="30" t="s">
        <v>3509</v>
      </c>
      <c r="C1123" s="30" t="s">
        <v>6849</v>
      </c>
      <c r="D1123" s="61" t="s">
        <v>6850</v>
      </c>
      <c r="E1123" s="2"/>
      <c r="F1123" s="57"/>
      <c r="G1123" s="63" t="s">
        <v>6851</v>
      </c>
      <c r="H1123" s="59">
        <v>994</v>
      </c>
    </row>
    <row r="1124" spans="1:8" ht="112.5" customHeight="1" x14ac:dyDescent="0.15">
      <c r="A1124" s="54">
        <v>684</v>
      </c>
      <c r="B1124" s="55" t="s">
        <v>3630</v>
      </c>
      <c r="C1124" s="55" t="s">
        <v>6852</v>
      </c>
      <c r="D1124" s="56" t="s">
        <v>6853</v>
      </c>
      <c r="E1124" s="2"/>
      <c r="F1124" s="57"/>
      <c r="G1124" s="64" t="s">
        <v>6854</v>
      </c>
      <c r="H1124" s="59">
        <v>995</v>
      </c>
    </row>
    <row r="1125" spans="1:8" ht="112.5" customHeight="1" x14ac:dyDescent="0.15">
      <c r="A1125" s="60">
        <v>683</v>
      </c>
      <c r="B1125" s="30" t="s">
        <v>3630</v>
      </c>
      <c r="C1125" s="30" t="s">
        <v>6855</v>
      </c>
      <c r="D1125" s="61" t="s">
        <v>6856</v>
      </c>
      <c r="E1125" s="2"/>
      <c r="F1125" s="57"/>
      <c r="G1125" s="63" t="s">
        <v>4595</v>
      </c>
      <c r="H1125" s="59">
        <v>1</v>
      </c>
    </row>
    <row r="1126" spans="1:8" ht="112.5" customHeight="1" x14ac:dyDescent="0.15">
      <c r="A1126" s="60">
        <v>681</v>
      </c>
      <c r="B1126" s="30" t="s">
        <v>3630</v>
      </c>
      <c r="C1126" s="30" t="s">
        <v>6857</v>
      </c>
      <c r="D1126" s="61" t="s">
        <v>6858</v>
      </c>
      <c r="E1126" s="2"/>
      <c r="F1126" s="57"/>
      <c r="G1126" s="64" t="s">
        <v>6859</v>
      </c>
      <c r="H1126" s="59">
        <v>995</v>
      </c>
    </row>
    <row r="1127" spans="1:8" ht="112.5" customHeight="1" x14ac:dyDescent="0.15">
      <c r="A1127" s="54">
        <v>680</v>
      </c>
      <c r="B1127" s="55" t="s">
        <v>3630</v>
      </c>
      <c r="C1127" s="55" t="s">
        <v>6860</v>
      </c>
      <c r="D1127" s="56" t="s">
        <v>6861</v>
      </c>
      <c r="E1127" s="2"/>
      <c r="F1127" s="57"/>
      <c r="G1127" s="63" t="s">
        <v>6862</v>
      </c>
      <c r="H1127" s="59">
        <v>990</v>
      </c>
    </row>
    <row r="1128" spans="1:8" ht="112.5" customHeight="1" x14ac:dyDescent="0.15">
      <c r="A1128" s="54">
        <v>682</v>
      </c>
      <c r="B1128" s="55" t="s">
        <v>3630</v>
      </c>
      <c r="C1128" s="55" t="s">
        <v>6863</v>
      </c>
      <c r="D1128" s="56" t="s">
        <v>6864</v>
      </c>
      <c r="E1128" s="2"/>
      <c r="F1128" s="57"/>
      <c r="G1128" s="64" t="s">
        <v>6865</v>
      </c>
      <c r="H1128" s="59">
        <v>945</v>
      </c>
    </row>
    <row r="1129" spans="1:8" ht="112.5" customHeight="1" x14ac:dyDescent="0.15">
      <c r="A1129" s="60">
        <v>679</v>
      </c>
      <c r="B1129" s="30" t="s">
        <v>3630</v>
      </c>
      <c r="C1129" s="30" t="s">
        <v>6866</v>
      </c>
      <c r="D1129" s="61" t="s">
        <v>6867</v>
      </c>
      <c r="E1129" s="2"/>
      <c r="F1129" s="57"/>
      <c r="G1129" s="63" t="s">
        <v>6868</v>
      </c>
      <c r="H1129" s="59">
        <v>1</v>
      </c>
    </row>
    <row r="1130" spans="1:8" ht="112.5" customHeight="1" x14ac:dyDescent="0.15">
      <c r="A1130" s="54">
        <v>678</v>
      </c>
      <c r="B1130" s="55" t="s">
        <v>3630</v>
      </c>
      <c r="C1130" s="55" t="s">
        <v>6869</v>
      </c>
      <c r="D1130" s="56" t="s">
        <v>6870</v>
      </c>
      <c r="E1130" s="2"/>
      <c r="F1130" s="57"/>
      <c r="G1130" s="64" t="s">
        <v>6871</v>
      </c>
      <c r="H1130" s="59">
        <v>997</v>
      </c>
    </row>
    <row r="1131" spans="1:8" ht="112.5" customHeight="1" x14ac:dyDescent="0.15">
      <c r="A1131" s="54">
        <v>3394</v>
      </c>
      <c r="B1131" s="55" t="s">
        <v>3630</v>
      </c>
      <c r="C1131" s="55" t="s">
        <v>6872</v>
      </c>
      <c r="D1131" s="56" t="s">
        <v>6873</v>
      </c>
      <c r="E1131" s="2"/>
      <c r="F1131" s="57"/>
      <c r="G1131" s="63" t="s">
        <v>6874</v>
      </c>
      <c r="H1131" s="59">
        <v>1</v>
      </c>
    </row>
    <row r="1132" spans="1:8" ht="112.5" customHeight="1" x14ac:dyDescent="0.15">
      <c r="A1132" s="60">
        <v>677</v>
      </c>
      <c r="B1132" s="30" t="s">
        <v>3630</v>
      </c>
      <c r="C1132" s="30" t="s">
        <v>6875</v>
      </c>
      <c r="D1132" s="61" t="s">
        <v>6876</v>
      </c>
      <c r="E1132" s="2"/>
      <c r="F1132" s="57"/>
      <c r="G1132" s="64" t="s">
        <v>6877</v>
      </c>
      <c r="H1132" s="59">
        <v>988</v>
      </c>
    </row>
    <row r="1133" spans="1:8" ht="112.5" customHeight="1" x14ac:dyDescent="0.15">
      <c r="A1133" s="54">
        <v>676</v>
      </c>
      <c r="B1133" s="55" t="s">
        <v>3630</v>
      </c>
      <c r="C1133" s="55" t="s">
        <v>6878</v>
      </c>
      <c r="D1133" s="56" t="s">
        <v>6879</v>
      </c>
      <c r="E1133" s="2"/>
      <c r="F1133" s="57"/>
      <c r="G1133" s="63" t="s">
        <v>6880</v>
      </c>
      <c r="H1133" s="59">
        <v>983</v>
      </c>
    </row>
    <row r="1134" spans="1:8" ht="112.5" customHeight="1" x14ac:dyDescent="0.15">
      <c r="A1134" s="60">
        <v>675</v>
      </c>
      <c r="B1134" s="30" t="s">
        <v>3509</v>
      </c>
      <c r="C1134" s="30" t="s">
        <v>6881</v>
      </c>
      <c r="D1134" s="61" t="s">
        <v>6882</v>
      </c>
      <c r="E1134" s="2"/>
      <c r="F1134" s="57"/>
      <c r="G1134" s="64" t="s">
        <v>6883</v>
      </c>
      <c r="H1134" s="59">
        <v>987</v>
      </c>
    </row>
    <row r="1135" spans="1:8" ht="112.5" customHeight="1" x14ac:dyDescent="0.15">
      <c r="A1135" s="54">
        <v>778</v>
      </c>
      <c r="B1135" s="55" t="s">
        <v>3509</v>
      </c>
      <c r="C1135" s="55" t="s">
        <v>6884</v>
      </c>
      <c r="D1135" s="56" t="s">
        <v>6885</v>
      </c>
      <c r="E1135" s="2"/>
      <c r="F1135" s="57"/>
      <c r="G1135" s="63" t="s">
        <v>6886</v>
      </c>
      <c r="H1135" s="59">
        <v>985</v>
      </c>
    </row>
    <row r="1136" spans="1:8" ht="112.5" customHeight="1" x14ac:dyDescent="0.15">
      <c r="A1136" s="60">
        <v>777</v>
      </c>
      <c r="B1136" s="30" t="s">
        <v>3509</v>
      </c>
      <c r="C1136" s="30" t="s">
        <v>6887</v>
      </c>
      <c r="D1136" s="61" t="s">
        <v>6888</v>
      </c>
      <c r="E1136" s="2"/>
      <c r="F1136" s="57"/>
      <c r="G1136" s="64" t="s">
        <v>6889</v>
      </c>
      <c r="H1136" s="59">
        <v>963</v>
      </c>
    </row>
    <row r="1137" spans="1:8" ht="112.5" customHeight="1" x14ac:dyDescent="0.15">
      <c r="A1137" s="54">
        <v>776</v>
      </c>
      <c r="B1137" s="55" t="s">
        <v>3509</v>
      </c>
      <c r="C1137" s="55" t="s">
        <v>6890</v>
      </c>
      <c r="D1137" s="56" t="s">
        <v>6891</v>
      </c>
      <c r="E1137" s="2"/>
      <c r="F1137" s="57"/>
      <c r="G1137" s="63" t="s">
        <v>6892</v>
      </c>
      <c r="H1137" s="59">
        <v>1</v>
      </c>
    </row>
    <row r="1138" spans="1:8" ht="112.5" customHeight="1" x14ac:dyDescent="0.15">
      <c r="A1138" s="60">
        <v>797</v>
      </c>
      <c r="B1138" s="30" t="s">
        <v>3509</v>
      </c>
      <c r="C1138" s="30" t="s">
        <v>6893</v>
      </c>
      <c r="D1138" s="61" t="s">
        <v>6894</v>
      </c>
      <c r="E1138" s="2"/>
      <c r="F1138" s="57"/>
      <c r="G1138" s="64" t="s">
        <v>6895</v>
      </c>
      <c r="H1138" s="59">
        <v>1</v>
      </c>
    </row>
    <row r="1139" spans="1:8" ht="112.5" customHeight="1" x14ac:dyDescent="0.15">
      <c r="A1139" s="54">
        <v>796</v>
      </c>
      <c r="B1139" s="55" t="s">
        <v>3509</v>
      </c>
      <c r="C1139" s="55" t="s">
        <v>6896</v>
      </c>
      <c r="D1139" s="56" t="s">
        <v>6897</v>
      </c>
      <c r="E1139" s="2"/>
      <c r="F1139" s="57"/>
      <c r="G1139" s="63" t="s">
        <v>6898</v>
      </c>
      <c r="H1139" s="59">
        <v>963</v>
      </c>
    </row>
    <row r="1140" spans="1:8" ht="112.5" customHeight="1" x14ac:dyDescent="0.15">
      <c r="A1140" s="60">
        <v>795</v>
      </c>
      <c r="B1140" s="30" t="s">
        <v>3509</v>
      </c>
      <c r="C1140" s="30" t="s">
        <v>6899</v>
      </c>
      <c r="D1140" s="61" t="s">
        <v>6900</v>
      </c>
      <c r="E1140" s="2"/>
      <c r="F1140" s="57"/>
      <c r="G1140" s="64" t="s">
        <v>6901</v>
      </c>
      <c r="H1140" s="59">
        <v>896</v>
      </c>
    </row>
    <row r="1141" spans="1:8" ht="112.5" customHeight="1" x14ac:dyDescent="0.15">
      <c r="A1141" s="54">
        <v>794</v>
      </c>
      <c r="B1141" s="55" t="s">
        <v>3509</v>
      </c>
      <c r="C1141" s="55" t="s">
        <v>6902</v>
      </c>
      <c r="D1141" s="56" t="s">
        <v>6903</v>
      </c>
      <c r="E1141" s="2"/>
      <c r="F1141" s="57"/>
      <c r="G1141" s="63" t="s">
        <v>6904</v>
      </c>
      <c r="H1141" s="59">
        <v>0</v>
      </c>
    </row>
    <row r="1142" spans="1:8" ht="112.5" customHeight="1" x14ac:dyDescent="0.15">
      <c r="A1142" s="60">
        <v>793</v>
      </c>
      <c r="B1142" s="30" t="s">
        <v>3509</v>
      </c>
      <c r="C1142" s="30" t="s">
        <v>6905</v>
      </c>
      <c r="D1142" s="61" t="s">
        <v>6906</v>
      </c>
      <c r="E1142" s="2"/>
      <c r="F1142" s="57"/>
      <c r="G1142" s="64" t="s">
        <v>6907</v>
      </c>
      <c r="H1142" s="59">
        <v>1</v>
      </c>
    </row>
    <row r="1143" spans="1:8" ht="112.5" customHeight="1" x14ac:dyDescent="0.15">
      <c r="A1143" s="54">
        <v>792</v>
      </c>
      <c r="B1143" s="55" t="s">
        <v>3509</v>
      </c>
      <c r="C1143" s="55" t="s">
        <v>6908</v>
      </c>
      <c r="D1143" s="56" t="s">
        <v>6909</v>
      </c>
      <c r="E1143" s="2"/>
      <c r="F1143" s="57"/>
      <c r="G1143" s="63" t="s">
        <v>6910</v>
      </c>
      <c r="H1143" s="59">
        <v>1</v>
      </c>
    </row>
    <row r="1144" spans="1:8" ht="112.5" customHeight="1" x14ac:dyDescent="0.15">
      <c r="A1144" s="60">
        <v>791</v>
      </c>
      <c r="B1144" s="30" t="s">
        <v>3822</v>
      </c>
      <c r="C1144" s="30" t="s">
        <v>6911</v>
      </c>
      <c r="D1144" s="61" t="s">
        <v>6912</v>
      </c>
      <c r="E1144" s="2"/>
      <c r="F1144" s="57"/>
      <c r="G1144" s="64" t="s">
        <v>6913</v>
      </c>
      <c r="H1144" s="59">
        <v>984</v>
      </c>
    </row>
    <row r="1145" spans="1:8" ht="112.5" customHeight="1" x14ac:dyDescent="0.15">
      <c r="A1145" s="60">
        <v>903</v>
      </c>
      <c r="B1145" s="30" t="s">
        <v>3556</v>
      </c>
      <c r="C1145" s="30" t="s">
        <v>6914</v>
      </c>
      <c r="D1145" s="61" t="s">
        <v>6915</v>
      </c>
      <c r="E1145" s="2"/>
      <c r="F1145" s="57"/>
      <c r="G1145" s="63" t="s">
        <v>6916</v>
      </c>
      <c r="H1145" s="59">
        <v>1</v>
      </c>
    </row>
    <row r="1146" spans="1:8" ht="112.5" customHeight="1" x14ac:dyDescent="0.15">
      <c r="A1146" s="54">
        <v>902</v>
      </c>
      <c r="B1146" s="55" t="s">
        <v>3526</v>
      </c>
      <c r="C1146" s="55" t="s">
        <v>6917</v>
      </c>
      <c r="D1146" s="56" t="s">
        <v>6918</v>
      </c>
      <c r="E1146" s="2"/>
      <c r="F1146" s="57"/>
      <c r="G1146" s="64" t="s">
        <v>6919</v>
      </c>
      <c r="H1146" s="59">
        <v>9.7089999999999996</v>
      </c>
    </row>
    <row r="1147" spans="1:8" ht="112.5" customHeight="1" x14ac:dyDescent="0.15">
      <c r="A1147" s="60">
        <v>901</v>
      </c>
      <c r="B1147" s="30" t="s">
        <v>3509</v>
      </c>
      <c r="C1147" s="30" t="s">
        <v>6920</v>
      </c>
      <c r="D1147" s="61" t="s">
        <v>6921</v>
      </c>
      <c r="E1147" s="2"/>
      <c r="F1147" s="57"/>
      <c r="G1147" s="63" t="s">
        <v>6922</v>
      </c>
      <c r="H1147" s="59">
        <v>1</v>
      </c>
    </row>
    <row r="1148" spans="1:8" ht="112.5" customHeight="1" x14ac:dyDescent="0.15">
      <c r="A1148" s="54">
        <v>900</v>
      </c>
      <c r="B1148" s="55" t="s">
        <v>3814</v>
      </c>
      <c r="C1148" s="55" t="s">
        <v>6923</v>
      </c>
      <c r="D1148" s="56" t="s">
        <v>6924</v>
      </c>
      <c r="E1148" s="2"/>
      <c r="F1148" s="57"/>
      <c r="G1148" s="64" t="s">
        <v>6925</v>
      </c>
      <c r="H1148" s="59">
        <v>996</v>
      </c>
    </row>
    <row r="1149" spans="1:8" ht="112.5" customHeight="1" x14ac:dyDescent="0.15">
      <c r="A1149" s="60">
        <v>899</v>
      </c>
      <c r="B1149" s="30" t="s">
        <v>3818</v>
      </c>
      <c r="C1149" s="30" t="s">
        <v>6926</v>
      </c>
      <c r="D1149" s="61" t="s">
        <v>6927</v>
      </c>
      <c r="E1149" s="2"/>
      <c r="F1149" s="57"/>
      <c r="G1149" s="63" t="s">
        <v>6928</v>
      </c>
      <c r="H1149" s="59">
        <v>998</v>
      </c>
    </row>
    <row r="1150" spans="1:8" ht="112.5" customHeight="1" x14ac:dyDescent="0.15">
      <c r="A1150" s="54">
        <v>898</v>
      </c>
      <c r="B1150" s="55" t="s">
        <v>3822</v>
      </c>
      <c r="C1150" s="55" t="s">
        <v>6929</v>
      </c>
      <c r="D1150" s="56" t="s">
        <v>6930</v>
      </c>
      <c r="E1150" s="2"/>
      <c r="F1150" s="57"/>
      <c r="G1150" s="64" t="s">
        <v>6931</v>
      </c>
      <c r="H1150" s="59">
        <v>960</v>
      </c>
    </row>
    <row r="1151" spans="1:8" ht="112.5" customHeight="1" x14ac:dyDescent="0.15">
      <c r="A1151" s="60">
        <v>897</v>
      </c>
      <c r="B1151" s="30" t="s">
        <v>3670</v>
      </c>
      <c r="C1151" s="30" t="s">
        <v>6932</v>
      </c>
      <c r="D1151" s="61" t="s">
        <v>6933</v>
      </c>
      <c r="E1151" s="2"/>
      <c r="F1151" s="57"/>
      <c r="G1151" s="63" t="s">
        <v>6934</v>
      </c>
      <c r="H1151" s="59">
        <v>1</v>
      </c>
    </row>
    <row r="1152" spans="1:8" ht="112.5" customHeight="1" x14ac:dyDescent="0.15">
      <c r="A1152" s="54">
        <v>896</v>
      </c>
      <c r="B1152" s="55" t="s">
        <v>3496</v>
      </c>
      <c r="C1152" s="55" t="s">
        <v>6935</v>
      </c>
      <c r="D1152" s="56" t="s">
        <v>6936</v>
      </c>
      <c r="E1152" s="2"/>
      <c r="F1152" s="57"/>
      <c r="G1152" s="64" t="s">
        <v>6937</v>
      </c>
      <c r="H1152" s="59">
        <v>1</v>
      </c>
    </row>
    <row r="1153" spans="1:8" ht="112.5" customHeight="1" x14ac:dyDescent="0.15">
      <c r="A1153" s="60">
        <v>895</v>
      </c>
      <c r="B1153" s="30" t="s">
        <v>3496</v>
      </c>
      <c r="C1153" s="30" t="s">
        <v>6938</v>
      </c>
      <c r="D1153" s="61" t="s">
        <v>6939</v>
      </c>
      <c r="E1153" s="2"/>
      <c r="F1153" s="57"/>
      <c r="G1153" s="63" t="s">
        <v>6940</v>
      </c>
      <c r="H1153" s="59">
        <v>997</v>
      </c>
    </row>
    <row r="1154" spans="1:8" ht="112.5" customHeight="1" x14ac:dyDescent="0.15">
      <c r="A1154" s="54">
        <v>894</v>
      </c>
      <c r="B1154" s="55" t="s">
        <v>3496</v>
      </c>
      <c r="C1154" s="55" t="s">
        <v>6941</v>
      </c>
      <c r="D1154" s="56" t="s">
        <v>6942</v>
      </c>
      <c r="E1154" s="2"/>
      <c r="F1154" s="57"/>
      <c r="G1154" s="64" t="s">
        <v>6943</v>
      </c>
      <c r="H1154" s="59">
        <v>970</v>
      </c>
    </row>
    <row r="1155" spans="1:8" ht="112.5" customHeight="1" x14ac:dyDescent="0.15">
      <c r="A1155" s="60">
        <v>893</v>
      </c>
      <c r="B1155" s="30" t="s">
        <v>3533</v>
      </c>
      <c r="C1155" s="30" t="s">
        <v>6944</v>
      </c>
      <c r="D1155" s="61" t="s">
        <v>6945</v>
      </c>
      <c r="E1155" s="2"/>
      <c r="F1155" s="57"/>
      <c r="G1155" s="63" t="s">
        <v>6946</v>
      </c>
      <c r="H1155" s="59">
        <v>961</v>
      </c>
    </row>
    <row r="1156" spans="1:8" ht="112.5" customHeight="1" x14ac:dyDescent="0.15">
      <c r="A1156" s="54">
        <v>892</v>
      </c>
      <c r="B1156" s="55" t="s">
        <v>3549</v>
      </c>
      <c r="C1156" s="55" t="s">
        <v>6947</v>
      </c>
      <c r="D1156" s="56" t="s">
        <v>6948</v>
      </c>
      <c r="E1156" s="2"/>
      <c r="F1156" s="57"/>
      <c r="G1156" s="64" t="s">
        <v>6949</v>
      </c>
      <c r="H1156" s="59">
        <v>998</v>
      </c>
    </row>
    <row r="1157" spans="1:8" ht="112.5" customHeight="1" x14ac:dyDescent="0.15">
      <c r="A1157" s="54">
        <v>790</v>
      </c>
      <c r="B1157" s="55" t="s">
        <v>3749</v>
      </c>
      <c r="C1157" s="55" t="s">
        <v>6950</v>
      </c>
      <c r="D1157" s="56" t="s">
        <v>6951</v>
      </c>
      <c r="E1157" s="2"/>
      <c r="F1157" s="57"/>
      <c r="G1157" s="63" t="s">
        <v>6952</v>
      </c>
      <c r="H1157" s="59">
        <v>975</v>
      </c>
    </row>
    <row r="1158" spans="1:8" ht="112.5" customHeight="1" x14ac:dyDescent="0.15">
      <c r="A1158" s="60">
        <v>789</v>
      </c>
      <c r="B1158" s="30" t="s">
        <v>3822</v>
      </c>
      <c r="C1158" s="30" t="s">
        <v>6953</v>
      </c>
      <c r="D1158" s="61" t="s">
        <v>6954</v>
      </c>
      <c r="E1158" s="2"/>
      <c r="F1158" s="57"/>
      <c r="G1158" s="64" t="s">
        <v>4589</v>
      </c>
      <c r="H1158" s="59">
        <v>0</v>
      </c>
    </row>
    <row r="1159" spans="1:8" ht="112.5" customHeight="1" x14ac:dyDescent="0.15">
      <c r="A1159" s="54">
        <v>788</v>
      </c>
      <c r="B1159" s="55" t="s">
        <v>3670</v>
      </c>
      <c r="C1159" s="55" t="s">
        <v>6955</v>
      </c>
      <c r="D1159" s="56" t="s">
        <v>6956</v>
      </c>
      <c r="E1159" s="2"/>
      <c r="F1159" s="57"/>
      <c r="G1159" s="63" t="s">
        <v>6957</v>
      </c>
      <c r="H1159" s="59">
        <v>1</v>
      </c>
    </row>
    <row r="1160" spans="1:8" ht="112.5" customHeight="1" x14ac:dyDescent="0.15">
      <c r="A1160" s="60">
        <v>787</v>
      </c>
      <c r="B1160" s="30" t="s">
        <v>5887</v>
      </c>
      <c r="C1160" s="30" t="s">
        <v>6958</v>
      </c>
      <c r="D1160" s="61" t="s">
        <v>6959</v>
      </c>
      <c r="E1160" s="2"/>
      <c r="F1160" s="57"/>
      <c r="G1160" s="64" t="s">
        <v>6960</v>
      </c>
      <c r="H1160" s="59">
        <v>0</v>
      </c>
    </row>
    <row r="1161" spans="1:8" ht="112.5" customHeight="1" x14ac:dyDescent="0.15">
      <c r="A1161" s="54">
        <v>786</v>
      </c>
      <c r="B1161" s="55" t="s">
        <v>3670</v>
      </c>
      <c r="C1161" s="55" t="s">
        <v>6961</v>
      </c>
      <c r="D1161" s="56" t="s">
        <v>6962</v>
      </c>
      <c r="E1161" s="2"/>
      <c r="F1161" s="57"/>
      <c r="G1161" s="63" t="s">
        <v>4586</v>
      </c>
      <c r="H1161" s="59">
        <v>997</v>
      </c>
    </row>
    <row r="1162" spans="1:8" ht="112.5" customHeight="1" x14ac:dyDescent="0.15">
      <c r="A1162" s="60">
        <v>785</v>
      </c>
      <c r="B1162" s="30" t="s">
        <v>3670</v>
      </c>
      <c r="C1162" s="30" t="s">
        <v>6963</v>
      </c>
      <c r="D1162" s="61" t="s">
        <v>6964</v>
      </c>
      <c r="E1162" s="2"/>
      <c r="F1162" s="57"/>
      <c r="G1162" s="64" t="s">
        <v>6965</v>
      </c>
      <c r="H1162" s="59">
        <v>1</v>
      </c>
    </row>
    <row r="1163" spans="1:8" ht="112.5" customHeight="1" x14ac:dyDescent="0.15">
      <c r="A1163" s="54">
        <v>784</v>
      </c>
      <c r="B1163" s="55" t="s">
        <v>3670</v>
      </c>
      <c r="C1163" s="55" t="s">
        <v>6966</v>
      </c>
      <c r="D1163" s="56" t="s">
        <v>6967</v>
      </c>
      <c r="E1163" s="2"/>
      <c r="F1163" s="57"/>
      <c r="G1163" s="63" t="s">
        <v>6968</v>
      </c>
      <c r="H1163" s="59">
        <v>997</v>
      </c>
    </row>
    <row r="1164" spans="1:8" ht="112.5" customHeight="1" x14ac:dyDescent="0.15">
      <c r="A1164" s="60">
        <v>783</v>
      </c>
      <c r="B1164" s="30" t="s">
        <v>3670</v>
      </c>
      <c r="C1164" s="30" t="s">
        <v>6969</v>
      </c>
      <c r="D1164" s="61" t="s">
        <v>6970</v>
      </c>
      <c r="E1164" s="2"/>
      <c r="F1164" s="57"/>
      <c r="G1164" s="64" t="s">
        <v>6971</v>
      </c>
      <c r="H1164" s="59">
        <v>1</v>
      </c>
    </row>
    <row r="1165" spans="1:8" ht="112.5" customHeight="1" x14ac:dyDescent="0.15">
      <c r="A1165" s="54">
        <v>782</v>
      </c>
      <c r="B1165" s="55" t="s">
        <v>3599</v>
      </c>
      <c r="C1165" s="55" t="s">
        <v>6972</v>
      </c>
      <c r="D1165" s="56" t="s">
        <v>6973</v>
      </c>
      <c r="E1165" s="2"/>
      <c r="F1165" s="57"/>
      <c r="G1165" s="63" t="s">
        <v>6974</v>
      </c>
      <c r="H1165" s="59">
        <v>1</v>
      </c>
    </row>
    <row r="1166" spans="1:8" ht="112.5" customHeight="1" x14ac:dyDescent="0.15">
      <c r="A1166" s="60">
        <v>781</v>
      </c>
      <c r="B1166" s="30" t="s">
        <v>3822</v>
      </c>
      <c r="C1166" s="30" t="s">
        <v>6975</v>
      </c>
      <c r="D1166" s="61" t="s">
        <v>6976</v>
      </c>
      <c r="E1166" s="2"/>
      <c r="F1166" s="57"/>
      <c r="G1166" s="64" t="s">
        <v>6977</v>
      </c>
      <c r="H1166" s="59">
        <v>1</v>
      </c>
    </row>
    <row r="1167" spans="1:8" ht="112.5" customHeight="1" x14ac:dyDescent="0.15">
      <c r="A1167" s="60">
        <v>775</v>
      </c>
      <c r="B1167" s="30" t="s">
        <v>3502</v>
      </c>
      <c r="C1167" s="30" t="s">
        <v>6978</v>
      </c>
      <c r="D1167" s="61" t="s">
        <v>6979</v>
      </c>
      <c r="E1167" s="2"/>
      <c r="F1167" s="57"/>
      <c r="G1167" s="63" t="s">
        <v>6980</v>
      </c>
      <c r="H1167" s="59">
        <v>1</v>
      </c>
    </row>
    <row r="1168" spans="1:8" ht="112.5" customHeight="1" x14ac:dyDescent="0.15">
      <c r="A1168" s="54">
        <v>774</v>
      </c>
      <c r="B1168" s="55" t="s">
        <v>3876</v>
      </c>
      <c r="C1168" s="55" t="s">
        <v>6981</v>
      </c>
      <c r="D1168" s="56" t="s">
        <v>6982</v>
      </c>
      <c r="E1168" s="2"/>
      <c r="F1168" s="57"/>
      <c r="G1168" s="64" t="s">
        <v>6983</v>
      </c>
      <c r="H1168" s="59">
        <v>998</v>
      </c>
    </row>
    <row r="1169" spans="1:8" ht="112.5" customHeight="1" x14ac:dyDescent="0.15">
      <c r="A1169" s="54">
        <v>772</v>
      </c>
      <c r="B1169" s="55" t="s">
        <v>3533</v>
      </c>
      <c r="C1169" s="55" t="s">
        <v>6984</v>
      </c>
      <c r="D1169" s="56" t="s">
        <v>6985</v>
      </c>
      <c r="E1169" s="2"/>
      <c r="F1169" s="57"/>
      <c r="G1169" s="63" t="s">
        <v>6986</v>
      </c>
      <c r="H1169" s="59">
        <v>997</v>
      </c>
    </row>
    <row r="1170" spans="1:8" ht="112.5" customHeight="1" x14ac:dyDescent="0.15">
      <c r="A1170" s="60">
        <v>773</v>
      </c>
      <c r="B1170" s="30" t="s">
        <v>3533</v>
      </c>
      <c r="C1170" s="30" t="s">
        <v>6987</v>
      </c>
      <c r="D1170" s="61" t="s">
        <v>6988</v>
      </c>
      <c r="E1170" s="2"/>
      <c r="F1170" s="57"/>
      <c r="G1170" s="64" t="s">
        <v>6989</v>
      </c>
      <c r="H1170" s="59">
        <v>0</v>
      </c>
    </row>
    <row r="1171" spans="1:8" ht="112.5" customHeight="1" x14ac:dyDescent="0.15">
      <c r="A1171" s="60">
        <v>771</v>
      </c>
      <c r="B1171" s="30" t="s">
        <v>3533</v>
      </c>
      <c r="C1171" s="30" t="s">
        <v>6990</v>
      </c>
      <c r="D1171" s="61" t="s">
        <v>6991</v>
      </c>
      <c r="E1171" s="2"/>
      <c r="F1171" s="57"/>
      <c r="G1171" s="63" t="s">
        <v>6992</v>
      </c>
      <c r="H1171" s="59">
        <v>983</v>
      </c>
    </row>
    <row r="1172" spans="1:8" ht="112.5" customHeight="1" x14ac:dyDescent="0.15">
      <c r="A1172" s="54">
        <v>770</v>
      </c>
      <c r="B1172" s="55" t="s">
        <v>3533</v>
      </c>
      <c r="C1172" s="55" t="s">
        <v>6993</v>
      </c>
      <c r="D1172" s="56" t="s">
        <v>6994</v>
      </c>
      <c r="E1172" s="2"/>
      <c r="F1172" s="57"/>
      <c r="G1172" s="64" t="s">
        <v>6995</v>
      </c>
      <c r="H1172" s="59">
        <v>996</v>
      </c>
    </row>
    <row r="1173" spans="1:8" ht="112.5" customHeight="1" x14ac:dyDescent="0.15">
      <c r="A1173" s="60">
        <v>769</v>
      </c>
      <c r="B1173" s="30" t="s">
        <v>3533</v>
      </c>
      <c r="C1173" s="30" t="s">
        <v>6996</v>
      </c>
      <c r="D1173" s="61" t="s">
        <v>6997</v>
      </c>
      <c r="E1173" s="2"/>
      <c r="F1173" s="57"/>
      <c r="G1173" s="63" t="s">
        <v>6998</v>
      </c>
      <c r="H1173" s="59">
        <v>987</v>
      </c>
    </row>
    <row r="1174" spans="1:8" ht="112.5" customHeight="1" x14ac:dyDescent="0.15">
      <c r="A1174" s="54">
        <v>768</v>
      </c>
      <c r="B1174" s="55" t="s">
        <v>3533</v>
      </c>
      <c r="C1174" s="55" t="s">
        <v>6999</v>
      </c>
      <c r="D1174" s="56" t="s">
        <v>7000</v>
      </c>
      <c r="E1174" s="2"/>
      <c r="F1174" s="57"/>
      <c r="G1174" s="64" t="s">
        <v>7001</v>
      </c>
      <c r="H1174" s="59">
        <v>986</v>
      </c>
    </row>
    <row r="1175" spans="1:8" ht="112.5" customHeight="1" x14ac:dyDescent="0.15">
      <c r="A1175" s="60">
        <v>767</v>
      </c>
      <c r="B1175" s="30" t="s">
        <v>3502</v>
      </c>
      <c r="C1175" s="30" t="s">
        <v>7002</v>
      </c>
      <c r="D1175" s="61" t="s">
        <v>7003</v>
      </c>
      <c r="E1175" s="2"/>
      <c r="F1175" s="57"/>
      <c r="G1175" s="63" t="s">
        <v>7004</v>
      </c>
      <c r="H1175" s="59">
        <v>1</v>
      </c>
    </row>
    <row r="1176" spans="1:8" ht="112.5" customHeight="1" x14ac:dyDescent="0.15">
      <c r="A1176" s="54">
        <v>766</v>
      </c>
      <c r="B1176" s="55" t="s">
        <v>3818</v>
      </c>
      <c r="C1176" s="55" t="s">
        <v>7005</v>
      </c>
      <c r="D1176" s="56" t="s">
        <v>7006</v>
      </c>
      <c r="E1176" s="2"/>
      <c r="F1176" s="57"/>
      <c r="G1176" s="64" t="s">
        <v>7007</v>
      </c>
      <c r="H1176" s="59">
        <v>999</v>
      </c>
    </row>
    <row r="1177" spans="1:8" ht="112.5" customHeight="1" x14ac:dyDescent="0.15">
      <c r="A1177" s="60">
        <v>765</v>
      </c>
      <c r="B1177" s="30" t="s">
        <v>3513</v>
      </c>
      <c r="C1177" s="30" t="s">
        <v>7008</v>
      </c>
      <c r="D1177" s="61" t="s">
        <v>7009</v>
      </c>
      <c r="E1177" s="2"/>
      <c r="F1177" s="57"/>
      <c r="G1177" s="63" t="s">
        <v>4583</v>
      </c>
      <c r="H1177" s="59">
        <v>9.9979999999999993</v>
      </c>
    </row>
    <row r="1178" spans="1:8" ht="112.5" customHeight="1" x14ac:dyDescent="0.15">
      <c r="A1178" s="54">
        <v>764</v>
      </c>
      <c r="B1178" s="55" t="s">
        <v>3513</v>
      </c>
      <c r="C1178" s="55" t="s">
        <v>7010</v>
      </c>
      <c r="D1178" s="56" t="s">
        <v>7011</v>
      </c>
      <c r="E1178" s="2"/>
      <c r="F1178" s="57"/>
      <c r="G1178" s="64" t="s">
        <v>4580</v>
      </c>
      <c r="H1178" s="59">
        <v>911</v>
      </c>
    </row>
    <row r="1179" spans="1:8" ht="112.5" customHeight="1" x14ac:dyDescent="0.15">
      <c r="A1179" s="60">
        <v>763</v>
      </c>
      <c r="B1179" s="30" t="s">
        <v>3496</v>
      </c>
      <c r="C1179" s="30" t="s">
        <v>7012</v>
      </c>
      <c r="D1179" s="61" t="s">
        <v>7013</v>
      </c>
      <c r="E1179" s="2"/>
      <c r="F1179" s="57"/>
      <c r="G1179" s="63" t="s">
        <v>4577</v>
      </c>
      <c r="H1179" s="59">
        <v>0</v>
      </c>
    </row>
    <row r="1180" spans="1:8" ht="112.5" customHeight="1" x14ac:dyDescent="0.15">
      <c r="A1180" s="54">
        <v>762</v>
      </c>
      <c r="B1180" s="55" t="s">
        <v>3533</v>
      </c>
      <c r="C1180" s="55" t="s">
        <v>7014</v>
      </c>
      <c r="D1180" s="56" t="s">
        <v>7015</v>
      </c>
      <c r="E1180" s="2"/>
      <c r="F1180" s="57"/>
      <c r="G1180" s="64" t="s">
        <v>4574</v>
      </c>
      <c r="H1180" s="59">
        <v>0</v>
      </c>
    </row>
    <row r="1181" spans="1:8" ht="112.5" customHeight="1" x14ac:dyDescent="0.15">
      <c r="A1181" s="60">
        <v>761</v>
      </c>
      <c r="B1181" s="30" t="s">
        <v>3492</v>
      </c>
      <c r="C1181" s="30" t="s">
        <v>7016</v>
      </c>
      <c r="D1181" s="61" t="s">
        <v>7017</v>
      </c>
      <c r="E1181" s="2"/>
      <c r="F1181" s="57"/>
      <c r="G1181" s="63" t="s">
        <v>4571</v>
      </c>
      <c r="H1181" s="59">
        <v>953</v>
      </c>
    </row>
    <row r="1182" spans="1:8" ht="112.5" customHeight="1" x14ac:dyDescent="0.15">
      <c r="A1182" s="54">
        <v>760</v>
      </c>
      <c r="B1182" s="55" t="s">
        <v>3513</v>
      </c>
      <c r="C1182" s="55" t="s">
        <v>7018</v>
      </c>
      <c r="D1182" s="56" t="s">
        <v>7019</v>
      </c>
      <c r="E1182" s="2"/>
      <c r="F1182" s="57"/>
      <c r="G1182" s="64" t="s">
        <v>7020</v>
      </c>
      <c r="H1182" s="59">
        <v>0</v>
      </c>
    </row>
    <row r="1183" spans="1:8" ht="112.5" customHeight="1" x14ac:dyDescent="0.15">
      <c r="A1183" s="60">
        <v>759</v>
      </c>
      <c r="B1183" s="30" t="s">
        <v>3513</v>
      </c>
      <c r="C1183" s="30" t="s">
        <v>7021</v>
      </c>
      <c r="D1183" s="61" t="s">
        <v>7022</v>
      </c>
      <c r="E1183" s="2"/>
      <c r="F1183" s="57"/>
      <c r="G1183" s="63" t="s">
        <v>7023</v>
      </c>
      <c r="H1183" s="59">
        <v>1</v>
      </c>
    </row>
    <row r="1184" spans="1:8" ht="112.5" customHeight="1" x14ac:dyDescent="0.15">
      <c r="A1184" s="54">
        <v>3742</v>
      </c>
      <c r="B1184" s="55" t="s">
        <v>3492</v>
      </c>
      <c r="C1184" s="55" t="s">
        <v>7024</v>
      </c>
      <c r="D1184" s="56" t="s">
        <v>7025</v>
      </c>
      <c r="E1184" s="2"/>
      <c r="F1184" s="57"/>
      <c r="G1184" s="64" t="s">
        <v>7026</v>
      </c>
      <c r="H1184" s="59">
        <v>1</v>
      </c>
    </row>
    <row r="1185" spans="1:8" ht="112.5" customHeight="1" x14ac:dyDescent="0.15">
      <c r="A1185" s="54">
        <v>758</v>
      </c>
      <c r="B1185" s="55" t="s">
        <v>3496</v>
      </c>
      <c r="C1185" s="55" t="s">
        <v>7027</v>
      </c>
      <c r="D1185" s="56" t="s">
        <v>7028</v>
      </c>
      <c r="E1185" s="2"/>
      <c r="F1185" s="57"/>
      <c r="G1185" s="63" t="s">
        <v>7029</v>
      </c>
      <c r="H1185" s="59">
        <v>966</v>
      </c>
    </row>
    <row r="1186" spans="1:8" ht="112.5" customHeight="1" x14ac:dyDescent="0.15">
      <c r="A1186" s="60">
        <v>801</v>
      </c>
      <c r="B1186" s="30" t="s">
        <v>3533</v>
      </c>
      <c r="C1186" s="30" t="s">
        <v>7030</v>
      </c>
      <c r="D1186" s="61" t="s">
        <v>7031</v>
      </c>
      <c r="E1186" s="2"/>
      <c r="F1186" s="57"/>
      <c r="G1186" s="64" t="s">
        <v>4568</v>
      </c>
      <c r="H1186" s="59">
        <v>979</v>
      </c>
    </row>
    <row r="1187" spans="1:8" ht="112.5" customHeight="1" x14ac:dyDescent="0.15">
      <c r="A1187" s="54">
        <v>800</v>
      </c>
      <c r="B1187" s="55" t="s">
        <v>3533</v>
      </c>
      <c r="C1187" s="55" t="s">
        <v>7032</v>
      </c>
      <c r="D1187" s="56" t="s">
        <v>7033</v>
      </c>
      <c r="E1187" s="2"/>
      <c r="F1187" s="57"/>
      <c r="G1187" s="63" t="s">
        <v>7034</v>
      </c>
      <c r="H1187" s="59">
        <v>999</v>
      </c>
    </row>
    <row r="1188" spans="1:8" ht="112.5" customHeight="1" x14ac:dyDescent="0.15">
      <c r="A1188" s="60">
        <v>799</v>
      </c>
      <c r="B1188" s="30" t="s">
        <v>3556</v>
      </c>
      <c r="C1188" s="30" t="s">
        <v>7035</v>
      </c>
      <c r="D1188" s="61" t="s">
        <v>7036</v>
      </c>
      <c r="E1188" s="2"/>
      <c r="F1188" s="57"/>
      <c r="G1188" s="64" t="s">
        <v>7037</v>
      </c>
      <c r="H1188" s="59">
        <v>0</v>
      </c>
    </row>
    <row r="1189" spans="1:8" ht="112.5" customHeight="1" x14ac:dyDescent="0.15">
      <c r="A1189" s="54">
        <v>798</v>
      </c>
      <c r="B1189" s="55" t="s">
        <v>3549</v>
      </c>
      <c r="C1189" s="55" t="s">
        <v>7038</v>
      </c>
      <c r="D1189" s="56" t="s">
        <v>7039</v>
      </c>
      <c r="E1189" s="2"/>
      <c r="F1189" s="57"/>
      <c r="G1189" s="63" t="s">
        <v>7040</v>
      </c>
      <c r="H1189" s="59">
        <v>1</v>
      </c>
    </row>
    <row r="1190" spans="1:8" ht="112.5" customHeight="1" x14ac:dyDescent="0.15">
      <c r="A1190" s="60">
        <v>927</v>
      </c>
      <c r="B1190" s="30" t="s">
        <v>3556</v>
      </c>
      <c r="C1190" s="30" t="s">
        <v>7041</v>
      </c>
      <c r="D1190" s="61" t="s">
        <v>7042</v>
      </c>
      <c r="E1190" s="2"/>
      <c r="F1190" s="57"/>
      <c r="G1190" s="64" t="s">
        <v>7043</v>
      </c>
      <c r="H1190" s="59">
        <v>1</v>
      </c>
    </row>
    <row r="1191" spans="1:8" ht="112.5" customHeight="1" x14ac:dyDescent="0.15">
      <c r="A1191" s="54">
        <v>926</v>
      </c>
      <c r="B1191" s="55" t="s">
        <v>3502</v>
      </c>
      <c r="C1191" s="55" t="s">
        <v>7044</v>
      </c>
      <c r="D1191" s="56" t="s">
        <v>7045</v>
      </c>
      <c r="E1191" s="2"/>
      <c r="F1191" s="57"/>
      <c r="G1191" s="63" t="s">
        <v>7046</v>
      </c>
      <c r="H1191" s="59">
        <v>1</v>
      </c>
    </row>
    <row r="1192" spans="1:8" ht="112.5" customHeight="1" x14ac:dyDescent="0.15">
      <c r="A1192" s="60">
        <v>925</v>
      </c>
      <c r="B1192" s="30" t="s">
        <v>3556</v>
      </c>
      <c r="C1192" s="30" t="s">
        <v>7047</v>
      </c>
      <c r="D1192" s="61" t="s">
        <v>7048</v>
      </c>
      <c r="E1192" s="2"/>
      <c r="F1192" s="57"/>
      <c r="G1192" s="64" t="s">
        <v>7049</v>
      </c>
      <c r="H1192" s="59">
        <v>978</v>
      </c>
    </row>
    <row r="1193" spans="1:8" ht="112.5" customHeight="1" x14ac:dyDescent="0.15">
      <c r="A1193" s="54">
        <v>924</v>
      </c>
      <c r="B1193" s="55" t="s">
        <v>3533</v>
      </c>
      <c r="C1193" s="55" t="s">
        <v>7050</v>
      </c>
      <c r="D1193" s="56" t="s">
        <v>7051</v>
      </c>
      <c r="E1193" s="2"/>
      <c r="F1193" s="57"/>
      <c r="G1193" s="63" t="s">
        <v>7052</v>
      </c>
      <c r="H1193" s="59">
        <v>942</v>
      </c>
    </row>
    <row r="1194" spans="1:8" ht="112.5" customHeight="1" x14ac:dyDescent="0.15">
      <c r="A1194" s="60">
        <v>923</v>
      </c>
      <c r="B1194" s="30" t="s">
        <v>3502</v>
      </c>
      <c r="C1194" s="30" t="s">
        <v>7053</v>
      </c>
      <c r="D1194" s="61" t="s">
        <v>7054</v>
      </c>
      <c r="E1194" s="2"/>
      <c r="F1194" s="57"/>
      <c r="G1194" s="64" t="s">
        <v>7055</v>
      </c>
      <c r="H1194" s="59">
        <v>994</v>
      </c>
    </row>
    <row r="1195" spans="1:8" ht="112.5" customHeight="1" x14ac:dyDescent="0.15">
      <c r="A1195" s="54">
        <v>922</v>
      </c>
      <c r="B1195" s="55" t="s">
        <v>3502</v>
      </c>
      <c r="C1195" s="55" t="s">
        <v>7056</v>
      </c>
      <c r="D1195" s="56" t="s">
        <v>7057</v>
      </c>
      <c r="E1195" s="2"/>
      <c r="F1195" s="57"/>
      <c r="G1195" s="63" t="s">
        <v>7058</v>
      </c>
      <c r="H1195" s="59">
        <v>997</v>
      </c>
    </row>
    <row r="1196" spans="1:8" ht="112.5" customHeight="1" x14ac:dyDescent="0.15">
      <c r="A1196" s="54">
        <v>780</v>
      </c>
      <c r="B1196" s="55" t="s">
        <v>3502</v>
      </c>
      <c r="C1196" s="55" t="s">
        <v>7059</v>
      </c>
      <c r="D1196" s="56" t="s">
        <v>7060</v>
      </c>
      <c r="E1196" s="2"/>
      <c r="F1196" s="57"/>
      <c r="G1196" s="64" t="s">
        <v>7061</v>
      </c>
      <c r="H1196" s="59">
        <v>0</v>
      </c>
    </row>
    <row r="1197" spans="1:8" ht="112.5" customHeight="1" x14ac:dyDescent="0.15">
      <c r="A1197" s="60">
        <v>779</v>
      </c>
      <c r="B1197" s="30" t="s">
        <v>3502</v>
      </c>
      <c r="C1197" s="30" t="s">
        <v>7062</v>
      </c>
      <c r="D1197" s="61" t="s">
        <v>7063</v>
      </c>
      <c r="E1197" s="2"/>
      <c r="F1197" s="57"/>
      <c r="G1197" s="63" t="s">
        <v>7064</v>
      </c>
      <c r="H1197" s="59">
        <v>986</v>
      </c>
    </row>
    <row r="1198" spans="1:8" ht="112.5" customHeight="1" x14ac:dyDescent="0.15">
      <c r="A1198" s="54">
        <v>802</v>
      </c>
      <c r="B1198" s="55" t="s">
        <v>3749</v>
      </c>
      <c r="C1198" s="55" t="s">
        <v>7065</v>
      </c>
      <c r="D1198" s="56" t="s">
        <v>7066</v>
      </c>
      <c r="E1198" s="2"/>
      <c r="F1198" s="57"/>
      <c r="G1198" s="64" t="s">
        <v>7067</v>
      </c>
      <c r="H1198" s="59">
        <v>996</v>
      </c>
    </row>
    <row r="1199" spans="1:8" ht="112.5" customHeight="1" x14ac:dyDescent="0.15">
      <c r="A1199" s="60">
        <v>921</v>
      </c>
      <c r="B1199" s="30" t="s">
        <v>3533</v>
      </c>
      <c r="C1199" s="30" t="s">
        <v>7068</v>
      </c>
      <c r="D1199" s="61" t="s">
        <v>7069</v>
      </c>
      <c r="E1199" s="2"/>
      <c r="F1199" s="57"/>
      <c r="G1199" s="63" t="s">
        <v>7070</v>
      </c>
      <c r="H1199" s="59">
        <v>993</v>
      </c>
    </row>
    <row r="1200" spans="1:8" ht="112.5" customHeight="1" x14ac:dyDescent="0.15">
      <c r="A1200" s="60">
        <v>919</v>
      </c>
      <c r="B1200" s="30" t="s">
        <v>3822</v>
      </c>
      <c r="C1200" s="30" t="s">
        <v>7071</v>
      </c>
      <c r="D1200" s="61" t="s">
        <v>7072</v>
      </c>
      <c r="E1200" s="2"/>
      <c r="F1200" s="57"/>
      <c r="G1200" s="64" t="s">
        <v>7073</v>
      </c>
      <c r="H1200" s="59">
        <v>995</v>
      </c>
    </row>
    <row r="1201" spans="1:13" ht="112.5" customHeight="1" x14ac:dyDescent="0.15">
      <c r="A1201" s="54">
        <v>918</v>
      </c>
      <c r="B1201" s="55" t="s">
        <v>3526</v>
      </c>
      <c r="C1201" s="55" t="s">
        <v>7074</v>
      </c>
      <c r="D1201" s="56" t="s">
        <v>7075</v>
      </c>
      <c r="E1201" s="2"/>
      <c r="F1201" s="57"/>
      <c r="G1201" s="63" t="s">
        <v>7076</v>
      </c>
      <c r="H1201" s="59">
        <v>1</v>
      </c>
    </row>
    <row r="1202" spans="1:13" ht="112.5" customHeight="1" x14ac:dyDescent="0.15">
      <c r="A1202" s="60">
        <v>917</v>
      </c>
      <c r="B1202" s="30" t="s">
        <v>3526</v>
      </c>
      <c r="C1202" s="30" t="s">
        <v>7077</v>
      </c>
      <c r="D1202" s="61" t="s">
        <v>7078</v>
      </c>
      <c r="E1202" s="2"/>
      <c r="F1202" s="57"/>
      <c r="G1202" s="64" t="s">
        <v>7079</v>
      </c>
      <c r="H1202" s="59">
        <v>1</v>
      </c>
    </row>
    <row r="1203" spans="1:13" ht="112.5" customHeight="1" x14ac:dyDescent="0.15">
      <c r="A1203" s="54">
        <v>916</v>
      </c>
      <c r="B1203" s="55" t="s">
        <v>3513</v>
      </c>
      <c r="C1203" s="55" t="s">
        <v>7080</v>
      </c>
      <c r="D1203" s="56" t="s">
        <v>7081</v>
      </c>
      <c r="E1203" s="2"/>
      <c r="F1203" s="57"/>
      <c r="G1203" s="63" t="s">
        <v>7082</v>
      </c>
      <c r="H1203" s="59">
        <v>1</v>
      </c>
    </row>
    <row r="1204" spans="1:13" ht="112.5" customHeight="1" x14ac:dyDescent="0.15">
      <c r="A1204" s="60">
        <v>915</v>
      </c>
      <c r="B1204" s="30" t="s">
        <v>3526</v>
      </c>
      <c r="C1204" s="30" t="s">
        <v>7083</v>
      </c>
      <c r="D1204" s="61" t="s">
        <v>7084</v>
      </c>
      <c r="E1204" s="2"/>
      <c r="F1204" s="57"/>
      <c r="G1204" s="64" t="s">
        <v>7085</v>
      </c>
      <c r="H1204" s="59">
        <v>997</v>
      </c>
    </row>
    <row r="1205" spans="1:13" ht="112.5" customHeight="1" x14ac:dyDescent="0.15">
      <c r="A1205" s="54">
        <v>914</v>
      </c>
      <c r="B1205" s="55" t="s">
        <v>3526</v>
      </c>
      <c r="C1205" s="55" t="s">
        <v>7086</v>
      </c>
      <c r="D1205" s="56" t="s">
        <v>7087</v>
      </c>
      <c r="E1205" s="2"/>
      <c r="F1205" s="57"/>
      <c r="G1205" s="63" t="s">
        <v>7088</v>
      </c>
      <c r="H1205" s="59">
        <v>980</v>
      </c>
    </row>
    <row r="1206" spans="1:13" ht="112.5" customHeight="1" x14ac:dyDescent="0.15">
      <c r="A1206" s="60">
        <v>913</v>
      </c>
      <c r="B1206" s="30" t="s">
        <v>3533</v>
      </c>
      <c r="C1206" s="30" t="s">
        <v>7089</v>
      </c>
      <c r="D1206" s="61" t="s">
        <v>7090</v>
      </c>
      <c r="E1206" s="2"/>
      <c r="F1206" s="57"/>
      <c r="G1206" s="64" t="s">
        <v>7091</v>
      </c>
      <c r="H1206" s="59">
        <v>1</v>
      </c>
    </row>
    <row r="1207" spans="1:13" ht="112.5" customHeight="1" x14ac:dyDescent="0.15">
      <c r="A1207" s="54">
        <v>912</v>
      </c>
      <c r="B1207" s="55" t="s">
        <v>3533</v>
      </c>
      <c r="C1207" s="55" t="s">
        <v>7092</v>
      </c>
      <c r="D1207" s="56" t="s">
        <v>7093</v>
      </c>
      <c r="E1207" s="2"/>
      <c r="F1207" s="57"/>
      <c r="G1207" s="63" t="s">
        <v>7094</v>
      </c>
      <c r="H1207" s="59">
        <v>0</v>
      </c>
    </row>
    <row r="1208" spans="1:13" ht="112.5" customHeight="1" x14ac:dyDescent="0.15">
      <c r="A1208" s="60">
        <v>911</v>
      </c>
      <c r="B1208" s="30" t="s">
        <v>3533</v>
      </c>
      <c r="C1208" s="30" t="s">
        <v>7095</v>
      </c>
      <c r="D1208" s="61" t="s">
        <v>7096</v>
      </c>
      <c r="E1208" s="2"/>
      <c r="F1208" s="57"/>
      <c r="G1208" s="58" t="s">
        <v>7097</v>
      </c>
      <c r="H1208" s="59">
        <v>871</v>
      </c>
      <c r="I1208" s="29"/>
      <c r="J1208" s="29"/>
      <c r="K1208" s="29"/>
      <c r="L1208" s="29"/>
      <c r="M1208" s="29"/>
    </row>
    <row r="1209" spans="1:13" ht="112.5" customHeight="1" x14ac:dyDescent="0.15">
      <c r="A1209" s="54">
        <v>910</v>
      </c>
      <c r="B1209" s="55" t="s">
        <v>3630</v>
      </c>
      <c r="C1209" s="55" t="s">
        <v>7098</v>
      </c>
      <c r="D1209" s="56" t="s">
        <v>7099</v>
      </c>
      <c r="E1209" s="2"/>
      <c r="F1209" s="57"/>
      <c r="G1209" s="63" t="s">
        <v>7100</v>
      </c>
      <c r="H1209" s="59">
        <v>923</v>
      </c>
    </row>
    <row r="1210" spans="1:13" ht="112.5" customHeight="1" x14ac:dyDescent="0.15">
      <c r="A1210" s="54">
        <v>3262</v>
      </c>
      <c r="B1210" s="55" t="s">
        <v>3556</v>
      </c>
      <c r="C1210" s="55" t="s">
        <v>7101</v>
      </c>
      <c r="D1210" s="56" t="s">
        <v>7102</v>
      </c>
      <c r="E1210" s="2"/>
      <c r="F1210" s="57"/>
      <c r="G1210" s="64" t="s">
        <v>4812</v>
      </c>
      <c r="H1210" s="59">
        <v>997</v>
      </c>
    </row>
    <row r="1211" spans="1:13" ht="112.5" customHeight="1" x14ac:dyDescent="0.15">
      <c r="A1211" s="60">
        <v>909</v>
      </c>
      <c r="B1211" s="30" t="s">
        <v>3496</v>
      </c>
      <c r="C1211" s="30" t="s">
        <v>7103</v>
      </c>
      <c r="D1211" s="61" t="s">
        <v>7104</v>
      </c>
      <c r="E1211" s="2"/>
      <c r="F1211" s="57"/>
      <c r="G1211" s="63" t="s">
        <v>7105</v>
      </c>
      <c r="H1211" s="59">
        <v>997</v>
      </c>
    </row>
    <row r="1212" spans="1:13" ht="112.5" customHeight="1" x14ac:dyDescent="0.15">
      <c r="A1212" s="60">
        <v>283</v>
      </c>
      <c r="B1212" s="30" t="s">
        <v>3492</v>
      </c>
      <c r="C1212" s="30" t="s">
        <v>7106</v>
      </c>
      <c r="D1212" s="61" t="s">
        <v>7107</v>
      </c>
      <c r="E1212" s="2"/>
      <c r="F1212" s="57"/>
      <c r="G1212" s="64" t="s">
        <v>7108</v>
      </c>
      <c r="H1212" s="59">
        <v>998</v>
      </c>
    </row>
    <row r="1213" spans="1:13" ht="112.5" customHeight="1" x14ac:dyDescent="0.15">
      <c r="A1213" s="54">
        <v>908</v>
      </c>
      <c r="B1213" s="55" t="s">
        <v>3496</v>
      </c>
      <c r="C1213" s="55" t="s">
        <v>7109</v>
      </c>
      <c r="D1213" s="56" t="s">
        <v>7110</v>
      </c>
      <c r="E1213" s="2"/>
      <c r="F1213" s="57"/>
      <c r="G1213" s="63" t="s">
        <v>7111</v>
      </c>
      <c r="H1213" s="59">
        <v>1</v>
      </c>
    </row>
    <row r="1214" spans="1:13" ht="112.5" customHeight="1" x14ac:dyDescent="0.15">
      <c r="A1214" s="60">
        <v>907</v>
      </c>
      <c r="B1214" s="30" t="s">
        <v>3496</v>
      </c>
      <c r="C1214" s="30" t="s">
        <v>7112</v>
      </c>
      <c r="D1214" s="61" t="s">
        <v>7113</v>
      </c>
      <c r="E1214" s="2"/>
      <c r="F1214" s="57"/>
      <c r="G1214" s="64" t="s">
        <v>7114</v>
      </c>
      <c r="H1214" s="59">
        <v>0</v>
      </c>
    </row>
    <row r="1215" spans="1:13" ht="112.5" customHeight="1" x14ac:dyDescent="0.15">
      <c r="A1215" s="54">
        <v>906</v>
      </c>
      <c r="B1215" s="55" t="s">
        <v>3526</v>
      </c>
      <c r="C1215" s="55" t="s">
        <v>7115</v>
      </c>
      <c r="D1215" s="56" t="s">
        <v>7116</v>
      </c>
      <c r="E1215" s="2"/>
      <c r="F1215" s="57"/>
      <c r="G1215" s="63" t="s">
        <v>7117</v>
      </c>
      <c r="H1215" s="59">
        <v>982</v>
      </c>
    </row>
    <row r="1216" spans="1:13" ht="112.5" customHeight="1" x14ac:dyDescent="0.15">
      <c r="A1216" s="60">
        <v>905</v>
      </c>
      <c r="B1216" s="30" t="s">
        <v>3526</v>
      </c>
      <c r="C1216" s="30" t="s">
        <v>7118</v>
      </c>
      <c r="D1216" s="61" t="s">
        <v>7119</v>
      </c>
      <c r="E1216" s="2"/>
      <c r="F1216" s="57"/>
      <c r="G1216" s="64" t="s">
        <v>7120</v>
      </c>
      <c r="H1216" s="59" t="s">
        <v>4171</v>
      </c>
    </row>
    <row r="1217" spans="1:8" ht="112.5" customHeight="1" x14ac:dyDescent="0.15">
      <c r="A1217" s="54">
        <v>904</v>
      </c>
      <c r="B1217" s="55" t="s">
        <v>3670</v>
      </c>
      <c r="C1217" s="55" t="s">
        <v>7121</v>
      </c>
      <c r="D1217" s="56" t="s">
        <v>7122</v>
      </c>
      <c r="E1217" s="2"/>
      <c r="F1217" s="57"/>
      <c r="G1217" s="63" t="s">
        <v>7123</v>
      </c>
      <c r="H1217" s="59">
        <v>997</v>
      </c>
    </row>
    <row r="1218" spans="1:8" ht="112.5" customHeight="1" x14ac:dyDescent="0.15">
      <c r="A1218" s="54">
        <v>3280</v>
      </c>
      <c r="B1218" s="55" t="s">
        <v>3526</v>
      </c>
      <c r="C1218" s="55" t="s">
        <v>7124</v>
      </c>
      <c r="D1218" s="56" t="s">
        <v>7125</v>
      </c>
      <c r="E1218" s="2"/>
      <c r="F1218" s="57"/>
      <c r="G1218" s="64" t="s">
        <v>7126</v>
      </c>
      <c r="H1218" s="59">
        <v>1</v>
      </c>
    </row>
    <row r="1219" spans="1:8" ht="112.5" customHeight="1" x14ac:dyDescent="0.15">
      <c r="A1219" s="60">
        <v>3279</v>
      </c>
      <c r="B1219" s="30" t="s">
        <v>3526</v>
      </c>
      <c r="C1219" s="30" t="s">
        <v>7127</v>
      </c>
      <c r="D1219" s="61" t="s">
        <v>7128</v>
      </c>
      <c r="E1219" s="2"/>
      <c r="F1219" s="57"/>
      <c r="G1219" s="63" t="s">
        <v>7129</v>
      </c>
      <c r="H1219" s="59">
        <v>1</v>
      </c>
    </row>
    <row r="1220" spans="1:8" ht="112.5" customHeight="1" x14ac:dyDescent="0.15">
      <c r="A1220" s="60">
        <v>3347</v>
      </c>
      <c r="B1220" s="30" t="s">
        <v>3822</v>
      </c>
      <c r="C1220" s="30" t="s">
        <v>7130</v>
      </c>
      <c r="D1220" s="61" t="s">
        <v>7131</v>
      </c>
      <c r="E1220" s="2"/>
      <c r="F1220" s="57"/>
      <c r="G1220" s="64" t="s">
        <v>7132</v>
      </c>
      <c r="H1220" s="59">
        <v>978</v>
      </c>
    </row>
    <row r="1221" spans="1:8" ht="112.5" customHeight="1" x14ac:dyDescent="0.15">
      <c r="A1221" s="60">
        <v>983</v>
      </c>
      <c r="B1221" s="30" t="s">
        <v>3822</v>
      </c>
      <c r="C1221" s="30" t="s">
        <v>7133</v>
      </c>
      <c r="D1221" s="61" t="s">
        <v>7134</v>
      </c>
      <c r="E1221" s="2"/>
      <c r="F1221" s="57"/>
      <c r="G1221" s="63" t="s">
        <v>7135</v>
      </c>
      <c r="H1221" s="59">
        <v>968</v>
      </c>
    </row>
    <row r="1222" spans="1:8" ht="112.5" customHeight="1" x14ac:dyDescent="0.15">
      <c r="A1222" s="54">
        <v>3346</v>
      </c>
      <c r="B1222" s="55" t="s">
        <v>3822</v>
      </c>
      <c r="C1222" s="55" t="s">
        <v>7136</v>
      </c>
      <c r="D1222" s="56" t="s">
        <v>7137</v>
      </c>
      <c r="E1222" s="2"/>
      <c r="F1222" s="57"/>
      <c r="G1222" s="64" t="s">
        <v>7138</v>
      </c>
      <c r="H1222" s="59">
        <v>997</v>
      </c>
    </row>
    <row r="1223" spans="1:8" ht="112.5" customHeight="1" x14ac:dyDescent="0.15">
      <c r="A1223" s="54">
        <v>982</v>
      </c>
      <c r="B1223" s="55" t="s">
        <v>3556</v>
      </c>
      <c r="C1223" s="55" t="s">
        <v>7139</v>
      </c>
      <c r="D1223" s="56" t="s">
        <v>7140</v>
      </c>
      <c r="E1223" s="2"/>
      <c r="F1223" s="57"/>
      <c r="G1223" s="63" t="s">
        <v>7141</v>
      </c>
      <c r="H1223" s="59">
        <v>999</v>
      </c>
    </row>
    <row r="1224" spans="1:8" ht="112.5" customHeight="1" x14ac:dyDescent="0.15">
      <c r="A1224" s="60">
        <v>981</v>
      </c>
      <c r="B1224" s="30" t="s">
        <v>3556</v>
      </c>
      <c r="C1224" s="30" t="s">
        <v>7142</v>
      </c>
      <c r="D1224" s="61" t="s">
        <v>7143</v>
      </c>
      <c r="E1224" s="2"/>
      <c r="F1224" s="57"/>
      <c r="G1224" s="64" t="s">
        <v>7144</v>
      </c>
      <c r="H1224" s="59">
        <v>0</v>
      </c>
    </row>
    <row r="1225" spans="1:8" ht="112.5" customHeight="1" x14ac:dyDescent="0.15">
      <c r="A1225" s="54">
        <v>980</v>
      </c>
      <c r="B1225" s="55" t="s">
        <v>3526</v>
      </c>
      <c r="C1225" s="55" t="s">
        <v>7145</v>
      </c>
      <c r="D1225" s="56" t="s">
        <v>7146</v>
      </c>
      <c r="E1225" s="2"/>
      <c r="F1225" s="57"/>
      <c r="G1225" s="63" t="s">
        <v>7147</v>
      </c>
      <c r="H1225" s="59">
        <v>1</v>
      </c>
    </row>
    <row r="1226" spans="1:8" ht="112.5" customHeight="1" x14ac:dyDescent="0.15">
      <c r="A1226" s="60">
        <v>979</v>
      </c>
      <c r="B1226" s="30" t="s">
        <v>3526</v>
      </c>
      <c r="C1226" s="30" t="s">
        <v>7148</v>
      </c>
      <c r="D1226" s="61" t="s">
        <v>7149</v>
      </c>
      <c r="E1226" s="2"/>
      <c r="F1226" s="57"/>
      <c r="G1226" s="64" t="s">
        <v>7150</v>
      </c>
      <c r="H1226" s="59">
        <v>1</v>
      </c>
    </row>
    <row r="1227" spans="1:8" ht="112.5" customHeight="1" x14ac:dyDescent="0.15">
      <c r="A1227" s="60">
        <v>977</v>
      </c>
      <c r="B1227" s="30" t="s">
        <v>3513</v>
      </c>
      <c r="C1227" s="30" t="s">
        <v>7151</v>
      </c>
      <c r="D1227" s="61" t="s">
        <v>7152</v>
      </c>
      <c r="E1227" s="2"/>
      <c r="F1227" s="57"/>
      <c r="G1227" s="63" t="s">
        <v>7153</v>
      </c>
      <c r="H1227" s="59">
        <v>0</v>
      </c>
    </row>
    <row r="1228" spans="1:8" ht="112.5" customHeight="1" x14ac:dyDescent="0.15">
      <c r="A1228" s="54">
        <v>976</v>
      </c>
      <c r="B1228" s="55" t="s">
        <v>3549</v>
      </c>
      <c r="C1228" s="55" t="s">
        <v>7154</v>
      </c>
      <c r="D1228" s="56" t="s">
        <v>7155</v>
      </c>
      <c r="E1228" s="2"/>
      <c r="F1228" s="57"/>
      <c r="G1228" s="64" t="s">
        <v>7156</v>
      </c>
      <c r="H1228" s="59">
        <v>4</v>
      </c>
    </row>
    <row r="1229" spans="1:8" ht="112.5" customHeight="1" x14ac:dyDescent="0.15">
      <c r="A1229" s="60">
        <v>975</v>
      </c>
      <c r="B1229" s="30" t="s">
        <v>3822</v>
      </c>
      <c r="C1229" s="30" t="s">
        <v>7157</v>
      </c>
      <c r="D1229" s="61" t="s">
        <v>7158</v>
      </c>
      <c r="E1229" s="2"/>
      <c r="F1229" s="57"/>
      <c r="G1229" s="63" t="s">
        <v>7159</v>
      </c>
      <c r="H1229" s="59">
        <v>0</v>
      </c>
    </row>
    <row r="1230" spans="1:8" ht="112.5" customHeight="1" x14ac:dyDescent="0.15">
      <c r="A1230" s="54">
        <v>974</v>
      </c>
      <c r="B1230" s="55" t="s">
        <v>3898</v>
      </c>
      <c r="C1230" s="55" t="s">
        <v>7160</v>
      </c>
      <c r="D1230" s="56" t="s">
        <v>7161</v>
      </c>
      <c r="E1230" s="2"/>
      <c r="F1230" s="57"/>
      <c r="G1230" s="64" t="s">
        <v>7162</v>
      </c>
      <c r="H1230" s="59">
        <v>982</v>
      </c>
    </row>
    <row r="1231" spans="1:8" ht="112.5" customHeight="1" x14ac:dyDescent="0.15">
      <c r="A1231" s="60">
        <v>973</v>
      </c>
      <c r="B1231" s="30" t="s">
        <v>3670</v>
      </c>
      <c r="C1231" s="30" t="s">
        <v>7163</v>
      </c>
      <c r="D1231" s="61" t="s">
        <v>7164</v>
      </c>
      <c r="E1231" s="2"/>
      <c r="F1231" s="57"/>
      <c r="G1231" s="63" t="s">
        <v>7165</v>
      </c>
      <c r="H1231" s="59">
        <v>1</v>
      </c>
    </row>
    <row r="1232" spans="1:8" ht="112.5" customHeight="1" x14ac:dyDescent="0.15">
      <c r="A1232" s="54">
        <v>972</v>
      </c>
      <c r="B1232" s="55" t="s">
        <v>3822</v>
      </c>
      <c r="C1232" s="55" t="s">
        <v>7166</v>
      </c>
      <c r="D1232" s="56" t="s">
        <v>7167</v>
      </c>
      <c r="E1232" s="2"/>
      <c r="F1232" s="57"/>
      <c r="G1232" s="64" t="s">
        <v>7168</v>
      </c>
      <c r="H1232" s="59">
        <v>1</v>
      </c>
    </row>
    <row r="1233" spans="1:13" ht="112.5" customHeight="1" x14ac:dyDescent="0.15">
      <c r="A1233" s="60">
        <v>971</v>
      </c>
      <c r="B1233" s="30" t="s">
        <v>3822</v>
      </c>
      <c r="C1233" s="30" t="s">
        <v>7169</v>
      </c>
      <c r="D1233" s="61" t="s">
        <v>7170</v>
      </c>
      <c r="E1233" s="2"/>
      <c r="F1233" s="57"/>
      <c r="G1233" s="63" t="s">
        <v>7171</v>
      </c>
      <c r="H1233" s="59">
        <v>1</v>
      </c>
    </row>
    <row r="1234" spans="1:13" ht="112.5" customHeight="1" x14ac:dyDescent="0.15">
      <c r="A1234" s="54">
        <v>970</v>
      </c>
      <c r="B1234" s="55" t="s">
        <v>3822</v>
      </c>
      <c r="C1234" s="55" t="s">
        <v>7172</v>
      </c>
      <c r="D1234" s="56" t="s">
        <v>7173</v>
      </c>
      <c r="E1234" s="2"/>
      <c r="F1234" s="57"/>
      <c r="G1234" s="64" t="s">
        <v>7174</v>
      </c>
      <c r="H1234" s="59">
        <v>941</v>
      </c>
    </row>
    <row r="1235" spans="1:13" ht="112.5" customHeight="1" x14ac:dyDescent="0.15">
      <c r="A1235" s="60">
        <v>3341</v>
      </c>
      <c r="B1235" s="30" t="s">
        <v>3526</v>
      </c>
      <c r="C1235" s="30" t="s">
        <v>7175</v>
      </c>
      <c r="D1235" s="61" t="s">
        <v>7176</v>
      </c>
      <c r="E1235" s="2"/>
      <c r="F1235" s="57"/>
      <c r="G1235" s="63" t="s">
        <v>7177</v>
      </c>
      <c r="H1235" s="59">
        <v>1</v>
      </c>
    </row>
    <row r="1236" spans="1:13" ht="112.5" customHeight="1" x14ac:dyDescent="0.15">
      <c r="A1236" s="60">
        <v>969</v>
      </c>
      <c r="B1236" s="30" t="s">
        <v>3670</v>
      </c>
      <c r="C1236" s="30" t="s">
        <v>7178</v>
      </c>
      <c r="D1236" s="61" t="s">
        <v>7179</v>
      </c>
      <c r="E1236" s="2"/>
      <c r="F1236" s="57"/>
      <c r="G1236" s="64" t="s">
        <v>7180</v>
      </c>
      <c r="H1236" s="59">
        <v>1</v>
      </c>
    </row>
    <row r="1237" spans="1:13" ht="112.5" customHeight="1" x14ac:dyDescent="0.15">
      <c r="A1237" s="60">
        <v>215</v>
      </c>
      <c r="B1237" s="30" t="s">
        <v>3526</v>
      </c>
      <c r="C1237" s="30" t="s">
        <v>7181</v>
      </c>
      <c r="D1237" s="61" t="s">
        <v>7182</v>
      </c>
      <c r="E1237" s="2"/>
      <c r="F1237" s="57"/>
      <c r="G1237" s="63" t="s">
        <v>7183</v>
      </c>
      <c r="H1237" s="59">
        <v>1</v>
      </c>
    </row>
    <row r="1238" spans="1:13" ht="112.5" customHeight="1" x14ac:dyDescent="0.15">
      <c r="A1238" s="60">
        <v>3331</v>
      </c>
      <c r="B1238" s="30" t="s">
        <v>3496</v>
      </c>
      <c r="C1238" s="30" t="s">
        <v>7184</v>
      </c>
      <c r="D1238" s="61" t="s">
        <v>7185</v>
      </c>
      <c r="E1238" s="2"/>
      <c r="F1238" s="57"/>
      <c r="G1238" s="58" t="s">
        <v>4809</v>
      </c>
      <c r="H1238" s="59">
        <v>839</v>
      </c>
      <c r="I1238" s="29"/>
      <c r="J1238" s="29"/>
      <c r="K1238" s="29"/>
      <c r="L1238" s="29"/>
      <c r="M1238" s="29"/>
    </row>
    <row r="1239" spans="1:13" ht="112.5" customHeight="1" x14ac:dyDescent="0.15">
      <c r="A1239" s="54">
        <v>968</v>
      </c>
      <c r="B1239" s="55" t="s">
        <v>3533</v>
      </c>
      <c r="C1239" s="55" t="s">
        <v>7186</v>
      </c>
      <c r="D1239" s="56" t="s">
        <v>7187</v>
      </c>
      <c r="E1239" s="2"/>
      <c r="F1239" s="57"/>
      <c r="G1239" s="62" t="s">
        <v>7188</v>
      </c>
      <c r="H1239" s="59">
        <v>0</v>
      </c>
      <c r="I1239" s="29"/>
      <c r="J1239" s="29"/>
      <c r="K1239" s="29"/>
      <c r="L1239" s="29"/>
      <c r="M1239" s="29"/>
    </row>
    <row r="1240" spans="1:13" ht="112.5" customHeight="1" x14ac:dyDescent="0.15">
      <c r="A1240" s="60">
        <v>967</v>
      </c>
      <c r="B1240" s="30" t="s">
        <v>3513</v>
      </c>
      <c r="C1240" s="30" t="s">
        <v>7189</v>
      </c>
      <c r="D1240" s="61" t="s">
        <v>7190</v>
      </c>
      <c r="E1240" s="2"/>
      <c r="F1240" s="57"/>
      <c r="G1240" s="58" t="s">
        <v>7191</v>
      </c>
      <c r="H1240" s="59">
        <v>740</v>
      </c>
      <c r="I1240" s="29"/>
      <c r="J1240" s="29"/>
      <c r="K1240" s="29"/>
      <c r="L1240" s="29"/>
      <c r="M1240" s="29"/>
    </row>
    <row r="1241" spans="1:13" ht="112.5" customHeight="1" x14ac:dyDescent="0.15">
      <c r="A1241" s="54">
        <v>966</v>
      </c>
      <c r="B1241" s="55" t="s">
        <v>3599</v>
      </c>
      <c r="C1241" s="55" t="s">
        <v>7192</v>
      </c>
      <c r="D1241" s="56" t="s">
        <v>7193</v>
      </c>
      <c r="E1241" s="2"/>
      <c r="F1241" s="57"/>
      <c r="G1241" s="63" t="s">
        <v>7194</v>
      </c>
      <c r="H1241" s="59">
        <v>999.98699999999997</v>
      </c>
    </row>
    <row r="1242" spans="1:13" ht="112.5" customHeight="1" x14ac:dyDescent="0.15">
      <c r="A1242" s="60">
        <v>965</v>
      </c>
      <c r="B1242" s="30" t="s">
        <v>3526</v>
      </c>
      <c r="C1242" s="30" t="s">
        <v>7195</v>
      </c>
      <c r="D1242" s="61" t="s">
        <v>7196</v>
      </c>
      <c r="E1242" s="2"/>
      <c r="F1242" s="57"/>
      <c r="G1242" s="64" t="s">
        <v>7197</v>
      </c>
      <c r="H1242" s="59">
        <v>999.98299999999995</v>
      </c>
    </row>
    <row r="1243" spans="1:13" ht="112.5" customHeight="1" x14ac:dyDescent="0.15">
      <c r="A1243" s="54">
        <v>964</v>
      </c>
      <c r="B1243" s="55" t="s">
        <v>3526</v>
      </c>
      <c r="C1243" s="55" t="s">
        <v>7198</v>
      </c>
      <c r="D1243" s="56" t="s">
        <v>7199</v>
      </c>
      <c r="E1243" s="2"/>
      <c r="F1243" s="57"/>
      <c r="G1243" s="63" t="s">
        <v>7200</v>
      </c>
      <c r="H1243" s="59" t="s">
        <v>4171</v>
      </c>
    </row>
    <row r="1244" spans="1:13" ht="112.5" customHeight="1" x14ac:dyDescent="0.15">
      <c r="A1244" s="54">
        <v>4002</v>
      </c>
      <c r="B1244" s="55" t="s">
        <v>3513</v>
      </c>
      <c r="C1244" s="55" t="s">
        <v>7201</v>
      </c>
      <c r="D1244" s="56" t="s">
        <v>7202</v>
      </c>
      <c r="E1244" s="2"/>
      <c r="F1244" s="57"/>
      <c r="G1244" s="64" t="s">
        <v>7203</v>
      </c>
      <c r="H1244" s="59">
        <v>0</v>
      </c>
    </row>
    <row r="1245" spans="1:13" ht="112.5" customHeight="1" x14ac:dyDescent="0.15">
      <c r="A1245" s="60">
        <v>3505</v>
      </c>
      <c r="B1245" s="30" t="s">
        <v>3502</v>
      </c>
      <c r="C1245" s="30" t="s">
        <v>7204</v>
      </c>
      <c r="D1245" s="61" t="s">
        <v>7205</v>
      </c>
      <c r="E1245" s="2"/>
      <c r="F1245" s="57"/>
      <c r="G1245" s="63" t="s">
        <v>7206</v>
      </c>
      <c r="H1245" s="59">
        <v>0</v>
      </c>
    </row>
    <row r="1246" spans="1:13" ht="112.5" customHeight="1" x14ac:dyDescent="0.15">
      <c r="A1246" s="54">
        <v>3462</v>
      </c>
      <c r="B1246" s="55" t="s">
        <v>3502</v>
      </c>
      <c r="C1246" s="55" t="s">
        <v>7207</v>
      </c>
      <c r="D1246" s="56" t="s">
        <v>7208</v>
      </c>
      <c r="E1246" s="2"/>
      <c r="F1246" s="57"/>
      <c r="G1246" s="64" t="s">
        <v>7209</v>
      </c>
      <c r="H1246" s="59">
        <v>999.98599999999999</v>
      </c>
    </row>
    <row r="1247" spans="1:13" ht="112.5" customHeight="1" x14ac:dyDescent="0.15">
      <c r="A1247" s="60">
        <v>3107</v>
      </c>
      <c r="B1247" s="30" t="s">
        <v>3496</v>
      </c>
      <c r="C1247" s="30" t="s">
        <v>7210</v>
      </c>
      <c r="D1247" s="61" t="s">
        <v>7211</v>
      </c>
      <c r="E1247" s="2"/>
      <c r="F1247" s="57"/>
      <c r="G1247" s="63" t="s">
        <v>7212</v>
      </c>
      <c r="H1247" s="59" t="s">
        <v>4171</v>
      </c>
    </row>
    <row r="1248" spans="1:13" ht="112.5" customHeight="1" x14ac:dyDescent="0.15">
      <c r="A1248" s="60">
        <v>963</v>
      </c>
      <c r="B1248" s="30" t="s">
        <v>3526</v>
      </c>
      <c r="C1248" s="30" t="s">
        <v>7213</v>
      </c>
      <c r="D1248" s="61" t="s">
        <v>7214</v>
      </c>
      <c r="E1248" s="2"/>
      <c r="F1248" s="57"/>
      <c r="G1248" s="64" t="s">
        <v>7215</v>
      </c>
      <c r="H1248" s="59">
        <v>999.98</v>
      </c>
    </row>
    <row r="1249" spans="1:8" ht="112.5" customHeight="1" x14ac:dyDescent="0.15">
      <c r="A1249" s="54">
        <v>962</v>
      </c>
      <c r="B1249" s="55" t="s">
        <v>3526</v>
      </c>
      <c r="C1249" s="55" t="s">
        <v>7216</v>
      </c>
      <c r="D1249" s="56" t="s">
        <v>7217</v>
      </c>
      <c r="E1249" s="2"/>
      <c r="F1249" s="57"/>
      <c r="G1249" s="63" t="s">
        <v>7218</v>
      </c>
      <c r="H1249" s="59">
        <v>0</v>
      </c>
    </row>
    <row r="1250" spans="1:8" ht="112.5" customHeight="1" x14ac:dyDescent="0.15">
      <c r="A1250" s="60">
        <v>961</v>
      </c>
      <c r="B1250" s="30" t="s">
        <v>3533</v>
      </c>
      <c r="C1250" s="30" t="s">
        <v>7219</v>
      </c>
      <c r="D1250" s="61" t="s">
        <v>7220</v>
      </c>
      <c r="E1250" s="2"/>
      <c r="F1250" s="57"/>
      <c r="G1250" s="64" t="s">
        <v>7221</v>
      </c>
      <c r="H1250" s="59">
        <v>999.98699999999997</v>
      </c>
    </row>
    <row r="1251" spans="1:8" ht="112.5" customHeight="1" x14ac:dyDescent="0.15">
      <c r="A1251" s="54">
        <v>960</v>
      </c>
      <c r="B1251" s="55" t="s">
        <v>3670</v>
      </c>
      <c r="C1251" s="55" t="s">
        <v>7222</v>
      </c>
      <c r="D1251" s="56" t="s">
        <v>7223</v>
      </c>
      <c r="E1251" s="2"/>
      <c r="F1251" s="57"/>
      <c r="G1251" s="63" t="s">
        <v>7224</v>
      </c>
      <c r="H1251" s="59">
        <v>999.995</v>
      </c>
    </row>
    <row r="1252" spans="1:8" ht="112.5" customHeight="1" x14ac:dyDescent="0.15">
      <c r="A1252" s="60">
        <v>959</v>
      </c>
      <c r="B1252" s="30" t="s">
        <v>3492</v>
      </c>
      <c r="C1252" s="30" t="s">
        <v>7225</v>
      </c>
      <c r="D1252" s="61" t="s">
        <v>7226</v>
      </c>
      <c r="E1252" s="2"/>
      <c r="F1252" s="57"/>
      <c r="G1252" s="64" t="s">
        <v>7227</v>
      </c>
      <c r="H1252" s="59">
        <v>999.97199999999998</v>
      </c>
    </row>
    <row r="1253" spans="1:8" ht="112.5" customHeight="1" x14ac:dyDescent="0.15">
      <c r="A1253" s="54">
        <v>958</v>
      </c>
      <c r="B1253" s="55" t="s">
        <v>3549</v>
      </c>
      <c r="C1253" s="55" t="s">
        <v>7228</v>
      </c>
      <c r="D1253" s="56" t="s">
        <v>7229</v>
      </c>
      <c r="E1253" s="2"/>
      <c r="F1253" s="57"/>
      <c r="G1253" s="63" t="s">
        <v>7230</v>
      </c>
      <c r="H1253" s="59">
        <v>999.99400000000003</v>
      </c>
    </row>
    <row r="1254" spans="1:8" ht="112.5" customHeight="1" x14ac:dyDescent="0.15">
      <c r="A1254" s="60">
        <v>957</v>
      </c>
      <c r="B1254" s="30" t="s">
        <v>3513</v>
      </c>
      <c r="C1254" s="30" t="s">
        <v>7231</v>
      </c>
      <c r="D1254" s="61" t="s">
        <v>7232</v>
      </c>
      <c r="E1254" s="2"/>
      <c r="F1254" s="57"/>
      <c r="G1254" s="64" t="s">
        <v>7233</v>
      </c>
      <c r="H1254" s="59">
        <v>999.98199999999997</v>
      </c>
    </row>
    <row r="1255" spans="1:8" ht="112.5" customHeight="1" x14ac:dyDescent="0.15">
      <c r="A1255" s="54">
        <v>956</v>
      </c>
      <c r="B1255" s="55" t="s">
        <v>3492</v>
      </c>
      <c r="C1255" s="55" t="s">
        <v>7234</v>
      </c>
      <c r="D1255" s="56" t="s">
        <v>7235</v>
      </c>
      <c r="E1255" s="2"/>
      <c r="F1255" s="57"/>
      <c r="G1255" s="63" t="s">
        <v>7236</v>
      </c>
      <c r="H1255" s="59" t="s">
        <v>4171</v>
      </c>
    </row>
    <row r="1256" spans="1:8" ht="112.5" customHeight="1" x14ac:dyDescent="0.15">
      <c r="A1256" s="60">
        <v>955</v>
      </c>
      <c r="B1256" s="30" t="s">
        <v>3549</v>
      </c>
      <c r="C1256" s="30" t="s">
        <v>7237</v>
      </c>
      <c r="D1256" s="61" t="s">
        <v>7238</v>
      </c>
      <c r="E1256" s="2"/>
      <c r="F1256" s="57"/>
      <c r="G1256" s="64" t="s">
        <v>7239</v>
      </c>
      <c r="H1256" s="59">
        <v>999.99699999999996</v>
      </c>
    </row>
    <row r="1257" spans="1:8" ht="112.5" customHeight="1" x14ac:dyDescent="0.15">
      <c r="A1257" s="54">
        <v>954</v>
      </c>
      <c r="B1257" s="55" t="s">
        <v>3549</v>
      </c>
      <c r="C1257" s="55" t="s">
        <v>7240</v>
      </c>
      <c r="D1257" s="56" t="s">
        <v>7241</v>
      </c>
      <c r="E1257" s="2"/>
      <c r="F1257" s="57"/>
      <c r="G1257" s="63" t="s">
        <v>7242</v>
      </c>
      <c r="H1257" s="59">
        <v>999.99800000000005</v>
      </c>
    </row>
    <row r="1258" spans="1:8" ht="112.5" customHeight="1" x14ac:dyDescent="0.15">
      <c r="A1258" s="60">
        <v>953</v>
      </c>
      <c r="B1258" s="30" t="s">
        <v>3513</v>
      </c>
      <c r="C1258" s="30" t="s">
        <v>7243</v>
      </c>
      <c r="D1258" s="61" t="s">
        <v>7244</v>
      </c>
      <c r="E1258" s="2"/>
      <c r="F1258" s="57"/>
      <c r="G1258" s="64" t="s">
        <v>7245</v>
      </c>
      <c r="H1258" s="59" t="s">
        <v>4171</v>
      </c>
    </row>
    <row r="1259" spans="1:8" ht="112.5" customHeight="1" x14ac:dyDescent="0.15">
      <c r="A1259" s="54">
        <v>952</v>
      </c>
      <c r="B1259" s="55" t="s">
        <v>3513</v>
      </c>
      <c r="C1259" s="55" t="s">
        <v>7246</v>
      </c>
      <c r="D1259" s="56" t="s">
        <v>7247</v>
      </c>
      <c r="E1259" s="2"/>
      <c r="F1259" s="57"/>
      <c r="G1259" s="63" t="s">
        <v>7248</v>
      </c>
      <c r="H1259" s="59">
        <v>999.995</v>
      </c>
    </row>
    <row r="1260" spans="1:8" ht="112.5" customHeight="1" x14ac:dyDescent="0.15">
      <c r="A1260" s="60">
        <v>951</v>
      </c>
      <c r="B1260" s="30" t="s">
        <v>3509</v>
      </c>
      <c r="C1260" s="30" t="s">
        <v>7249</v>
      </c>
      <c r="D1260" s="61" t="s">
        <v>7250</v>
      </c>
      <c r="E1260" s="2"/>
      <c r="F1260" s="57"/>
      <c r="G1260" s="64" t="s">
        <v>7251</v>
      </c>
      <c r="H1260" s="59" t="s">
        <v>4171</v>
      </c>
    </row>
    <row r="1261" spans="1:8" ht="112.5" customHeight="1" x14ac:dyDescent="0.15">
      <c r="A1261" s="54">
        <v>950</v>
      </c>
      <c r="B1261" s="55" t="s">
        <v>3513</v>
      </c>
      <c r="C1261" s="55" t="s">
        <v>7252</v>
      </c>
      <c r="D1261" s="56" t="s">
        <v>7253</v>
      </c>
      <c r="E1261" s="2"/>
      <c r="F1261" s="57"/>
      <c r="G1261" s="63" t="s">
        <v>7254</v>
      </c>
      <c r="H1261" s="59">
        <v>999.99699999999996</v>
      </c>
    </row>
    <row r="1262" spans="1:8" ht="112.5" customHeight="1" x14ac:dyDescent="0.15">
      <c r="A1262" s="60">
        <v>949</v>
      </c>
      <c r="B1262" s="30" t="s">
        <v>5887</v>
      </c>
      <c r="C1262" s="30" t="s">
        <v>7255</v>
      </c>
      <c r="D1262" s="61" t="s">
        <v>7256</v>
      </c>
      <c r="E1262" s="2"/>
      <c r="F1262" s="57"/>
      <c r="G1262" s="64" t="s">
        <v>7257</v>
      </c>
      <c r="H1262" s="59" t="s">
        <v>4171</v>
      </c>
    </row>
    <row r="1263" spans="1:8" ht="112.5" customHeight="1" x14ac:dyDescent="0.15">
      <c r="A1263" s="54">
        <v>948</v>
      </c>
      <c r="B1263" s="55" t="s">
        <v>5887</v>
      </c>
      <c r="C1263" s="55" t="s">
        <v>7258</v>
      </c>
      <c r="D1263" s="56" t="s">
        <v>7259</v>
      </c>
      <c r="E1263" s="2"/>
      <c r="F1263" s="57"/>
      <c r="G1263" s="63" t="s">
        <v>7260</v>
      </c>
      <c r="H1263" s="59" t="s">
        <v>4171</v>
      </c>
    </row>
    <row r="1264" spans="1:8" ht="112.5" customHeight="1" x14ac:dyDescent="0.15">
      <c r="A1264" s="60">
        <v>947</v>
      </c>
      <c r="B1264" s="30" t="s">
        <v>5887</v>
      </c>
      <c r="C1264" s="30" t="s">
        <v>7261</v>
      </c>
      <c r="D1264" s="61" t="s">
        <v>7262</v>
      </c>
      <c r="E1264" s="2"/>
      <c r="F1264" s="57"/>
      <c r="G1264" s="64" t="s">
        <v>7263</v>
      </c>
      <c r="H1264" s="59" t="s">
        <v>4171</v>
      </c>
    </row>
    <row r="1265" spans="1:8" ht="112.5" customHeight="1" x14ac:dyDescent="0.15">
      <c r="A1265" s="54">
        <v>946</v>
      </c>
      <c r="B1265" s="55" t="s">
        <v>5887</v>
      </c>
      <c r="C1265" s="55" t="s">
        <v>7264</v>
      </c>
      <c r="D1265" s="56" t="s">
        <v>7265</v>
      </c>
      <c r="E1265" s="2"/>
      <c r="F1265" s="57"/>
      <c r="G1265" s="63" t="s">
        <v>7266</v>
      </c>
      <c r="H1265" s="59" t="s">
        <v>4171</v>
      </c>
    </row>
    <row r="1266" spans="1:8" ht="112.5" customHeight="1" x14ac:dyDescent="0.15">
      <c r="A1266" s="60">
        <v>945</v>
      </c>
      <c r="B1266" s="30" t="s">
        <v>3599</v>
      </c>
      <c r="C1266" s="30" t="s">
        <v>7267</v>
      </c>
      <c r="D1266" s="61" t="s">
        <v>7268</v>
      </c>
      <c r="E1266" s="2"/>
      <c r="F1266" s="57"/>
      <c r="G1266" s="64" t="s">
        <v>7269</v>
      </c>
      <c r="H1266" s="59" t="s">
        <v>4171</v>
      </c>
    </row>
    <row r="1267" spans="1:8" ht="112.5" customHeight="1" x14ac:dyDescent="0.15">
      <c r="A1267" s="54">
        <v>944</v>
      </c>
      <c r="B1267" s="55" t="s">
        <v>3876</v>
      </c>
      <c r="C1267" s="55" t="s">
        <v>7270</v>
      </c>
      <c r="D1267" s="56" t="s">
        <v>7271</v>
      </c>
      <c r="E1267" s="2"/>
      <c r="F1267" s="57"/>
      <c r="G1267" s="63" t="s">
        <v>7272</v>
      </c>
      <c r="H1267" s="59">
        <v>0</v>
      </c>
    </row>
    <row r="1268" spans="1:8" ht="112.5" customHeight="1" x14ac:dyDescent="0.15">
      <c r="A1268" s="60">
        <v>2761</v>
      </c>
      <c r="B1268" s="30" t="s">
        <v>3496</v>
      </c>
      <c r="C1268" s="30" t="s">
        <v>7273</v>
      </c>
      <c r="D1268" s="61" t="s">
        <v>7274</v>
      </c>
      <c r="E1268" s="2"/>
      <c r="F1268" s="57"/>
      <c r="G1268" s="64" t="s">
        <v>7275</v>
      </c>
      <c r="H1268" s="59">
        <v>999.94899999999996</v>
      </c>
    </row>
    <row r="1269" spans="1:8" ht="112.5" customHeight="1" x14ac:dyDescent="0.15">
      <c r="A1269" s="54">
        <v>2760</v>
      </c>
      <c r="B1269" s="55" t="s">
        <v>3496</v>
      </c>
      <c r="C1269" s="55" t="s">
        <v>7276</v>
      </c>
      <c r="D1269" s="56" t="s">
        <v>7277</v>
      </c>
      <c r="E1269" s="2"/>
      <c r="F1269" s="57"/>
      <c r="G1269" s="63" t="s">
        <v>7278</v>
      </c>
      <c r="H1269" s="59">
        <v>999.99199999999996</v>
      </c>
    </row>
    <row r="1270" spans="1:8" ht="112.5" customHeight="1" x14ac:dyDescent="0.15">
      <c r="A1270" s="60">
        <v>2759</v>
      </c>
      <c r="B1270" s="30" t="s">
        <v>3496</v>
      </c>
      <c r="C1270" s="30" t="s">
        <v>7279</v>
      </c>
      <c r="D1270" s="61" t="s">
        <v>7280</v>
      </c>
      <c r="E1270" s="2"/>
      <c r="F1270" s="57"/>
      <c r="G1270" s="64" t="s">
        <v>7281</v>
      </c>
      <c r="H1270" s="59">
        <v>999.99900000000002</v>
      </c>
    </row>
    <row r="1271" spans="1:8" ht="112.5" customHeight="1" x14ac:dyDescent="0.15">
      <c r="A1271" s="60">
        <v>943</v>
      </c>
      <c r="B1271" s="30" t="s">
        <v>3496</v>
      </c>
      <c r="C1271" s="30" t="s">
        <v>7282</v>
      </c>
      <c r="D1271" s="61" t="s">
        <v>7283</v>
      </c>
      <c r="E1271" s="2"/>
      <c r="F1271" s="57"/>
      <c r="G1271" s="63" t="s">
        <v>7284</v>
      </c>
      <c r="H1271" s="59" t="s">
        <v>4171</v>
      </c>
    </row>
    <row r="1272" spans="1:8" ht="112.5" customHeight="1" x14ac:dyDescent="0.15">
      <c r="A1272" s="54">
        <v>3318</v>
      </c>
      <c r="B1272" s="55" t="s">
        <v>3496</v>
      </c>
      <c r="C1272" s="55" t="s">
        <v>7285</v>
      </c>
      <c r="D1272" s="56" t="s">
        <v>7286</v>
      </c>
      <c r="E1272" s="2"/>
      <c r="F1272" s="57"/>
      <c r="G1272" s="64" t="s">
        <v>7287</v>
      </c>
      <c r="H1272" s="59" t="s">
        <v>4171</v>
      </c>
    </row>
    <row r="1273" spans="1:8" ht="112.5" customHeight="1" x14ac:dyDescent="0.15">
      <c r="A1273" s="54">
        <v>942</v>
      </c>
      <c r="B1273" s="55" t="s">
        <v>3818</v>
      </c>
      <c r="C1273" s="55" t="s">
        <v>7288</v>
      </c>
      <c r="D1273" s="56" t="s">
        <v>7289</v>
      </c>
      <c r="E1273" s="2"/>
      <c r="F1273" s="57"/>
      <c r="G1273" s="63" t="s">
        <v>7290</v>
      </c>
      <c r="H1273" s="59">
        <v>999.89</v>
      </c>
    </row>
    <row r="1274" spans="1:8" ht="112.5" customHeight="1" x14ac:dyDescent="0.15">
      <c r="A1274" s="60">
        <v>941</v>
      </c>
      <c r="B1274" s="30" t="s">
        <v>3509</v>
      </c>
      <c r="C1274" s="30" t="s">
        <v>7291</v>
      </c>
      <c r="D1274" s="61" t="s">
        <v>7292</v>
      </c>
      <c r="E1274" s="2"/>
      <c r="F1274" s="57"/>
      <c r="G1274" s="64" t="s">
        <v>7293</v>
      </c>
      <c r="H1274" s="59">
        <v>999.99800000000005</v>
      </c>
    </row>
    <row r="1275" spans="1:8" ht="112.5" customHeight="1" x14ac:dyDescent="0.15">
      <c r="A1275" s="54">
        <v>940</v>
      </c>
      <c r="B1275" s="55" t="s">
        <v>3526</v>
      </c>
      <c r="C1275" s="55" t="s">
        <v>7294</v>
      </c>
      <c r="D1275" s="56" t="s">
        <v>7295</v>
      </c>
      <c r="E1275" s="2"/>
      <c r="F1275" s="57"/>
      <c r="G1275" s="63" t="s">
        <v>7296</v>
      </c>
      <c r="H1275" s="59">
        <v>999.99599999999998</v>
      </c>
    </row>
    <row r="1276" spans="1:8" ht="112.5" customHeight="1" x14ac:dyDescent="0.15">
      <c r="A1276" s="60">
        <v>937</v>
      </c>
      <c r="B1276" s="30" t="s">
        <v>3526</v>
      </c>
      <c r="C1276" s="30" t="s">
        <v>7297</v>
      </c>
      <c r="D1276" s="61" t="s">
        <v>7298</v>
      </c>
      <c r="E1276" s="2"/>
      <c r="F1276" s="57"/>
      <c r="G1276" s="64" t="s">
        <v>7299</v>
      </c>
      <c r="H1276" s="59">
        <v>999.99199999999996</v>
      </c>
    </row>
    <row r="1277" spans="1:8" ht="112.5" customHeight="1" x14ac:dyDescent="0.15">
      <c r="A1277" s="60">
        <v>935</v>
      </c>
      <c r="B1277" s="30" t="s">
        <v>3526</v>
      </c>
      <c r="C1277" s="30" t="s">
        <v>7300</v>
      </c>
      <c r="D1277" s="61" t="s">
        <v>7301</v>
      </c>
      <c r="E1277" s="2"/>
      <c r="F1277" s="57"/>
      <c r="G1277" s="63" t="s">
        <v>4562</v>
      </c>
      <c r="H1277" s="59">
        <v>999.99300000000005</v>
      </c>
    </row>
    <row r="1278" spans="1:8" ht="112.5" customHeight="1" x14ac:dyDescent="0.15">
      <c r="A1278" s="60">
        <v>939</v>
      </c>
      <c r="B1278" s="30" t="s">
        <v>3526</v>
      </c>
      <c r="C1278" s="30" t="s">
        <v>7302</v>
      </c>
      <c r="D1278" s="61" t="s">
        <v>7303</v>
      </c>
      <c r="E1278" s="2"/>
      <c r="F1278" s="57"/>
      <c r="G1278" s="64" t="s">
        <v>7304</v>
      </c>
      <c r="H1278" s="59">
        <v>999.92399999999998</v>
      </c>
    </row>
    <row r="1279" spans="1:8" ht="112.5" customHeight="1" x14ac:dyDescent="0.15">
      <c r="A1279" s="54">
        <v>938</v>
      </c>
      <c r="B1279" s="55" t="s">
        <v>3526</v>
      </c>
      <c r="C1279" s="55" t="s">
        <v>7305</v>
      </c>
      <c r="D1279" s="56" t="s">
        <v>7306</v>
      </c>
      <c r="E1279" s="2"/>
      <c r="F1279" s="57"/>
      <c r="G1279" s="63" t="s">
        <v>7307</v>
      </c>
      <c r="H1279" s="59">
        <v>999.85299999999995</v>
      </c>
    </row>
    <row r="1280" spans="1:8" ht="112.5" customHeight="1" x14ac:dyDescent="0.15">
      <c r="A1280" s="54">
        <v>934</v>
      </c>
      <c r="B1280" s="55" t="s">
        <v>3526</v>
      </c>
      <c r="C1280" s="55" t="s">
        <v>7308</v>
      </c>
      <c r="D1280" s="56" t="s">
        <v>7309</v>
      </c>
      <c r="E1280" s="2"/>
      <c r="F1280" s="57"/>
      <c r="G1280" s="64" t="s">
        <v>7310</v>
      </c>
      <c r="H1280" s="59">
        <v>86</v>
      </c>
    </row>
    <row r="1281" spans="1:8" ht="112.5" customHeight="1" x14ac:dyDescent="0.15">
      <c r="A1281" s="60">
        <v>933</v>
      </c>
      <c r="B1281" s="30" t="s">
        <v>3526</v>
      </c>
      <c r="C1281" s="30" t="s">
        <v>7311</v>
      </c>
      <c r="D1281" s="61" t="s">
        <v>7312</v>
      </c>
      <c r="E1281" s="2"/>
      <c r="F1281" s="57"/>
      <c r="G1281" s="63" t="s">
        <v>4806</v>
      </c>
      <c r="H1281" s="59">
        <v>999.99699999999996</v>
      </c>
    </row>
    <row r="1282" spans="1:8" ht="112.5" customHeight="1" x14ac:dyDescent="0.15">
      <c r="A1282" s="54">
        <v>932</v>
      </c>
      <c r="B1282" s="55" t="s">
        <v>3526</v>
      </c>
      <c r="C1282" s="55" t="s">
        <v>7313</v>
      </c>
      <c r="D1282" s="56" t="s">
        <v>7314</v>
      </c>
      <c r="E1282" s="2"/>
      <c r="F1282" s="57"/>
      <c r="G1282" s="64" t="s">
        <v>7315</v>
      </c>
      <c r="H1282" s="59">
        <v>9.9920000000000009</v>
      </c>
    </row>
    <row r="1283" spans="1:8" ht="112.5" customHeight="1" x14ac:dyDescent="0.15">
      <c r="A1283" s="60">
        <v>931</v>
      </c>
      <c r="B1283" s="30" t="s">
        <v>3526</v>
      </c>
      <c r="C1283" s="30" t="s">
        <v>7316</v>
      </c>
      <c r="D1283" s="61" t="s">
        <v>7317</v>
      </c>
      <c r="E1283" s="2"/>
      <c r="F1283" s="57"/>
      <c r="G1283" s="63" t="s">
        <v>7318</v>
      </c>
      <c r="H1283" s="59">
        <v>999.98199999999997</v>
      </c>
    </row>
    <row r="1284" spans="1:8" ht="112.5" customHeight="1" x14ac:dyDescent="0.15">
      <c r="A1284" s="54">
        <v>930</v>
      </c>
      <c r="B1284" s="55" t="s">
        <v>3526</v>
      </c>
      <c r="C1284" s="55" t="s">
        <v>7319</v>
      </c>
      <c r="D1284" s="56" t="s">
        <v>7320</v>
      </c>
      <c r="E1284" s="2"/>
      <c r="F1284" s="57"/>
      <c r="G1284" s="64" t="s">
        <v>7321</v>
      </c>
      <c r="H1284" s="59">
        <v>999</v>
      </c>
    </row>
    <row r="1285" spans="1:8" ht="112.5" customHeight="1" x14ac:dyDescent="0.15">
      <c r="A1285" s="60">
        <v>929</v>
      </c>
      <c r="B1285" s="30" t="s">
        <v>3526</v>
      </c>
      <c r="C1285" s="30" t="s">
        <v>7322</v>
      </c>
      <c r="D1285" s="61" t="s">
        <v>7323</v>
      </c>
      <c r="E1285" s="2"/>
      <c r="F1285" s="57"/>
      <c r="G1285" s="63" t="s">
        <v>7324</v>
      </c>
      <c r="H1285" s="59">
        <v>992</v>
      </c>
    </row>
    <row r="1286" spans="1:8" ht="112.5" customHeight="1" x14ac:dyDescent="0.15">
      <c r="A1286" s="54">
        <v>928</v>
      </c>
      <c r="B1286" s="55" t="s">
        <v>3818</v>
      </c>
      <c r="C1286" s="55" t="s">
        <v>7325</v>
      </c>
      <c r="D1286" s="56" t="s">
        <v>7326</v>
      </c>
      <c r="E1286" s="2"/>
      <c r="F1286" s="57"/>
      <c r="G1286" s="64" t="s">
        <v>7327</v>
      </c>
      <c r="H1286" s="59">
        <v>990</v>
      </c>
    </row>
    <row r="1287" spans="1:8" ht="112.5" customHeight="1" x14ac:dyDescent="0.15">
      <c r="A1287" s="54">
        <v>3412</v>
      </c>
      <c r="B1287" s="55" t="s">
        <v>3492</v>
      </c>
      <c r="C1287" s="55" t="s">
        <v>7328</v>
      </c>
      <c r="D1287" s="56" t="s">
        <v>7329</v>
      </c>
      <c r="E1287" s="2"/>
      <c r="F1287" s="57"/>
      <c r="G1287" s="63" t="s">
        <v>7330</v>
      </c>
      <c r="H1287" s="59">
        <v>1</v>
      </c>
    </row>
    <row r="1288" spans="1:8" ht="112.5" customHeight="1" x14ac:dyDescent="0.15">
      <c r="A1288" s="54">
        <v>1000</v>
      </c>
      <c r="B1288" s="55" t="s">
        <v>3492</v>
      </c>
      <c r="C1288" s="55" t="s">
        <v>7331</v>
      </c>
      <c r="D1288" s="56" t="s">
        <v>7332</v>
      </c>
      <c r="E1288" s="2"/>
      <c r="F1288" s="57"/>
      <c r="G1288" s="64" t="s">
        <v>7333</v>
      </c>
      <c r="H1288" s="59">
        <v>997</v>
      </c>
    </row>
    <row r="1289" spans="1:8" ht="112.5" customHeight="1" x14ac:dyDescent="0.15">
      <c r="A1289" s="60">
        <v>999</v>
      </c>
      <c r="B1289" s="30" t="s">
        <v>3818</v>
      </c>
      <c r="C1289" s="30" t="s">
        <v>7334</v>
      </c>
      <c r="D1289" s="61" t="s">
        <v>7335</v>
      </c>
      <c r="E1289" s="2"/>
      <c r="F1289" s="57"/>
      <c r="G1289" s="63" t="s">
        <v>4559</v>
      </c>
      <c r="H1289" s="59">
        <v>1</v>
      </c>
    </row>
    <row r="1290" spans="1:8" ht="112.5" customHeight="1" x14ac:dyDescent="0.15">
      <c r="A1290" s="54">
        <v>998</v>
      </c>
      <c r="B1290" s="55" t="s">
        <v>3818</v>
      </c>
      <c r="C1290" s="55" t="s">
        <v>7336</v>
      </c>
      <c r="D1290" s="56" t="s">
        <v>7337</v>
      </c>
      <c r="E1290" s="2"/>
      <c r="F1290" s="57"/>
      <c r="G1290" s="64" t="s">
        <v>7338</v>
      </c>
      <c r="H1290" s="59">
        <v>1</v>
      </c>
    </row>
    <row r="1291" spans="1:8" ht="112.5" customHeight="1" x14ac:dyDescent="0.15">
      <c r="A1291" s="60">
        <v>997</v>
      </c>
      <c r="B1291" s="30" t="s">
        <v>3818</v>
      </c>
      <c r="C1291" s="30" t="s">
        <v>7339</v>
      </c>
      <c r="D1291" s="61" t="s">
        <v>7340</v>
      </c>
      <c r="E1291" s="2"/>
      <c r="F1291" s="57"/>
      <c r="G1291" s="63" t="s">
        <v>7341</v>
      </c>
      <c r="H1291" s="59">
        <v>996</v>
      </c>
    </row>
    <row r="1292" spans="1:8" ht="112.5" customHeight="1" x14ac:dyDescent="0.15">
      <c r="A1292" s="54">
        <v>996</v>
      </c>
      <c r="B1292" s="55" t="s">
        <v>3801</v>
      </c>
      <c r="C1292" s="55" t="s">
        <v>7342</v>
      </c>
      <c r="D1292" s="56" t="s">
        <v>7343</v>
      </c>
      <c r="E1292" s="2"/>
      <c r="F1292" s="57"/>
      <c r="G1292" s="64" t="s">
        <v>7344</v>
      </c>
      <c r="H1292" s="59">
        <v>1</v>
      </c>
    </row>
    <row r="1293" spans="1:8" ht="112.5" customHeight="1" x14ac:dyDescent="0.15">
      <c r="A1293" s="60">
        <v>995</v>
      </c>
      <c r="B1293" s="30" t="s">
        <v>3818</v>
      </c>
      <c r="C1293" s="30" t="s">
        <v>7345</v>
      </c>
      <c r="D1293" s="61" t="s">
        <v>7346</v>
      </c>
      <c r="E1293" s="2"/>
      <c r="F1293" s="57"/>
      <c r="G1293" s="63" t="s">
        <v>7347</v>
      </c>
      <c r="H1293" s="59">
        <v>997</v>
      </c>
    </row>
    <row r="1294" spans="1:8" ht="112.5" customHeight="1" x14ac:dyDescent="0.15">
      <c r="A1294" s="54">
        <v>994</v>
      </c>
      <c r="B1294" s="55" t="s">
        <v>3818</v>
      </c>
      <c r="C1294" s="55" t="s">
        <v>7348</v>
      </c>
      <c r="D1294" s="56" t="s">
        <v>7349</v>
      </c>
      <c r="E1294" s="2"/>
      <c r="F1294" s="57"/>
      <c r="G1294" s="64" t="s">
        <v>7350</v>
      </c>
      <c r="H1294" s="59">
        <v>0</v>
      </c>
    </row>
    <row r="1295" spans="1:8" ht="112.5" customHeight="1" x14ac:dyDescent="0.15">
      <c r="A1295" s="60">
        <v>993</v>
      </c>
      <c r="B1295" s="30" t="s">
        <v>3533</v>
      </c>
      <c r="C1295" s="30" t="s">
        <v>7351</v>
      </c>
      <c r="D1295" s="61" t="s">
        <v>7352</v>
      </c>
      <c r="E1295" s="2"/>
      <c r="F1295" s="57"/>
      <c r="G1295" s="63" t="s">
        <v>7353</v>
      </c>
      <c r="H1295" s="59">
        <v>1</v>
      </c>
    </row>
    <row r="1296" spans="1:8" ht="112.5" customHeight="1" x14ac:dyDescent="0.15">
      <c r="A1296" s="54">
        <v>992</v>
      </c>
      <c r="B1296" s="55" t="s">
        <v>3599</v>
      </c>
      <c r="C1296" s="55" t="s">
        <v>7354</v>
      </c>
      <c r="D1296" s="56" t="s">
        <v>7355</v>
      </c>
      <c r="E1296" s="2"/>
      <c r="F1296" s="57"/>
      <c r="G1296" s="64" t="s">
        <v>7356</v>
      </c>
      <c r="H1296" s="59">
        <v>964</v>
      </c>
    </row>
    <row r="1297" spans="1:8" ht="112.5" customHeight="1" x14ac:dyDescent="0.15">
      <c r="A1297" s="60">
        <v>991</v>
      </c>
      <c r="B1297" s="30" t="s">
        <v>3513</v>
      </c>
      <c r="C1297" s="30" t="s">
        <v>7357</v>
      </c>
      <c r="D1297" s="61" t="s">
        <v>7358</v>
      </c>
      <c r="E1297" s="2"/>
      <c r="F1297" s="57"/>
      <c r="G1297" s="63" t="s">
        <v>7359</v>
      </c>
      <c r="H1297" s="59">
        <v>1</v>
      </c>
    </row>
    <row r="1298" spans="1:8" ht="112.5" customHeight="1" x14ac:dyDescent="0.15">
      <c r="A1298" s="60">
        <v>1973</v>
      </c>
      <c r="B1298" s="30" t="s">
        <v>3496</v>
      </c>
      <c r="C1298" s="30" t="s">
        <v>7360</v>
      </c>
      <c r="D1298" s="61" t="s">
        <v>7361</v>
      </c>
      <c r="E1298" s="2"/>
      <c r="F1298" s="57"/>
      <c r="G1298" s="64" t="s">
        <v>7362</v>
      </c>
      <c r="H1298" s="59">
        <v>0</v>
      </c>
    </row>
    <row r="1299" spans="1:8" ht="112.5" customHeight="1" x14ac:dyDescent="0.15">
      <c r="A1299" s="54">
        <v>990</v>
      </c>
      <c r="B1299" s="55" t="s">
        <v>3599</v>
      </c>
      <c r="C1299" s="55" t="s">
        <v>7363</v>
      </c>
      <c r="D1299" s="56" t="s">
        <v>7364</v>
      </c>
      <c r="E1299" s="2"/>
      <c r="F1299" s="57"/>
      <c r="G1299" s="63" t="s">
        <v>7365</v>
      </c>
      <c r="H1299" s="59">
        <v>0</v>
      </c>
    </row>
    <row r="1300" spans="1:8" ht="112.5" customHeight="1" x14ac:dyDescent="0.15">
      <c r="A1300" s="60">
        <v>989</v>
      </c>
      <c r="B1300" s="30" t="s">
        <v>3599</v>
      </c>
      <c r="C1300" s="30" t="s">
        <v>7366</v>
      </c>
      <c r="D1300" s="61" t="s">
        <v>7367</v>
      </c>
      <c r="E1300" s="2"/>
      <c r="F1300" s="57"/>
      <c r="G1300" s="64" t="s">
        <v>7368</v>
      </c>
      <c r="H1300" s="59">
        <v>0</v>
      </c>
    </row>
    <row r="1301" spans="1:8" ht="112.5" customHeight="1" x14ac:dyDescent="0.15">
      <c r="A1301" s="54">
        <v>988</v>
      </c>
      <c r="B1301" s="55" t="s">
        <v>3502</v>
      </c>
      <c r="C1301" s="55" t="s">
        <v>7369</v>
      </c>
      <c r="D1301" s="56" t="s">
        <v>7370</v>
      </c>
      <c r="E1301" s="2"/>
      <c r="F1301" s="57"/>
      <c r="G1301" s="63" t="s">
        <v>7371</v>
      </c>
      <c r="H1301" s="59">
        <v>0</v>
      </c>
    </row>
    <row r="1302" spans="1:8" ht="112.5" customHeight="1" x14ac:dyDescent="0.15">
      <c r="A1302" s="54">
        <v>1096</v>
      </c>
      <c r="B1302" s="55" t="s">
        <v>3822</v>
      </c>
      <c r="C1302" s="55" t="s">
        <v>7372</v>
      </c>
      <c r="D1302" s="56" t="s">
        <v>7373</v>
      </c>
      <c r="E1302" s="2"/>
      <c r="F1302" s="57"/>
      <c r="G1302" s="64" t="s">
        <v>7374</v>
      </c>
      <c r="H1302" s="59">
        <v>1</v>
      </c>
    </row>
    <row r="1303" spans="1:8" ht="112.5" customHeight="1" x14ac:dyDescent="0.15">
      <c r="A1303" s="60">
        <v>987</v>
      </c>
      <c r="B1303" s="30" t="s">
        <v>3822</v>
      </c>
      <c r="C1303" s="30" t="s">
        <v>7375</v>
      </c>
      <c r="D1303" s="61" t="s">
        <v>7376</v>
      </c>
      <c r="E1303" s="2"/>
      <c r="F1303" s="57"/>
      <c r="G1303" s="63" t="s">
        <v>7377</v>
      </c>
      <c r="H1303" s="59">
        <v>0</v>
      </c>
    </row>
    <row r="1304" spans="1:8" ht="112.5" customHeight="1" x14ac:dyDescent="0.15">
      <c r="A1304" s="60">
        <v>1095</v>
      </c>
      <c r="B1304" s="30" t="s">
        <v>3822</v>
      </c>
      <c r="C1304" s="30" t="s">
        <v>7378</v>
      </c>
      <c r="D1304" s="61" t="s">
        <v>7376</v>
      </c>
      <c r="E1304" s="2"/>
      <c r="F1304" s="57"/>
      <c r="G1304" s="64" t="s">
        <v>7379</v>
      </c>
      <c r="H1304" s="59">
        <v>1</v>
      </c>
    </row>
    <row r="1305" spans="1:8" ht="112.5" customHeight="1" x14ac:dyDescent="0.15">
      <c r="A1305" s="54">
        <v>986</v>
      </c>
      <c r="B1305" s="55" t="s">
        <v>3533</v>
      </c>
      <c r="C1305" s="55" t="s">
        <v>7380</v>
      </c>
      <c r="D1305" s="56" t="s">
        <v>7381</v>
      </c>
      <c r="E1305" s="2"/>
      <c r="F1305" s="57"/>
      <c r="G1305" s="63" t="s">
        <v>7382</v>
      </c>
      <c r="H1305" s="59">
        <v>0</v>
      </c>
    </row>
    <row r="1306" spans="1:8" ht="112.5" customHeight="1" x14ac:dyDescent="0.15">
      <c r="A1306" s="54">
        <v>1094</v>
      </c>
      <c r="B1306" s="55" t="s">
        <v>3509</v>
      </c>
      <c r="C1306" s="55" t="s">
        <v>7383</v>
      </c>
      <c r="D1306" s="56" t="s">
        <v>7384</v>
      </c>
      <c r="E1306" s="2"/>
      <c r="F1306" s="57"/>
      <c r="G1306" s="64" t="s">
        <v>7385</v>
      </c>
      <c r="H1306" s="59">
        <v>997</v>
      </c>
    </row>
    <row r="1307" spans="1:8" ht="112.5" customHeight="1" x14ac:dyDescent="0.15">
      <c r="A1307" s="60">
        <v>1093</v>
      </c>
      <c r="B1307" s="30" t="s">
        <v>3509</v>
      </c>
      <c r="C1307" s="30" t="s">
        <v>7386</v>
      </c>
      <c r="D1307" s="61" t="s">
        <v>7387</v>
      </c>
      <c r="E1307" s="2"/>
      <c r="F1307" s="57"/>
      <c r="G1307" s="63" t="s">
        <v>7388</v>
      </c>
      <c r="H1307" s="59">
        <v>994</v>
      </c>
    </row>
    <row r="1308" spans="1:8" ht="112.5" customHeight="1" x14ac:dyDescent="0.15">
      <c r="A1308" s="54">
        <v>1092</v>
      </c>
      <c r="B1308" s="55" t="s">
        <v>3822</v>
      </c>
      <c r="C1308" s="55" t="s">
        <v>7389</v>
      </c>
      <c r="D1308" s="56" t="s">
        <v>7390</v>
      </c>
      <c r="E1308" s="2"/>
      <c r="F1308" s="57"/>
      <c r="G1308" s="64" t="s">
        <v>7391</v>
      </c>
      <c r="H1308" s="59">
        <v>995</v>
      </c>
    </row>
    <row r="1309" spans="1:8" ht="112.5" customHeight="1" x14ac:dyDescent="0.15">
      <c r="A1309" s="60">
        <v>1091</v>
      </c>
      <c r="B1309" s="30" t="s">
        <v>3556</v>
      </c>
      <c r="C1309" s="30" t="s">
        <v>7392</v>
      </c>
      <c r="D1309" s="61" t="s">
        <v>7393</v>
      </c>
      <c r="E1309" s="2"/>
      <c r="F1309" s="57"/>
      <c r="G1309" s="63" t="s">
        <v>7394</v>
      </c>
      <c r="H1309" s="59">
        <v>94</v>
      </c>
    </row>
    <row r="1310" spans="1:8" ht="112.5" customHeight="1" x14ac:dyDescent="0.15">
      <c r="A1310" s="54">
        <v>1090</v>
      </c>
      <c r="B1310" s="55" t="s">
        <v>3502</v>
      </c>
      <c r="C1310" s="55" t="s">
        <v>7395</v>
      </c>
      <c r="D1310" s="56" t="s">
        <v>7396</v>
      </c>
      <c r="E1310" s="2"/>
      <c r="F1310" s="57"/>
      <c r="G1310" s="64" t="s">
        <v>7397</v>
      </c>
      <c r="H1310" s="59">
        <v>969</v>
      </c>
    </row>
    <row r="1311" spans="1:8" ht="112.5" customHeight="1" x14ac:dyDescent="0.15">
      <c r="A1311" s="60">
        <v>2307</v>
      </c>
      <c r="B1311" s="30" t="s">
        <v>3496</v>
      </c>
      <c r="C1311" s="30" t="s">
        <v>7398</v>
      </c>
      <c r="D1311" s="61" t="s">
        <v>7399</v>
      </c>
      <c r="E1311" s="2"/>
      <c r="F1311" s="57"/>
      <c r="G1311" s="63" t="s">
        <v>7400</v>
      </c>
      <c r="H1311" s="59">
        <v>1</v>
      </c>
    </row>
    <row r="1312" spans="1:8" ht="112.5" customHeight="1" x14ac:dyDescent="0.15">
      <c r="A1312" s="60">
        <v>1089</v>
      </c>
      <c r="B1312" s="30" t="s">
        <v>3509</v>
      </c>
      <c r="C1312" s="30" t="s">
        <v>7401</v>
      </c>
      <c r="D1312" s="61" t="s">
        <v>7402</v>
      </c>
      <c r="E1312" s="2"/>
      <c r="F1312" s="57"/>
      <c r="G1312" s="64" t="s">
        <v>7403</v>
      </c>
      <c r="H1312" s="59">
        <v>0</v>
      </c>
    </row>
    <row r="1313" spans="1:8" ht="112.5" customHeight="1" x14ac:dyDescent="0.15">
      <c r="A1313" s="54">
        <v>1088</v>
      </c>
      <c r="B1313" s="55" t="s">
        <v>3509</v>
      </c>
      <c r="C1313" s="55" t="s">
        <v>7404</v>
      </c>
      <c r="D1313" s="56" t="s">
        <v>7405</v>
      </c>
      <c r="E1313" s="2"/>
      <c r="F1313" s="57"/>
      <c r="G1313" s="63" t="s">
        <v>7406</v>
      </c>
      <c r="H1313" s="59">
        <v>1</v>
      </c>
    </row>
    <row r="1314" spans="1:8" ht="112.5" customHeight="1" x14ac:dyDescent="0.15">
      <c r="A1314" s="60">
        <v>1087</v>
      </c>
      <c r="B1314" s="30" t="s">
        <v>3556</v>
      </c>
      <c r="C1314" s="30" t="s">
        <v>7407</v>
      </c>
      <c r="D1314" s="61" t="s">
        <v>7408</v>
      </c>
      <c r="E1314" s="2"/>
      <c r="F1314" s="57"/>
      <c r="G1314" s="64" t="s">
        <v>7409</v>
      </c>
      <c r="H1314" s="59">
        <v>1</v>
      </c>
    </row>
    <row r="1315" spans="1:8" ht="112.5" customHeight="1" x14ac:dyDescent="0.15">
      <c r="A1315" s="54">
        <v>1086</v>
      </c>
      <c r="B1315" s="55" t="s">
        <v>3513</v>
      </c>
      <c r="C1315" s="55" t="s">
        <v>7410</v>
      </c>
      <c r="D1315" s="56" t="s">
        <v>7411</v>
      </c>
      <c r="E1315" s="2"/>
      <c r="F1315" s="57"/>
      <c r="G1315" s="63" t="s">
        <v>7412</v>
      </c>
      <c r="H1315" s="59">
        <v>1</v>
      </c>
    </row>
    <row r="1316" spans="1:8" ht="112.5" customHeight="1" x14ac:dyDescent="0.15">
      <c r="A1316" s="60">
        <v>1085</v>
      </c>
      <c r="B1316" s="30" t="s">
        <v>3513</v>
      </c>
      <c r="C1316" s="30" t="s">
        <v>7413</v>
      </c>
      <c r="D1316" s="61" t="s">
        <v>7414</v>
      </c>
      <c r="E1316" s="2"/>
      <c r="F1316" s="57"/>
      <c r="G1316" s="64" t="s">
        <v>7415</v>
      </c>
      <c r="H1316" s="59">
        <v>1</v>
      </c>
    </row>
    <row r="1317" spans="1:8" ht="112.5" customHeight="1" x14ac:dyDescent="0.15">
      <c r="A1317" s="54">
        <v>1084</v>
      </c>
      <c r="B1317" s="55" t="s">
        <v>3814</v>
      </c>
      <c r="C1317" s="55" t="s">
        <v>7416</v>
      </c>
      <c r="D1317" s="56" t="s">
        <v>7417</v>
      </c>
      <c r="E1317" s="2"/>
      <c r="F1317" s="57"/>
      <c r="G1317" s="63" t="s">
        <v>7418</v>
      </c>
      <c r="H1317" s="59">
        <v>1</v>
      </c>
    </row>
    <row r="1318" spans="1:8" ht="112.5" customHeight="1" x14ac:dyDescent="0.15">
      <c r="A1318" s="60">
        <v>1083</v>
      </c>
      <c r="B1318" s="30" t="s">
        <v>3814</v>
      </c>
      <c r="C1318" s="30" t="s">
        <v>7419</v>
      </c>
      <c r="D1318" s="61" t="s">
        <v>7420</v>
      </c>
      <c r="E1318" s="2"/>
      <c r="F1318" s="57"/>
      <c r="G1318" s="64" t="s">
        <v>7421</v>
      </c>
      <c r="H1318" s="59">
        <v>1</v>
      </c>
    </row>
    <row r="1319" spans="1:8" ht="112.5" customHeight="1" x14ac:dyDescent="0.15">
      <c r="A1319" s="54">
        <v>456</v>
      </c>
      <c r="B1319" s="55" t="s">
        <v>3749</v>
      </c>
      <c r="C1319" s="55" t="s">
        <v>7422</v>
      </c>
      <c r="D1319" s="56" t="s">
        <v>7423</v>
      </c>
      <c r="E1319" s="2"/>
      <c r="F1319" s="57"/>
      <c r="G1319" s="63" t="s">
        <v>7424</v>
      </c>
      <c r="H1319" s="59">
        <v>960</v>
      </c>
    </row>
    <row r="1320" spans="1:8" ht="112.5" customHeight="1" x14ac:dyDescent="0.15">
      <c r="A1320" s="54">
        <v>3470</v>
      </c>
      <c r="B1320" s="55" t="s">
        <v>3801</v>
      </c>
      <c r="C1320" s="55" t="s">
        <v>7425</v>
      </c>
      <c r="D1320" s="56" t="s">
        <v>7426</v>
      </c>
      <c r="E1320" s="2"/>
      <c r="F1320" s="57"/>
      <c r="G1320" s="64" t="s">
        <v>7427</v>
      </c>
      <c r="H1320" s="59">
        <v>965</v>
      </c>
    </row>
    <row r="1321" spans="1:8" ht="112.5" customHeight="1" x14ac:dyDescent="0.15">
      <c r="A1321" s="60">
        <v>3235</v>
      </c>
      <c r="B1321" s="30" t="s">
        <v>3502</v>
      </c>
      <c r="C1321" s="30" t="s">
        <v>7428</v>
      </c>
      <c r="D1321" s="61" t="s">
        <v>7429</v>
      </c>
      <c r="E1321" s="2"/>
      <c r="F1321" s="57"/>
      <c r="G1321" s="63" t="s">
        <v>7430</v>
      </c>
      <c r="H1321" s="59">
        <v>1</v>
      </c>
    </row>
    <row r="1322" spans="1:8" ht="112.5" customHeight="1" x14ac:dyDescent="0.15">
      <c r="A1322" s="54">
        <v>3234</v>
      </c>
      <c r="B1322" s="55" t="s">
        <v>3502</v>
      </c>
      <c r="C1322" s="55" t="s">
        <v>7431</v>
      </c>
      <c r="D1322" s="56" t="s">
        <v>7432</v>
      </c>
      <c r="E1322" s="2"/>
      <c r="F1322" s="57"/>
      <c r="G1322" s="64" t="s">
        <v>7433</v>
      </c>
      <c r="H1322" s="59">
        <v>999</v>
      </c>
    </row>
    <row r="1323" spans="1:8" ht="112.5" customHeight="1" x14ac:dyDescent="0.15">
      <c r="A1323" s="54">
        <v>1082</v>
      </c>
      <c r="B1323" s="55" t="s">
        <v>3749</v>
      </c>
      <c r="C1323" s="55" t="s">
        <v>7434</v>
      </c>
      <c r="D1323" s="56" t="s">
        <v>7435</v>
      </c>
      <c r="E1323" s="2"/>
      <c r="F1323" s="57"/>
      <c r="G1323" s="63" t="s">
        <v>7436</v>
      </c>
      <c r="H1323" s="59">
        <v>993</v>
      </c>
    </row>
    <row r="1324" spans="1:8" ht="112.5" customHeight="1" x14ac:dyDescent="0.15">
      <c r="A1324" s="60">
        <v>1081</v>
      </c>
      <c r="B1324" s="30" t="s">
        <v>3492</v>
      </c>
      <c r="C1324" s="30" t="s">
        <v>7437</v>
      </c>
      <c r="D1324" s="61" t="s">
        <v>7438</v>
      </c>
      <c r="E1324" s="2"/>
      <c r="F1324" s="57"/>
      <c r="G1324" s="64" t="s">
        <v>7439</v>
      </c>
      <c r="H1324" s="59">
        <v>974</v>
      </c>
    </row>
    <row r="1325" spans="1:8" ht="112.5" customHeight="1" x14ac:dyDescent="0.15">
      <c r="A1325" s="54">
        <v>1080</v>
      </c>
      <c r="B1325" s="55" t="s">
        <v>3492</v>
      </c>
      <c r="C1325" s="55" t="s">
        <v>7440</v>
      </c>
      <c r="D1325" s="56" t="s">
        <v>7441</v>
      </c>
      <c r="E1325" s="2"/>
      <c r="F1325" s="57"/>
      <c r="G1325" s="63" t="s">
        <v>7442</v>
      </c>
      <c r="H1325" s="59">
        <v>1</v>
      </c>
    </row>
    <row r="1326" spans="1:8" ht="112.5" customHeight="1" x14ac:dyDescent="0.15">
      <c r="A1326" s="60">
        <v>3375</v>
      </c>
      <c r="B1326" s="30" t="s">
        <v>3496</v>
      </c>
      <c r="C1326" s="30" t="s">
        <v>7443</v>
      </c>
      <c r="D1326" s="61" t="s">
        <v>7444</v>
      </c>
      <c r="E1326" s="2"/>
      <c r="F1326" s="57"/>
      <c r="G1326" s="64" t="s">
        <v>7445</v>
      </c>
      <c r="H1326" s="59">
        <v>1</v>
      </c>
    </row>
    <row r="1327" spans="1:8" ht="112.5" customHeight="1" x14ac:dyDescent="0.15">
      <c r="A1327" s="60">
        <v>1079</v>
      </c>
      <c r="B1327" s="30" t="s">
        <v>3492</v>
      </c>
      <c r="C1327" s="30" t="s">
        <v>7446</v>
      </c>
      <c r="D1327" s="61" t="s">
        <v>7447</v>
      </c>
      <c r="E1327" s="2"/>
      <c r="F1327" s="57"/>
      <c r="G1327" s="63" t="s">
        <v>7448</v>
      </c>
      <c r="H1327" s="59">
        <v>999</v>
      </c>
    </row>
    <row r="1328" spans="1:8" ht="112.5" customHeight="1" x14ac:dyDescent="0.15">
      <c r="A1328" s="54">
        <v>1078</v>
      </c>
      <c r="B1328" s="55" t="s">
        <v>3533</v>
      </c>
      <c r="C1328" s="55" t="s">
        <v>7449</v>
      </c>
      <c r="D1328" s="56" t="s">
        <v>7450</v>
      </c>
      <c r="E1328" s="2"/>
      <c r="F1328" s="57"/>
      <c r="G1328" s="64" t="s">
        <v>7451</v>
      </c>
      <c r="H1328" s="59">
        <v>1</v>
      </c>
    </row>
    <row r="1329" spans="1:8" ht="112.5" customHeight="1" x14ac:dyDescent="0.15">
      <c r="A1329" s="60">
        <v>1077</v>
      </c>
      <c r="B1329" s="30" t="s">
        <v>3814</v>
      </c>
      <c r="C1329" s="30" t="s">
        <v>7452</v>
      </c>
      <c r="D1329" s="61" t="s">
        <v>7453</v>
      </c>
      <c r="E1329" s="2"/>
      <c r="F1329" s="57"/>
      <c r="G1329" s="63" t="s">
        <v>7454</v>
      </c>
      <c r="H1329" s="59">
        <v>1</v>
      </c>
    </row>
    <row r="1330" spans="1:8" ht="112.5" customHeight="1" x14ac:dyDescent="0.15">
      <c r="A1330" s="54">
        <v>1076</v>
      </c>
      <c r="B1330" s="55" t="s">
        <v>3533</v>
      </c>
      <c r="C1330" s="55" t="s">
        <v>7455</v>
      </c>
      <c r="D1330" s="56" t="s">
        <v>7456</v>
      </c>
      <c r="E1330" s="2"/>
      <c r="F1330" s="57"/>
      <c r="G1330" s="64" t="s">
        <v>7457</v>
      </c>
      <c r="H1330" s="59">
        <v>1</v>
      </c>
    </row>
    <row r="1331" spans="1:8" ht="112.5" customHeight="1" x14ac:dyDescent="0.15">
      <c r="A1331" s="60">
        <v>1075</v>
      </c>
      <c r="B1331" s="30" t="s">
        <v>3533</v>
      </c>
      <c r="C1331" s="30" t="s">
        <v>7458</v>
      </c>
      <c r="D1331" s="61" t="s">
        <v>7459</v>
      </c>
      <c r="E1331" s="2"/>
      <c r="F1331" s="57"/>
      <c r="G1331" s="63" t="s">
        <v>7460</v>
      </c>
      <c r="H1331" s="59">
        <v>995</v>
      </c>
    </row>
    <row r="1332" spans="1:8" ht="112.5" customHeight="1" x14ac:dyDescent="0.15">
      <c r="A1332" s="54">
        <v>1914</v>
      </c>
      <c r="B1332" s="55" t="s">
        <v>3496</v>
      </c>
      <c r="C1332" s="55" t="s">
        <v>7461</v>
      </c>
      <c r="D1332" s="56" t="s">
        <v>7462</v>
      </c>
      <c r="E1332" s="2"/>
      <c r="F1332" s="57"/>
      <c r="G1332" s="64" t="s">
        <v>7463</v>
      </c>
      <c r="H1332" s="59">
        <v>1</v>
      </c>
    </row>
    <row r="1333" spans="1:8" ht="112.5" customHeight="1" x14ac:dyDescent="0.15">
      <c r="A1333" s="54">
        <v>1074</v>
      </c>
      <c r="B1333" s="55" t="s">
        <v>3818</v>
      </c>
      <c r="C1333" s="55" t="s">
        <v>7464</v>
      </c>
      <c r="D1333" s="56" t="s">
        <v>7465</v>
      </c>
      <c r="E1333" s="2"/>
      <c r="F1333" s="57"/>
      <c r="G1333" s="63" t="s">
        <v>7466</v>
      </c>
      <c r="H1333" s="59">
        <v>1</v>
      </c>
    </row>
    <row r="1334" spans="1:8" ht="112.5" customHeight="1" x14ac:dyDescent="0.15">
      <c r="A1334" s="60">
        <v>1073</v>
      </c>
      <c r="B1334" s="30" t="s">
        <v>3556</v>
      </c>
      <c r="C1334" s="30" t="s">
        <v>7467</v>
      </c>
      <c r="D1334" s="61" t="s">
        <v>7468</v>
      </c>
      <c r="E1334" s="2"/>
      <c r="F1334" s="57"/>
      <c r="G1334" s="64" t="s">
        <v>7469</v>
      </c>
      <c r="H1334" s="59">
        <v>1</v>
      </c>
    </row>
    <row r="1335" spans="1:8" ht="112.5" customHeight="1" x14ac:dyDescent="0.15">
      <c r="A1335" s="54">
        <v>1072</v>
      </c>
      <c r="B1335" s="55" t="s">
        <v>3801</v>
      </c>
      <c r="C1335" s="55" t="s">
        <v>7470</v>
      </c>
      <c r="D1335" s="56" t="s">
        <v>7471</v>
      </c>
      <c r="E1335" s="2"/>
      <c r="F1335" s="57"/>
      <c r="G1335" s="63" t="s">
        <v>7472</v>
      </c>
      <c r="H1335" s="59">
        <v>994</v>
      </c>
    </row>
    <row r="1336" spans="1:8" ht="112.5" customHeight="1" x14ac:dyDescent="0.15">
      <c r="A1336" s="54">
        <v>2276</v>
      </c>
      <c r="B1336" s="55" t="s">
        <v>3533</v>
      </c>
      <c r="C1336" s="55" t="s">
        <v>7473</v>
      </c>
      <c r="D1336" s="56" t="s">
        <v>7474</v>
      </c>
      <c r="E1336" s="2"/>
      <c r="F1336" s="57"/>
      <c r="G1336" s="64" t="s">
        <v>7475</v>
      </c>
      <c r="H1336" s="59">
        <v>1</v>
      </c>
    </row>
    <row r="1337" spans="1:8" ht="112.5" customHeight="1" x14ac:dyDescent="0.15">
      <c r="A1337" s="60">
        <v>1071</v>
      </c>
      <c r="B1337" s="30" t="s">
        <v>3549</v>
      </c>
      <c r="C1337" s="30" t="s">
        <v>7476</v>
      </c>
      <c r="D1337" s="61" t="s">
        <v>7477</v>
      </c>
      <c r="E1337" s="2"/>
      <c r="F1337" s="57"/>
      <c r="G1337" s="63" t="s">
        <v>7478</v>
      </c>
      <c r="H1337" s="59">
        <v>999</v>
      </c>
    </row>
    <row r="1338" spans="1:8" ht="112.5" customHeight="1" x14ac:dyDescent="0.15">
      <c r="A1338" s="54">
        <v>1070</v>
      </c>
      <c r="B1338" s="55" t="s">
        <v>3749</v>
      </c>
      <c r="C1338" s="55" t="s">
        <v>7479</v>
      </c>
      <c r="D1338" s="56" t="s">
        <v>7480</v>
      </c>
      <c r="E1338" s="2"/>
      <c r="F1338" s="57"/>
      <c r="G1338" s="64" t="s">
        <v>7481</v>
      </c>
      <c r="H1338" s="59">
        <v>999</v>
      </c>
    </row>
    <row r="1339" spans="1:8" ht="112.5" customHeight="1" x14ac:dyDescent="0.15">
      <c r="A1339" s="60">
        <v>1069</v>
      </c>
      <c r="B1339" s="30" t="s">
        <v>3496</v>
      </c>
      <c r="C1339" s="30" t="s">
        <v>7482</v>
      </c>
      <c r="D1339" s="61" t="s">
        <v>7483</v>
      </c>
      <c r="E1339" s="2"/>
      <c r="F1339" s="57"/>
      <c r="G1339" s="63" t="s">
        <v>7484</v>
      </c>
      <c r="H1339" s="59">
        <v>1</v>
      </c>
    </row>
    <row r="1340" spans="1:8" ht="112.5" customHeight="1" x14ac:dyDescent="0.15">
      <c r="A1340" s="54">
        <v>1068</v>
      </c>
      <c r="B1340" s="55" t="s">
        <v>3492</v>
      </c>
      <c r="C1340" s="55" t="s">
        <v>7485</v>
      </c>
      <c r="D1340" s="56" t="s">
        <v>7486</v>
      </c>
      <c r="E1340" s="2"/>
      <c r="F1340" s="57"/>
      <c r="G1340" s="64" t="s">
        <v>4803</v>
      </c>
      <c r="H1340" s="59">
        <v>920</v>
      </c>
    </row>
    <row r="1341" spans="1:8" ht="112.5" customHeight="1" x14ac:dyDescent="0.15">
      <c r="A1341" s="60">
        <v>1067</v>
      </c>
      <c r="B1341" s="30" t="s">
        <v>3496</v>
      </c>
      <c r="C1341" s="30" t="s">
        <v>7487</v>
      </c>
      <c r="D1341" s="61" t="s">
        <v>7488</v>
      </c>
      <c r="E1341" s="2"/>
      <c r="F1341" s="57"/>
      <c r="G1341" s="63" t="s">
        <v>7489</v>
      </c>
      <c r="H1341" s="59">
        <v>999</v>
      </c>
    </row>
    <row r="1342" spans="1:8" ht="112.5" customHeight="1" x14ac:dyDescent="0.15">
      <c r="A1342" s="54">
        <v>1066</v>
      </c>
      <c r="B1342" s="55" t="s">
        <v>3513</v>
      </c>
      <c r="C1342" s="55" t="s">
        <v>7490</v>
      </c>
      <c r="D1342" s="56" t="s">
        <v>7491</v>
      </c>
      <c r="E1342" s="2"/>
      <c r="F1342" s="57"/>
      <c r="G1342" s="64" t="s">
        <v>7492</v>
      </c>
      <c r="H1342" s="59">
        <v>958</v>
      </c>
    </row>
    <row r="1343" spans="1:8" ht="112.5" customHeight="1" x14ac:dyDescent="0.15">
      <c r="A1343" s="60">
        <v>1065</v>
      </c>
      <c r="B1343" s="30" t="s">
        <v>3513</v>
      </c>
      <c r="C1343" s="30" t="s">
        <v>7493</v>
      </c>
      <c r="D1343" s="61" t="s">
        <v>7494</v>
      </c>
      <c r="E1343" s="2"/>
      <c r="F1343" s="57"/>
      <c r="G1343" s="63" t="s">
        <v>7495</v>
      </c>
      <c r="H1343" s="59">
        <v>0</v>
      </c>
    </row>
    <row r="1344" spans="1:8" ht="112.5" customHeight="1" x14ac:dyDescent="0.15">
      <c r="A1344" s="54">
        <v>1064</v>
      </c>
      <c r="B1344" s="55" t="s">
        <v>3822</v>
      </c>
      <c r="C1344" s="55" t="s">
        <v>7496</v>
      </c>
      <c r="D1344" s="56" t="s">
        <v>7497</v>
      </c>
      <c r="E1344" s="2"/>
      <c r="F1344" s="57"/>
      <c r="G1344" s="64" t="s">
        <v>7498</v>
      </c>
      <c r="H1344" s="59">
        <v>1</v>
      </c>
    </row>
    <row r="1345" spans="1:8" ht="112.5" customHeight="1" x14ac:dyDescent="0.15">
      <c r="A1345" s="60">
        <v>1063</v>
      </c>
      <c r="B1345" s="30" t="s">
        <v>3496</v>
      </c>
      <c r="C1345" s="30" t="s">
        <v>7499</v>
      </c>
      <c r="D1345" s="61" t="s">
        <v>7500</v>
      </c>
      <c r="E1345" s="2"/>
      <c r="F1345" s="57"/>
      <c r="G1345" s="63" t="s">
        <v>7501</v>
      </c>
      <c r="H1345" s="59">
        <v>85</v>
      </c>
    </row>
    <row r="1346" spans="1:8" ht="112.5" customHeight="1" x14ac:dyDescent="0.15">
      <c r="A1346" s="54">
        <v>3410</v>
      </c>
      <c r="B1346" s="55" t="s">
        <v>3670</v>
      </c>
      <c r="C1346" s="55" t="s">
        <v>7502</v>
      </c>
      <c r="D1346" s="56" t="s">
        <v>7503</v>
      </c>
      <c r="E1346" s="2"/>
      <c r="F1346" s="57"/>
      <c r="G1346" s="64" t="s">
        <v>7504</v>
      </c>
      <c r="H1346" s="59">
        <v>1</v>
      </c>
    </row>
    <row r="1347" spans="1:8" ht="112.5" customHeight="1" x14ac:dyDescent="0.15">
      <c r="A1347" s="60">
        <v>3409</v>
      </c>
      <c r="B1347" s="30" t="s">
        <v>3670</v>
      </c>
      <c r="C1347" s="30" t="s">
        <v>7505</v>
      </c>
      <c r="D1347" s="61" t="s">
        <v>7506</v>
      </c>
      <c r="E1347" s="2"/>
      <c r="F1347" s="57"/>
      <c r="G1347" s="63" t="s">
        <v>7507</v>
      </c>
      <c r="H1347" s="59">
        <v>959</v>
      </c>
    </row>
    <row r="1348" spans="1:8" ht="112.5" customHeight="1" x14ac:dyDescent="0.15">
      <c r="A1348" s="54">
        <v>1062</v>
      </c>
      <c r="B1348" s="55" t="s">
        <v>3818</v>
      </c>
      <c r="C1348" s="55" t="s">
        <v>7508</v>
      </c>
      <c r="D1348" s="56" t="s">
        <v>7509</v>
      </c>
      <c r="E1348" s="2"/>
      <c r="F1348" s="57"/>
      <c r="G1348" s="64" t="s">
        <v>7510</v>
      </c>
      <c r="H1348" s="59">
        <v>0</v>
      </c>
    </row>
    <row r="1349" spans="1:8" ht="112.5" customHeight="1" x14ac:dyDescent="0.15">
      <c r="A1349" s="60">
        <v>1059</v>
      </c>
      <c r="B1349" s="30" t="s">
        <v>3818</v>
      </c>
      <c r="C1349" s="30" t="s">
        <v>7511</v>
      </c>
      <c r="D1349" s="61" t="s">
        <v>7512</v>
      </c>
      <c r="E1349" s="2"/>
      <c r="F1349" s="57"/>
      <c r="G1349" s="63" t="s">
        <v>7513</v>
      </c>
      <c r="H1349" s="59">
        <v>980</v>
      </c>
    </row>
    <row r="1350" spans="1:8" ht="112.5" customHeight="1" x14ac:dyDescent="0.15">
      <c r="A1350" s="60">
        <v>3321</v>
      </c>
      <c r="B1350" s="30" t="s">
        <v>3526</v>
      </c>
      <c r="C1350" s="30" t="s">
        <v>7514</v>
      </c>
      <c r="D1350" s="61" t="s">
        <v>7515</v>
      </c>
      <c r="E1350" s="2"/>
      <c r="F1350" s="57"/>
      <c r="G1350" s="64" t="s">
        <v>7516</v>
      </c>
      <c r="H1350" s="59">
        <v>0</v>
      </c>
    </row>
    <row r="1351" spans="1:8" ht="112.5" customHeight="1" x14ac:dyDescent="0.15">
      <c r="A1351" s="54">
        <v>1058</v>
      </c>
      <c r="B1351" s="55" t="s">
        <v>3526</v>
      </c>
      <c r="C1351" s="55" t="s">
        <v>7517</v>
      </c>
      <c r="D1351" s="56" t="s">
        <v>7518</v>
      </c>
      <c r="E1351" s="2"/>
      <c r="F1351" s="57"/>
      <c r="G1351" s="63" t="s">
        <v>7519</v>
      </c>
      <c r="H1351" s="59">
        <v>991</v>
      </c>
    </row>
    <row r="1352" spans="1:8" ht="112.5" customHeight="1" x14ac:dyDescent="0.15">
      <c r="A1352" s="60">
        <v>1057</v>
      </c>
      <c r="B1352" s="30" t="s">
        <v>3513</v>
      </c>
      <c r="C1352" s="30" t="s">
        <v>7520</v>
      </c>
      <c r="D1352" s="61" t="s">
        <v>7521</v>
      </c>
      <c r="E1352" s="2"/>
      <c r="F1352" s="57"/>
      <c r="G1352" s="64" t="s">
        <v>7522</v>
      </c>
      <c r="H1352" s="59">
        <v>0</v>
      </c>
    </row>
    <row r="1353" spans="1:8" ht="112.5" customHeight="1" x14ac:dyDescent="0.15">
      <c r="A1353" s="60">
        <v>985</v>
      </c>
      <c r="B1353" s="30" t="s">
        <v>3513</v>
      </c>
      <c r="C1353" s="30" t="s">
        <v>7523</v>
      </c>
      <c r="D1353" s="61" t="s">
        <v>7524</v>
      </c>
      <c r="E1353" s="2"/>
      <c r="F1353" s="57"/>
      <c r="G1353" s="63" t="s">
        <v>7525</v>
      </c>
      <c r="H1353" s="59">
        <v>998</v>
      </c>
    </row>
    <row r="1354" spans="1:8" ht="112.5" customHeight="1" x14ac:dyDescent="0.15">
      <c r="A1354" s="60">
        <v>3397</v>
      </c>
      <c r="B1354" s="30" t="s">
        <v>3496</v>
      </c>
      <c r="C1354" s="30" t="s">
        <v>7526</v>
      </c>
      <c r="D1354" s="61" t="s">
        <v>7527</v>
      </c>
      <c r="E1354" s="2"/>
      <c r="F1354" s="57"/>
      <c r="G1354" s="64" t="s">
        <v>7528</v>
      </c>
      <c r="H1354" s="59">
        <v>446</v>
      </c>
    </row>
    <row r="1355" spans="1:8" ht="112.5" customHeight="1" x14ac:dyDescent="0.15">
      <c r="A1355" s="60">
        <v>1013</v>
      </c>
      <c r="B1355" s="30" t="s">
        <v>3670</v>
      </c>
      <c r="C1355" s="30" t="s">
        <v>7529</v>
      </c>
      <c r="D1355" s="61" t="s">
        <v>7530</v>
      </c>
      <c r="E1355" s="2"/>
      <c r="F1355" s="57"/>
      <c r="G1355" s="63" t="s">
        <v>7531</v>
      </c>
      <c r="H1355" s="59">
        <v>991</v>
      </c>
    </row>
    <row r="1356" spans="1:8" ht="112.5" customHeight="1" x14ac:dyDescent="0.15">
      <c r="A1356" s="54">
        <v>1012</v>
      </c>
      <c r="B1356" s="55" t="s">
        <v>3556</v>
      </c>
      <c r="C1356" s="55" t="s">
        <v>7532</v>
      </c>
      <c r="D1356" s="56" t="s">
        <v>7533</v>
      </c>
      <c r="E1356" s="2"/>
      <c r="F1356" s="57"/>
      <c r="G1356" s="64" t="s">
        <v>7534</v>
      </c>
      <c r="H1356" s="59">
        <v>992</v>
      </c>
    </row>
    <row r="1357" spans="1:8" ht="112.5" customHeight="1" x14ac:dyDescent="0.15">
      <c r="A1357" s="60">
        <v>1011</v>
      </c>
      <c r="B1357" s="30" t="s">
        <v>3533</v>
      </c>
      <c r="C1357" s="30" t="s">
        <v>7535</v>
      </c>
      <c r="D1357" s="61" t="s">
        <v>7536</v>
      </c>
      <c r="E1357" s="2"/>
      <c r="F1357" s="57"/>
      <c r="G1357" s="63" t="s">
        <v>7537</v>
      </c>
      <c r="H1357" s="59">
        <v>0</v>
      </c>
    </row>
    <row r="1358" spans="1:8" ht="112.5" customHeight="1" x14ac:dyDescent="0.15">
      <c r="A1358" s="54">
        <v>1010</v>
      </c>
      <c r="B1358" s="55" t="s">
        <v>3670</v>
      </c>
      <c r="C1358" s="55" t="s">
        <v>7538</v>
      </c>
      <c r="D1358" s="56" t="s">
        <v>7539</v>
      </c>
      <c r="E1358" s="2"/>
      <c r="F1358" s="57"/>
      <c r="G1358" s="64" t="s">
        <v>7540</v>
      </c>
      <c r="H1358" s="59">
        <v>999</v>
      </c>
    </row>
    <row r="1359" spans="1:8" ht="112.5" customHeight="1" x14ac:dyDescent="0.15">
      <c r="A1359" s="54">
        <v>3226</v>
      </c>
      <c r="B1359" s="55" t="s">
        <v>3496</v>
      </c>
      <c r="C1359" s="55" t="s">
        <v>7541</v>
      </c>
      <c r="D1359" s="56" t="s">
        <v>7542</v>
      </c>
      <c r="E1359" s="2"/>
      <c r="F1359" s="57"/>
      <c r="G1359" s="63" t="s">
        <v>7543</v>
      </c>
      <c r="H1359" s="59">
        <v>99.968000000000004</v>
      </c>
    </row>
    <row r="1360" spans="1:8" ht="112.5" customHeight="1" x14ac:dyDescent="0.15">
      <c r="A1360" s="60">
        <v>3225</v>
      </c>
      <c r="B1360" s="30" t="s">
        <v>3496</v>
      </c>
      <c r="C1360" s="30" t="s">
        <v>7544</v>
      </c>
      <c r="D1360" s="61" t="s">
        <v>7545</v>
      </c>
      <c r="E1360" s="2"/>
      <c r="F1360" s="57"/>
      <c r="G1360" s="64" t="s">
        <v>7546</v>
      </c>
      <c r="H1360" s="59">
        <v>964</v>
      </c>
    </row>
    <row r="1361" spans="1:13" ht="112.5" customHeight="1" x14ac:dyDescent="0.15">
      <c r="A1361" s="60">
        <v>1009</v>
      </c>
      <c r="B1361" s="30" t="s">
        <v>3599</v>
      </c>
      <c r="C1361" s="30" t="s">
        <v>7547</v>
      </c>
      <c r="D1361" s="61" t="s">
        <v>7548</v>
      </c>
      <c r="E1361" s="2"/>
      <c r="F1361" s="57"/>
      <c r="G1361" s="63" t="s">
        <v>7549</v>
      </c>
      <c r="H1361" s="59">
        <v>992</v>
      </c>
    </row>
    <row r="1362" spans="1:13" ht="112.5" customHeight="1" x14ac:dyDescent="0.15">
      <c r="A1362" s="54">
        <v>1008</v>
      </c>
      <c r="B1362" s="55" t="s">
        <v>3502</v>
      </c>
      <c r="C1362" s="55" t="s">
        <v>7550</v>
      </c>
      <c r="D1362" s="56" t="s">
        <v>7551</v>
      </c>
      <c r="E1362" s="2"/>
      <c r="F1362" s="57"/>
      <c r="G1362" s="64" t="s">
        <v>7552</v>
      </c>
      <c r="H1362" s="59">
        <v>995</v>
      </c>
    </row>
    <row r="1363" spans="1:13" ht="112.5" customHeight="1" x14ac:dyDescent="0.15">
      <c r="A1363" s="54">
        <v>1006</v>
      </c>
      <c r="B1363" s="55" t="s">
        <v>3549</v>
      </c>
      <c r="C1363" s="55" t="s">
        <v>7553</v>
      </c>
      <c r="D1363" s="56" t="s">
        <v>7554</v>
      </c>
      <c r="E1363" s="2"/>
      <c r="F1363" s="57"/>
      <c r="G1363" s="63" t="s">
        <v>7555</v>
      </c>
      <c r="H1363" s="59">
        <v>0</v>
      </c>
    </row>
    <row r="1364" spans="1:13" ht="112.5" customHeight="1" x14ac:dyDescent="0.15">
      <c r="A1364" s="60">
        <v>1007</v>
      </c>
      <c r="B1364" s="30" t="s">
        <v>3556</v>
      </c>
      <c r="C1364" s="30" t="s">
        <v>7556</v>
      </c>
      <c r="D1364" s="61" t="s">
        <v>7557</v>
      </c>
      <c r="E1364" s="2"/>
      <c r="F1364" s="57"/>
      <c r="G1364" s="64" t="s">
        <v>7558</v>
      </c>
      <c r="H1364" s="59">
        <v>1</v>
      </c>
    </row>
    <row r="1365" spans="1:13" ht="112.5" customHeight="1" x14ac:dyDescent="0.15">
      <c r="A1365" s="60">
        <v>1001</v>
      </c>
      <c r="B1365" s="30" t="s">
        <v>3496</v>
      </c>
      <c r="C1365" s="30" t="s">
        <v>7559</v>
      </c>
      <c r="D1365" s="61" t="s">
        <v>7560</v>
      </c>
      <c r="E1365" s="2"/>
      <c r="F1365" s="57"/>
      <c r="G1365" s="63" t="s">
        <v>7561</v>
      </c>
      <c r="H1365" s="59">
        <v>997</v>
      </c>
    </row>
    <row r="1366" spans="1:13" ht="112.5" customHeight="1" x14ac:dyDescent="0.15">
      <c r="A1366" s="60">
        <v>3257</v>
      </c>
      <c r="B1366" s="30" t="s">
        <v>3496</v>
      </c>
      <c r="C1366" s="30" t="s">
        <v>7562</v>
      </c>
      <c r="D1366" s="61" t="s">
        <v>7563</v>
      </c>
      <c r="E1366" s="2"/>
      <c r="F1366" s="57"/>
      <c r="G1366" s="64" t="s">
        <v>7564</v>
      </c>
      <c r="H1366" s="59">
        <v>0</v>
      </c>
    </row>
    <row r="1367" spans="1:13" ht="112.5" customHeight="1" x14ac:dyDescent="0.15">
      <c r="A1367" s="60">
        <v>1139</v>
      </c>
      <c r="B1367" s="30" t="s">
        <v>3513</v>
      </c>
      <c r="C1367" s="30" t="s">
        <v>7565</v>
      </c>
      <c r="D1367" s="61" t="s">
        <v>7566</v>
      </c>
      <c r="E1367" s="2"/>
      <c r="F1367" s="57"/>
      <c r="G1367" s="63" t="s">
        <v>7567</v>
      </c>
      <c r="H1367" s="59">
        <v>0</v>
      </c>
    </row>
    <row r="1368" spans="1:13" ht="112.5" customHeight="1" x14ac:dyDescent="0.15">
      <c r="A1368" s="54">
        <v>1138</v>
      </c>
      <c r="B1368" s="55" t="s">
        <v>3513</v>
      </c>
      <c r="C1368" s="55" t="s">
        <v>7568</v>
      </c>
      <c r="D1368" s="56" t="s">
        <v>7569</v>
      </c>
      <c r="E1368" s="2"/>
      <c r="F1368" s="57"/>
      <c r="G1368" s="64" t="s">
        <v>7570</v>
      </c>
      <c r="H1368" s="59">
        <v>0</v>
      </c>
    </row>
    <row r="1369" spans="1:13" ht="112.5" customHeight="1" x14ac:dyDescent="0.15">
      <c r="A1369" s="60">
        <v>1137</v>
      </c>
      <c r="B1369" s="30" t="s">
        <v>3513</v>
      </c>
      <c r="C1369" s="30" t="s">
        <v>7571</v>
      </c>
      <c r="D1369" s="61" t="s">
        <v>7572</v>
      </c>
      <c r="E1369" s="2"/>
      <c r="F1369" s="57"/>
      <c r="G1369" s="63" t="s">
        <v>7573</v>
      </c>
      <c r="H1369" s="59">
        <v>0</v>
      </c>
    </row>
    <row r="1370" spans="1:13" ht="112.5" customHeight="1" x14ac:dyDescent="0.15">
      <c r="A1370" s="60">
        <v>1061</v>
      </c>
      <c r="B1370" s="30" t="s">
        <v>3749</v>
      </c>
      <c r="C1370" s="30" t="s">
        <v>7574</v>
      </c>
      <c r="D1370" s="61" t="s">
        <v>7575</v>
      </c>
      <c r="E1370" s="2"/>
      <c r="F1370" s="57"/>
      <c r="G1370" s="64" t="s">
        <v>7576</v>
      </c>
      <c r="H1370" s="59">
        <v>0</v>
      </c>
    </row>
    <row r="1371" spans="1:13" ht="112.5" customHeight="1" x14ac:dyDescent="0.15">
      <c r="A1371" s="60">
        <v>3209</v>
      </c>
      <c r="B1371" s="30" t="s">
        <v>3496</v>
      </c>
      <c r="C1371" s="30" t="s">
        <v>7577</v>
      </c>
      <c r="D1371" s="61" t="s">
        <v>7578</v>
      </c>
      <c r="E1371" s="2"/>
      <c r="F1371" s="57"/>
      <c r="G1371" s="63" t="s">
        <v>7579</v>
      </c>
      <c r="H1371" s="59">
        <v>953</v>
      </c>
    </row>
    <row r="1372" spans="1:13" ht="112.5" customHeight="1" x14ac:dyDescent="0.15">
      <c r="A1372" s="54">
        <v>1060</v>
      </c>
      <c r="B1372" s="55" t="s">
        <v>3502</v>
      </c>
      <c r="C1372" s="55" t="s">
        <v>7580</v>
      </c>
      <c r="D1372" s="56" t="s">
        <v>7581</v>
      </c>
      <c r="E1372" s="2"/>
      <c r="F1372" s="57"/>
      <c r="G1372" s="64" t="s">
        <v>7582</v>
      </c>
      <c r="H1372" s="59">
        <v>997</v>
      </c>
    </row>
    <row r="1373" spans="1:13" ht="112.5" customHeight="1" x14ac:dyDescent="0.15">
      <c r="A1373" s="54">
        <v>1136</v>
      </c>
      <c r="B1373" s="55" t="s">
        <v>3513</v>
      </c>
      <c r="C1373" s="55" t="s">
        <v>7583</v>
      </c>
      <c r="D1373" s="56" t="s">
        <v>7584</v>
      </c>
      <c r="E1373" s="2"/>
      <c r="F1373" s="57"/>
      <c r="G1373" s="63" t="s">
        <v>7585</v>
      </c>
      <c r="H1373" s="59">
        <v>999</v>
      </c>
    </row>
    <row r="1374" spans="1:13" ht="112.5" customHeight="1" x14ac:dyDescent="0.15">
      <c r="A1374" s="60">
        <v>1135</v>
      </c>
      <c r="B1374" s="30" t="s">
        <v>3502</v>
      </c>
      <c r="C1374" s="30" t="s">
        <v>7586</v>
      </c>
      <c r="D1374" s="61" t="s">
        <v>7587</v>
      </c>
      <c r="E1374" s="2"/>
      <c r="F1374" s="57"/>
      <c r="G1374" s="64" t="s">
        <v>7588</v>
      </c>
      <c r="H1374" s="59">
        <v>995</v>
      </c>
    </row>
    <row r="1375" spans="1:13" ht="112.5" customHeight="1" x14ac:dyDescent="0.15">
      <c r="A1375" s="54">
        <v>1134</v>
      </c>
      <c r="B1375" s="55" t="s">
        <v>3556</v>
      </c>
      <c r="C1375" s="55" t="s">
        <v>7589</v>
      </c>
      <c r="D1375" s="56" t="s">
        <v>7590</v>
      </c>
      <c r="E1375" s="2"/>
      <c r="F1375" s="57"/>
      <c r="G1375" s="62" t="s">
        <v>7591</v>
      </c>
      <c r="H1375" s="59">
        <v>0</v>
      </c>
      <c r="I1375" s="29"/>
      <c r="J1375" s="29"/>
      <c r="K1375" s="29"/>
      <c r="L1375" s="29"/>
      <c r="M1375" s="29"/>
    </row>
    <row r="1376" spans="1:13" ht="112.5" customHeight="1" x14ac:dyDescent="0.15">
      <c r="A1376" s="54">
        <v>1132</v>
      </c>
      <c r="B1376" s="55" t="s">
        <v>3502</v>
      </c>
      <c r="C1376" s="55" t="s">
        <v>7592</v>
      </c>
      <c r="D1376" s="56" t="s">
        <v>7593</v>
      </c>
      <c r="E1376" s="2"/>
      <c r="F1376" s="57"/>
      <c r="G1376" s="64" t="s">
        <v>7594</v>
      </c>
      <c r="H1376" s="59">
        <v>990</v>
      </c>
    </row>
    <row r="1377" spans="1:8" ht="112.5" customHeight="1" x14ac:dyDescent="0.15">
      <c r="A1377" s="60">
        <v>1133</v>
      </c>
      <c r="B1377" s="30" t="s">
        <v>3502</v>
      </c>
      <c r="C1377" s="30" t="s">
        <v>7595</v>
      </c>
      <c r="D1377" s="61" t="s">
        <v>7596</v>
      </c>
      <c r="E1377" s="2"/>
      <c r="F1377" s="57"/>
      <c r="G1377" s="63" t="s">
        <v>7597</v>
      </c>
      <c r="H1377" s="59">
        <v>1</v>
      </c>
    </row>
    <row r="1378" spans="1:8" ht="112.5" customHeight="1" x14ac:dyDescent="0.15">
      <c r="A1378" s="60">
        <v>1131</v>
      </c>
      <c r="B1378" s="30" t="s">
        <v>3502</v>
      </c>
      <c r="C1378" s="30" t="s">
        <v>7598</v>
      </c>
      <c r="D1378" s="61" t="s">
        <v>7599</v>
      </c>
      <c r="E1378" s="2"/>
      <c r="F1378" s="57"/>
      <c r="G1378" s="64" t="s">
        <v>7600</v>
      </c>
      <c r="H1378" s="59">
        <v>1</v>
      </c>
    </row>
    <row r="1379" spans="1:8" ht="112.5" customHeight="1" x14ac:dyDescent="0.15">
      <c r="A1379" s="60">
        <v>3303</v>
      </c>
      <c r="B1379" s="30" t="s">
        <v>3549</v>
      </c>
      <c r="C1379" s="30" t="s">
        <v>7601</v>
      </c>
      <c r="D1379" s="61" t="s">
        <v>7602</v>
      </c>
      <c r="E1379" s="2"/>
      <c r="F1379" s="57"/>
      <c r="G1379" s="63" t="s">
        <v>7603</v>
      </c>
      <c r="H1379" s="59">
        <v>1</v>
      </c>
    </row>
    <row r="1380" spans="1:8" ht="112.5" customHeight="1" x14ac:dyDescent="0.15">
      <c r="A1380" s="54">
        <v>1130</v>
      </c>
      <c r="B1380" s="55" t="s">
        <v>3749</v>
      </c>
      <c r="C1380" s="55" t="s">
        <v>7604</v>
      </c>
      <c r="D1380" s="56" t="s">
        <v>7605</v>
      </c>
      <c r="E1380" s="2"/>
      <c r="F1380" s="57"/>
      <c r="G1380" s="64" t="s">
        <v>7606</v>
      </c>
      <c r="H1380" s="59">
        <v>995</v>
      </c>
    </row>
    <row r="1381" spans="1:8" ht="112.5" customHeight="1" x14ac:dyDescent="0.15">
      <c r="A1381" s="60">
        <v>1129</v>
      </c>
      <c r="B1381" s="30" t="s">
        <v>3749</v>
      </c>
      <c r="C1381" s="30" t="s">
        <v>7607</v>
      </c>
      <c r="D1381" s="61" t="s">
        <v>7608</v>
      </c>
      <c r="E1381" s="2"/>
      <c r="F1381" s="57"/>
      <c r="G1381" s="63" t="s">
        <v>7609</v>
      </c>
      <c r="H1381" s="59">
        <v>0</v>
      </c>
    </row>
    <row r="1382" spans="1:8" ht="112.5" customHeight="1" x14ac:dyDescent="0.15">
      <c r="A1382" s="54">
        <v>1128</v>
      </c>
      <c r="B1382" s="55" t="s">
        <v>3513</v>
      </c>
      <c r="C1382" s="55" t="s">
        <v>7610</v>
      </c>
      <c r="D1382" s="56" t="s">
        <v>7611</v>
      </c>
      <c r="E1382" s="2"/>
      <c r="F1382" s="57"/>
      <c r="G1382" s="64" t="s">
        <v>7612</v>
      </c>
      <c r="H1382" s="59">
        <v>982</v>
      </c>
    </row>
    <row r="1383" spans="1:8" ht="112.5" customHeight="1" x14ac:dyDescent="0.15">
      <c r="A1383" s="60">
        <v>1127</v>
      </c>
      <c r="B1383" s="30" t="s">
        <v>3513</v>
      </c>
      <c r="C1383" s="30" t="s">
        <v>7613</v>
      </c>
      <c r="D1383" s="61" t="s">
        <v>7614</v>
      </c>
      <c r="E1383" s="2"/>
      <c r="F1383" s="57"/>
      <c r="G1383" s="63" t="s">
        <v>7615</v>
      </c>
      <c r="H1383" s="59">
        <v>945</v>
      </c>
    </row>
    <row r="1384" spans="1:8" ht="112.5" customHeight="1" x14ac:dyDescent="0.15">
      <c r="A1384" s="54">
        <v>1126</v>
      </c>
      <c r="B1384" s="55" t="s">
        <v>3513</v>
      </c>
      <c r="C1384" s="55" t="s">
        <v>7616</v>
      </c>
      <c r="D1384" s="56" t="s">
        <v>7617</v>
      </c>
      <c r="E1384" s="2"/>
      <c r="F1384" s="57"/>
      <c r="G1384" s="64" t="s">
        <v>7618</v>
      </c>
      <c r="H1384" s="59">
        <v>990</v>
      </c>
    </row>
    <row r="1385" spans="1:8" ht="112.5" customHeight="1" x14ac:dyDescent="0.15">
      <c r="A1385" s="60">
        <v>1125</v>
      </c>
      <c r="B1385" s="30" t="s">
        <v>3513</v>
      </c>
      <c r="C1385" s="30" t="s">
        <v>7619</v>
      </c>
      <c r="D1385" s="61" t="s">
        <v>7620</v>
      </c>
      <c r="E1385" s="2"/>
      <c r="F1385" s="57"/>
      <c r="G1385" s="63" t="s">
        <v>7621</v>
      </c>
      <c r="H1385" s="59">
        <v>1</v>
      </c>
    </row>
    <row r="1386" spans="1:8" ht="112.5" customHeight="1" x14ac:dyDescent="0.15">
      <c r="A1386" s="54">
        <v>1124</v>
      </c>
      <c r="B1386" s="55" t="s">
        <v>3502</v>
      </c>
      <c r="C1386" s="55" t="s">
        <v>7622</v>
      </c>
      <c r="D1386" s="56" t="s">
        <v>7623</v>
      </c>
      <c r="E1386" s="2"/>
      <c r="F1386" s="57"/>
      <c r="G1386" s="64" t="s">
        <v>7624</v>
      </c>
      <c r="H1386" s="59">
        <v>0</v>
      </c>
    </row>
    <row r="1387" spans="1:8" ht="112.5" customHeight="1" x14ac:dyDescent="0.15">
      <c r="A1387" s="60">
        <v>1123</v>
      </c>
      <c r="B1387" s="30" t="s">
        <v>3670</v>
      </c>
      <c r="C1387" s="30" t="s">
        <v>7625</v>
      </c>
      <c r="D1387" s="61" t="s">
        <v>7626</v>
      </c>
      <c r="E1387" s="2"/>
      <c r="F1387" s="57"/>
      <c r="G1387" s="63" t="s">
        <v>7627</v>
      </c>
      <c r="H1387" s="59">
        <v>1</v>
      </c>
    </row>
    <row r="1388" spans="1:8" ht="112.5" customHeight="1" x14ac:dyDescent="0.15">
      <c r="A1388" s="54">
        <v>1122</v>
      </c>
      <c r="B1388" s="55" t="s">
        <v>3556</v>
      </c>
      <c r="C1388" s="55" t="s">
        <v>7628</v>
      </c>
      <c r="D1388" s="56" t="s">
        <v>7629</v>
      </c>
      <c r="E1388" s="2"/>
      <c r="F1388" s="57"/>
      <c r="G1388" s="64" t="s">
        <v>7630</v>
      </c>
      <c r="H1388" s="59">
        <v>996</v>
      </c>
    </row>
    <row r="1389" spans="1:8" ht="112.5" customHeight="1" x14ac:dyDescent="0.15">
      <c r="A1389" s="54">
        <v>3320</v>
      </c>
      <c r="B1389" s="55" t="s">
        <v>3496</v>
      </c>
      <c r="C1389" s="55" t="s">
        <v>7631</v>
      </c>
      <c r="D1389" s="56" t="s">
        <v>7632</v>
      </c>
      <c r="E1389" s="2"/>
      <c r="F1389" s="57"/>
      <c r="G1389" s="63" t="s">
        <v>7633</v>
      </c>
      <c r="H1389" s="59">
        <v>988</v>
      </c>
    </row>
    <row r="1390" spans="1:8" ht="112.5" customHeight="1" x14ac:dyDescent="0.15">
      <c r="A1390" s="60">
        <v>3319</v>
      </c>
      <c r="B1390" s="30" t="s">
        <v>3496</v>
      </c>
      <c r="C1390" s="30" t="s">
        <v>7634</v>
      </c>
      <c r="D1390" s="61" t="s">
        <v>7635</v>
      </c>
      <c r="E1390" s="2"/>
      <c r="F1390" s="57"/>
      <c r="G1390" s="64" t="s">
        <v>7636</v>
      </c>
      <c r="H1390" s="59">
        <v>998</v>
      </c>
    </row>
    <row r="1391" spans="1:8" ht="112.5" customHeight="1" x14ac:dyDescent="0.15">
      <c r="A1391" s="54">
        <v>1120</v>
      </c>
      <c r="B1391" s="55" t="s">
        <v>3496</v>
      </c>
      <c r="C1391" s="55" t="s">
        <v>7637</v>
      </c>
      <c r="D1391" s="56" t="s">
        <v>7638</v>
      </c>
      <c r="E1391" s="2"/>
      <c r="F1391" s="57"/>
      <c r="G1391" s="63" t="s">
        <v>7639</v>
      </c>
      <c r="H1391" s="59">
        <v>993</v>
      </c>
    </row>
    <row r="1392" spans="1:8" ht="112.5" customHeight="1" x14ac:dyDescent="0.15">
      <c r="A1392" s="60">
        <v>1119</v>
      </c>
      <c r="B1392" s="30" t="s">
        <v>3502</v>
      </c>
      <c r="C1392" s="30" t="s">
        <v>7640</v>
      </c>
      <c r="D1392" s="61" t="s">
        <v>7641</v>
      </c>
      <c r="E1392" s="2"/>
      <c r="F1392" s="57"/>
      <c r="G1392" s="64" t="s">
        <v>7642</v>
      </c>
      <c r="H1392" s="59">
        <v>1</v>
      </c>
    </row>
    <row r="1393" spans="1:8" ht="112.5" customHeight="1" x14ac:dyDescent="0.15">
      <c r="A1393" s="54">
        <v>1118</v>
      </c>
      <c r="B1393" s="55" t="s">
        <v>3496</v>
      </c>
      <c r="C1393" s="55" t="s">
        <v>7643</v>
      </c>
      <c r="D1393" s="56" t="s">
        <v>7644</v>
      </c>
      <c r="E1393" s="2"/>
      <c r="F1393" s="57"/>
      <c r="G1393" s="63" t="s">
        <v>4556</v>
      </c>
      <c r="H1393" s="59">
        <v>978</v>
      </c>
    </row>
    <row r="1394" spans="1:8" ht="112.5" customHeight="1" x14ac:dyDescent="0.15">
      <c r="A1394" s="60">
        <v>3419</v>
      </c>
      <c r="B1394" s="30" t="s">
        <v>3496</v>
      </c>
      <c r="C1394" s="30" t="s">
        <v>7645</v>
      </c>
      <c r="D1394" s="61" t="s">
        <v>7646</v>
      </c>
      <c r="E1394" s="2"/>
      <c r="F1394" s="57"/>
      <c r="G1394" s="64" t="s">
        <v>4553</v>
      </c>
      <c r="H1394" s="59">
        <v>1</v>
      </c>
    </row>
    <row r="1395" spans="1:8" ht="112.5" customHeight="1" x14ac:dyDescent="0.15">
      <c r="A1395" s="60">
        <v>1117</v>
      </c>
      <c r="B1395" s="30" t="s">
        <v>3749</v>
      </c>
      <c r="C1395" s="30" t="s">
        <v>7647</v>
      </c>
      <c r="D1395" s="61" t="s">
        <v>7648</v>
      </c>
      <c r="E1395" s="2"/>
      <c r="F1395" s="57"/>
      <c r="G1395" s="63" t="s">
        <v>7649</v>
      </c>
      <c r="H1395" s="59">
        <v>973</v>
      </c>
    </row>
    <row r="1396" spans="1:8" ht="112.5" customHeight="1" x14ac:dyDescent="0.15">
      <c r="A1396" s="54">
        <v>1116</v>
      </c>
      <c r="B1396" s="55" t="s">
        <v>3492</v>
      </c>
      <c r="C1396" s="55" t="s">
        <v>7650</v>
      </c>
      <c r="D1396" s="56" t="s">
        <v>7651</v>
      </c>
      <c r="E1396" s="2"/>
      <c r="F1396" s="57"/>
      <c r="G1396" s="64" t="s">
        <v>7652</v>
      </c>
      <c r="H1396" s="59">
        <v>0</v>
      </c>
    </row>
    <row r="1397" spans="1:8" ht="112.5" customHeight="1" x14ac:dyDescent="0.15">
      <c r="A1397" s="60">
        <v>1115</v>
      </c>
      <c r="B1397" s="30" t="s">
        <v>3513</v>
      </c>
      <c r="C1397" s="30" t="s">
        <v>7653</v>
      </c>
      <c r="D1397" s="61" t="s">
        <v>7654</v>
      </c>
      <c r="E1397" s="2"/>
      <c r="F1397" s="57"/>
      <c r="G1397" s="63" t="s">
        <v>7655</v>
      </c>
      <c r="H1397" s="59">
        <v>1</v>
      </c>
    </row>
    <row r="1398" spans="1:8" ht="112.5" customHeight="1" x14ac:dyDescent="0.15">
      <c r="A1398" s="54">
        <v>1114</v>
      </c>
      <c r="B1398" s="55" t="s">
        <v>3556</v>
      </c>
      <c r="C1398" s="55" t="s">
        <v>7656</v>
      </c>
      <c r="D1398" s="56" t="s">
        <v>7657</v>
      </c>
      <c r="E1398" s="2"/>
      <c r="F1398" s="57"/>
      <c r="G1398" s="64" t="s">
        <v>7658</v>
      </c>
      <c r="H1398" s="59">
        <v>1</v>
      </c>
    </row>
    <row r="1399" spans="1:8" ht="112.5" customHeight="1" x14ac:dyDescent="0.15">
      <c r="A1399" s="60">
        <v>1113</v>
      </c>
      <c r="B1399" s="30" t="s">
        <v>3749</v>
      </c>
      <c r="C1399" s="30" t="s">
        <v>7659</v>
      </c>
      <c r="D1399" s="61" t="s">
        <v>7660</v>
      </c>
      <c r="E1399" s="2"/>
      <c r="F1399" s="57"/>
      <c r="G1399" s="63" t="s">
        <v>7661</v>
      </c>
      <c r="H1399" s="59">
        <v>998</v>
      </c>
    </row>
    <row r="1400" spans="1:8" ht="112.5" customHeight="1" x14ac:dyDescent="0.15">
      <c r="A1400" s="54">
        <v>1112</v>
      </c>
      <c r="B1400" s="55" t="s">
        <v>3749</v>
      </c>
      <c r="C1400" s="55" t="s">
        <v>7662</v>
      </c>
      <c r="D1400" s="56" t="s">
        <v>7663</v>
      </c>
      <c r="E1400" s="2"/>
      <c r="F1400" s="57"/>
      <c r="G1400" s="64" t="s">
        <v>7664</v>
      </c>
      <c r="H1400" s="59">
        <v>999</v>
      </c>
    </row>
    <row r="1401" spans="1:8" ht="112.5" customHeight="1" x14ac:dyDescent="0.15">
      <c r="A1401" s="60">
        <v>1111</v>
      </c>
      <c r="B1401" s="30" t="s">
        <v>4334</v>
      </c>
      <c r="C1401" s="30" t="s">
        <v>7665</v>
      </c>
      <c r="D1401" s="61" t="s">
        <v>7666</v>
      </c>
      <c r="E1401" s="2"/>
      <c r="F1401" s="57"/>
      <c r="G1401" s="63" t="s">
        <v>7667</v>
      </c>
      <c r="H1401" s="59">
        <v>1</v>
      </c>
    </row>
    <row r="1402" spans="1:8" ht="112.5" customHeight="1" x14ac:dyDescent="0.15">
      <c r="A1402" s="54">
        <v>1110</v>
      </c>
      <c r="B1402" s="55" t="s">
        <v>3630</v>
      </c>
      <c r="C1402" s="55" t="s">
        <v>7668</v>
      </c>
      <c r="D1402" s="56" t="s">
        <v>7669</v>
      </c>
      <c r="E1402" s="2"/>
      <c r="F1402" s="57"/>
      <c r="G1402" s="64" t="s">
        <v>7670</v>
      </c>
      <c r="H1402" s="59">
        <v>994</v>
      </c>
    </row>
    <row r="1403" spans="1:8" ht="112.5" customHeight="1" x14ac:dyDescent="0.15">
      <c r="A1403" s="60">
        <v>1109</v>
      </c>
      <c r="B1403" s="30" t="s">
        <v>3496</v>
      </c>
      <c r="C1403" s="30" t="s">
        <v>7671</v>
      </c>
      <c r="D1403" s="61" t="s">
        <v>7672</v>
      </c>
      <c r="E1403" s="2"/>
      <c r="F1403" s="57"/>
      <c r="G1403" s="63" t="s">
        <v>7673</v>
      </c>
      <c r="H1403" s="59">
        <v>968</v>
      </c>
    </row>
    <row r="1404" spans="1:8" ht="112.5" customHeight="1" x14ac:dyDescent="0.15">
      <c r="A1404" s="60">
        <v>1107</v>
      </c>
      <c r="B1404" s="30" t="s">
        <v>3502</v>
      </c>
      <c r="C1404" s="30" t="s">
        <v>7674</v>
      </c>
      <c r="D1404" s="61" t="s">
        <v>7675</v>
      </c>
      <c r="E1404" s="2"/>
      <c r="F1404" s="57"/>
      <c r="G1404" s="64" t="s">
        <v>7676</v>
      </c>
      <c r="H1404" s="59">
        <v>990</v>
      </c>
    </row>
    <row r="1405" spans="1:8" ht="112.5" customHeight="1" x14ac:dyDescent="0.15">
      <c r="A1405" s="54">
        <v>1106</v>
      </c>
      <c r="B1405" s="55" t="s">
        <v>3492</v>
      </c>
      <c r="C1405" s="55" t="s">
        <v>7677</v>
      </c>
      <c r="D1405" s="56" t="s">
        <v>7678</v>
      </c>
      <c r="E1405" s="2"/>
      <c r="F1405" s="57"/>
      <c r="G1405" s="63" t="s">
        <v>7679</v>
      </c>
      <c r="H1405" s="59">
        <v>1</v>
      </c>
    </row>
    <row r="1406" spans="1:8" ht="112.5" customHeight="1" x14ac:dyDescent="0.15">
      <c r="A1406" s="60">
        <v>1105</v>
      </c>
      <c r="B1406" s="30" t="s">
        <v>3502</v>
      </c>
      <c r="C1406" s="30" t="s">
        <v>7680</v>
      </c>
      <c r="D1406" s="61" t="s">
        <v>7681</v>
      </c>
      <c r="E1406" s="2"/>
      <c r="F1406" s="57"/>
      <c r="G1406" s="64" t="s">
        <v>7682</v>
      </c>
      <c r="H1406" s="59">
        <v>992</v>
      </c>
    </row>
    <row r="1407" spans="1:8" ht="112.5" customHeight="1" x14ac:dyDescent="0.15">
      <c r="A1407" s="54">
        <v>1104</v>
      </c>
      <c r="B1407" s="55" t="s">
        <v>3513</v>
      </c>
      <c r="C1407" s="55" t="s">
        <v>7683</v>
      </c>
      <c r="D1407" s="56" t="s">
        <v>7684</v>
      </c>
      <c r="E1407" s="2"/>
      <c r="F1407" s="57"/>
      <c r="G1407" s="63" t="s">
        <v>7685</v>
      </c>
      <c r="H1407" s="59">
        <v>991</v>
      </c>
    </row>
    <row r="1408" spans="1:8" ht="112.5" customHeight="1" x14ac:dyDescent="0.15">
      <c r="A1408" s="60">
        <v>1103</v>
      </c>
      <c r="B1408" s="30" t="s">
        <v>3513</v>
      </c>
      <c r="C1408" s="30" t="s">
        <v>7686</v>
      </c>
      <c r="D1408" s="61" t="s">
        <v>7687</v>
      </c>
      <c r="E1408" s="2"/>
      <c r="F1408" s="57"/>
      <c r="G1408" s="64" t="s">
        <v>7688</v>
      </c>
      <c r="H1408" s="59">
        <v>1</v>
      </c>
    </row>
    <row r="1409" spans="1:8" ht="112.5" customHeight="1" x14ac:dyDescent="0.15">
      <c r="A1409" s="54">
        <v>1102</v>
      </c>
      <c r="B1409" s="55" t="s">
        <v>3818</v>
      </c>
      <c r="C1409" s="55" t="s">
        <v>7689</v>
      </c>
      <c r="D1409" s="56" t="s">
        <v>7690</v>
      </c>
      <c r="E1409" s="2"/>
      <c r="F1409" s="57"/>
      <c r="G1409" s="63" t="s">
        <v>7691</v>
      </c>
      <c r="H1409" s="59">
        <v>1</v>
      </c>
    </row>
    <row r="1410" spans="1:8" ht="112.5" customHeight="1" x14ac:dyDescent="0.15">
      <c r="A1410" s="60">
        <v>1101</v>
      </c>
      <c r="B1410" s="30" t="s">
        <v>3670</v>
      </c>
      <c r="C1410" s="30" t="s">
        <v>7692</v>
      </c>
      <c r="D1410" s="61" t="s">
        <v>7693</v>
      </c>
      <c r="E1410" s="2"/>
      <c r="F1410" s="57"/>
      <c r="G1410" s="64" t="s">
        <v>7694</v>
      </c>
      <c r="H1410" s="59">
        <v>987</v>
      </c>
    </row>
    <row r="1411" spans="1:8" ht="112.5" customHeight="1" x14ac:dyDescent="0.15">
      <c r="A1411" s="54">
        <v>1100</v>
      </c>
      <c r="B1411" s="55" t="s">
        <v>3670</v>
      </c>
      <c r="C1411" s="55" t="s">
        <v>7695</v>
      </c>
      <c r="D1411" s="56" t="s">
        <v>7696</v>
      </c>
      <c r="E1411" s="2"/>
      <c r="F1411" s="57"/>
      <c r="G1411" s="63" t="s">
        <v>4550</v>
      </c>
      <c r="H1411" s="59">
        <v>999</v>
      </c>
    </row>
    <row r="1412" spans="1:8" ht="112.5" customHeight="1" x14ac:dyDescent="0.15">
      <c r="A1412" s="54">
        <v>3418</v>
      </c>
      <c r="B1412" s="55" t="s">
        <v>3496</v>
      </c>
      <c r="C1412" s="55" t="s">
        <v>7697</v>
      </c>
      <c r="D1412" s="56" t="s">
        <v>7698</v>
      </c>
      <c r="E1412" s="2"/>
      <c r="F1412" s="57"/>
      <c r="G1412" s="64" t="s">
        <v>4547</v>
      </c>
      <c r="H1412" s="59">
        <v>0</v>
      </c>
    </row>
    <row r="1413" spans="1:8" ht="112.5" customHeight="1" x14ac:dyDescent="0.15">
      <c r="A1413" s="60">
        <v>1099</v>
      </c>
      <c r="B1413" s="30" t="s">
        <v>3502</v>
      </c>
      <c r="C1413" s="30" t="s">
        <v>7699</v>
      </c>
      <c r="D1413" s="61" t="s">
        <v>7700</v>
      </c>
      <c r="E1413" s="2"/>
      <c r="F1413" s="57"/>
      <c r="G1413" s="63" t="s">
        <v>4544</v>
      </c>
      <c r="H1413" s="59">
        <v>996</v>
      </c>
    </row>
    <row r="1414" spans="1:8" ht="112.5" customHeight="1" x14ac:dyDescent="0.15">
      <c r="A1414" s="54">
        <v>1098</v>
      </c>
      <c r="B1414" s="55" t="s">
        <v>3502</v>
      </c>
      <c r="C1414" s="55" t="s">
        <v>7701</v>
      </c>
      <c r="D1414" s="56" t="s">
        <v>7702</v>
      </c>
      <c r="E1414" s="2"/>
      <c r="F1414" s="57"/>
      <c r="G1414" s="64" t="s">
        <v>4800</v>
      </c>
      <c r="H1414" s="59">
        <v>993</v>
      </c>
    </row>
    <row r="1415" spans="1:8" ht="112.5" customHeight="1" x14ac:dyDescent="0.15">
      <c r="A1415" s="60">
        <v>1097</v>
      </c>
      <c r="B1415" s="30" t="s">
        <v>3496</v>
      </c>
      <c r="C1415" s="30" t="s">
        <v>7703</v>
      </c>
      <c r="D1415" s="61" t="s">
        <v>7704</v>
      </c>
      <c r="E1415" s="2"/>
      <c r="F1415" s="57"/>
      <c r="G1415" s="63" t="s">
        <v>7705</v>
      </c>
      <c r="H1415" s="59">
        <v>1</v>
      </c>
    </row>
    <row r="1416" spans="1:8" ht="112.5" customHeight="1" x14ac:dyDescent="0.15">
      <c r="A1416" s="60">
        <v>1005</v>
      </c>
      <c r="B1416" s="30" t="s">
        <v>3801</v>
      </c>
      <c r="C1416" s="30" t="s">
        <v>7706</v>
      </c>
      <c r="D1416" s="61" t="s">
        <v>7707</v>
      </c>
      <c r="E1416" s="2"/>
      <c r="F1416" s="57"/>
      <c r="G1416" s="64" t="s">
        <v>7708</v>
      </c>
      <c r="H1416" s="59">
        <v>986</v>
      </c>
    </row>
    <row r="1417" spans="1:8" ht="112.5" customHeight="1" x14ac:dyDescent="0.15">
      <c r="A1417" s="54">
        <v>1004</v>
      </c>
      <c r="B1417" s="55" t="s">
        <v>3549</v>
      </c>
      <c r="C1417" s="55" t="s">
        <v>7709</v>
      </c>
      <c r="D1417" s="56" t="s">
        <v>7710</v>
      </c>
      <c r="E1417" s="2"/>
      <c r="F1417" s="57"/>
      <c r="G1417" s="63" t="s">
        <v>7711</v>
      </c>
      <c r="H1417" s="59">
        <v>999</v>
      </c>
    </row>
    <row r="1418" spans="1:8" ht="112.5" customHeight="1" x14ac:dyDescent="0.15">
      <c r="A1418" s="60">
        <v>1003</v>
      </c>
      <c r="B1418" s="30" t="s">
        <v>3549</v>
      </c>
      <c r="C1418" s="30" t="s">
        <v>7712</v>
      </c>
      <c r="D1418" s="61" t="s">
        <v>7713</v>
      </c>
      <c r="E1418" s="2"/>
      <c r="F1418" s="57"/>
      <c r="G1418" s="64" t="s">
        <v>7714</v>
      </c>
      <c r="H1418" s="59">
        <v>989</v>
      </c>
    </row>
    <row r="1419" spans="1:8" ht="112.5" customHeight="1" x14ac:dyDescent="0.15">
      <c r="A1419" s="54">
        <v>1002</v>
      </c>
      <c r="B1419" s="55" t="s">
        <v>3549</v>
      </c>
      <c r="C1419" s="55" t="s">
        <v>7715</v>
      </c>
      <c r="D1419" s="56" t="s">
        <v>7716</v>
      </c>
      <c r="E1419" s="2"/>
      <c r="F1419" s="57"/>
      <c r="G1419" s="63" t="s">
        <v>7717</v>
      </c>
      <c r="H1419" s="59">
        <v>47</v>
      </c>
    </row>
    <row r="1420" spans="1:8" ht="112.5" customHeight="1" x14ac:dyDescent="0.15">
      <c r="A1420" s="54">
        <v>254</v>
      </c>
      <c r="B1420" s="55" t="s">
        <v>3549</v>
      </c>
      <c r="C1420" s="55" t="s">
        <v>7718</v>
      </c>
      <c r="D1420" s="56" t="s">
        <v>7719</v>
      </c>
      <c r="E1420" s="2"/>
      <c r="F1420" s="57"/>
      <c r="G1420" s="64" t="s">
        <v>7720</v>
      </c>
      <c r="H1420" s="59">
        <v>985</v>
      </c>
    </row>
    <row r="1421" spans="1:8" ht="112.5" customHeight="1" x14ac:dyDescent="0.15">
      <c r="A1421" s="54">
        <v>1152</v>
      </c>
      <c r="B1421" s="55" t="s">
        <v>3549</v>
      </c>
      <c r="C1421" s="55" t="s">
        <v>7721</v>
      </c>
      <c r="D1421" s="56" t="s">
        <v>7722</v>
      </c>
      <c r="E1421" s="2"/>
      <c r="F1421" s="57"/>
      <c r="G1421" s="63" t="s">
        <v>7723</v>
      </c>
      <c r="H1421" s="59">
        <v>973</v>
      </c>
    </row>
    <row r="1422" spans="1:8" ht="112.5" customHeight="1" x14ac:dyDescent="0.15">
      <c r="A1422" s="60">
        <v>1151</v>
      </c>
      <c r="B1422" s="30" t="s">
        <v>3749</v>
      </c>
      <c r="C1422" s="30" t="s">
        <v>7724</v>
      </c>
      <c r="D1422" s="61" t="s">
        <v>7725</v>
      </c>
      <c r="E1422" s="2"/>
      <c r="F1422" s="57"/>
      <c r="G1422" s="64" t="s">
        <v>7726</v>
      </c>
      <c r="H1422" s="59">
        <v>910</v>
      </c>
    </row>
    <row r="1423" spans="1:8" ht="112.5" customHeight="1" x14ac:dyDescent="0.15">
      <c r="A1423" s="60">
        <v>1183</v>
      </c>
      <c r="B1423" s="30" t="s">
        <v>3513</v>
      </c>
      <c r="C1423" s="30" t="s">
        <v>7727</v>
      </c>
      <c r="D1423" s="61" t="s">
        <v>7728</v>
      </c>
      <c r="E1423" s="2"/>
      <c r="F1423" s="57"/>
      <c r="G1423" s="63" t="s">
        <v>7729</v>
      </c>
      <c r="H1423" s="59">
        <v>1</v>
      </c>
    </row>
    <row r="1424" spans="1:8" ht="112.5" customHeight="1" x14ac:dyDescent="0.15">
      <c r="A1424" s="54">
        <v>1182</v>
      </c>
      <c r="B1424" s="55" t="s">
        <v>3513</v>
      </c>
      <c r="C1424" s="55" t="s">
        <v>7730</v>
      </c>
      <c r="D1424" s="56" t="s">
        <v>7731</v>
      </c>
      <c r="E1424" s="2"/>
      <c r="F1424" s="57"/>
      <c r="G1424" s="64" t="s">
        <v>7732</v>
      </c>
      <c r="H1424" s="59">
        <v>931</v>
      </c>
    </row>
    <row r="1425" spans="1:13" ht="112.5" customHeight="1" x14ac:dyDescent="0.15">
      <c r="A1425" s="54">
        <v>1180</v>
      </c>
      <c r="B1425" s="55" t="s">
        <v>3549</v>
      </c>
      <c r="C1425" s="55" t="s">
        <v>7733</v>
      </c>
      <c r="D1425" s="56" t="s">
        <v>7734</v>
      </c>
      <c r="E1425" s="2"/>
      <c r="F1425" s="57"/>
      <c r="G1425" s="63" t="s">
        <v>7735</v>
      </c>
      <c r="H1425" s="59">
        <v>991</v>
      </c>
    </row>
    <row r="1426" spans="1:13" ht="112.5" customHeight="1" x14ac:dyDescent="0.15">
      <c r="A1426" s="60">
        <v>1181</v>
      </c>
      <c r="B1426" s="30" t="s">
        <v>3549</v>
      </c>
      <c r="C1426" s="30" t="s">
        <v>7736</v>
      </c>
      <c r="D1426" s="61" t="s">
        <v>7737</v>
      </c>
      <c r="E1426" s="2"/>
      <c r="F1426" s="57"/>
      <c r="G1426" s="64" t="s">
        <v>7738</v>
      </c>
      <c r="H1426" s="59">
        <v>1</v>
      </c>
    </row>
    <row r="1427" spans="1:13" ht="112.5" customHeight="1" x14ac:dyDescent="0.15">
      <c r="A1427" s="60">
        <v>1179</v>
      </c>
      <c r="B1427" s="30" t="s">
        <v>3549</v>
      </c>
      <c r="C1427" s="30" t="s">
        <v>7739</v>
      </c>
      <c r="D1427" s="61" t="s">
        <v>7740</v>
      </c>
      <c r="E1427" s="2"/>
      <c r="F1427" s="57"/>
      <c r="G1427" s="63" t="s">
        <v>7741</v>
      </c>
      <c r="H1427" s="59">
        <v>998</v>
      </c>
    </row>
    <row r="1428" spans="1:13" ht="112.5" customHeight="1" x14ac:dyDescent="0.15">
      <c r="A1428" s="54">
        <v>1178</v>
      </c>
      <c r="B1428" s="55" t="s">
        <v>3549</v>
      </c>
      <c r="C1428" s="55" t="s">
        <v>7742</v>
      </c>
      <c r="D1428" s="56" t="s">
        <v>7743</v>
      </c>
      <c r="E1428" s="2"/>
      <c r="F1428" s="57"/>
      <c r="G1428" s="64" t="s">
        <v>7744</v>
      </c>
      <c r="H1428" s="59">
        <v>93</v>
      </c>
    </row>
    <row r="1429" spans="1:13" ht="112.5" customHeight="1" x14ac:dyDescent="0.15">
      <c r="A1429" s="60">
        <v>1177</v>
      </c>
      <c r="B1429" s="30" t="s">
        <v>3549</v>
      </c>
      <c r="C1429" s="30" t="s">
        <v>7745</v>
      </c>
      <c r="D1429" s="61" t="s">
        <v>7746</v>
      </c>
      <c r="E1429" s="2"/>
      <c r="F1429" s="57"/>
      <c r="G1429" s="63" t="s">
        <v>7747</v>
      </c>
      <c r="H1429" s="59">
        <v>99.938999999999993</v>
      </c>
    </row>
    <row r="1430" spans="1:13" ht="112.5" customHeight="1" x14ac:dyDescent="0.15">
      <c r="A1430" s="54">
        <v>1176</v>
      </c>
      <c r="B1430" s="55" t="s">
        <v>3549</v>
      </c>
      <c r="C1430" s="55" t="s">
        <v>7748</v>
      </c>
      <c r="D1430" s="56" t="s">
        <v>7749</v>
      </c>
      <c r="E1430" s="2"/>
      <c r="F1430" s="57"/>
      <c r="G1430" s="64" t="s">
        <v>7750</v>
      </c>
      <c r="H1430" s="59">
        <v>992</v>
      </c>
    </row>
    <row r="1431" spans="1:13" ht="112.5" customHeight="1" x14ac:dyDescent="0.15">
      <c r="A1431" s="60">
        <v>1175</v>
      </c>
      <c r="B1431" s="30" t="s">
        <v>3814</v>
      </c>
      <c r="C1431" s="30" t="s">
        <v>7751</v>
      </c>
      <c r="D1431" s="61" t="s">
        <v>7752</v>
      </c>
      <c r="E1431" s="2"/>
      <c r="F1431" s="57"/>
      <c r="G1431" s="63" t="s">
        <v>7753</v>
      </c>
      <c r="H1431" s="59">
        <v>1</v>
      </c>
    </row>
    <row r="1432" spans="1:13" ht="112.5" customHeight="1" x14ac:dyDescent="0.15">
      <c r="A1432" s="54">
        <v>1174</v>
      </c>
      <c r="B1432" s="55" t="s">
        <v>3822</v>
      </c>
      <c r="C1432" s="55" t="s">
        <v>7754</v>
      </c>
      <c r="D1432" s="56" t="s">
        <v>7755</v>
      </c>
      <c r="E1432" s="2"/>
      <c r="F1432" s="57"/>
      <c r="G1432" s="58" t="s">
        <v>7756</v>
      </c>
      <c r="H1432" s="59">
        <v>0</v>
      </c>
      <c r="I1432" s="29"/>
      <c r="J1432" s="29"/>
      <c r="K1432" s="29"/>
      <c r="L1432" s="29"/>
      <c r="M1432" s="29"/>
    </row>
    <row r="1433" spans="1:13" ht="112.5" customHeight="1" x14ac:dyDescent="0.15">
      <c r="A1433" s="60">
        <v>1173</v>
      </c>
      <c r="B1433" s="30" t="s">
        <v>3502</v>
      </c>
      <c r="C1433" s="30" t="s">
        <v>7757</v>
      </c>
      <c r="D1433" s="61" t="s">
        <v>7758</v>
      </c>
      <c r="E1433" s="2"/>
      <c r="F1433" s="57"/>
      <c r="G1433" s="62" t="s">
        <v>7759</v>
      </c>
      <c r="H1433" s="59">
        <v>0</v>
      </c>
      <c r="I1433" s="29"/>
      <c r="J1433" s="29"/>
      <c r="K1433" s="29"/>
      <c r="L1433" s="29"/>
      <c r="M1433" s="29"/>
    </row>
    <row r="1434" spans="1:13" ht="112.5" customHeight="1" x14ac:dyDescent="0.15">
      <c r="A1434" s="54">
        <v>1172</v>
      </c>
      <c r="B1434" s="55" t="s">
        <v>3502</v>
      </c>
      <c r="C1434" s="55" t="s">
        <v>7760</v>
      </c>
      <c r="D1434" s="56" t="s">
        <v>7761</v>
      </c>
      <c r="E1434" s="2"/>
      <c r="F1434" s="57"/>
      <c r="G1434" s="58" t="s">
        <v>7762</v>
      </c>
      <c r="H1434" s="59">
        <v>0</v>
      </c>
      <c r="I1434" s="29"/>
      <c r="J1434" s="29"/>
      <c r="K1434" s="29"/>
      <c r="L1434" s="29"/>
      <c r="M1434" s="29"/>
    </row>
    <row r="1435" spans="1:13" ht="112.5" customHeight="1" x14ac:dyDescent="0.15">
      <c r="A1435" s="60">
        <v>1171</v>
      </c>
      <c r="B1435" s="30" t="s">
        <v>3502</v>
      </c>
      <c r="C1435" s="30" t="s">
        <v>7763</v>
      </c>
      <c r="D1435" s="61" t="s">
        <v>7764</v>
      </c>
      <c r="E1435" s="2"/>
      <c r="F1435" s="57"/>
      <c r="G1435" s="63" t="s">
        <v>7765</v>
      </c>
      <c r="H1435" s="59">
        <v>999.98800000000006</v>
      </c>
    </row>
    <row r="1436" spans="1:13" ht="112.5" customHeight="1" x14ac:dyDescent="0.15">
      <c r="A1436" s="54">
        <v>1170</v>
      </c>
      <c r="B1436" s="55" t="s">
        <v>3513</v>
      </c>
      <c r="C1436" s="55" t="s">
        <v>7766</v>
      </c>
      <c r="D1436" s="56" t="s">
        <v>7767</v>
      </c>
      <c r="E1436" s="2"/>
      <c r="F1436" s="57"/>
      <c r="G1436" s="64" t="s">
        <v>7768</v>
      </c>
      <c r="H1436" s="59" t="s">
        <v>4171</v>
      </c>
    </row>
    <row r="1437" spans="1:13" ht="112.5" customHeight="1" x14ac:dyDescent="0.15">
      <c r="A1437" s="60">
        <v>1169</v>
      </c>
      <c r="B1437" s="30" t="s">
        <v>3599</v>
      </c>
      <c r="C1437" s="30" t="s">
        <v>7769</v>
      </c>
      <c r="D1437" s="61" t="s">
        <v>7770</v>
      </c>
      <c r="E1437" s="2"/>
      <c r="F1437" s="57"/>
      <c r="G1437" s="63" t="s">
        <v>7771</v>
      </c>
      <c r="H1437" s="59">
        <v>999.995</v>
      </c>
    </row>
    <row r="1438" spans="1:13" ht="112.5" customHeight="1" x14ac:dyDescent="0.15">
      <c r="A1438" s="54">
        <v>1168</v>
      </c>
      <c r="B1438" s="55" t="s">
        <v>3513</v>
      </c>
      <c r="C1438" s="55" t="s">
        <v>7772</v>
      </c>
      <c r="D1438" s="56" t="s">
        <v>7773</v>
      </c>
      <c r="E1438" s="2"/>
      <c r="F1438" s="57"/>
      <c r="G1438" s="64" t="s">
        <v>7774</v>
      </c>
      <c r="H1438" s="59">
        <v>999.97799999999995</v>
      </c>
    </row>
    <row r="1439" spans="1:13" ht="112.5" customHeight="1" x14ac:dyDescent="0.15">
      <c r="A1439" s="60">
        <v>1167</v>
      </c>
      <c r="B1439" s="30" t="s">
        <v>3749</v>
      </c>
      <c r="C1439" s="30" t="s">
        <v>7775</v>
      </c>
      <c r="D1439" s="61" t="s">
        <v>7776</v>
      </c>
      <c r="E1439" s="2"/>
      <c r="F1439" s="57"/>
      <c r="G1439" s="63" t="s">
        <v>7777</v>
      </c>
      <c r="H1439" s="59">
        <v>0</v>
      </c>
    </row>
    <row r="1440" spans="1:13" ht="112.5" customHeight="1" x14ac:dyDescent="0.15">
      <c r="A1440" s="54">
        <v>1166</v>
      </c>
      <c r="B1440" s="55" t="s">
        <v>3749</v>
      </c>
      <c r="C1440" s="55" t="s">
        <v>7778</v>
      </c>
      <c r="D1440" s="56" t="s">
        <v>7779</v>
      </c>
      <c r="E1440" s="2"/>
      <c r="F1440" s="57"/>
      <c r="G1440" s="64" t="s">
        <v>7780</v>
      </c>
      <c r="H1440" s="59" t="s">
        <v>4171</v>
      </c>
    </row>
    <row r="1441" spans="1:8" ht="112.5" customHeight="1" x14ac:dyDescent="0.15">
      <c r="A1441" s="60">
        <v>1165</v>
      </c>
      <c r="B1441" s="30" t="s">
        <v>3822</v>
      </c>
      <c r="C1441" s="30" t="s">
        <v>7781</v>
      </c>
      <c r="D1441" s="61" t="s">
        <v>7782</v>
      </c>
      <c r="E1441" s="2"/>
      <c r="F1441" s="57"/>
      <c r="G1441" s="63" t="s">
        <v>7783</v>
      </c>
      <c r="H1441" s="59">
        <v>0</v>
      </c>
    </row>
    <row r="1442" spans="1:8" ht="112.5" customHeight="1" x14ac:dyDescent="0.15">
      <c r="A1442" s="54">
        <v>1164</v>
      </c>
      <c r="B1442" s="55" t="s">
        <v>3549</v>
      </c>
      <c r="C1442" s="55" t="s">
        <v>7784</v>
      </c>
      <c r="D1442" s="56" t="s">
        <v>7785</v>
      </c>
      <c r="E1442" s="2"/>
      <c r="F1442" s="57"/>
      <c r="G1442" s="64" t="s">
        <v>7786</v>
      </c>
      <c r="H1442" s="59">
        <v>999.99599999999998</v>
      </c>
    </row>
    <row r="1443" spans="1:8" ht="112.5" customHeight="1" x14ac:dyDescent="0.15">
      <c r="A1443" s="60">
        <v>1163</v>
      </c>
      <c r="B1443" s="30" t="s">
        <v>3549</v>
      </c>
      <c r="C1443" s="30" t="s">
        <v>7787</v>
      </c>
      <c r="D1443" s="61" t="s">
        <v>7788</v>
      </c>
      <c r="E1443" s="2"/>
      <c r="F1443" s="57"/>
      <c r="G1443" s="63" t="s">
        <v>7789</v>
      </c>
      <c r="H1443" s="59">
        <v>999.97799999999995</v>
      </c>
    </row>
    <row r="1444" spans="1:8" ht="112.5" customHeight="1" x14ac:dyDescent="0.15">
      <c r="A1444" s="54">
        <v>1162</v>
      </c>
      <c r="B1444" s="55" t="s">
        <v>3509</v>
      </c>
      <c r="C1444" s="55" t="s">
        <v>7790</v>
      </c>
      <c r="D1444" s="56" t="s">
        <v>7791</v>
      </c>
      <c r="E1444" s="2"/>
      <c r="F1444" s="57"/>
      <c r="G1444" s="64" t="s">
        <v>7792</v>
      </c>
      <c r="H1444" s="59">
        <v>999.995</v>
      </c>
    </row>
    <row r="1445" spans="1:8" ht="112.5" customHeight="1" x14ac:dyDescent="0.15">
      <c r="A1445" s="60">
        <v>1161</v>
      </c>
      <c r="B1445" s="30" t="s">
        <v>3509</v>
      </c>
      <c r="C1445" s="30" t="s">
        <v>7793</v>
      </c>
      <c r="D1445" s="61" t="s">
        <v>7794</v>
      </c>
      <c r="E1445" s="2"/>
      <c r="F1445" s="57"/>
      <c r="G1445" s="63" t="s">
        <v>7795</v>
      </c>
      <c r="H1445" s="59">
        <v>999.99900000000002</v>
      </c>
    </row>
    <row r="1446" spans="1:8" ht="112.5" customHeight="1" x14ac:dyDescent="0.15">
      <c r="A1446" s="54">
        <v>1160</v>
      </c>
      <c r="B1446" s="55" t="s">
        <v>3556</v>
      </c>
      <c r="C1446" s="55" t="s">
        <v>7796</v>
      </c>
      <c r="D1446" s="56" t="s">
        <v>7797</v>
      </c>
      <c r="E1446" s="2"/>
      <c r="F1446" s="57"/>
      <c r="G1446" s="64" t="s">
        <v>7798</v>
      </c>
      <c r="H1446" s="59">
        <v>999.99699999999996</v>
      </c>
    </row>
    <row r="1447" spans="1:8" ht="112.5" customHeight="1" x14ac:dyDescent="0.15">
      <c r="A1447" s="60">
        <v>1159</v>
      </c>
      <c r="B1447" s="30" t="s">
        <v>3822</v>
      </c>
      <c r="C1447" s="30" t="s">
        <v>7799</v>
      </c>
      <c r="D1447" s="61" t="s">
        <v>7800</v>
      </c>
      <c r="E1447" s="2"/>
      <c r="F1447" s="57"/>
      <c r="G1447" s="63" t="s">
        <v>7801</v>
      </c>
      <c r="H1447" s="59">
        <v>999.99400000000003</v>
      </c>
    </row>
    <row r="1448" spans="1:8" ht="112.5" customHeight="1" x14ac:dyDescent="0.15">
      <c r="A1448" s="54">
        <v>1158</v>
      </c>
      <c r="B1448" s="55" t="s">
        <v>3822</v>
      </c>
      <c r="C1448" s="55" t="s">
        <v>7802</v>
      </c>
      <c r="D1448" s="56" t="s">
        <v>7803</v>
      </c>
      <c r="E1448" s="2"/>
      <c r="F1448" s="57"/>
      <c r="G1448" s="64" t="s">
        <v>7804</v>
      </c>
      <c r="H1448" s="59">
        <v>999.995</v>
      </c>
    </row>
    <row r="1449" spans="1:8" ht="112.5" customHeight="1" x14ac:dyDescent="0.15">
      <c r="A1449" s="60">
        <v>1157</v>
      </c>
      <c r="B1449" s="30" t="s">
        <v>3549</v>
      </c>
      <c r="C1449" s="30" t="s">
        <v>7805</v>
      </c>
      <c r="D1449" s="61" t="s">
        <v>7806</v>
      </c>
      <c r="E1449" s="2"/>
      <c r="F1449" s="57"/>
      <c r="G1449" s="63" t="s">
        <v>7807</v>
      </c>
      <c r="H1449" s="59">
        <v>999.99800000000005</v>
      </c>
    </row>
    <row r="1450" spans="1:8" ht="112.5" customHeight="1" x14ac:dyDescent="0.15">
      <c r="A1450" s="54">
        <v>1156</v>
      </c>
      <c r="B1450" s="55" t="s">
        <v>3670</v>
      </c>
      <c r="C1450" s="55" t="s">
        <v>7808</v>
      </c>
      <c r="D1450" s="56" t="s">
        <v>7809</v>
      </c>
      <c r="E1450" s="2"/>
      <c r="F1450" s="57"/>
      <c r="G1450" s="64" t="s">
        <v>7810</v>
      </c>
      <c r="H1450" s="59" t="s">
        <v>4171</v>
      </c>
    </row>
    <row r="1451" spans="1:8" ht="112.5" customHeight="1" x14ac:dyDescent="0.15">
      <c r="A1451" s="60">
        <v>1155</v>
      </c>
      <c r="B1451" s="30" t="s">
        <v>3492</v>
      </c>
      <c r="C1451" s="30" t="s">
        <v>7811</v>
      </c>
      <c r="D1451" s="61" t="s">
        <v>7812</v>
      </c>
      <c r="E1451" s="2"/>
      <c r="F1451" s="57"/>
      <c r="G1451" s="63" t="s">
        <v>7813</v>
      </c>
      <c r="H1451" s="59">
        <v>999.97799999999995</v>
      </c>
    </row>
    <row r="1452" spans="1:8" ht="112.5" customHeight="1" x14ac:dyDescent="0.15">
      <c r="A1452" s="60">
        <v>3345</v>
      </c>
      <c r="B1452" s="30" t="s">
        <v>3496</v>
      </c>
      <c r="C1452" s="30" t="s">
        <v>7814</v>
      </c>
      <c r="D1452" s="61" t="s">
        <v>7815</v>
      </c>
      <c r="E1452" s="2"/>
      <c r="F1452" s="57"/>
      <c r="G1452" s="64" t="s">
        <v>7816</v>
      </c>
      <c r="H1452" s="59">
        <v>999.96400000000006</v>
      </c>
    </row>
    <row r="1453" spans="1:8" ht="112.5" customHeight="1" x14ac:dyDescent="0.15">
      <c r="A1453" s="54">
        <v>1150</v>
      </c>
      <c r="B1453" s="55" t="s">
        <v>3492</v>
      </c>
      <c r="C1453" s="55" t="s">
        <v>7817</v>
      </c>
      <c r="D1453" s="56" t="s">
        <v>7818</v>
      </c>
      <c r="E1453" s="2"/>
      <c r="F1453" s="57"/>
      <c r="G1453" s="63" t="s">
        <v>7819</v>
      </c>
      <c r="H1453" s="59">
        <v>999.97400000000005</v>
      </c>
    </row>
    <row r="1454" spans="1:8" ht="112.5" customHeight="1" x14ac:dyDescent="0.15">
      <c r="A1454" s="60">
        <v>1149</v>
      </c>
      <c r="B1454" s="30" t="s">
        <v>3556</v>
      </c>
      <c r="C1454" s="30" t="s">
        <v>7820</v>
      </c>
      <c r="D1454" s="61" t="s">
        <v>7821</v>
      </c>
      <c r="E1454" s="2"/>
      <c r="F1454" s="57"/>
      <c r="G1454" s="64" t="s">
        <v>7822</v>
      </c>
      <c r="H1454" s="59">
        <v>999.99800000000005</v>
      </c>
    </row>
    <row r="1455" spans="1:8" ht="112.5" customHeight="1" x14ac:dyDescent="0.15">
      <c r="A1455" s="60">
        <v>1147</v>
      </c>
      <c r="B1455" s="30" t="s">
        <v>3513</v>
      </c>
      <c r="C1455" s="30" t="s">
        <v>7823</v>
      </c>
      <c r="D1455" s="61" t="s">
        <v>7824</v>
      </c>
      <c r="E1455" s="2"/>
      <c r="F1455" s="57"/>
      <c r="G1455" s="63" t="s">
        <v>7825</v>
      </c>
      <c r="H1455" s="59" t="s">
        <v>4171</v>
      </c>
    </row>
    <row r="1456" spans="1:8" ht="112.5" customHeight="1" x14ac:dyDescent="0.15">
      <c r="A1456" s="54">
        <v>1146</v>
      </c>
      <c r="B1456" s="55" t="s">
        <v>3492</v>
      </c>
      <c r="C1456" s="55" t="s">
        <v>7826</v>
      </c>
      <c r="D1456" s="56" t="s">
        <v>7827</v>
      </c>
      <c r="E1456" s="2"/>
      <c r="F1456" s="57"/>
      <c r="G1456" s="64" t="s">
        <v>7828</v>
      </c>
      <c r="H1456" s="59">
        <v>999.97799999999995</v>
      </c>
    </row>
    <row r="1457" spans="1:8" ht="112.5" customHeight="1" x14ac:dyDescent="0.15">
      <c r="A1457" s="60">
        <v>1145</v>
      </c>
      <c r="B1457" s="30" t="s">
        <v>3492</v>
      </c>
      <c r="C1457" s="30" t="s">
        <v>7829</v>
      </c>
      <c r="D1457" s="61" t="s">
        <v>7830</v>
      </c>
      <c r="E1457" s="2"/>
      <c r="F1457" s="57"/>
      <c r="G1457" s="63" t="s">
        <v>7831</v>
      </c>
      <c r="H1457" s="59">
        <v>0</v>
      </c>
    </row>
    <row r="1458" spans="1:8" ht="112.5" customHeight="1" x14ac:dyDescent="0.15">
      <c r="A1458" s="54">
        <v>1144</v>
      </c>
      <c r="B1458" s="55" t="s">
        <v>3496</v>
      </c>
      <c r="C1458" s="55" t="s">
        <v>7832</v>
      </c>
      <c r="D1458" s="56" t="s">
        <v>7833</v>
      </c>
      <c r="E1458" s="2"/>
      <c r="F1458" s="57"/>
      <c r="G1458" s="64" t="s">
        <v>7834</v>
      </c>
      <c r="H1458" s="59">
        <v>0</v>
      </c>
    </row>
    <row r="1459" spans="1:8" ht="112.5" customHeight="1" x14ac:dyDescent="0.15">
      <c r="A1459" s="60">
        <v>1143</v>
      </c>
      <c r="B1459" s="30" t="s">
        <v>3492</v>
      </c>
      <c r="C1459" s="30" t="s">
        <v>7835</v>
      </c>
      <c r="D1459" s="61" t="s">
        <v>7836</v>
      </c>
      <c r="E1459" s="2"/>
      <c r="F1459" s="57"/>
      <c r="G1459" s="63" t="s">
        <v>7837</v>
      </c>
      <c r="H1459" s="59">
        <v>0</v>
      </c>
    </row>
    <row r="1460" spans="1:8" ht="112.5" customHeight="1" x14ac:dyDescent="0.15">
      <c r="A1460" s="54">
        <v>1142</v>
      </c>
      <c r="B1460" s="55" t="s">
        <v>3556</v>
      </c>
      <c r="C1460" s="55" t="s">
        <v>7838</v>
      </c>
      <c r="D1460" s="56" t="s">
        <v>7839</v>
      </c>
      <c r="E1460" s="2"/>
      <c r="F1460" s="57"/>
      <c r="G1460" s="64" t="s">
        <v>7840</v>
      </c>
      <c r="H1460" s="59">
        <v>0</v>
      </c>
    </row>
    <row r="1461" spans="1:8" ht="112.5" customHeight="1" x14ac:dyDescent="0.15">
      <c r="A1461" s="60">
        <v>1141</v>
      </c>
      <c r="B1461" s="30" t="s">
        <v>3513</v>
      </c>
      <c r="C1461" s="30" t="s">
        <v>7841</v>
      </c>
      <c r="D1461" s="61" t="s">
        <v>7842</v>
      </c>
      <c r="E1461" s="2"/>
      <c r="F1461" s="57"/>
      <c r="G1461" s="63" t="s">
        <v>7843</v>
      </c>
      <c r="H1461" s="59">
        <v>0</v>
      </c>
    </row>
    <row r="1462" spans="1:8" ht="112.5" customHeight="1" x14ac:dyDescent="0.15">
      <c r="A1462" s="54">
        <v>1140</v>
      </c>
      <c r="B1462" s="55" t="s">
        <v>3513</v>
      </c>
      <c r="C1462" s="55" t="s">
        <v>7844</v>
      </c>
      <c r="D1462" s="56" t="s">
        <v>7845</v>
      </c>
      <c r="E1462" s="2"/>
      <c r="F1462" s="57"/>
      <c r="G1462" s="64" t="s">
        <v>7846</v>
      </c>
      <c r="H1462" s="59">
        <v>999.81799999999998</v>
      </c>
    </row>
    <row r="1463" spans="1:8" ht="112.5" customHeight="1" x14ac:dyDescent="0.15">
      <c r="A1463" s="54">
        <v>1154</v>
      </c>
      <c r="B1463" s="55" t="s">
        <v>3502</v>
      </c>
      <c r="C1463" s="55" t="s">
        <v>7847</v>
      </c>
      <c r="D1463" s="56" t="s">
        <v>7848</v>
      </c>
      <c r="E1463" s="2"/>
      <c r="F1463" s="57"/>
      <c r="G1463" s="63" t="s">
        <v>7849</v>
      </c>
      <c r="H1463" s="59">
        <v>999.995</v>
      </c>
    </row>
    <row r="1464" spans="1:8" ht="112.5" customHeight="1" x14ac:dyDescent="0.15">
      <c r="A1464" s="54">
        <v>1216</v>
      </c>
      <c r="B1464" s="55" t="s">
        <v>3533</v>
      </c>
      <c r="C1464" s="55" t="s">
        <v>7850</v>
      </c>
      <c r="D1464" s="56" t="s">
        <v>7851</v>
      </c>
      <c r="E1464" s="2"/>
      <c r="F1464" s="57"/>
      <c r="G1464" s="64" t="s">
        <v>7852</v>
      </c>
      <c r="H1464" s="59" t="s">
        <v>4171</v>
      </c>
    </row>
    <row r="1465" spans="1:8" ht="112.5" customHeight="1" x14ac:dyDescent="0.15">
      <c r="A1465" s="60">
        <v>1215</v>
      </c>
      <c r="B1465" s="30" t="s">
        <v>3509</v>
      </c>
      <c r="C1465" s="30" t="s">
        <v>7853</v>
      </c>
      <c r="D1465" s="61" t="s">
        <v>7854</v>
      </c>
      <c r="E1465" s="2"/>
      <c r="F1465" s="57"/>
      <c r="G1465" s="63" t="s">
        <v>7855</v>
      </c>
      <c r="H1465" s="59" t="s">
        <v>4171</v>
      </c>
    </row>
    <row r="1466" spans="1:8" ht="112.5" customHeight="1" x14ac:dyDescent="0.15">
      <c r="A1466" s="54">
        <v>1214</v>
      </c>
      <c r="B1466" s="55" t="s">
        <v>3533</v>
      </c>
      <c r="C1466" s="55" t="s">
        <v>7856</v>
      </c>
      <c r="D1466" s="56" t="s">
        <v>7857</v>
      </c>
      <c r="E1466" s="2"/>
      <c r="F1466" s="57"/>
      <c r="G1466" s="64" t="s">
        <v>7858</v>
      </c>
      <c r="H1466" s="59" t="s">
        <v>4171</v>
      </c>
    </row>
    <row r="1467" spans="1:8" ht="112.5" customHeight="1" x14ac:dyDescent="0.15">
      <c r="A1467" s="60">
        <v>1213</v>
      </c>
      <c r="B1467" s="30" t="s">
        <v>3533</v>
      </c>
      <c r="C1467" s="30" t="s">
        <v>7859</v>
      </c>
      <c r="D1467" s="61" t="s">
        <v>7860</v>
      </c>
      <c r="E1467" s="2"/>
      <c r="F1467" s="57"/>
      <c r="G1467" s="63" t="s">
        <v>7861</v>
      </c>
      <c r="H1467" s="59" t="s">
        <v>4171</v>
      </c>
    </row>
    <row r="1468" spans="1:8" ht="112.5" customHeight="1" x14ac:dyDescent="0.15">
      <c r="A1468" s="60">
        <v>3271</v>
      </c>
      <c r="B1468" s="30" t="s">
        <v>3556</v>
      </c>
      <c r="C1468" s="30" t="s">
        <v>7862</v>
      </c>
      <c r="D1468" s="61" t="s">
        <v>7863</v>
      </c>
      <c r="E1468" s="2"/>
      <c r="F1468" s="57"/>
      <c r="G1468" s="64" t="s">
        <v>7864</v>
      </c>
      <c r="H1468" s="59">
        <v>0</v>
      </c>
    </row>
    <row r="1469" spans="1:8" ht="112.5" customHeight="1" x14ac:dyDescent="0.15">
      <c r="A1469" s="54">
        <v>1212</v>
      </c>
      <c r="B1469" s="55" t="s">
        <v>3670</v>
      </c>
      <c r="C1469" s="55" t="s">
        <v>7865</v>
      </c>
      <c r="D1469" s="56" t="s">
        <v>7866</v>
      </c>
      <c r="E1469" s="2"/>
      <c r="F1469" s="57"/>
      <c r="G1469" s="63" t="s">
        <v>7867</v>
      </c>
      <c r="H1469" s="59">
        <v>999.95</v>
      </c>
    </row>
    <row r="1470" spans="1:8" ht="112.5" customHeight="1" x14ac:dyDescent="0.15">
      <c r="A1470" s="60">
        <v>1211</v>
      </c>
      <c r="B1470" s="30" t="s">
        <v>3749</v>
      </c>
      <c r="C1470" s="30" t="s">
        <v>7868</v>
      </c>
      <c r="D1470" s="61" t="s">
        <v>7869</v>
      </c>
      <c r="E1470" s="2"/>
      <c r="F1470" s="57"/>
      <c r="G1470" s="64" t="s">
        <v>7870</v>
      </c>
      <c r="H1470" s="59">
        <v>999.98500000000001</v>
      </c>
    </row>
    <row r="1471" spans="1:8" ht="112.5" customHeight="1" x14ac:dyDescent="0.15">
      <c r="A1471" s="54">
        <v>1210</v>
      </c>
      <c r="B1471" s="55" t="s">
        <v>3513</v>
      </c>
      <c r="C1471" s="55" t="s">
        <v>7871</v>
      </c>
      <c r="D1471" s="56" t="s">
        <v>7872</v>
      </c>
      <c r="E1471" s="2"/>
      <c r="F1471" s="57"/>
      <c r="G1471" s="63" t="s">
        <v>7873</v>
      </c>
      <c r="H1471" s="59">
        <v>999.86300000000006</v>
      </c>
    </row>
    <row r="1472" spans="1:8" ht="112.5" customHeight="1" x14ac:dyDescent="0.15">
      <c r="A1472" s="60">
        <v>1209</v>
      </c>
      <c r="B1472" s="30" t="s">
        <v>3556</v>
      </c>
      <c r="C1472" s="30" t="s">
        <v>7874</v>
      </c>
      <c r="D1472" s="61" t="s">
        <v>7875</v>
      </c>
      <c r="E1472" s="2"/>
      <c r="F1472" s="57"/>
      <c r="G1472" s="64" t="s">
        <v>7876</v>
      </c>
      <c r="H1472" s="59" t="s">
        <v>4171</v>
      </c>
    </row>
    <row r="1473" spans="1:8" ht="112.5" customHeight="1" x14ac:dyDescent="0.15">
      <c r="A1473" s="54">
        <v>1208</v>
      </c>
      <c r="B1473" s="55" t="s">
        <v>3556</v>
      </c>
      <c r="C1473" s="55" t="s">
        <v>7877</v>
      </c>
      <c r="D1473" s="56" t="s">
        <v>7878</v>
      </c>
      <c r="E1473" s="2"/>
      <c r="F1473" s="57"/>
      <c r="G1473" s="63" t="s">
        <v>7879</v>
      </c>
      <c r="H1473" s="59">
        <v>999.99</v>
      </c>
    </row>
    <row r="1474" spans="1:8" ht="112.5" customHeight="1" x14ac:dyDescent="0.15">
      <c r="A1474" s="54">
        <v>1206</v>
      </c>
      <c r="B1474" s="55" t="s">
        <v>3818</v>
      </c>
      <c r="C1474" s="55" t="s">
        <v>7880</v>
      </c>
      <c r="D1474" s="56" t="s">
        <v>7881</v>
      </c>
      <c r="E1474" s="2"/>
      <c r="F1474" s="57"/>
      <c r="G1474" s="64" t="s">
        <v>7882</v>
      </c>
      <c r="H1474" s="59">
        <v>0</v>
      </c>
    </row>
    <row r="1475" spans="1:8" ht="112.5" customHeight="1" x14ac:dyDescent="0.15">
      <c r="A1475" s="60">
        <v>1205</v>
      </c>
      <c r="B1475" s="30" t="s">
        <v>3492</v>
      </c>
      <c r="C1475" s="30" t="s">
        <v>7883</v>
      </c>
      <c r="D1475" s="61" t="s">
        <v>7884</v>
      </c>
      <c r="E1475" s="2"/>
      <c r="F1475" s="57"/>
      <c r="G1475" s="63" t="s">
        <v>4541</v>
      </c>
      <c r="H1475" s="59">
        <v>999.96699999999998</v>
      </c>
    </row>
    <row r="1476" spans="1:8" ht="112.5" customHeight="1" x14ac:dyDescent="0.15">
      <c r="A1476" s="54">
        <v>3254</v>
      </c>
      <c r="B1476" s="55" t="s">
        <v>3513</v>
      </c>
      <c r="C1476" s="55" t="s">
        <v>7885</v>
      </c>
      <c r="D1476" s="56" t="s">
        <v>7886</v>
      </c>
      <c r="E1476" s="2"/>
      <c r="F1476" s="57"/>
      <c r="G1476" s="64" t="s">
        <v>7887</v>
      </c>
      <c r="H1476" s="59">
        <v>0</v>
      </c>
    </row>
    <row r="1477" spans="1:8" ht="112.5" customHeight="1" x14ac:dyDescent="0.15">
      <c r="A1477" s="60">
        <v>3253</v>
      </c>
      <c r="B1477" s="30" t="s">
        <v>3513</v>
      </c>
      <c r="C1477" s="30" t="s">
        <v>7888</v>
      </c>
      <c r="D1477" s="61" t="s">
        <v>7889</v>
      </c>
      <c r="E1477" s="2"/>
      <c r="F1477" s="57"/>
      <c r="G1477" s="63" t="s">
        <v>7890</v>
      </c>
      <c r="H1477" s="59">
        <v>999.99400000000003</v>
      </c>
    </row>
    <row r="1478" spans="1:8" ht="112.5" customHeight="1" x14ac:dyDescent="0.15">
      <c r="A1478" s="54">
        <v>3252</v>
      </c>
      <c r="B1478" s="55" t="s">
        <v>3513</v>
      </c>
      <c r="C1478" s="55" t="s">
        <v>7891</v>
      </c>
      <c r="D1478" s="56" t="s">
        <v>7892</v>
      </c>
      <c r="E1478" s="2"/>
      <c r="F1478" s="57"/>
      <c r="G1478" s="64" t="s">
        <v>7893</v>
      </c>
      <c r="H1478" s="59" t="s">
        <v>4171</v>
      </c>
    </row>
    <row r="1479" spans="1:8" ht="112.5" customHeight="1" x14ac:dyDescent="0.15">
      <c r="A1479" s="54">
        <v>1204</v>
      </c>
      <c r="B1479" s="55" t="s">
        <v>3513</v>
      </c>
      <c r="C1479" s="55" t="s">
        <v>7894</v>
      </c>
      <c r="D1479" s="56" t="s">
        <v>7895</v>
      </c>
      <c r="E1479" s="2"/>
      <c r="F1479" s="57"/>
      <c r="G1479" s="63" t="s">
        <v>7896</v>
      </c>
      <c r="H1479" s="59">
        <v>999.99800000000005</v>
      </c>
    </row>
    <row r="1480" spans="1:8" ht="112.5" customHeight="1" x14ac:dyDescent="0.15">
      <c r="A1480" s="60">
        <v>1203</v>
      </c>
      <c r="B1480" s="30" t="s">
        <v>3502</v>
      </c>
      <c r="C1480" s="30" t="s">
        <v>7897</v>
      </c>
      <c r="D1480" s="61" t="s">
        <v>7898</v>
      </c>
      <c r="E1480" s="2"/>
      <c r="F1480" s="57"/>
      <c r="G1480" s="64" t="s">
        <v>7899</v>
      </c>
      <c r="H1480" s="59" t="s">
        <v>4171</v>
      </c>
    </row>
    <row r="1481" spans="1:8" ht="112.5" customHeight="1" x14ac:dyDescent="0.15">
      <c r="A1481" s="54">
        <v>1202</v>
      </c>
      <c r="B1481" s="55" t="s">
        <v>3492</v>
      </c>
      <c r="C1481" s="55" t="s">
        <v>7900</v>
      </c>
      <c r="D1481" s="56" t="s">
        <v>7901</v>
      </c>
      <c r="E1481" s="2"/>
      <c r="F1481" s="57"/>
      <c r="G1481" s="63" t="s">
        <v>7902</v>
      </c>
      <c r="H1481" s="59" t="s">
        <v>4171</v>
      </c>
    </row>
    <row r="1482" spans="1:8" ht="112.5" customHeight="1" x14ac:dyDescent="0.15">
      <c r="A1482" s="60">
        <v>1153</v>
      </c>
      <c r="B1482" s="30" t="s">
        <v>3749</v>
      </c>
      <c r="C1482" s="30" t="s">
        <v>7903</v>
      </c>
      <c r="D1482" s="61" t="s">
        <v>7904</v>
      </c>
      <c r="E1482" s="2"/>
      <c r="F1482" s="57"/>
      <c r="G1482" s="64" t="s">
        <v>7905</v>
      </c>
      <c r="H1482" s="59">
        <v>999.995</v>
      </c>
    </row>
    <row r="1483" spans="1:8" ht="112.5" customHeight="1" x14ac:dyDescent="0.15">
      <c r="A1483" s="60">
        <v>1201</v>
      </c>
      <c r="B1483" s="30" t="s">
        <v>3801</v>
      </c>
      <c r="C1483" s="30" t="s">
        <v>7906</v>
      </c>
      <c r="D1483" s="61" t="s">
        <v>7907</v>
      </c>
      <c r="E1483" s="2"/>
      <c r="F1483" s="57"/>
      <c r="G1483" s="63" t="s">
        <v>7908</v>
      </c>
      <c r="H1483" s="59">
        <v>999.99800000000005</v>
      </c>
    </row>
    <row r="1484" spans="1:8" ht="112.5" customHeight="1" x14ac:dyDescent="0.15">
      <c r="A1484" s="54">
        <v>1200</v>
      </c>
      <c r="B1484" s="55" t="s">
        <v>3670</v>
      </c>
      <c r="C1484" s="55" t="s">
        <v>7909</v>
      </c>
      <c r="D1484" s="56" t="s">
        <v>7910</v>
      </c>
      <c r="E1484" s="2"/>
      <c r="F1484" s="57"/>
      <c r="G1484" s="64" t="s">
        <v>7911</v>
      </c>
      <c r="H1484" s="59">
        <v>999.99300000000005</v>
      </c>
    </row>
    <row r="1485" spans="1:8" ht="112.5" customHeight="1" x14ac:dyDescent="0.15">
      <c r="A1485" s="60">
        <v>1199</v>
      </c>
      <c r="B1485" s="30" t="s">
        <v>3749</v>
      </c>
      <c r="C1485" s="30" t="s">
        <v>7912</v>
      </c>
      <c r="D1485" s="61" t="s">
        <v>7913</v>
      </c>
      <c r="E1485" s="2"/>
      <c r="F1485" s="57"/>
      <c r="G1485" s="63" t="s">
        <v>7914</v>
      </c>
      <c r="H1485" s="59">
        <v>999.99800000000005</v>
      </c>
    </row>
    <row r="1486" spans="1:8" ht="112.5" customHeight="1" x14ac:dyDescent="0.15">
      <c r="A1486" s="54">
        <v>1198</v>
      </c>
      <c r="B1486" s="55" t="s">
        <v>3670</v>
      </c>
      <c r="C1486" s="55" t="s">
        <v>7915</v>
      </c>
      <c r="D1486" s="56" t="s">
        <v>7916</v>
      </c>
      <c r="E1486" s="2"/>
      <c r="F1486" s="57"/>
      <c r="G1486" s="64" t="s">
        <v>7917</v>
      </c>
      <c r="H1486" s="59">
        <v>999.99400000000003</v>
      </c>
    </row>
    <row r="1487" spans="1:8" ht="112.5" customHeight="1" x14ac:dyDescent="0.15">
      <c r="A1487" s="60">
        <v>1197</v>
      </c>
      <c r="B1487" s="30" t="s">
        <v>3749</v>
      </c>
      <c r="C1487" s="30" t="s">
        <v>7918</v>
      </c>
      <c r="D1487" s="61" t="s">
        <v>7919</v>
      </c>
      <c r="E1487" s="2"/>
      <c r="F1487" s="57"/>
      <c r="G1487" s="63" t="s">
        <v>7920</v>
      </c>
      <c r="H1487" s="59">
        <v>999.98699999999997</v>
      </c>
    </row>
    <row r="1488" spans="1:8" ht="112.5" customHeight="1" x14ac:dyDescent="0.15">
      <c r="A1488" s="54">
        <v>1196</v>
      </c>
      <c r="B1488" s="55" t="s">
        <v>3749</v>
      </c>
      <c r="C1488" s="55" t="s">
        <v>7921</v>
      </c>
      <c r="D1488" s="56" t="s">
        <v>7922</v>
      </c>
      <c r="E1488" s="2"/>
      <c r="F1488" s="57"/>
      <c r="G1488" s="64" t="s">
        <v>7923</v>
      </c>
      <c r="H1488" s="59">
        <v>0</v>
      </c>
    </row>
    <row r="1489" spans="1:8" ht="112.5" customHeight="1" x14ac:dyDescent="0.15">
      <c r="A1489" s="60">
        <v>1195</v>
      </c>
      <c r="B1489" s="30" t="s">
        <v>3749</v>
      </c>
      <c r="C1489" s="30" t="s">
        <v>7924</v>
      </c>
      <c r="D1489" s="61" t="s">
        <v>7925</v>
      </c>
      <c r="E1489" s="2"/>
      <c r="F1489" s="57"/>
      <c r="G1489" s="63" t="s">
        <v>7926</v>
      </c>
      <c r="H1489" s="59">
        <v>999.995</v>
      </c>
    </row>
    <row r="1490" spans="1:8" ht="112.5" customHeight="1" x14ac:dyDescent="0.15">
      <c r="A1490" s="54">
        <v>1194</v>
      </c>
      <c r="B1490" s="55" t="s">
        <v>3749</v>
      </c>
      <c r="C1490" s="55" t="s">
        <v>7927</v>
      </c>
      <c r="D1490" s="56" t="s">
        <v>7928</v>
      </c>
      <c r="E1490" s="2"/>
      <c r="F1490" s="57"/>
      <c r="G1490" s="64" t="s">
        <v>7929</v>
      </c>
      <c r="H1490" s="59" t="s">
        <v>4171</v>
      </c>
    </row>
    <row r="1491" spans="1:8" ht="112.5" customHeight="1" x14ac:dyDescent="0.15">
      <c r="A1491" s="60">
        <v>1193</v>
      </c>
      <c r="B1491" s="30" t="s">
        <v>3749</v>
      </c>
      <c r="C1491" s="30" t="s">
        <v>7930</v>
      </c>
      <c r="D1491" s="61" t="s">
        <v>7931</v>
      </c>
      <c r="E1491" s="2"/>
      <c r="F1491" s="57"/>
      <c r="G1491" s="63" t="s">
        <v>7932</v>
      </c>
      <c r="H1491" s="59">
        <v>0</v>
      </c>
    </row>
    <row r="1492" spans="1:8" ht="112.5" customHeight="1" x14ac:dyDescent="0.15">
      <c r="A1492" s="60">
        <v>1191</v>
      </c>
      <c r="B1492" s="30" t="s">
        <v>3749</v>
      </c>
      <c r="C1492" s="30" t="s">
        <v>7933</v>
      </c>
      <c r="D1492" s="61" t="s">
        <v>7934</v>
      </c>
      <c r="E1492" s="2"/>
      <c r="F1492" s="57"/>
      <c r="G1492" s="64" t="s">
        <v>7935</v>
      </c>
      <c r="H1492" s="59" t="s">
        <v>4171</v>
      </c>
    </row>
    <row r="1493" spans="1:8" ht="112.5" customHeight="1" x14ac:dyDescent="0.15">
      <c r="A1493" s="54">
        <v>1192</v>
      </c>
      <c r="B1493" s="55" t="s">
        <v>3749</v>
      </c>
      <c r="C1493" s="55" t="s">
        <v>7936</v>
      </c>
      <c r="D1493" s="56" t="s">
        <v>7937</v>
      </c>
      <c r="E1493" s="2"/>
      <c r="F1493" s="57"/>
      <c r="G1493" s="63" t="s">
        <v>7938</v>
      </c>
      <c r="H1493" s="59" t="s">
        <v>4171</v>
      </c>
    </row>
    <row r="1494" spans="1:8" ht="112.5" customHeight="1" x14ac:dyDescent="0.15">
      <c r="A1494" s="54">
        <v>3368</v>
      </c>
      <c r="B1494" s="55" t="s">
        <v>3549</v>
      </c>
      <c r="C1494" s="55" t="s">
        <v>7939</v>
      </c>
      <c r="D1494" s="56" t="s">
        <v>7940</v>
      </c>
      <c r="E1494" s="2"/>
      <c r="F1494" s="57"/>
      <c r="G1494" s="64" t="s">
        <v>7941</v>
      </c>
      <c r="H1494" s="59">
        <v>0</v>
      </c>
    </row>
    <row r="1495" spans="1:8" ht="112.5" customHeight="1" x14ac:dyDescent="0.15">
      <c r="A1495" s="54">
        <v>3364</v>
      </c>
      <c r="B1495" s="55" t="s">
        <v>3549</v>
      </c>
      <c r="C1495" s="55" t="s">
        <v>7942</v>
      </c>
      <c r="D1495" s="56" t="s">
        <v>7943</v>
      </c>
      <c r="E1495" s="2"/>
      <c r="F1495" s="57"/>
      <c r="G1495" s="63" t="s">
        <v>7944</v>
      </c>
      <c r="H1495" s="59" t="s">
        <v>4171</v>
      </c>
    </row>
    <row r="1496" spans="1:8" ht="112.5" customHeight="1" x14ac:dyDescent="0.15">
      <c r="A1496" s="54">
        <v>3362</v>
      </c>
      <c r="B1496" s="55" t="s">
        <v>3549</v>
      </c>
      <c r="C1496" s="55" t="s">
        <v>7945</v>
      </c>
      <c r="D1496" s="56" t="s">
        <v>7946</v>
      </c>
      <c r="E1496" s="2"/>
      <c r="F1496" s="57"/>
      <c r="G1496" s="64" t="s">
        <v>7947</v>
      </c>
      <c r="H1496" s="59" t="s">
        <v>4171</v>
      </c>
    </row>
    <row r="1497" spans="1:8" ht="112.5" customHeight="1" x14ac:dyDescent="0.15">
      <c r="A1497" s="60">
        <v>3363</v>
      </c>
      <c r="B1497" s="30" t="s">
        <v>3549</v>
      </c>
      <c r="C1497" s="30" t="s">
        <v>7948</v>
      </c>
      <c r="D1497" s="61" t="s">
        <v>7949</v>
      </c>
      <c r="E1497" s="2"/>
      <c r="F1497" s="57"/>
      <c r="G1497" s="63" t="s">
        <v>7950</v>
      </c>
      <c r="H1497" s="59" t="s">
        <v>4171</v>
      </c>
    </row>
    <row r="1498" spans="1:8" ht="112.5" customHeight="1" x14ac:dyDescent="0.15">
      <c r="A1498" s="54">
        <v>1190</v>
      </c>
      <c r="B1498" s="55" t="s">
        <v>3496</v>
      </c>
      <c r="C1498" s="55" t="s">
        <v>7951</v>
      </c>
      <c r="D1498" s="56" t="s">
        <v>7952</v>
      </c>
      <c r="E1498" s="2"/>
      <c r="F1498" s="57"/>
      <c r="G1498" s="64" t="s">
        <v>7953</v>
      </c>
      <c r="H1498" s="59" t="s">
        <v>4171</v>
      </c>
    </row>
    <row r="1499" spans="1:8" ht="112.5" customHeight="1" x14ac:dyDescent="0.15">
      <c r="A1499" s="60">
        <v>1189</v>
      </c>
      <c r="B1499" s="30" t="s">
        <v>3492</v>
      </c>
      <c r="C1499" s="30" t="s">
        <v>7954</v>
      </c>
      <c r="D1499" s="61" t="s">
        <v>7955</v>
      </c>
      <c r="E1499" s="2"/>
      <c r="F1499" s="57"/>
      <c r="G1499" s="63" t="s">
        <v>7956</v>
      </c>
      <c r="H1499" s="59">
        <v>0</v>
      </c>
    </row>
    <row r="1500" spans="1:8" ht="112.5" customHeight="1" x14ac:dyDescent="0.15">
      <c r="A1500" s="54">
        <v>1188</v>
      </c>
      <c r="B1500" s="55" t="s">
        <v>3513</v>
      </c>
      <c r="C1500" s="55" t="s">
        <v>7957</v>
      </c>
      <c r="D1500" s="56" t="s">
        <v>7958</v>
      </c>
      <c r="E1500" s="2"/>
      <c r="F1500" s="57"/>
      <c r="G1500" s="64" t="s">
        <v>7959</v>
      </c>
      <c r="H1500" s="59">
        <v>0</v>
      </c>
    </row>
    <row r="1501" spans="1:8" ht="112.5" customHeight="1" x14ac:dyDescent="0.15">
      <c r="A1501" s="54">
        <v>1186</v>
      </c>
      <c r="B1501" s="55" t="s">
        <v>3749</v>
      </c>
      <c r="C1501" s="55" t="s">
        <v>7960</v>
      </c>
      <c r="D1501" s="56" t="s">
        <v>7961</v>
      </c>
      <c r="E1501" s="2"/>
      <c r="F1501" s="57"/>
      <c r="G1501" s="63" t="s">
        <v>7962</v>
      </c>
      <c r="H1501" s="59" t="s">
        <v>4171</v>
      </c>
    </row>
    <row r="1502" spans="1:8" ht="112.5" customHeight="1" x14ac:dyDescent="0.15">
      <c r="A1502" s="60">
        <v>1187</v>
      </c>
      <c r="B1502" s="30" t="s">
        <v>3502</v>
      </c>
      <c r="C1502" s="30" t="s">
        <v>7963</v>
      </c>
      <c r="D1502" s="61" t="s">
        <v>7964</v>
      </c>
      <c r="E1502" s="2"/>
      <c r="F1502" s="57"/>
      <c r="G1502" s="64" t="s">
        <v>7965</v>
      </c>
      <c r="H1502" s="59">
        <v>999.97199999999998</v>
      </c>
    </row>
    <row r="1503" spans="1:8" ht="112.5" customHeight="1" x14ac:dyDescent="0.15">
      <c r="A1503" s="60">
        <v>1185</v>
      </c>
      <c r="B1503" s="30" t="s">
        <v>3513</v>
      </c>
      <c r="C1503" s="30" t="s">
        <v>7966</v>
      </c>
      <c r="D1503" s="61" t="s">
        <v>7967</v>
      </c>
      <c r="E1503" s="2"/>
      <c r="F1503" s="57"/>
      <c r="G1503" s="63" t="s">
        <v>7968</v>
      </c>
      <c r="H1503" s="59">
        <v>54</v>
      </c>
    </row>
    <row r="1504" spans="1:8" ht="112.5" customHeight="1" x14ac:dyDescent="0.15">
      <c r="A1504" s="54">
        <v>1184</v>
      </c>
      <c r="B1504" s="55" t="s">
        <v>3513</v>
      </c>
      <c r="C1504" s="55" t="s">
        <v>7969</v>
      </c>
      <c r="D1504" s="56" t="s">
        <v>7970</v>
      </c>
      <c r="E1504" s="2"/>
      <c r="F1504" s="57"/>
      <c r="G1504" s="64" t="s">
        <v>7971</v>
      </c>
      <c r="H1504" s="59">
        <v>999.96500000000003</v>
      </c>
    </row>
    <row r="1505" spans="1:8" ht="112.5" customHeight="1" x14ac:dyDescent="0.15">
      <c r="A1505" s="54">
        <v>1236</v>
      </c>
      <c r="B1505" s="55" t="s">
        <v>3818</v>
      </c>
      <c r="C1505" s="55" t="s">
        <v>7972</v>
      </c>
      <c r="D1505" s="56" t="s">
        <v>7973</v>
      </c>
      <c r="E1505" s="2"/>
      <c r="F1505" s="57"/>
      <c r="G1505" s="63" t="s">
        <v>7974</v>
      </c>
      <c r="H1505" s="59">
        <v>0</v>
      </c>
    </row>
    <row r="1506" spans="1:8" ht="112.5" customHeight="1" x14ac:dyDescent="0.15">
      <c r="A1506" s="60">
        <v>1235</v>
      </c>
      <c r="B1506" s="30" t="s">
        <v>3509</v>
      </c>
      <c r="C1506" s="30" t="s">
        <v>7975</v>
      </c>
      <c r="D1506" s="61" t="s">
        <v>7976</v>
      </c>
      <c r="E1506" s="2"/>
      <c r="F1506" s="57"/>
      <c r="G1506" s="64" t="s">
        <v>7977</v>
      </c>
      <c r="H1506" s="59">
        <v>999.99300000000005</v>
      </c>
    </row>
    <row r="1507" spans="1:8" ht="112.5" customHeight="1" x14ac:dyDescent="0.15">
      <c r="A1507" s="54">
        <v>1234</v>
      </c>
      <c r="B1507" s="55" t="s">
        <v>3509</v>
      </c>
      <c r="C1507" s="55" t="s">
        <v>7978</v>
      </c>
      <c r="D1507" s="56" t="s">
        <v>7979</v>
      </c>
      <c r="E1507" s="2"/>
      <c r="F1507" s="57"/>
      <c r="G1507" s="63" t="s">
        <v>7980</v>
      </c>
      <c r="H1507" s="59">
        <v>999.99400000000003</v>
      </c>
    </row>
    <row r="1508" spans="1:8" ht="112.5" customHeight="1" x14ac:dyDescent="0.15">
      <c r="A1508" s="60">
        <v>1323</v>
      </c>
      <c r="B1508" s="30" t="s">
        <v>3496</v>
      </c>
      <c r="C1508" s="30" t="s">
        <v>7981</v>
      </c>
      <c r="D1508" s="61" t="s">
        <v>7982</v>
      </c>
      <c r="E1508" s="2"/>
      <c r="F1508" s="57"/>
      <c r="G1508" s="64" t="s">
        <v>7983</v>
      </c>
      <c r="H1508" s="59" t="s">
        <v>4171</v>
      </c>
    </row>
    <row r="1509" spans="1:8" ht="112.5" customHeight="1" x14ac:dyDescent="0.15">
      <c r="A1509" s="54">
        <v>1322</v>
      </c>
      <c r="B1509" s="55" t="s">
        <v>3496</v>
      </c>
      <c r="C1509" s="55" t="s">
        <v>7984</v>
      </c>
      <c r="D1509" s="56" t="s">
        <v>7985</v>
      </c>
      <c r="E1509" s="2"/>
      <c r="F1509" s="57"/>
      <c r="G1509" s="63" t="s">
        <v>7986</v>
      </c>
      <c r="H1509" s="59">
        <v>999.95399999999995</v>
      </c>
    </row>
    <row r="1510" spans="1:8" ht="112.5" customHeight="1" x14ac:dyDescent="0.15">
      <c r="A1510" s="60">
        <v>1321</v>
      </c>
      <c r="B1510" s="30" t="s">
        <v>3496</v>
      </c>
      <c r="C1510" s="30" t="s">
        <v>7987</v>
      </c>
      <c r="D1510" s="61" t="s">
        <v>7988</v>
      </c>
      <c r="E1510" s="2"/>
      <c r="F1510" s="57"/>
      <c r="G1510" s="64" t="s">
        <v>7989</v>
      </c>
      <c r="H1510" s="59">
        <v>993</v>
      </c>
    </row>
    <row r="1511" spans="1:8" ht="112.5" customHeight="1" x14ac:dyDescent="0.15">
      <c r="A1511" s="54">
        <v>1320</v>
      </c>
      <c r="B1511" s="55" t="s">
        <v>3496</v>
      </c>
      <c r="C1511" s="55" t="s">
        <v>7990</v>
      </c>
      <c r="D1511" s="56" t="s">
        <v>7991</v>
      </c>
      <c r="E1511" s="2"/>
      <c r="F1511" s="57"/>
      <c r="G1511" s="63" t="s">
        <v>7992</v>
      </c>
      <c r="H1511" s="59">
        <v>999.88499999999999</v>
      </c>
    </row>
    <row r="1512" spans="1:8" ht="112.5" customHeight="1" x14ac:dyDescent="0.15">
      <c r="A1512" s="60">
        <v>1319</v>
      </c>
      <c r="B1512" s="30" t="s">
        <v>3822</v>
      </c>
      <c r="C1512" s="30" t="s">
        <v>7993</v>
      </c>
      <c r="D1512" s="61" t="s">
        <v>7994</v>
      </c>
      <c r="E1512" s="2"/>
      <c r="F1512" s="57"/>
      <c r="G1512" s="64" t="s">
        <v>7995</v>
      </c>
      <c r="H1512" s="59" t="s">
        <v>4171</v>
      </c>
    </row>
    <row r="1513" spans="1:8" ht="112.5" customHeight="1" x14ac:dyDescent="0.15">
      <c r="A1513" s="54">
        <v>1318</v>
      </c>
      <c r="B1513" s="55" t="s">
        <v>3533</v>
      </c>
      <c r="C1513" s="55" t="s">
        <v>7996</v>
      </c>
      <c r="D1513" s="56" t="s">
        <v>7997</v>
      </c>
      <c r="E1513" s="2"/>
      <c r="F1513" s="57"/>
      <c r="G1513" s="63" t="s">
        <v>7998</v>
      </c>
      <c r="H1513" s="59">
        <v>999.995</v>
      </c>
    </row>
    <row r="1514" spans="1:8" ht="112.5" customHeight="1" x14ac:dyDescent="0.15">
      <c r="A1514" s="60">
        <v>1317</v>
      </c>
      <c r="B1514" s="30" t="s">
        <v>3509</v>
      </c>
      <c r="C1514" s="30" t="s">
        <v>7999</v>
      </c>
      <c r="D1514" s="61" t="s">
        <v>8000</v>
      </c>
      <c r="E1514" s="2"/>
      <c r="F1514" s="57"/>
      <c r="G1514" s="64" t="s">
        <v>8001</v>
      </c>
      <c r="H1514" s="59">
        <v>999.92399999999998</v>
      </c>
    </row>
    <row r="1515" spans="1:8" ht="112.5" customHeight="1" x14ac:dyDescent="0.15">
      <c r="A1515" s="54">
        <v>1316</v>
      </c>
      <c r="B1515" s="55" t="s">
        <v>3509</v>
      </c>
      <c r="C1515" s="55" t="s">
        <v>8002</v>
      </c>
      <c r="D1515" s="56" t="s">
        <v>8003</v>
      </c>
      <c r="E1515" s="2"/>
      <c r="F1515" s="57"/>
      <c r="G1515" s="63" t="s">
        <v>8004</v>
      </c>
      <c r="H1515" s="59">
        <v>999.38400000000001</v>
      </c>
    </row>
    <row r="1516" spans="1:8" ht="112.5" customHeight="1" x14ac:dyDescent="0.15">
      <c r="A1516" s="60">
        <v>1315</v>
      </c>
      <c r="B1516" s="30" t="s">
        <v>3509</v>
      </c>
      <c r="C1516" s="30" t="s">
        <v>8005</v>
      </c>
      <c r="D1516" s="61" t="s">
        <v>8006</v>
      </c>
      <c r="E1516" s="2"/>
      <c r="F1516" s="57"/>
      <c r="G1516" s="64" t="s">
        <v>8007</v>
      </c>
      <c r="H1516" s="59">
        <v>999.91899999999998</v>
      </c>
    </row>
    <row r="1517" spans="1:8" ht="112.5" customHeight="1" x14ac:dyDescent="0.15">
      <c r="A1517" s="54">
        <v>1314</v>
      </c>
      <c r="B1517" s="55" t="s">
        <v>3502</v>
      </c>
      <c r="C1517" s="55" t="s">
        <v>8008</v>
      </c>
      <c r="D1517" s="56" t="s">
        <v>8009</v>
      </c>
      <c r="E1517" s="2"/>
      <c r="F1517" s="57"/>
      <c r="G1517" s="63" t="s">
        <v>8010</v>
      </c>
      <c r="H1517" s="59">
        <v>999.64200000000005</v>
      </c>
    </row>
    <row r="1518" spans="1:8" ht="112.5" customHeight="1" x14ac:dyDescent="0.15">
      <c r="A1518" s="60">
        <v>1313</v>
      </c>
      <c r="B1518" s="30" t="s">
        <v>3670</v>
      </c>
      <c r="C1518" s="30" t="s">
        <v>8011</v>
      </c>
      <c r="D1518" s="61" t="s">
        <v>8012</v>
      </c>
      <c r="E1518" s="2"/>
      <c r="F1518" s="57"/>
      <c r="G1518" s="64" t="s">
        <v>8013</v>
      </c>
      <c r="H1518" s="59">
        <v>999.99199999999996</v>
      </c>
    </row>
    <row r="1519" spans="1:8" ht="112.5" customHeight="1" x14ac:dyDescent="0.15">
      <c r="A1519" s="54">
        <v>1312</v>
      </c>
      <c r="B1519" s="55" t="s">
        <v>3822</v>
      </c>
      <c r="C1519" s="55" t="s">
        <v>8014</v>
      </c>
      <c r="D1519" s="56" t="s">
        <v>8015</v>
      </c>
      <c r="E1519" s="2"/>
      <c r="F1519" s="57"/>
      <c r="G1519" s="63" t="s">
        <v>8016</v>
      </c>
      <c r="H1519" s="59">
        <v>999.95</v>
      </c>
    </row>
    <row r="1520" spans="1:8" ht="112.5" customHeight="1" x14ac:dyDescent="0.15">
      <c r="A1520" s="60">
        <v>1311</v>
      </c>
      <c r="B1520" s="30" t="s">
        <v>3749</v>
      </c>
      <c r="C1520" s="30" t="s">
        <v>8017</v>
      </c>
      <c r="D1520" s="61" t="s">
        <v>8018</v>
      </c>
      <c r="E1520" s="2"/>
      <c r="F1520" s="57"/>
      <c r="G1520" s="64" t="s">
        <v>8019</v>
      </c>
      <c r="H1520" s="59">
        <v>999.971</v>
      </c>
    </row>
    <row r="1521" spans="1:8" ht="112.5" customHeight="1" x14ac:dyDescent="0.15">
      <c r="A1521" s="54">
        <v>1310</v>
      </c>
      <c r="B1521" s="55" t="s">
        <v>3533</v>
      </c>
      <c r="C1521" s="55" t="s">
        <v>8020</v>
      </c>
      <c r="D1521" s="56" t="s">
        <v>8021</v>
      </c>
      <c r="E1521" s="2"/>
      <c r="F1521" s="57"/>
      <c r="G1521" s="63" t="s">
        <v>8022</v>
      </c>
      <c r="H1521" s="59">
        <v>999.99800000000005</v>
      </c>
    </row>
    <row r="1522" spans="1:8" ht="112.5" customHeight="1" x14ac:dyDescent="0.15">
      <c r="A1522" s="60">
        <v>1309</v>
      </c>
      <c r="B1522" s="30" t="s">
        <v>3749</v>
      </c>
      <c r="C1522" s="30" t="s">
        <v>8023</v>
      </c>
      <c r="D1522" s="61" t="s">
        <v>8024</v>
      </c>
      <c r="E1522" s="2"/>
      <c r="F1522" s="57"/>
      <c r="G1522" s="64" t="s">
        <v>8025</v>
      </c>
      <c r="H1522" s="59">
        <v>999.99800000000005</v>
      </c>
    </row>
    <row r="1523" spans="1:8" ht="112.5" customHeight="1" x14ac:dyDescent="0.15">
      <c r="A1523" s="54">
        <v>1308</v>
      </c>
      <c r="B1523" s="55" t="s">
        <v>3556</v>
      </c>
      <c r="C1523" s="55" t="s">
        <v>8026</v>
      </c>
      <c r="D1523" s="56" t="s">
        <v>8027</v>
      </c>
      <c r="E1523" s="2"/>
      <c r="F1523" s="57"/>
      <c r="G1523" s="63" t="s">
        <v>8028</v>
      </c>
      <c r="H1523" s="59">
        <v>999.99599999999998</v>
      </c>
    </row>
    <row r="1524" spans="1:8" ht="112.5" customHeight="1" x14ac:dyDescent="0.15">
      <c r="A1524" s="60">
        <v>1307</v>
      </c>
      <c r="B1524" s="30" t="s">
        <v>3556</v>
      </c>
      <c r="C1524" s="30" t="s">
        <v>8029</v>
      </c>
      <c r="D1524" s="61" t="s">
        <v>8030</v>
      </c>
      <c r="E1524" s="2"/>
      <c r="F1524" s="57"/>
      <c r="G1524" s="64" t="s">
        <v>8031</v>
      </c>
      <c r="H1524" s="59">
        <v>999.83900000000006</v>
      </c>
    </row>
    <row r="1525" spans="1:8" ht="112.5" customHeight="1" x14ac:dyDescent="0.15">
      <c r="A1525" s="54">
        <v>1306</v>
      </c>
      <c r="B1525" s="55" t="s">
        <v>3556</v>
      </c>
      <c r="C1525" s="55" t="s">
        <v>8032</v>
      </c>
      <c r="D1525" s="56" t="s">
        <v>8033</v>
      </c>
      <c r="E1525" s="2"/>
      <c r="F1525" s="57"/>
      <c r="G1525" s="63" t="s">
        <v>8034</v>
      </c>
      <c r="H1525" s="59" t="s">
        <v>4171</v>
      </c>
    </row>
    <row r="1526" spans="1:8" ht="112.5" customHeight="1" x14ac:dyDescent="0.15">
      <c r="A1526" s="60">
        <v>1305</v>
      </c>
      <c r="B1526" s="30" t="s">
        <v>3533</v>
      </c>
      <c r="C1526" s="30" t="s">
        <v>8035</v>
      </c>
      <c r="D1526" s="61" t="s">
        <v>8036</v>
      </c>
      <c r="E1526" s="2"/>
      <c r="F1526" s="57"/>
      <c r="G1526" s="64" t="s">
        <v>4538</v>
      </c>
      <c r="H1526" s="59" t="s">
        <v>4171</v>
      </c>
    </row>
    <row r="1527" spans="1:8" ht="112.5" customHeight="1" x14ac:dyDescent="0.15">
      <c r="A1527" s="54">
        <v>1304</v>
      </c>
      <c r="B1527" s="55" t="s">
        <v>3556</v>
      </c>
      <c r="C1527" s="55" t="s">
        <v>8037</v>
      </c>
      <c r="D1527" s="56" t="s">
        <v>8038</v>
      </c>
      <c r="E1527" s="2"/>
      <c r="F1527" s="57"/>
      <c r="G1527" s="63" t="s">
        <v>8039</v>
      </c>
      <c r="H1527" s="59">
        <v>999.95100000000002</v>
      </c>
    </row>
    <row r="1528" spans="1:8" ht="112.5" customHeight="1" x14ac:dyDescent="0.15">
      <c r="A1528" s="60">
        <v>1303</v>
      </c>
      <c r="B1528" s="30" t="s">
        <v>3556</v>
      </c>
      <c r="C1528" s="30" t="s">
        <v>8040</v>
      </c>
      <c r="D1528" s="61" t="s">
        <v>8041</v>
      </c>
      <c r="E1528" s="2"/>
      <c r="F1528" s="57"/>
      <c r="G1528" s="64" t="s">
        <v>8042</v>
      </c>
      <c r="H1528" s="59" t="s">
        <v>4171</v>
      </c>
    </row>
    <row r="1529" spans="1:8" ht="112.5" customHeight="1" x14ac:dyDescent="0.15">
      <c r="A1529" s="54">
        <v>1302</v>
      </c>
      <c r="B1529" s="55" t="s">
        <v>3513</v>
      </c>
      <c r="C1529" s="55" t="s">
        <v>8043</v>
      </c>
      <c r="D1529" s="56" t="s">
        <v>8044</v>
      </c>
      <c r="E1529" s="2"/>
      <c r="F1529" s="57"/>
      <c r="G1529" s="63" t="s">
        <v>8045</v>
      </c>
      <c r="H1529" s="59" t="s">
        <v>4171</v>
      </c>
    </row>
    <row r="1530" spans="1:8" ht="112.5" customHeight="1" x14ac:dyDescent="0.15">
      <c r="A1530" s="60">
        <v>1301</v>
      </c>
      <c r="B1530" s="30" t="s">
        <v>3492</v>
      </c>
      <c r="C1530" s="30" t="s">
        <v>8046</v>
      </c>
      <c r="D1530" s="61" t="s">
        <v>8047</v>
      </c>
      <c r="E1530" s="2"/>
      <c r="F1530" s="57"/>
      <c r="G1530" s="64" t="s">
        <v>8048</v>
      </c>
      <c r="H1530" s="59">
        <v>999.96199999999999</v>
      </c>
    </row>
    <row r="1531" spans="1:8" ht="112.5" customHeight="1" x14ac:dyDescent="0.15">
      <c r="A1531" s="54">
        <v>1294</v>
      </c>
      <c r="B1531" s="55" t="s">
        <v>4334</v>
      </c>
      <c r="C1531" s="55" t="s">
        <v>8049</v>
      </c>
      <c r="D1531" s="56" t="s">
        <v>8050</v>
      </c>
      <c r="E1531" s="2"/>
      <c r="F1531" s="57"/>
      <c r="G1531" s="63" t="s">
        <v>8051</v>
      </c>
      <c r="H1531" s="59" t="s">
        <v>4171</v>
      </c>
    </row>
    <row r="1532" spans="1:8" ht="112.5" customHeight="1" x14ac:dyDescent="0.15">
      <c r="A1532" s="60">
        <v>1293</v>
      </c>
      <c r="B1532" s="30" t="s">
        <v>3533</v>
      </c>
      <c r="C1532" s="30" t="s">
        <v>8052</v>
      </c>
      <c r="D1532" s="61" t="s">
        <v>8053</v>
      </c>
      <c r="E1532" s="2"/>
      <c r="F1532" s="57"/>
      <c r="G1532" s="64" t="s">
        <v>8054</v>
      </c>
      <c r="H1532" s="59">
        <v>999.99699999999996</v>
      </c>
    </row>
    <row r="1533" spans="1:8" ht="112.5" customHeight="1" x14ac:dyDescent="0.15">
      <c r="A1533" s="54">
        <v>1292</v>
      </c>
      <c r="B1533" s="55" t="s">
        <v>3533</v>
      </c>
      <c r="C1533" s="55" t="s">
        <v>8055</v>
      </c>
      <c r="D1533" s="56" t="s">
        <v>8056</v>
      </c>
      <c r="E1533" s="2"/>
      <c r="F1533" s="57"/>
      <c r="G1533" s="63" t="s">
        <v>8057</v>
      </c>
      <c r="H1533" s="59">
        <v>999.98500000000001</v>
      </c>
    </row>
    <row r="1534" spans="1:8" ht="112.5" customHeight="1" x14ac:dyDescent="0.15">
      <c r="A1534" s="60">
        <v>1291</v>
      </c>
      <c r="B1534" s="30" t="s">
        <v>3818</v>
      </c>
      <c r="C1534" s="30" t="s">
        <v>8058</v>
      </c>
      <c r="D1534" s="61" t="s">
        <v>8059</v>
      </c>
      <c r="E1534" s="2"/>
      <c r="F1534" s="57"/>
      <c r="G1534" s="64" t="s">
        <v>8060</v>
      </c>
      <c r="H1534" s="59">
        <v>0</v>
      </c>
    </row>
    <row r="1535" spans="1:8" ht="112.5" customHeight="1" x14ac:dyDescent="0.15">
      <c r="A1535" s="54">
        <v>1290</v>
      </c>
      <c r="B1535" s="55" t="s">
        <v>3513</v>
      </c>
      <c r="C1535" s="55" t="s">
        <v>8061</v>
      </c>
      <c r="D1535" s="56" t="s">
        <v>8062</v>
      </c>
      <c r="E1535" s="2"/>
      <c r="F1535" s="57"/>
      <c r="G1535" s="63" t="s">
        <v>8063</v>
      </c>
      <c r="H1535" s="59">
        <v>999.99800000000005</v>
      </c>
    </row>
    <row r="1536" spans="1:8" ht="112.5" customHeight="1" x14ac:dyDescent="0.15">
      <c r="A1536" s="60">
        <v>1289</v>
      </c>
      <c r="B1536" s="30" t="s">
        <v>3502</v>
      </c>
      <c r="C1536" s="30" t="s">
        <v>8064</v>
      </c>
      <c r="D1536" s="61" t="s">
        <v>8065</v>
      </c>
      <c r="E1536" s="2"/>
      <c r="F1536" s="57"/>
      <c r="G1536" s="64" t="s">
        <v>8066</v>
      </c>
      <c r="H1536" s="59">
        <v>0</v>
      </c>
    </row>
    <row r="1537" spans="1:8" ht="112.5" customHeight="1" x14ac:dyDescent="0.15">
      <c r="A1537" s="54">
        <v>3328</v>
      </c>
      <c r="B1537" s="55" t="s">
        <v>3496</v>
      </c>
      <c r="C1537" s="55" t="s">
        <v>8067</v>
      </c>
      <c r="D1537" s="56" t="s">
        <v>8068</v>
      </c>
      <c r="E1537" s="2"/>
      <c r="F1537" s="57"/>
      <c r="G1537" s="63" t="s">
        <v>8069</v>
      </c>
      <c r="H1537" s="59">
        <v>999.99300000000005</v>
      </c>
    </row>
    <row r="1538" spans="1:8" ht="112.5" customHeight="1" x14ac:dyDescent="0.15">
      <c r="A1538" s="60">
        <v>3329</v>
      </c>
      <c r="B1538" s="30" t="s">
        <v>3496</v>
      </c>
      <c r="C1538" s="30" t="s">
        <v>8070</v>
      </c>
      <c r="D1538" s="61" t="s">
        <v>8071</v>
      </c>
      <c r="E1538" s="2"/>
      <c r="F1538" s="57"/>
      <c r="G1538" s="64" t="s">
        <v>8072</v>
      </c>
      <c r="H1538" s="59" t="s">
        <v>4171</v>
      </c>
    </row>
    <row r="1539" spans="1:8" ht="112.5" customHeight="1" x14ac:dyDescent="0.15">
      <c r="A1539" s="54">
        <v>1288</v>
      </c>
      <c r="B1539" s="55" t="s">
        <v>3549</v>
      </c>
      <c r="C1539" s="55" t="s">
        <v>8073</v>
      </c>
      <c r="D1539" s="56" t="s">
        <v>8074</v>
      </c>
      <c r="E1539" s="2"/>
      <c r="F1539" s="57"/>
      <c r="G1539" s="63" t="s">
        <v>8075</v>
      </c>
      <c r="H1539" s="59" t="s">
        <v>4171</v>
      </c>
    </row>
    <row r="1540" spans="1:8" ht="112.5" customHeight="1" x14ac:dyDescent="0.15">
      <c r="A1540" s="60">
        <v>1287</v>
      </c>
      <c r="B1540" s="30" t="s">
        <v>3818</v>
      </c>
      <c r="C1540" s="30" t="s">
        <v>8076</v>
      </c>
      <c r="D1540" s="61" t="s">
        <v>8077</v>
      </c>
      <c r="E1540" s="2"/>
      <c r="F1540" s="57"/>
      <c r="G1540" s="64" t="s">
        <v>8078</v>
      </c>
      <c r="H1540" s="59">
        <v>999.99099999999999</v>
      </c>
    </row>
    <row r="1541" spans="1:8" ht="112.5" customHeight="1" x14ac:dyDescent="0.15">
      <c r="A1541" s="54">
        <v>1286</v>
      </c>
      <c r="B1541" s="55" t="s">
        <v>3492</v>
      </c>
      <c r="C1541" s="55" t="s">
        <v>8079</v>
      </c>
      <c r="D1541" s="56" t="s">
        <v>8080</v>
      </c>
      <c r="E1541" s="2"/>
      <c r="F1541" s="57"/>
      <c r="G1541" s="63" t="s">
        <v>8081</v>
      </c>
      <c r="H1541" s="59">
        <v>999.98500000000001</v>
      </c>
    </row>
    <row r="1542" spans="1:8" ht="112.5" customHeight="1" x14ac:dyDescent="0.15">
      <c r="A1542" s="60">
        <v>1285</v>
      </c>
      <c r="B1542" s="30" t="s">
        <v>3822</v>
      </c>
      <c r="C1542" s="30" t="s">
        <v>8082</v>
      </c>
      <c r="D1542" s="61" t="s">
        <v>8083</v>
      </c>
      <c r="E1542" s="2"/>
      <c r="F1542" s="57"/>
      <c r="G1542" s="64" t="s">
        <v>8084</v>
      </c>
      <c r="H1542" s="59" t="s">
        <v>4171</v>
      </c>
    </row>
    <row r="1543" spans="1:8" ht="112.5" customHeight="1" x14ac:dyDescent="0.15">
      <c r="A1543" s="54">
        <v>1284</v>
      </c>
      <c r="B1543" s="55" t="s">
        <v>3549</v>
      </c>
      <c r="C1543" s="55" t="s">
        <v>8085</v>
      </c>
      <c r="D1543" s="56" t="s">
        <v>8086</v>
      </c>
      <c r="E1543" s="2"/>
      <c r="F1543" s="57"/>
      <c r="G1543" s="63" t="s">
        <v>8087</v>
      </c>
      <c r="H1543" s="59" t="s">
        <v>4171</v>
      </c>
    </row>
    <row r="1544" spans="1:8" ht="112.5" customHeight="1" x14ac:dyDescent="0.15">
      <c r="A1544" s="60">
        <v>1283</v>
      </c>
      <c r="B1544" s="30" t="s">
        <v>3822</v>
      </c>
      <c r="C1544" s="30" t="s">
        <v>8088</v>
      </c>
      <c r="D1544" s="61" t="s">
        <v>8089</v>
      </c>
      <c r="E1544" s="2"/>
      <c r="F1544" s="57"/>
      <c r="G1544" s="64" t="s">
        <v>8090</v>
      </c>
      <c r="H1544" s="59">
        <v>999.95100000000002</v>
      </c>
    </row>
    <row r="1545" spans="1:8" ht="112.5" customHeight="1" x14ac:dyDescent="0.15">
      <c r="A1545" s="60">
        <v>1233</v>
      </c>
      <c r="B1545" s="30" t="s">
        <v>3549</v>
      </c>
      <c r="C1545" s="30" t="s">
        <v>8091</v>
      </c>
      <c r="D1545" s="61" t="s">
        <v>8092</v>
      </c>
      <c r="E1545" s="2"/>
      <c r="F1545" s="57"/>
      <c r="G1545" s="63" t="s">
        <v>8093</v>
      </c>
      <c r="H1545" s="59">
        <v>0</v>
      </c>
    </row>
    <row r="1546" spans="1:8" ht="112.5" customHeight="1" x14ac:dyDescent="0.15">
      <c r="A1546" s="54">
        <v>1232</v>
      </c>
      <c r="B1546" s="55" t="s">
        <v>3670</v>
      </c>
      <c r="C1546" s="55" t="s">
        <v>8094</v>
      </c>
      <c r="D1546" s="56" t="s">
        <v>8095</v>
      </c>
      <c r="E1546" s="2"/>
      <c r="F1546" s="57"/>
      <c r="G1546" s="64" t="s">
        <v>8096</v>
      </c>
      <c r="H1546" s="59">
        <v>999.995</v>
      </c>
    </row>
    <row r="1547" spans="1:8" ht="112.5" customHeight="1" x14ac:dyDescent="0.15">
      <c r="A1547" s="60">
        <v>1231</v>
      </c>
      <c r="B1547" s="30" t="s">
        <v>3502</v>
      </c>
      <c r="C1547" s="30" t="s">
        <v>8097</v>
      </c>
      <c r="D1547" s="61" t="s">
        <v>8098</v>
      </c>
      <c r="E1547" s="2"/>
      <c r="F1547" s="57"/>
      <c r="G1547" s="63" t="s">
        <v>8099</v>
      </c>
      <c r="H1547" s="59">
        <v>999.995</v>
      </c>
    </row>
    <row r="1548" spans="1:8" ht="112.5" customHeight="1" x14ac:dyDescent="0.15">
      <c r="A1548" s="60">
        <v>1229</v>
      </c>
      <c r="B1548" s="30" t="s">
        <v>3513</v>
      </c>
      <c r="C1548" s="30" t="s">
        <v>8100</v>
      </c>
      <c r="D1548" s="61" t="s">
        <v>8101</v>
      </c>
      <c r="E1548" s="2"/>
      <c r="F1548" s="57"/>
      <c r="G1548" s="64" t="s">
        <v>8102</v>
      </c>
      <c r="H1548" s="59">
        <v>999.99800000000005</v>
      </c>
    </row>
    <row r="1549" spans="1:8" ht="112.5" customHeight="1" x14ac:dyDescent="0.15">
      <c r="A1549" s="60">
        <v>1227</v>
      </c>
      <c r="B1549" s="30" t="s">
        <v>3818</v>
      </c>
      <c r="C1549" s="30" t="s">
        <v>8103</v>
      </c>
      <c r="D1549" s="61" t="s">
        <v>8104</v>
      </c>
      <c r="E1549" s="2"/>
      <c r="F1549" s="57"/>
      <c r="G1549" s="63" t="s">
        <v>8105</v>
      </c>
      <c r="H1549" s="59" t="s">
        <v>4171</v>
      </c>
    </row>
    <row r="1550" spans="1:8" ht="112.5" customHeight="1" x14ac:dyDescent="0.15">
      <c r="A1550" s="54">
        <v>1226</v>
      </c>
      <c r="B1550" s="55" t="s">
        <v>3533</v>
      </c>
      <c r="C1550" s="55" t="s">
        <v>8106</v>
      </c>
      <c r="D1550" s="56" t="s">
        <v>8107</v>
      </c>
      <c r="E1550" s="2"/>
      <c r="F1550" s="57"/>
      <c r="G1550" s="64" t="s">
        <v>8108</v>
      </c>
      <c r="H1550" s="59">
        <v>0</v>
      </c>
    </row>
    <row r="1551" spans="1:8" ht="112.5" customHeight="1" x14ac:dyDescent="0.15">
      <c r="A1551" s="60">
        <v>1225</v>
      </c>
      <c r="B1551" s="30" t="s">
        <v>3509</v>
      </c>
      <c r="C1551" s="30" t="s">
        <v>8109</v>
      </c>
      <c r="D1551" s="61" t="s">
        <v>8110</v>
      </c>
      <c r="E1551" s="2"/>
      <c r="F1551" s="57"/>
      <c r="G1551" s="63" t="s">
        <v>8111</v>
      </c>
      <c r="H1551" s="59">
        <v>999.99800000000005</v>
      </c>
    </row>
    <row r="1552" spans="1:8" ht="112.5" customHeight="1" x14ac:dyDescent="0.15">
      <c r="A1552" s="54">
        <v>1224</v>
      </c>
      <c r="B1552" s="55" t="s">
        <v>3533</v>
      </c>
      <c r="C1552" s="55" t="s">
        <v>8112</v>
      </c>
      <c r="D1552" s="56" t="s">
        <v>8113</v>
      </c>
      <c r="E1552" s="2"/>
      <c r="F1552" s="57"/>
      <c r="G1552" s="64" t="s">
        <v>8114</v>
      </c>
      <c r="H1552" s="59">
        <v>999.98400000000004</v>
      </c>
    </row>
    <row r="1553" spans="1:8" ht="112.5" customHeight="1" x14ac:dyDescent="0.15">
      <c r="A1553" s="54">
        <v>1326</v>
      </c>
      <c r="B1553" s="55" t="s">
        <v>3818</v>
      </c>
      <c r="C1553" s="55" t="s">
        <v>8115</v>
      </c>
      <c r="D1553" s="56" t="s">
        <v>8116</v>
      </c>
      <c r="E1553" s="2"/>
      <c r="F1553" s="57"/>
      <c r="G1553" s="63" t="s">
        <v>8117</v>
      </c>
      <c r="H1553" s="59">
        <v>999.95</v>
      </c>
    </row>
    <row r="1554" spans="1:8" ht="112.5" customHeight="1" x14ac:dyDescent="0.15">
      <c r="A1554" s="60">
        <v>1325</v>
      </c>
      <c r="B1554" s="30" t="s">
        <v>3670</v>
      </c>
      <c r="C1554" s="30" t="s">
        <v>8118</v>
      </c>
      <c r="D1554" s="61" t="s">
        <v>8119</v>
      </c>
      <c r="E1554" s="2"/>
      <c r="F1554" s="57"/>
      <c r="G1554" s="64" t="s">
        <v>8120</v>
      </c>
      <c r="H1554" s="59">
        <v>999.97</v>
      </c>
    </row>
    <row r="1555" spans="1:8" ht="112.5" customHeight="1" x14ac:dyDescent="0.15">
      <c r="A1555" s="54">
        <v>1324</v>
      </c>
      <c r="B1555" s="55" t="s">
        <v>3556</v>
      </c>
      <c r="C1555" s="55" t="s">
        <v>8121</v>
      </c>
      <c r="D1555" s="56" t="s">
        <v>8122</v>
      </c>
      <c r="E1555" s="2"/>
      <c r="F1555" s="57"/>
      <c r="G1555" s="63" t="s">
        <v>8123</v>
      </c>
      <c r="H1555" s="59">
        <v>999.98800000000006</v>
      </c>
    </row>
    <row r="1556" spans="1:8" ht="112.5" customHeight="1" x14ac:dyDescent="0.15">
      <c r="A1556" s="54">
        <v>1386</v>
      </c>
      <c r="B1556" s="55" t="s">
        <v>3502</v>
      </c>
      <c r="C1556" s="55" t="s">
        <v>8124</v>
      </c>
      <c r="D1556" s="56" t="s">
        <v>8125</v>
      </c>
      <c r="E1556" s="2"/>
      <c r="F1556" s="57"/>
      <c r="G1556" s="64" t="s">
        <v>8126</v>
      </c>
      <c r="H1556" s="59">
        <v>999.98299999999995</v>
      </c>
    </row>
    <row r="1557" spans="1:8" ht="112.5" customHeight="1" x14ac:dyDescent="0.15">
      <c r="A1557" s="54">
        <v>1230</v>
      </c>
      <c r="B1557" s="55" t="s">
        <v>3492</v>
      </c>
      <c r="C1557" s="55" t="s">
        <v>8127</v>
      </c>
      <c r="D1557" s="56" t="s">
        <v>8128</v>
      </c>
      <c r="E1557" s="2"/>
      <c r="F1557" s="57"/>
      <c r="G1557" s="63" t="s">
        <v>8129</v>
      </c>
      <c r="H1557" s="59" t="s">
        <v>4171</v>
      </c>
    </row>
    <row r="1558" spans="1:8" ht="112.5" customHeight="1" x14ac:dyDescent="0.15">
      <c r="A1558" s="60">
        <v>1223</v>
      </c>
      <c r="B1558" s="30" t="s">
        <v>3818</v>
      </c>
      <c r="C1558" s="30" t="s">
        <v>8130</v>
      </c>
      <c r="D1558" s="61" t="s">
        <v>8131</v>
      </c>
      <c r="E1558" s="2"/>
      <c r="F1558" s="57"/>
      <c r="G1558" s="64" t="s">
        <v>8132</v>
      </c>
      <c r="H1558" s="59">
        <v>0</v>
      </c>
    </row>
    <row r="1559" spans="1:8" ht="112.5" customHeight="1" x14ac:dyDescent="0.15">
      <c r="A1559" s="54">
        <v>1222</v>
      </c>
      <c r="B1559" s="55" t="s">
        <v>3818</v>
      </c>
      <c r="C1559" s="55" t="s">
        <v>8133</v>
      </c>
      <c r="D1559" s="56" t="s">
        <v>8134</v>
      </c>
      <c r="E1559" s="2"/>
      <c r="F1559" s="57"/>
      <c r="G1559" s="63" t="s">
        <v>8135</v>
      </c>
      <c r="H1559" s="59">
        <v>980</v>
      </c>
    </row>
    <row r="1560" spans="1:8" ht="112.5" customHeight="1" x14ac:dyDescent="0.15">
      <c r="A1560" s="60">
        <v>1221</v>
      </c>
      <c r="B1560" s="30" t="s">
        <v>3749</v>
      </c>
      <c r="C1560" s="30" t="s">
        <v>8136</v>
      </c>
      <c r="D1560" s="61" t="s">
        <v>8137</v>
      </c>
      <c r="E1560" s="2"/>
      <c r="F1560" s="57"/>
      <c r="G1560" s="64" t="s">
        <v>8138</v>
      </c>
      <c r="H1560" s="59">
        <v>999.99699999999996</v>
      </c>
    </row>
    <row r="1561" spans="1:8" ht="112.5" customHeight="1" x14ac:dyDescent="0.15">
      <c r="A1561" s="60">
        <v>1219</v>
      </c>
      <c r="B1561" s="30" t="s">
        <v>3749</v>
      </c>
      <c r="C1561" s="30" t="s">
        <v>8139</v>
      </c>
      <c r="D1561" s="61" t="s">
        <v>8140</v>
      </c>
      <c r="E1561" s="2"/>
      <c r="F1561" s="57"/>
      <c r="G1561" s="63" t="s">
        <v>8141</v>
      </c>
      <c r="H1561" s="59">
        <v>999.99099999999999</v>
      </c>
    </row>
    <row r="1562" spans="1:8" ht="112.5" customHeight="1" x14ac:dyDescent="0.15">
      <c r="A1562" s="54">
        <v>1218</v>
      </c>
      <c r="B1562" s="55" t="s">
        <v>3749</v>
      </c>
      <c r="C1562" s="55" t="s">
        <v>8142</v>
      </c>
      <c r="D1562" s="56" t="s">
        <v>8143</v>
      </c>
      <c r="E1562" s="2"/>
      <c r="F1562" s="57"/>
      <c r="G1562" s="64" t="s">
        <v>8144</v>
      </c>
      <c r="H1562" s="59">
        <v>999.851</v>
      </c>
    </row>
    <row r="1563" spans="1:8" ht="112.5" customHeight="1" x14ac:dyDescent="0.15">
      <c r="A1563" s="60">
        <v>1217</v>
      </c>
      <c r="B1563" s="30" t="s">
        <v>3749</v>
      </c>
      <c r="C1563" s="30" t="s">
        <v>8145</v>
      </c>
      <c r="D1563" s="61" t="s">
        <v>8146</v>
      </c>
      <c r="E1563" s="2"/>
      <c r="F1563" s="57"/>
      <c r="G1563" s="63" t="s">
        <v>8147</v>
      </c>
      <c r="H1563" s="59">
        <v>999.67899999999997</v>
      </c>
    </row>
    <row r="1564" spans="1:8" ht="112.5" customHeight="1" x14ac:dyDescent="0.15">
      <c r="A1564" s="60">
        <v>1385</v>
      </c>
      <c r="B1564" s="30" t="s">
        <v>3533</v>
      </c>
      <c r="C1564" s="30" t="s">
        <v>8148</v>
      </c>
      <c r="D1564" s="61" t="s">
        <v>8149</v>
      </c>
      <c r="E1564" s="2"/>
      <c r="F1564" s="57"/>
      <c r="G1564" s="64" t="s">
        <v>8150</v>
      </c>
      <c r="H1564" s="59">
        <v>999.79200000000003</v>
      </c>
    </row>
    <row r="1565" spans="1:8" ht="112.5" customHeight="1" x14ac:dyDescent="0.15">
      <c r="A1565" s="54">
        <v>1384</v>
      </c>
      <c r="B1565" s="55" t="s">
        <v>3822</v>
      </c>
      <c r="C1565" s="55" t="s">
        <v>8151</v>
      </c>
      <c r="D1565" s="56" t="s">
        <v>8152</v>
      </c>
      <c r="E1565" s="2"/>
      <c r="F1565" s="57"/>
      <c r="G1565" s="63" t="s">
        <v>8153</v>
      </c>
      <c r="H1565" s="59">
        <v>999.98900000000003</v>
      </c>
    </row>
    <row r="1566" spans="1:8" ht="112.5" customHeight="1" x14ac:dyDescent="0.15">
      <c r="A1566" s="60">
        <v>1383</v>
      </c>
      <c r="B1566" s="30" t="s">
        <v>3492</v>
      </c>
      <c r="C1566" s="30" t="s">
        <v>8154</v>
      </c>
      <c r="D1566" s="61" t="s">
        <v>8155</v>
      </c>
      <c r="E1566" s="2"/>
      <c r="F1566" s="57"/>
      <c r="G1566" s="64" t="s">
        <v>8156</v>
      </c>
      <c r="H1566" s="59">
        <v>999.98800000000006</v>
      </c>
    </row>
    <row r="1567" spans="1:8" ht="112.5" customHeight="1" x14ac:dyDescent="0.15">
      <c r="A1567" s="54">
        <v>1382</v>
      </c>
      <c r="B1567" s="55" t="s">
        <v>3822</v>
      </c>
      <c r="C1567" s="55" t="s">
        <v>8157</v>
      </c>
      <c r="D1567" s="56" t="s">
        <v>8158</v>
      </c>
      <c r="E1567" s="2"/>
      <c r="F1567" s="57"/>
      <c r="G1567" s="63" t="s">
        <v>8159</v>
      </c>
      <c r="H1567" s="59" t="s">
        <v>4171</v>
      </c>
    </row>
    <row r="1568" spans="1:8" ht="112.5" customHeight="1" x14ac:dyDescent="0.15">
      <c r="A1568" s="60">
        <v>1381</v>
      </c>
      <c r="B1568" s="30" t="s">
        <v>3822</v>
      </c>
      <c r="C1568" s="30" t="s">
        <v>8160</v>
      </c>
      <c r="D1568" s="61" t="s">
        <v>8161</v>
      </c>
      <c r="E1568" s="2"/>
      <c r="F1568" s="57"/>
      <c r="G1568" s="64" t="s">
        <v>8162</v>
      </c>
      <c r="H1568" s="59">
        <v>999.995</v>
      </c>
    </row>
    <row r="1569" spans="1:13" ht="112.5" customHeight="1" x14ac:dyDescent="0.15">
      <c r="A1569" s="54">
        <v>1380</v>
      </c>
      <c r="B1569" s="55" t="s">
        <v>3822</v>
      </c>
      <c r="C1569" s="55" t="s">
        <v>8163</v>
      </c>
      <c r="D1569" s="56" t="s">
        <v>8164</v>
      </c>
      <c r="E1569" s="2"/>
      <c r="F1569" s="57"/>
      <c r="G1569" s="63" t="s">
        <v>8165</v>
      </c>
      <c r="H1569" s="59" t="s">
        <v>4171</v>
      </c>
    </row>
    <row r="1570" spans="1:13" ht="112.5" customHeight="1" x14ac:dyDescent="0.15">
      <c r="A1570" s="54">
        <v>1378</v>
      </c>
      <c r="B1570" s="55" t="s">
        <v>3533</v>
      </c>
      <c r="C1570" s="55" t="s">
        <v>8166</v>
      </c>
      <c r="D1570" s="56" t="s">
        <v>8167</v>
      </c>
      <c r="E1570" s="2"/>
      <c r="F1570" s="57"/>
      <c r="G1570" s="64" t="s">
        <v>8168</v>
      </c>
      <c r="H1570" s="59" t="s">
        <v>4171</v>
      </c>
    </row>
    <row r="1571" spans="1:13" ht="112.5" customHeight="1" x14ac:dyDescent="0.15">
      <c r="A1571" s="60">
        <v>1377</v>
      </c>
      <c r="B1571" s="30" t="s">
        <v>3502</v>
      </c>
      <c r="C1571" s="30" t="s">
        <v>8169</v>
      </c>
      <c r="D1571" s="61" t="s">
        <v>8170</v>
      </c>
      <c r="E1571" s="2"/>
      <c r="F1571" s="57"/>
      <c r="G1571" s="63" t="s">
        <v>8171</v>
      </c>
      <c r="H1571" s="59">
        <v>999.99699999999996</v>
      </c>
    </row>
    <row r="1572" spans="1:13" ht="112.5" customHeight="1" x14ac:dyDescent="0.15">
      <c r="A1572" s="54">
        <v>1376</v>
      </c>
      <c r="B1572" s="55" t="s">
        <v>3502</v>
      </c>
      <c r="C1572" s="55" t="s">
        <v>8172</v>
      </c>
      <c r="D1572" s="56" t="s">
        <v>8173</v>
      </c>
      <c r="E1572" s="2"/>
      <c r="F1572" s="57"/>
      <c r="G1572" s="64" t="s">
        <v>8174</v>
      </c>
      <c r="H1572" s="59" t="s">
        <v>4171</v>
      </c>
    </row>
    <row r="1573" spans="1:13" ht="112.5" customHeight="1" x14ac:dyDescent="0.15">
      <c r="A1573" s="60">
        <v>1375</v>
      </c>
      <c r="B1573" s="30" t="s">
        <v>3599</v>
      </c>
      <c r="C1573" s="30" t="s">
        <v>8175</v>
      </c>
      <c r="D1573" s="61" t="s">
        <v>8176</v>
      </c>
      <c r="E1573" s="2"/>
      <c r="F1573" s="57"/>
      <c r="G1573" s="63" t="s">
        <v>8177</v>
      </c>
      <c r="H1573" s="59" t="s">
        <v>4171</v>
      </c>
    </row>
    <row r="1574" spans="1:13" ht="112.5" customHeight="1" x14ac:dyDescent="0.15">
      <c r="A1574" s="60">
        <v>1373</v>
      </c>
      <c r="B1574" s="30" t="s">
        <v>3549</v>
      </c>
      <c r="C1574" s="30" t="s">
        <v>8178</v>
      </c>
      <c r="D1574" s="61" t="s">
        <v>8179</v>
      </c>
      <c r="E1574" s="2"/>
      <c r="F1574" s="57"/>
      <c r="G1574" s="64" t="s">
        <v>8180</v>
      </c>
      <c r="H1574" s="59" t="s">
        <v>4171</v>
      </c>
    </row>
    <row r="1575" spans="1:13" ht="112.5" customHeight="1" x14ac:dyDescent="0.15">
      <c r="A1575" s="54">
        <v>1372</v>
      </c>
      <c r="B1575" s="55" t="s">
        <v>3496</v>
      </c>
      <c r="C1575" s="55" t="s">
        <v>8181</v>
      </c>
      <c r="D1575" s="56" t="s">
        <v>8182</v>
      </c>
      <c r="E1575" s="2"/>
      <c r="F1575" s="57"/>
      <c r="G1575" s="63" t="s">
        <v>8183</v>
      </c>
      <c r="H1575" s="59" t="s">
        <v>4171</v>
      </c>
    </row>
    <row r="1576" spans="1:13" ht="112.5" customHeight="1" x14ac:dyDescent="0.15">
      <c r="A1576" s="60">
        <v>1371</v>
      </c>
      <c r="B1576" s="30" t="s">
        <v>3822</v>
      </c>
      <c r="C1576" s="30" t="s">
        <v>8184</v>
      </c>
      <c r="D1576" s="61" t="s">
        <v>8185</v>
      </c>
      <c r="E1576" s="2"/>
      <c r="F1576" s="57"/>
      <c r="G1576" s="64" t="s">
        <v>8186</v>
      </c>
      <c r="H1576" s="59">
        <v>0</v>
      </c>
    </row>
    <row r="1577" spans="1:13" ht="112.5" customHeight="1" x14ac:dyDescent="0.15">
      <c r="A1577" s="54">
        <v>1370</v>
      </c>
      <c r="B1577" s="55" t="s">
        <v>3822</v>
      </c>
      <c r="C1577" s="55" t="s">
        <v>8187</v>
      </c>
      <c r="D1577" s="56" t="s">
        <v>8188</v>
      </c>
      <c r="E1577" s="2"/>
      <c r="F1577" s="57"/>
      <c r="G1577" s="63" t="s">
        <v>8189</v>
      </c>
      <c r="H1577" s="59" t="s">
        <v>4171</v>
      </c>
    </row>
    <row r="1578" spans="1:13" ht="112.5" customHeight="1" x14ac:dyDescent="0.15">
      <c r="A1578" s="60">
        <v>1369</v>
      </c>
      <c r="B1578" s="30" t="s">
        <v>3549</v>
      </c>
      <c r="C1578" s="30" t="s">
        <v>8190</v>
      </c>
      <c r="D1578" s="61" t="s">
        <v>8191</v>
      </c>
      <c r="E1578" s="2"/>
      <c r="F1578" s="57"/>
      <c r="G1578" s="64" t="s">
        <v>8192</v>
      </c>
      <c r="H1578" s="59">
        <v>772</v>
      </c>
    </row>
    <row r="1579" spans="1:13" ht="112.5" customHeight="1" x14ac:dyDescent="0.15">
      <c r="A1579" s="54">
        <v>1368</v>
      </c>
      <c r="B1579" s="55" t="s">
        <v>3549</v>
      </c>
      <c r="C1579" s="55" t="s">
        <v>8193</v>
      </c>
      <c r="D1579" s="56" t="s">
        <v>8194</v>
      </c>
      <c r="E1579" s="2"/>
      <c r="F1579" s="57"/>
      <c r="G1579" s="63" t="s">
        <v>8195</v>
      </c>
      <c r="H1579" s="59">
        <v>0</v>
      </c>
    </row>
    <row r="1580" spans="1:13" ht="112.5" customHeight="1" x14ac:dyDescent="0.15">
      <c r="A1580" s="60">
        <v>1367</v>
      </c>
      <c r="B1580" s="30" t="s">
        <v>3549</v>
      </c>
      <c r="C1580" s="30" t="s">
        <v>8196</v>
      </c>
      <c r="D1580" s="61" t="s">
        <v>8197</v>
      </c>
      <c r="E1580" s="2"/>
      <c r="F1580" s="57"/>
      <c r="G1580" s="58" t="s">
        <v>8198</v>
      </c>
      <c r="H1580" s="59">
        <v>0</v>
      </c>
      <c r="I1580" s="29"/>
      <c r="J1580" s="29"/>
      <c r="K1580" s="29"/>
      <c r="L1580" s="29"/>
      <c r="M1580" s="29"/>
    </row>
    <row r="1581" spans="1:13" ht="112.5" customHeight="1" x14ac:dyDescent="0.15">
      <c r="A1581" s="54">
        <v>1366</v>
      </c>
      <c r="B1581" s="55" t="s">
        <v>3549</v>
      </c>
      <c r="C1581" s="55" t="s">
        <v>8199</v>
      </c>
      <c r="D1581" s="56" t="s">
        <v>8200</v>
      </c>
      <c r="E1581" s="2"/>
      <c r="F1581" s="57"/>
      <c r="G1581" s="63" t="s">
        <v>8201</v>
      </c>
      <c r="H1581" s="59">
        <v>0</v>
      </c>
    </row>
    <row r="1582" spans="1:13" ht="112.5" customHeight="1" x14ac:dyDescent="0.15">
      <c r="A1582" s="60">
        <v>1365</v>
      </c>
      <c r="B1582" s="30" t="s">
        <v>3822</v>
      </c>
      <c r="C1582" s="30" t="s">
        <v>8202</v>
      </c>
      <c r="D1582" s="61" t="s">
        <v>8203</v>
      </c>
      <c r="E1582" s="2"/>
      <c r="F1582" s="57"/>
      <c r="G1582" s="64" t="s">
        <v>8204</v>
      </c>
      <c r="H1582" s="59">
        <v>0</v>
      </c>
    </row>
    <row r="1583" spans="1:13" ht="112.5" customHeight="1" x14ac:dyDescent="0.15">
      <c r="A1583" s="54">
        <v>1364</v>
      </c>
      <c r="B1583" s="55" t="s">
        <v>3496</v>
      </c>
      <c r="C1583" s="55" t="s">
        <v>8205</v>
      </c>
      <c r="D1583" s="56" t="s">
        <v>8206</v>
      </c>
      <c r="E1583" s="2"/>
      <c r="F1583" s="57"/>
      <c r="G1583" s="63" t="s">
        <v>8207</v>
      </c>
      <c r="H1583" s="59">
        <v>0</v>
      </c>
    </row>
    <row r="1584" spans="1:13" ht="112.5" customHeight="1" x14ac:dyDescent="0.15">
      <c r="A1584" s="60">
        <v>1363</v>
      </c>
      <c r="B1584" s="30" t="s">
        <v>3496</v>
      </c>
      <c r="C1584" s="30" t="s">
        <v>8208</v>
      </c>
      <c r="D1584" s="61" t="s">
        <v>8209</v>
      </c>
      <c r="E1584" s="2"/>
      <c r="F1584" s="57"/>
      <c r="G1584" s="64" t="s">
        <v>8210</v>
      </c>
      <c r="H1584" s="59">
        <v>0</v>
      </c>
    </row>
    <row r="1585" spans="1:8" ht="112.5" customHeight="1" x14ac:dyDescent="0.15">
      <c r="A1585" s="54">
        <v>1362</v>
      </c>
      <c r="B1585" s="55" t="s">
        <v>3549</v>
      </c>
      <c r="C1585" s="55" t="s">
        <v>8211</v>
      </c>
      <c r="D1585" s="56" t="s">
        <v>8212</v>
      </c>
      <c r="E1585" s="2"/>
      <c r="F1585" s="57"/>
      <c r="G1585" s="63" t="s">
        <v>8213</v>
      </c>
      <c r="H1585" s="59">
        <v>0</v>
      </c>
    </row>
    <row r="1586" spans="1:8" ht="112.5" customHeight="1" x14ac:dyDescent="0.15">
      <c r="A1586" s="60">
        <v>1361</v>
      </c>
      <c r="B1586" s="30" t="s">
        <v>3556</v>
      </c>
      <c r="C1586" s="30" t="s">
        <v>8214</v>
      </c>
      <c r="D1586" s="61" t="s">
        <v>8215</v>
      </c>
      <c r="E1586" s="2"/>
      <c r="F1586" s="57"/>
      <c r="G1586" s="64" t="s">
        <v>8216</v>
      </c>
      <c r="H1586" s="59">
        <v>0</v>
      </c>
    </row>
    <row r="1587" spans="1:8" ht="112.5" customHeight="1" x14ac:dyDescent="0.15">
      <c r="A1587" s="54">
        <v>1360</v>
      </c>
      <c r="B1587" s="55" t="s">
        <v>3533</v>
      </c>
      <c r="C1587" s="55" t="s">
        <v>8217</v>
      </c>
      <c r="D1587" s="56" t="s">
        <v>8218</v>
      </c>
      <c r="E1587" s="2"/>
      <c r="F1587" s="57"/>
      <c r="G1587" s="63" t="s">
        <v>4535</v>
      </c>
      <c r="H1587" s="59">
        <v>9.9250000000000007</v>
      </c>
    </row>
    <row r="1588" spans="1:8" ht="112.5" customHeight="1" x14ac:dyDescent="0.15">
      <c r="A1588" s="60">
        <v>1359</v>
      </c>
      <c r="B1588" s="30" t="s">
        <v>3670</v>
      </c>
      <c r="C1588" s="30" t="s">
        <v>8219</v>
      </c>
      <c r="D1588" s="61" t="s">
        <v>8220</v>
      </c>
      <c r="E1588" s="2"/>
      <c r="F1588" s="57"/>
      <c r="G1588" s="64" t="s">
        <v>8221</v>
      </c>
      <c r="H1588" s="59">
        <v>0</v>
      </c>
    </row>
    <row r="1589" spans="1:8" ht="112.5" customHeight="1" x14ac:dyDescent="0.15">
      <c r="A1589" s="54">
        <v>1358</v>
      </c>
      <c r="B1589" s="55" t="s">
        <v>3670</v>
      </c>
      <c r="C1589" s="55" t="s">
        <v>8222</v>
      </c>
      <c r="D1589" s="56" t="s">
        <v>8223</v>
      </c>
      <c r="E1589" s="2"/>
      <c r="F1589" s="57"/>
      <c r="G1589" s="63" t="s">
        <v>8224</v>
      </c>
      <c r="H1589" s="59">
        <v>983</v>
      </c>
    </row>
    <row r="1590" spans="1:8" ht="112.5" customHeight="1" x14ac:dyDescent="0.15">
      <c r="A1590" s="60">
        <v>3223</v>
      </c>
      <c r="B1590" s="30" t="s">
        <v>3533</v>
      </c>
      <c r="C1590" s="30" t="s">
        <v>8225</v>
      </c>
      <c r="D1590" s="61" t="s">
        <v>8226</v>
      </c>
      <c r="E1590" s="2"/>
      <c r="F1590" s="57"/>
      <c r="G1590" s="64" t="s">
        <v>8227</v>
      </c>
      <c r="H1590" s="59">
        <v>0</v>
      </c>
    </row>
    <row r="1591" spans="1:8" ht="112.5" customHeight="1" x14ac:dyDescent="0.15">
      <c r="A1591" s="60">
        <v>1357</v>
      </c>
      <c r="B1591" s="30" t="s">
        <v>3513</v>
      </c>
      <c r="C1591" s="30" t="s">
        <v>8228</v>
      </c>
      <c r="D1591" s="61" t="s">
        <v>8229</v>
      </c>
      <c r="E1591" s="2"/>
      <c r="F1591" s="57"/>
      <c r="G1591" s="63" t="s">
        <v>8230</v>
      </c>
      <c r="H1591" s="59">
        <v>0</v>
      </c>
    </row>
    <row r="1592" spans="1:8" ht="112.5" customHeight="1" x14ac:dyDescent="0.15">
      <c r="A1592" s="54">
        <v>1356</v>
      </c>
      <c r="B1592" s="55" t="s">
        <v>3513</v>
      </c>
      <c r="C1592" s="55" t="s">
        <v>8231</v>
      </c>
      <c r="D1592" s="56" t="s">
        <v>8232</v>
      </c>
      <c r="E1592" s="2"/>
      <c r="F1592" s="57"/>
      <c r="G1592" s="64" t="s">
        <v>8233</v>
      </c>
      <c r="H1592" s="59">
        <v>0</v>
      </c>
    </row>
    <row r="1593" spans="1:8" ht="112.5" customHeight="1" x14ac:dyDescent="0.15">
      <c r="A1593" s="60">
        <v>1355</v>
      </c>
      <c r="B1593" s="30" t="s">
        <v>3549</v>
      </c>
      <c r="C1593" s="30" t="s">
        <v>8234</v>
      </c>
      <c r="D1593" s="61" t="s">
        <v>8235</v>
      </c>
      <c r="E1593" s="2"/>
      <c r="F1593" s="57"/>
      <c r="G1593" s="63" t="s">
        <v>8236</v>
      </c>
      <c r="H1593" s="59">
        <v>0</v>
      </c>
    </row>
    <row r="1594" spans="1:8" ht="112.5" customHeight="1" x14ac:dyDescent="0.15">
      <c r="A1594" s="60">
        <v>1351</v>
      </c>
      <c r="B1594" s="30" t="s">
        <v>3549</v>
      </c>
      <c r="C1594" s="30" t="s">
        <v>8237</v>
      </c>
      <c r="D1594" s="61" t="s">
        <v>8238</v>
      </c>
      <c r="E1594" s="2"/>
      <c r="F1594" s="57"/>
      <c r="G1594" s="64" t="s">
        <v>8239</v>
      </c>
      <c r="H1594" s="59">
        <v>0</v>
      </c>
    </row>
    <row r="1595" spans="1:8" ht="112.5" customHeight="1" x14ac:dyDescent="0.15">
      <c r="A1595" s="54">
        <v>1354</v>
      </c>
      <c r="B1595" s="55" t="s">
        <v>3549</v>
      </c>
      <c r="C1595" s="55" t="s">
        <v>8240</v>
      </c>
      <c r="D1595" s="56" t="s">
        <v>8241</v>
      </c>
      <c r="E1595" s="2"/>
      <c r="F1595" s="57"/>
      <c r="G1595" s="63" t="s">
        <v>8242</v>
      </c>
      <c r="H1595" s="59">
        <v>0</v>
      </c>
    </row>
    <row r="1596" spans="1:8" ht="112.5" customHeight="1" x14ac:dyDescent="0.15">
      <c r="A1596" s="60">
        <v>1353</v>
      </c>
      <c r="B1596" s="30" t="s">
        <v>3549</v>
      </c>
      <c r="C1596" s="30" t="s">
        <v>8243</v>
      </c>
      <c r="D1596" s="61" t="s">
        <v>8244</v>
      </c>
      <c r="E1596" s="2"/>
      <c r="F1596" s="57"/>
      <c r="G1596" s="64" t="s">
        <v>8245</v>
      </c>
      <c r="H1596" s="59">
        <v>0</v>
      </c>
    </row>
    <row r="1597" spans="1:8" ht="112.5" customHeight="1" x14ac:dyDescent="0.15">
      <c r="A1597" s="54">
        <v>1352</v>
      </c>
      <c r="B1597" s="55" t="s">
        <v>3549</v>
      </c>
      <c r="C1597" s="55" t="s">
        <v>8246</v>
      </c>
      <c r="D1597" s="56" t="s">
        <v>8247</v>
      </c>
      <c r="E1597" s="2"/>
      <c r="F1597" s="57"/>
      <c r="G1597" s="63" t="s">
        <v>8248</v>
      </c>
      <c r="H1597" s="59">
        <v>0</v>
      </c>
    </row>
    <row r="1598" spans="1:8" ht="112.5" customHeight="1" x14ac:dyDescent="0.15">
      <c r="A1598" s="54">
        <v>1350</v>
      </c>
      <c r="B1598" s="55" t="s">
        <v>3549</v>
      </c>
      <c r="C1598" s="55" t="s">
        <v>8249</v>
      </c>
      <c r="D1598" s="56" t="s">
        <v>8250</v>
      </c>
      <c r="E1598" s="2"/>
      <c r="F1598" s="57"/>
      <c r="G1598" s="64" t="s">
        <v>8251</v>
      </c>
      <c r="H1598" s="59">
        <v>0</v>
      </c>
    </row>
    <row r="1599" spans="1:8" ht="112.5" customHeight="1" x14ac:dyDescent="0.15">
      <c r="A1599" s="54">
        <v>1348</v>
      </c>
      <c r="B1599" s="55" t="s">
        <v>3549</v>
      </c>
      <c r="C1599" s="55" t="s">
        <v>8252</v>
      </c>
      <c r="D1599" s="56" t="s">
        <v>8253</v>
      </c>
      <c r="E1599" s="2"/>
      <c r="F1599" s="57"/>
      <c r="G1599" s="63" t="s">
        <v>8254</v>
      </c>
      <c r="H1599" s="59">
        <v>0</v>
      </c>
    </row>
    <row r="1600" spans="1:8" ht="112.5" customHeight="1" x14ac:dyDescent="0.15">
      <c r="A1600" s="60">
        <v>1349</v>
      </c>
      <c r="B1600" s="30" t="s">
        <v>3549</v>
      </c>
      <c r="C1600" s="30" t="s">
        <v>8255</v>
      </c>
      <c r="D1600" s="61" t="s">
        <v>8256</v>
      </c>
      <c r="E1600" s="2"/>
      <c r="F1600" s="57"/>
      <c r="G1600" s="64" t="s">
        <v>8257</v>
      </c>
      <c r="H1600" s="59">
        <v>0</v>
      </c>
    </row>
    <row r="1601" spans="1:8" ht="112.5" customHeight="1" x14ac:dyDescent="0.15">
      <c r="A1601" s="54">
        <v>1346</v>
      </c>
      <c r="B1601" s="55" t="s">
        <v>3549</v>
      </c>
      <c r="C1601" s="55" t="s">
        <v>8258</v>
      </c>
      <c r="D1601" s="56" t="s">
        <v>8259</v>
      </c>
      <c r="E1601" s="2"/>
      <c r="F1601" s="57"/>
      <c r="G1601" s="63" t="s">
        <v>8260</v>
      </c>
      <c r="H1601" s="59">
        <v>0</v>
      </c>
    </row>
    <row r="1602" spans="1:8" ht="112.5" customHeight="1" x14ac:dyDescent="0.15">
      <c r="A1602" s="60">
        <v>1345</v>
      </c>
      <c r="B1602" s="30" t="s">
        <v>3513</v>
      </c>
      <c r="C1602" s="30" t="s">
        <v>8261</v>
      </c>
      <c r="D1602" s="61" t="s">
        <v>8262</v>
      </c>
      <c r="E1602" s="2"/>
      <c r="F1602" s="57"/>
      <c r="G1602" s="64" t="s">
        <v>8263</v>
      </c>
      <c r="H1602" s="59">
        <v>0</v>
      </c>
    </row>
    <row r="1603" spans="1:8" ht="112.5" customHeight="1" x14ac:dyDescent="0.15">
      <c r="A1603" s="54">
        <v>1344</v>
      </c>
      <c r="B1603" s="55" t="s">
        <v>3513</v>
      </c>
      <c r="C1603" s="55" t="s">
        <v>8264</v>
      </c>
      <c r="D1603" s="56" t="s">
        <v>8265</v>
      </c>
      <c r="E1603" s="2"/>
      <c r="F1603" s="57"/>
      <c r="G1603" s="63" t="s">
        <v>8266</v>
      </c>
      <c r="H1603" s="59">
        <v>0</v>
      </c>
    </row>
    <row r="1604" spans="1:8" ht="112.5" customHeight="1" x14ac:dyDescent="0.15">
      <c r="A1604" s="54">
        <v>1342</v>
      </c>
      <c r="B1604" s="55" t="s">
        <v>3513</v>
      </c>
      <c r="C1604" s="55" t="s">
        <v>8267</v>
      </c>
      <c r="D1604" s="56" t="s">
        <v>8268</v>
      </c>
      <c r="E1604" s="2"/>
      <c r="F1604" s="57"/>
      <c r="G1604" s="64" t="s">
        <v>8269</v>
      </c>
      <c r="H1604" s="59">
        <v>0</v>
      </c>
    </row>
    <row r="1605" spans="1:8" ht="112.5" customHeight="1" x14ac:dyDescent="0.15">
      <c r="A1605" s="54">
        <v>3196</v>
      </c>
      <c r="B1605" s="55" t="s">
        <v>3513</v>
      </c>
      <c r="C1605" s="55" t="s">
        <v>8270</v>
      </c>
      <c r="D1605" s="56" t="s">
        <v>8271</v>
      </c>
      <c r="E1605" s="2"/>
      <c r="F1605" s="57"/>
      <c r="G1605" s="63" t="s">
        <v>8272</v>
      </c>
      <c r="H1605" s="59">
        <v>0</v>
      </c>
    </row>
    <row r="1606" spans="1:8" ht="112.5" customHeight="1" x14ac:dyDescent="0.15">
      <c r="A1606" s="60">
        <v>1343</v>
      </c>
      <c r="B1606" s="30" t="s">
        <v>3513</v>
      </c>
      <c r="C1606" s="30" t="s">
        <v>8273</v>
      </c>
      <c r="D1606" s="61" t="s">
        <v>8274</v>
      </c>
      <c r="E1606" s="2"/>
      <c r="F1606" s="57"/>
      <c r="G1606" s="64" t="s">
        <v>8275</v>
      </c>
      <c r="H1606" s="59">
        <v>0</v>
      </c>
    </row>
    <row r="1607" spans="1:8" ht="112.5" customHeight="1" x14ac:dyDescent="0.15">
      <c r="A1607" s="60">
        <v>1341</v>
      </c>
      <c r="B1607" s="30" t="s">
        <v>3513</v>
      </c>
      <c r="C1607" s="30" t="s">
        <v>8276</v>
      </c>
      <c r="D1607" s="61" t="s">
        <v>8277</v>
      </c>
      <c r="E1607" s="2"/>
      <c r="F1607" s="57"/>
      <c r="G1607" s="63" t="s">
        <v>8278</v>
      </c>
      <c r="H1607" s="59">
        <v>0</v>
      </c>
    </row>
    <row r="1608" spans="1:8" ht="112.5" customHeight="1" x14ac:dyDescent="0.15">
      <c r="A1608" s="54">
        <v>1340</v>
      </c>
      <c r="B1608" s="55" t="s">
        <v>3513</v>
      </c>
      <c r="C1608" s="55" t="s">
        <v>8279</v>
      </c>
      <c r="D1608" s="56" t="s">
        <v>8280</v>
      </c>
      <c r="E1608" s="2"/>
      <c r="F1608" s="57"/>
      <c r="G1608" s="64" t="s">
        <v>8281</v>
      </c>
      <c r="H1608" s="59">
        <v>999.99199999999996</v>
      </c>
    </row>
    <row r="1609" spans="1:8" ht="112.5" customHeight="1" x14ac:dyDescent="0.15">
      <c r="A1609" s="60">
        <v>1339</v>
      </c>
      <c r="B1609" s="30" t="s">
        <v>3513</v>
      </c>
      <c r="C1609" s="30" t="s">
        <v>8282</v>
      </c>
      <c r="D1609" s="61" t="s">
        <v>8283</v>
      </c>
      <c r="E1609" s="2"/>
      <c r="F1609" s="57"/>
      <c r="G1609" s="63" t="s">
        <v>8284</v>
      </c>
      <c r="H1609" s="59">
        <v>0</v>
      </c>
    </row>
    <row r="1610" spans="1:8" ht="112.5" customHeight="1" x14ac:dyDescent="0.15">
      <c r="A1610" s="54">
        <v>1338</v>
      </c>
      <c r="B1610" s="55" t="s">
        <v>3513</v>
      </c>
      <c r="C1610" s="55" t="s">
        <v>8285</v>
      </c>
      <c r="D1610" s="56" t="s">
        <v>8286</v>
      </c>
      <c r="E1610" s="2"/>
      <c r="F1610" s="57"/>
      <c r="G1610" s="64" t="s">
        <v>4532</v>
      </c>
      <c r="H1610" s="59">
        <v>9.9949999999999992</v>
      </c>
    </row>
    <row r="1611" spans="1:8" ht="112.5" customHeight="1" x14ac:dyDescent="0.15">
      <c r="A1611" s="60">
        <v>1337</v>
      </c>
      <c r="B1611" s="30" t="s">
        <v>3513</v>
      </c>
      <c r="C1611" s="30" t="s">
        <v>8287</v>
      </c>
      <c r="D1611" s="61" t="s">
        <v>8288</v>
      </c>
      <c r="E1611" s="2"/>
      <c r="F1611" s="57"/>
      <c r="G1611" s="63" t="s">
        <v>8289</v>
      </c>
      <c r="H1611" s="59">
        <v>1</v>
      </c>
    </row>
    <row r="1612" spans="1:8" ht="112.5" customHeight="1" x14ac:dyDescent="0.15">
      <c r="A1612" s="54">
        <v>1336</v>
      </c>
      <c r="B1612" s="55" t="s">
        <v>3513</v>
      </c>
      <c r="C1612" s="55" t="s">
        <v>8290</v>
      </c>
      <c r="D1612" s="56" t="s">
        <v>8291</v>
      </c>
      <c r="E1612" s="2"/>
      <c r="F1612" s="57"/>
      <c r="G1612" s="64" t="s">
        <v>8292</v>
      </c>
      <c r="H1612" s="59">
        <v>0</v>
      </c>
    </row>
    <row r="1613" spans="1:8" ht="112.5" customHeight="1" x14ac:dyDescent="0.15">
      <c r="A1613" s="60">
        <v>1335</v>
      </c>
      <c r="B1613" s="30" t="s">
        <v>3533</v>
      </c>
      <c r="C1613" s="30" t="s">
        <v>8293</v>
      </c>
      <c r="D1613" s="61" t="s">
        <v>8294</v>
      </c>
      <c r="E1613" s="2"/>
      <c r="F1613" s="57"/>
      <c r="G1613" s="63" t="s">
        <v>8295</v>
      </c>
      <c r="H1613" s="59">
        <v>0</v>
      </c>
    </row>
    <row r="1614" spans="1:8" ht="112.5" customHeight="1" x14ac:dyDescent="0.15">
      <c r="A1614" s="54">
        <v>1334</v>
      </c>
      <c r="B1614" s="55" t="s">
        <v>3556</v>
      </c>
      <c r="C1614" s="55" t="s">
        <v>8296</v>
      </c>
      <c r="D1614" s="56" t="s">
        <v>8297</v>
      </c>
      <c r="E1614" s="2"/>
      <c r="F1614" s="57"/>
      <c r="G1614" s="64" t="s">
        <v>8298</v>
      </c>
      <c r="H1614" s="59">
        <v>0</v>
      </c>
    </row>
    <row r="1615" spans="1:8" ht="112.5" customHeight="1" x14ac:dyDescent="0.15">
      <c r="A1615" s="60">
        <v>1333</v>
      </c>
      <c r="B1615" s="30" t="s">
        <v>3556</v>
      </c>
      <c r="C1615" s="30" t="s">
        <v>8299</v>
      </c>
      <c r="D1615" s="61" t="s">
        <v>8300</v>
      </c>
      <c r="E1615" s="2"/>
      <c r="F1615" s="57"/>
      <c r="G1615" s="63" t="s">
        <v>8301</v>
      </c>
      <c r="H1615" s="59">
        <v>0</v>
      </c>
    </row>
    <row r="1616" spans="1:8" ht="112.5" customHeight="1" x14ac:dyDescent="0.15">
      <c r="A1616" s="54">
        <v>1332</v>
      </c>
      <c r="B1616" s="55" t="s">
        <v>3556</v>
      </c>
      <c r="C1616" s="55" t="s">
        <v>8302</v>
      </c>
      <c r="D1616" s="56" t="s">
        <v>8303</v>
      </c>
      <c r="E1616" s="2"/>
      <c r="F1616" s="57"/>
      <c r="G1616" s="64" t="s">
        <v>8304</v>
      </c>
      <c r="H1616" s="59">
        <v>999.99400000000003</v>
      </c>
    </row>
    <row r="1617" spans="1:8" ht="112.5" customHeight="1" x14ac:dyDescent="0.15">
      <c r="A1617" s="60">
        <v>1331</v>
      </c>
      <c r="B1617" s="30" t="s">
        <v>3556</v>
      </c>
      <c r="C1617" s="30" t="s">
        <v>8305</v>
      </c>
      <c r="D1617" s="61" t="s">
        <v>8306</v>
      </c>
      <c r="E1617" s="2"/>
      <c r="F1617" s="57"/>
      <c r="G1617" s="63" t="s">
        <v>8307</v>
      </c>
      <c r="H1617" s="59">
        <v>0</v>
      </c>
    </row>
    <row r="1618" spans="1:8" ht="112.5" customHeight="1" x14ac:dyDescent="0.15">
      <c r="A1618" s="54">
        <v>1330</v>
      </c>
      <c r="B1618" s="55" t="s">
        <v>3749</v>
      </c>
      <c r="C1618" s="55" t="s">
        <v>8308</v>
      </c>
      <c r="D1618" s="56" t="s">
        <v>8309</v>
      </c>
      <c r="E1618" s="2"/>
      <c r="F1618" s="57"/>
      <c r="G1618" s="64" t="s">
        <v>8310</v>
      </c>
      <c r="H1618" s="59">
        <v>0</v>
      </c>
    </row>
    <row r="1619" spans="1:8" ht="112.5" customHeight="1" x14ac:dyDescent="0.15">
      <c r="A1619" s="60">
        <v>1329</v>
      </c>
      <c r="B1619" s="30" t="s">
        <v>3509</v>
      </c>
      <c r="C1619" s="30" t="s">
        <v>8311</v>
      </c>
      <c r="D1619" s="61" t="s">
        <v>8312</v>
      </c>
      <c r="E1619" s="2"/>
      <c r="F1619" s="57"/>
      <c r="G1619" s="63" t="s">
        <v>8313</v>
      </c>
      <c r="H1619" s="59">
        <v>8.5399999999999991</v>
      </c>
    </row>
    <row r="1620" spans="1:8" ht="112.5" customHeight="1" x14ac:dyDescent="0.15">
      <c r="A1620" s="54">
        <v>1328</v>
      </c>
      <c r="B1620" s="55" t="s">
        <v>3818</v>
      </c>
      <c r="C1620" s="55" t="s">
        <v>8314</v>
      </c>
      <c r="D1620" s="56" t="s">
        <v>8315</v>
      </c>
      <c r="E1620" s="2"/>
      <c r="F1620" s="57"/>
      <c r="G1620" s="64" t="s">
        <v>8316</v>
      </c>
      <c r="H1620" s="59">
        <v>9.5440000000000005</v>
      </c>
    </row>
    <row r="1621" spans="1:8" ht="112.5" customHeight="1" x14ac:dyDescent="0.15">
      <c r="A1621" s="60">
        <v>1327</v>
      </c>
      <c r="B1621" s="30" t="s">
        <v>3630</v>
      </c>
      <c r="C1621" s="30" t="s">
        <v>8317</v>
      </c>
      <c r="D1621" s="61" t="s">
        <v>8318</v>
      </c>
      <c r="E1621" s="2"/>
      <c r="F1621" s="57"/>
      <c r="G1621" s="63" t="s">
        <v>8319</v>
      </c>
      <c r="H1621" s="59">
        <v>0</v>
      </c>
    </row>
    <row r="1622" spans="1:8" ht="112.5" customHeight="1" x14ac:dyDescent="0.15">
      <c r="A1622" s="60">
        <v>1421</v>
      </c>
      <c r="B1622" s="30" t="s">
        <v>3496</v>
      </c>
      <c r="C1622" s="30" t="s">
        <v>8320</v>
      </c>
      <c r="D1622" s="61" t="s">
        <v>8321</v>
      </c>
      <c r="E1622" s="2"/>
      <c r="F1622" s="57"/>
      <c r="G1622" s="64" t="s">
        <v>8322</v>
      </c>
      <c r="H1622" s="59">
        <v>0</v>
      </c>
    </row>
    <row r="1623" spans="1:8" ht="112.5" customHeight="1" x14ac:dyDescent="0.15">
      <c r="A1623" s="54">
        <v>1420</v>
      </c>
      <c r="B1623" s="55" t="s">
        <v>3822</v>
      </c>
      <c r="C1623" s="55" t="s">
        <v>8323</v>
      </c>
      <c r="D1623" s="56" t="s">
        <v>8324</v>
      </c>
      <c r="E1623" s="2"/>
      <c r="F1623" s="57"/>
      <c r="G1623" s="63" t="s">
        <v>8325</v>
      </c>
      <c r="H1623" s="59">
        <v>0</v>
      </c>
    </row>
    <row r="1624" spans="1:8" ht="112.5" customHeight="1" x14ac:dyDescent="0.15">
      <c r="A1624" s="60">
        <v>3275</v>
      </c>
      <c r="B1624" s="30" t="s">
        <v>3526</v>
      </c>
      <c r="C1624" s="30" t="s">
        <v>8326</v>
      </c>
      <c r="D1624" s="61" t="s">
        <v>8327</v>
      </c>
      <c r="E1624" s="2"/>
      <c r="F1624" s="57"/>
      <c r="G1624" s="64" t="s">
        <v>8328</v>
      </c>
      <c r="H1624" s="59">
        <v>0</v>
      </c>
    </row>
    <row r="1625" spans="1:8" ht="112.5" customHeight="1" x14ac:dyDescent="0.15">
      <c r="A1625" s="60">
        <v>3417</v>
      </c>
      <c r="B1625" s="30" t="s">
        <v>3526</v>
      </c>
      <c r="C1625" s="30" t="s">
        <v>8329</v>
      </c>
      <c r="D1625" s="61" t="s">
        <v>8330</v>
      </c>
      <c r="E1625" s="2"/>
      <c r="F1625" s="57"/>
      <c r="G1625" s="63" t="s">
        <v>8331</v>
      </c>
      <c r="H1625" s="59">
        <v>0</v>
      </c>
    </row>
    <row r="1626" spans="1:8" ht="112.5" customHeight="1" x14ac:dyDescent="0.15">
      <c r="A1626" s="60">
        <v>1419</v>
      </c>
      <c r="B1626" s="30" t="s">
        <v>3630</v>
      </c>
      <c r="C1626" s="30" t="s">
        <v>8332</v>
      </c>
      <c r="D1626" s="61" t="s">
        <v>8333</v>
      </c>
      <c r="E1626" s="2"/>
      <c r="F1626" s="57"/>
      <c r="G1626" s="64" t="s">
        <v>8334</v>
      </c>
      <c r="H1626" s="59">
        <v>0</v>
      </c>
    </row>
    <row r="1627" spans="1:8" ht="112.5" customHeight="1" x14ac:dyDescent="0.15">
      <c r="A1627" s="60">
        <v>3115</v>
      </c>
      <c r="B1627" s="30" t="s">
        <v>3502</v>
      </c>
      <c r="C1627" s="30" t="s">
        <v>8335</v>
      </c>
      <c r="D1627" s="61" t="s">
        <v>8336</v>
      </c>
      <c r="E1627" s="2"/>
      <c r="F1627" s="57"/>
      <c r="G1627" s="63" t="s">
        <v>8337</v>
      </c>
      <c r="H1627" s="59">
        <v>0</v>
      </c>
    </row>
    <row r="1628" spans="1:8" ht="112.5" customHeight="1" x14ac:dyDescent="0.15">
      <c r="A1628" s="54">
        <v>1424</v>
      </c>
      <c r="B1628" s="55" t="s">
        <v>3898</v>
      </c>
      <c r="C1628" s="55" t="s">
        <v>8338</v>
      </c>
      <c r="D1628" s="56" t="s">
        <v>8339</v>
      </c>
      <c r="E1628" s="2"/>
      <c r="F1628" s="57"/>
      <c r="G1628" s="64" t="s">
        <v>8340</v>
      </c>
      <c r="H1628" s="59">
        <v>0</v>
      </c>
    </row>
    <row r="1629" spans="1:8" ht="112.5" customHeight="1" x14ac:dyDescent="0.15">
      <c r="A1629" s="54">
        <v>1418</v>
      </c>
      <c r="B1629" s="55" t="s">
        <v>3492</v>
      </c>
      <c r="C1629" s="55" t="s">
        <v>8341</v>
      </c>
      <c r="D1629" s="56" t="s">
        <v>8342</v>
      </c>
      <c r="E1629" s="2"/>
      <c r="F1629" s="57"/>
      <c r="G1629" s="63" t="s">
        <v>8343</v>
      </c>
      <c r="H1629" s="59">
        <v>9.9930000000000003</v>
      </c>
    </row>
    <row r="1630" spans="1:8" ht="112.5" customHeight="1" x14ac:dyDescent="0.15">
      <c r="A1630" s="60">
        <v>1417</v>
      </c>
      <c r="B1630" s="30" t="s">
        <v>3814</v>
      </c>
      <c r="C1630" s="30" t="s">
        <v>8344</v>
      </c>
      <c r="D1630" s="61" t="s">
        <v>8345</v>
      </c>
      <c r="E1630" s="2"/>
      <c r="F1630" s="57"/>
      <c r="G1630" s="64" t="s">
        <v>8346</v>
      </c>
      <c r="H1630" s="59">
        <v>0</v>
      </c>
    </row>
    <row r="1631" spans="1:8" ht="112.5" customHeight="1" x14ac:dyDescent="0.15">
      <c r="A1631" s="60">
        <v>1415</v>
      </c>
      <c r="B1631" s="30" t="s">
        <v>3599</v>
      </c>
      <c r="C1631" s="30" t="s">
        <v>8347</v>
      </c>
      <c r="D1631" s="61" t="s">
        <v>8348</v>
      </c>
      <c r="E1631" s="2"/>
      <c r="F1631" s="57"/>
      <c r="G1631" s="63" t="s">
        <v>8349</v>
      </c>
      <c r="H1631" s="59">
        <v>0</v>
      </c>
    </row>
    <row r="1632" spans="1:8" ht="112.5" customHeight="1" x14ac:dyDescent="0.15">
      <c r="A1632" s="54">
        <v>1416</v>
      </c>
      <c r="B1632" s="55" t="s">
        <v>3513</v>
      </c>
      <c r="C1632" s="55" t="s">
        <v>8350</v>
      </c>
      <c r="D1632" s="56" t="s">
        <v>8351</v>
      </c>
      <c r="E1632" s="2"/>
      <c r="F1632" s="57"/>
      <c r="G1632" s="64" t="s">
        <v>8352</v>
      </c>
      <c r="H1632" s="59">
        <v>0</v>
      </c>
    </row>
    <row r="1633" spans="1:13" ht="112.5" customHeight="1" x14ac:dyDescent="0.15">
      <c r="A1633" s="60">
        <v>1423</v>
      </c>
      <c r="B1633" s="30" t="s">
        <v>3599</v>
      </c>
      <c r="C1633" s="30" t="s">
        <v>8353</v>
      </c>
      <c r="D1633" s="61" t="s">
        <v>8354</v>
      </c>
      <c r="E1633" s="2"/>
      <c r="F1633" s="57"/>
      <c r="G1633" s="63" t="s">
        <v>8355</v>
      </c>
      <c r="H1633" s="59">
        <v>0</v>
      </c>
    </row>
    <row r="1634" spans="1:13" ht="112.5" customHeight="1" x14ac:dyDescent="0.15">
      <c r="A1634" s="54">
        <v>1422</v>
      </c>
      <c r="B1634" s="55" t="s">
        <v>3509</v>
      </c>
      <c r="C1634" s="55" t="s">
        <v>8356</v>
      </c>
      <c r="D1634" s="56" t="s">
        <v>8357</v>
      </c>
      <c r="E1634" s="2"/>
      <c r="F1634" s="57"/>
      <c r="G1634" s="64" t="s">
        <v>8358</v>
      </c>
      <c r="H1634" s="59">
        <v>0</v>
      </c>
    </row>
    <row r="1635" spans="1:13" ht="112.5" customHeight="1" x14ac:dyDescent="0.15">
      <c r="A1635" s="54">
        <v>1414</v>
      </c>
      <c r="B1635" s="55" t="s">
        <v>3876</v>
      </c>
      <c r="C1635" s="55" t="s">
        <v>8359</v>
      </c>
      <c r="D1635" s="56" t="s">
        <v>8360</v>
      </c>
      <c r="E1635" s="2"/>
      <c r="F1635" s="57"/>
      <c r="G1635" s="62" t="s">
        <v>8361</v>
      </c>
      <c r="H1635" s="59">
        <v>915</v>
      </c>
      <c r="I1635" s="29"/>
      <c r="J1635" s="29"/>
      <c r="K1635" s="29"/>
      <c r="L1635" s="29"/>
      <c r="M1635" s="29"/>
    </row>
    <row r="1636" spans="1:13" ht="112.5" customHeight="1" x14ac:dyDescent="0.15">
      <c r="A1636" s="60">
        <v>1413</v>
      </c>
      <c r="B1636" s="30" t="s">
        <v>3549</v>
      </c>
      <c r="C1636" s="30" t="s">
        <v>8362</v>
      </c>
      <c r="D1636" s="61" t="s">
        <v>8363</v>
      </c>
      <c r="E1636" s="2"/>
      <c r="F1636" s="57"/>
      <c r="G1636" s="64" t="s">
        <v>8364</v>
      </c>
      <c r="H1636" s="59">
        <v>0</v>
      </c>
    </row>
    <row r="1637" spans="1:13" ht="112.5" customHeight="1" x14ac:dyDescent="0.15">
      <c r="A1637" s="54">
        <v>1412</v>
      </c>
      <c r="B1637" s="55" t="s">
        <v>3526</v>
      </c>
      <c r="C1637" s="55" t="s">
        <v>8365</v>
      </c>
      <c r="D1637" s="56" t="s">
        <v>8366</v>
      </c>
      <c r="E1637" s="2"/>
      <c r="F1637" s="57"/>
      <c r="G1637" s="63" t="s">
        <v>8367</v>
      </c>
      <c r="H1637" s="59">
        <v>1</v>
      </c>
    </row>
    <row r="1638" spans="1:13" ht="112.5" customHeight="1" x14ac:dyDescent="0.15">
      <c r="A1638" s="60">
        <v>1411</v>
      </c>
      <c r="B1638" s="30" t="s">
        <v>3502</v>
      </c>
      <c r="C1638" s="30" t="s">
        <v>8368</v>
      </c>
      <c r="D1638" s="61" t="s">
        <v>8369</v>
      </c>
      <c r="E1638" s="2"/>
      <c r="F1638" s="57"/>
      <c r="G1638" s="64" t="s">
        <v>8370</v>
      </c>
      <c r="H1638" s="59">
        <v>1</v>
      </c>
    </row>
    <row r="1639" spans="1:13" ht="112.5" customHeight="1" x14ac:dyDescent="0.15">
      <c r="A1639" s="54">
        <v>1410</v>
      </c>
      <c r="B1639" s="55" t="s">
        <v>3502</v>
      </c>
      <c r="C1639" s="55" t="s">
        <v>8371</v>
      </c>
      <c r="D1639" s="56" t="s">
        <v>8372</v>
      </c>
      <c r="E1639" s="2"/>
      <c r="F1639" s="57"/>
      <c r="G1639" s="63" t="s">
        <v>8373</v>
      </c>
      <c r="H1639" s="59">
        <v>997</v>
      </c>
    </row>
    <row r="1640" spans="1:13" ht="112.5" customHeight="1" x14ac:dyDescent="0.15">
      <c r="A1640" s="54">
        <v>1404</v>
      </c>
      <c r="B1640" s="55" t="s">
        <v>3876</v>
      </c>
      <c r="C1640" s="55" t="s">
        <v>8374</v>
      </c>
      <c r="D1640" s="56" t="s">
        <v>8375</v>
      </c>
      <c r="E1640" s="2"/>
      <c r="F1640" s="57"/>
      <c r="G1640" s="64" t="s">
        <v>8376</v>
      </c>
      <c r="H1640" s="59">
        <v>1</v>
      </c>
    </row>
    <row r="1641" spans="1:13" ht="112.5" customHeight="1" x14ac:dyDescent="0.15">
      <c r="A1641" s="60">
        <v>1403</v>
      </c>
      <c r="B1641" s="30" t="s">
        <v>3876</v>
      </c>
      <c r="C1641" s="30" t="s">
        <v>8377</v>
      </c>
      <c r="D1641" s="61" t="s">
        <v>8378</v>
      </c>
      <c r="E1641" s="2"/>
      <c r="F1641" s="57"/>
      <c r="G1641" s="63" t="s">
        <v>8379</v>
      </c>
      <c r="H1641" s="59">
        <v>1</v>
      </c>
    </row>
    <row r="1642" spans="1:13" ht="112.5" customHeight="1" x14ac:dyDescent="0.15">
      <c r="A1642" s="54">
        <v>1402</v>
      </c>
      <c r="B1642" s="55" t="s">
        <v>3549</v>
      </c>
      <c r="C1642" s="55" t="s">
        <v>8380</v>
      </c>
      <c r="D1642" s="56" t="s">
        <v>8381</v>
      </c>
      <c r="E1642" s="2"/>
      <c r="F1642" s="57"/>
      <c r="G1642" s="64" t="s">
        <v>8382</v>
      </c>
      <c r="H1642" s="59">
        <v>1</v>
      </c>
    </row>
    <row r="1643" spans="1:13" ht="112.5" customHeight="1" x14ac:dyDescent="0.15">
      <c r="A1643" s="60">
        <v>3679</v>
      </c>
      <c r="B1643" s="30" t="s">
        <v>3749</v>
      </c>
      <c r="C1643" s="30" t="s">
        <v>8383</v>
      </c>
      <c r="D1643" s="61" t="s">
        <v>8384</v>
      </c>
      <c r="E1643" s="2"/>
      <c r="F1643" s="57"/>
      <c r="G1643" s="63" t="s">
        <v>8385</v>
      </c>
      <c r="H1643" s="59">
        <v>1</v>
      </c>
    </row>
    <row r="1644" spans="1:13" ht="112.5" customHeight="1" x14ac:dyDescent="0.15">
      <c r="A1644" s="54">
        <v>3678</v>
      </c>
      <c r="B1644" s="55" t="s">
        <v>3749</v>
      </c>
      <c r="C1644" s="55" t="s">
        <v>8386</v>
      </c>
      <c r="D1644" s="56" t="s">
        <v>8387</v>
      </c>
      <c r="E1644" s="2"/>
      <c r="F1644" s="57"/>
      <c r="G1644" s="64" t="s">
        <v>8388</v>
      </c>
      <c r="H1644" s="59">
        <v>998</v>
      </c>
    </row>
    <row r="1645" spans="1:13" ht="112.5" customHeight="1" x14ac:dyDescent="0.15">
      <c r="A1645" s="60">
        <v>1401</v>
      </c>
      <c r="B1645" s="30" t="s">
        <v>3492</v>
      </c>
      <c r="C1645" s="30" t="s">
        <v>8389</v>
      </c>
      <c r="D1645" s="61" t="s">
        <v>8390</v>
      </c>
      <c r="E1645" s="2"/>
      <c r="F1645" s="57"/>
      <c r="G1645" s="63" t="s">
        <v>8391</v>
      </c>
      <c r="H1645" s="59">
        <v>981</v>
      </c>
    </row>
    <row r="1646" spans="1:13" ht="112.5" customHeight="1" x14ac:dyDescent="0.15">
      <c r="A1646" s="54">
        <v>1400</v>
      </c>
      <c r="B1646" s="55" t="s">
        <v>3492</v>
      </c>
      <c r="C1646" s="55" t="s">
        <v>8392</v>
      </c>
      <c r="D1646" s="56" t="s">
        <v>8393</v>
      </c>
      <c r="E1646" s="2"/>
      <c r="F1646" s="57"/>
      <c r="G1646" s="64" t="s">
        <v>8394</v>
      </c>
      <c r="H1646" s="59">
        <v>1</v>
      </c>
    </row>
    <row r="1647" spans="1:13" ht="112.5" customHeight="1" x14ac:dyDescent="0.15">
      <c r="A1647" s="60">
        <v>2287</v>
      </c>
      <c r="B1647" s="30" t="s">
        <v>3496</v>
      </c>
      <c r="C1647" s="30" t="s">
        <v>8395</v>
      </c>
      <c r="D1647" s="61" t="s">
        <v>8396</v>
      </c>
      <c r="E1647" s="2"/>
      <c r="F1647" s="57"/>
      <c r="G1647" s="63" t="s">
        <v>8397</v>
      </c>
      <c r="H1647" s="59">
        <v>997</v>
      </c>
    </row>
    <row r="1648" spans="1:13" ht="112.5" customHeight="1" x14ac:dyDescent="0.15">
      <c r="A1648" s="60">
        <v>1399</v>
      </c>
      <c r="B1648" s="30" t="s">
        <v>3502</v>
      </c>
      <c r="C1648" s="30" t="s">
        <v>8398</v>
      </c>
      <c r="D1648" s="61" t="s">
        <v>8399</v>
      </c>
      <c r="E1648" s="2"/>
      <c r="F1648" s="57"/>
      <c r="G1648" s="64" t="s">
        <v>8400</v>
      </c>
      <c r="H1648" s="59">
        <v>995</v>
      </c>
    </row>
    <row r="1649" spans="1:8" ht="112.5" customHeight="1" x14ac:dyDescent="0.15">
      <c r="A1649" s="54">
        <v>1398</v>
      </c>
      <c r="B1649" s="55" t="s">
        <v>3492</v>
      </c>
      <c r="C1649" s="55" t="s">
        <v>8401</v>
      </c>
      <c r="D1649" s="56" t="s">
        <v>8402</v>
      </c>
      <c r="E1649" s="2"/>
      <c r="F1649" s="57"/>
      <c r="G1649" s="63" t="s">
        <v>8403</v>
      </c>
      <c r="H1649" s="59">
        <v>1</v>
      </c>
    </row>
    <row r="1650" spans="1:8" ht="112.5" customHeight="1" x14ac:dyDescent="0.15">
      <c r="A1650" s="60">
        <v>1397</v>
      </c>
      <c r="B1650" s="30" t="s">
        <v>3492</v>
      </c>
      <c r="C1650" s="30" t="s">
        <v>8404</v>
      </c>
      <c r="D1650" s="61" t="s">
        <v>8405</v>
      </c>
      <c r="E1650" s="2"/>
      <c r="F1650" s="57"/>
      <c r="G1650" s="64" t="s">
        <v>8406</v>
      </c>
      <c r="H1650" s="59">
        <v>1</v>
      </c>
    </row>
    <row r="1651" spans="1:8" ht="112.5" customHeight="1" x14ac:dyDescent="0.15">
      <c r="A1651" s="54">
        <v>1396</v>
      </c>
      <c r="B1651" s="55" t="s">
        <v>3492</v>
      </c>
      <c r="C1651" s="55" t="s">
        <v>8407</v>
      </c>
      <c r="D1651" s="56" t="s">
        <v>8408</v>
      </c>
      <c r="E1651" s="2"/>
      <c r="F1651" s="57"/>
      <c r="G1651" s="63" t="s">
        <v>8409</v>
      </c>
      <c r="H1651" s="59">
        <v>0</v>
      </c>
    </row>
    <row r="1652" spans="1:8" ht="112.5" customHeight="1" x14ac:dyDescent="0.15">
      <c r="A1652" s="60">
        <v>1395</v>
      </c>
      <c r="B1652" s="30" t="s">
        <v>3492</v>
      </c>
      <c r="C1652" s="30" t="s">
        <v>8410</v>
      </c>
      <c r="D1652" s="61" t="s">
        <v>8411</v>
      </c>
      <c r="E1652" s="2"/>
      <c r="F1652" s="57"/>
      <c r="G1652" s="64" t="s">
        <v>8412</v>
      </c>
      <c r="H1652" s="59">
        <v>0</v>
      </c>
    </row>
    <row r="1653" spans="1:8" ht="112.5" customHeight="1" x14ac:dyDescent="0.15">
      <c r="A1653" s="54">
        <v>1394</v>
      </c>
      <c r="B1653" s="55" t="s">
        <v>3492</v>
      </c>
      <c r="C1653" s="55" t="s">
        <v>8413</v>
      </c>
      <c r="D1653" s="56" t="s">
        <v>8414</v>
      </c>
      <c r="E1653" s="2"/>
      <c r="F1653" s="57"/>
      <c r="G1653" s="63" t="s">
        <v>8415</v>
      </c>
      <c r="H1653" s="59">
        <v>1</v>
      </c>
    </row>
    <row r="1654" spans="1:8" ht="112.5" customHeight="1" x14ac:dyDescent="0.15">
      <c r="A1654" s="60">
        <v>1393</v>
      </c>
      <c r="B1654" s="30" t="s">
        <v>4334</v>
      </c>
      <c r="C1654" s="30" t="s">
        <v>8416</v>
      </c>
      <c r="D1654" s="61" t="s">
        <v>8417</v>
      </c>
      <c r="E1654" s="2"/>
      <c r="F1654" s="57"/>
      <c r="G1654" s="64" t="s">
        <v>8418</v>
      </c>
      <c r="H1654" s="59">
        <v>937</v>
      </c>
    </row>
    <row r="1655" spans="1:8" ht="112.5" customHeight="1" x14ac:dyDescent="0.15">
      <c r="A1655" s="54">
        <v>1392</v>
      </c>
      <c r="B1655" s="55" t="s">
        <v>4334</v>
      </c>
      <c r="C1655" s="55" t="s">
        <v>8419</v>
      </c>
      <c r="D1655" s="56" t="s">
        <v>8420</v>
      </c>
      <c r="E1655" s="2"/>
      <c r="F1655" s="57"/>
      <c r="G1655" s="63" t="s">
        <v>8421</v>
      </c>
      <c r="H1655" s="59">
        <v>972</v>
      </c>
    </row>
    <row r="1656" spans="1:8" ht="112.5" customHeight="1" x14ac:dyDescent="0.15">
      <c r="A1656" s="60">
        <v>1391</v>
      </c>
      <c r="B1656" s="30" t="s">
        <v>3818</v>
      </c>
      <c r="C1656" s="30" t="s">
        <v>8422</v>
      </c>
      <c r="D1656" s="61" t="s">
        <v>8423</v>
      </c>
      <c r="E1656" s="2"/>
      <c r="F1656" s="57"/>
      <c r="G1656" s="64" t="s">
        <v>8424</v>
      </c>
      <c r="H1656" s="59">
        <v>998</v>
      </c>
    </row>
    <row r="1657" spans="1:8" ht="112.5" customHeight="1" x14ac:dyDescent="0.15">
      <c r="A1657" s="54">
        <v>1390</v>
      </c>
      <c r="B1657" s="55" t="s">
        <v>3502</v>
      </c>
      <c r="C1657" s="55" t="s">
        <v>8425</v>
      </c>
      <c r="D1657" s="56" t="s">
        <v>8426</v>
      </c>
      <c r="E1657" s="2"/>
      <c r="F1657" s="57"/>
      <c r="G1657" s="63" t="s">
        <v>8427</v>
      </c>
      <c r="H1657" s="59">
        <v>981</v>
      </c>
    </row>
    <row r="1658" spans="1:8" ht="112.5" customHeight="1" x14ac:dyDescent="0.15">
      <c r="A1658" s="60">
        <v>1379</v>
      </c>
      <c r="B1658" s="30" t="s">
        <v>3670</v>
      </c>
      <c r="C1658" s="30" t="s">
        <v>8428</v>
      </c>
      <c r="D1658" s="61" t="s">
        <v>8429</v>
      </c>
      <c r="E1658" s="2"/>
      <c r="F1658" s="57"/>
      <c r="G1658" s="64" t="s">
        <v>8430</v>
      </c>
      <c r="H1658" s="59">
        <v>993</v>
      </c>
    </row>
    <row r="1659" spans="1:8" ht="112.5" customHeight="1" x14ac:dyDescent="0.15">
      <c r="A1659" s="60">
        <v>1389</v>
      </c>
      <c r="B1659" s="30" t="s">
        <v>3801</v>
      </c>
      <c r="C1659" s="30" t="s">
        <v>8431</v>
      </c>
      <c r="D1659" s="61" t="s">
        <v>8432</v>
      </c>
      <c r="E1659" s="2"/>
      <c r="F1659" s="57"/>
      <c r="G1659" s="63" t="s">
        <v>8433</v>
      </c>
      <c r="H1659" s="59">
        <v>990</v>
      </c>
    </row>
    <row r="1660" spans="1:8" ht="112.5" customHeight="1" x14ac:dyDescent="0.15">
      <c r="A1660" s="54">
        <v>1388</v>
      </c>
      <c r="B1660" s="55" t="s">
        <v>3898</v>
      </c>
      <c r="C1660" s="55" t="s">
        <v>8434</v>
      </c>
      <c r="D1660" s="56" t="s">
        <v>8435</v>
      </c>
      <c r="E1660" s="2"/>
      <c r="F1660" s="57"/>
      <c r="G1660" s="64" t="s">
        <v>8436</v>
      </c>
      <c r="H1660" s="59">
        <v>991</v>
      </c>
    </row>
    <row r="1661" spans="1:8" ht="112.5" customHeight="1" x14ac:dyDescent="0.15">
      <c r="A1661" s="60">
        <v>1387</v>
      </c>
      <c r="B1661" s="30" t="s">
        <v>3801</v>
      </c>
      <c r="C1661" s="30" t="s">
        <v>8437</v>
      </c>
      <c r="D1661" s="61" t="s">
        <v>8438</v>
      </c>
      <c r="E1661" s="2"/>
      <c r="F1661" s="57"/>
      <c r="G1661" s="63" t="s">
        <v>8439</v>
      </c>
      <c r="H1661" s="59">
        <v>999</v>
      </c>
    </row>
    <row r="1662" spans="1:8" ht="112.5" customHeight="1" x14ac:dyDescent="0.15">
      <c r="A1662" s="60">
        <v>1409</v>
      </c>
      <c r="B1662" s="30" t="s">
        <v>3533</v>
      </c>
      <c r="C1662" s="30" t="s">
        <v>8440</v>
      </c>
      <c r="D1662" s="61" t="s">
        <v>8441</v>
      </c>
      <c r="E1662" s="2"/>
      <c r="F1662" s="57"/>
      <c r="G1662" s="64" t="s">
        <v>8442</v>
      </c>
      <c r="H1662" s="59">
        <v>999</v>
      </c>
    </row>
    <row r="1663" spans="1:8" ht="112.5" customHeight="1" x14ac:dyDescent="0.15">
      <c r="A1663" s="54">
        <v>1408</v>
      </c>
      <c r="B1663" s="55" t="s">
        <v>3876</v>
      </c>
      <c r="C1663" s="55" t="s">
        <v>8443</v>
      </c>
      <c r="D1663" s="56" t="s">
        <v>8444</v>
      </c>
      <c r="E1663" s="2"/>
      <c r="F1663" s="57"/>
      <c r="G1663" s="63" t="s">
        <v>8445</v>
      </c>
      <c r="H1663" s="59">
        <v>1</v>
      </c>
    </row>
    <row r="1664" spans="1:8" ht="112.5" customHeight="1" x14ac:dyDescent="0.15">
      <c r="A1664" s="60">
        <v>1407</v>
      </c>
      <c r="B1664" s="30" t="s">
        <v>3876</v>
      </c>
      <c r="C1664" s="30" t="s">
        <v>8446</v>
      </c>
      <c r="D1664" s="61" t="s">
        <v>8447</v>
      </c>
      <c r="E1664" s="2"/>
      <c r="F1664" s="57"/>
      <c r="G1664" s="64" t="s">
        <v>8448</v>
      </c>
      <c r="H1664" s="59">
        <v>1</v>
      </c>
    </row>
    <row r="1665" spans="1:8" ht="112.5" customHeight="1" x14ac:dyDescent="0.15">
      <c r="A1665" s="54">
        <v>1406</v>
      </c>
      <c r="B1665" s="55" t="s">
        <v>3801</v>
      </c>
      <c r="C1665" s="55" t="s">
        <v>8449</v>
      </c>
      <c r="D1665" s="56" t="s">
        <v>8450</v>
      </c>
      <c r="E1665" s="2"/>
      <c r="F1665" s="57"/>
      <c r="G1665" s="63" t="s">
        <v>8451</v>
      </c>
      <c r="H1665" s="59">
        <v>1</v>
      </c>
    </row>
    <row r="1666" spans="1:8" ht="112.5" customHeight="1" x14ac:dyDescent="0.15">
      <c r="A1666" s="60">
        <v>1405</v>
      </c>
      <c r="B1666" s="30" t="s">
        <v>3801</v>
      </c>
      <c r="C1666" s="30" t="s">
        <v>8452</v>
      </c>
      <c r="D1666" s="61" t="s">
        <v>8453</v>
      </c>
      <c r="E1666" s="2"/>
      <c r="F1666" s="57"/>
      <c r="G1666" s="64" t="s">
        <v>8454</v>
      </c>
      <c r="H1666" s="59">
        <v>0</v>
      </c>
    </row>
    <row r="1667" spans="1:8" ht="112.5" customHeight="1" x14ac:dyDescent="0.15">
      <c r="A1667" s="54">
        <v>1430</v>
      </c>
      <c r="B1667" s="55" t="s">
        <v>3801</v>
      </c>
      <c r="C1667" s="55" t="s">
        <v>8455</v>
      </c>
      <c r="D1667" s="56" t="s">
        <v>8456</v>
      </c>
      <c r="E1667" s="2"/>
      <c r="F1667" s="57"/>
      <c r="G1667" s="63" t="s">
        <v>8457</v>
      </c>
      <c r="H1667" s="59">
        <v>993</v>
      </c>
    </row>
    <row r="1668" spans="1:8" ht="112.5" customHeight="1" x14ac:dyDescent="0.15">
      <c r="A1668" s="60">
        <v>1429</v>
      </c>
      <c r="B1668" s="30" t="s">
        <v>3898</v>
      </c>
      <c r="C1668" s="30" t="s">
        <v>8458</v>
      </c>
      <c r="D1668" s="61" t="s">
        <v>8459</v>
      </c>
      <c r="E1668" s="2"/>
      <c r="F1668" s="57"/>
      <c r="G1668" s="64" t="s">
        <v>8460</v>
      </c>
      <c r="H1668" s="59">
        <v>1</v>
      </c>
    </row>
    <row r="1669" spans="1:8" ht="112.5" customHeight="1" x14ac:dyDescent="0.15">
      <c r="A1669" s="54">
        <v>1428</v>
      </c>
      <c r="B1669" s="55" t="s">
        <v>3801</v>
      </c>
      <c r="C1669" s="55" t="s">
        <v>8461</v>
      </c>
      <c r="D1669" s="56" t="s">
        <v>8462</v>
      </c>
      <c r="E1669" s="2"/>
      <c r="F1669" s="57"/>
      <c r="G1669" s="63" t="s">
        <v>8463</v>
      </c>
      <c r="H1669" s="59">
        <v>994</v>
      </c>
    </row>
    <row r="1670" spans="1:8" ht="112.5" customHeight="1" x14ac:dyDescent="0.15">
      <c r="A1670" s="60">
        <v>1427</v>
      </c>
      <c r="B1670" s="30" t="s">
        <v>3801</v>
      </c>
      <c r="C1670" s="30" t="s">
        <v>8464</v>
      </c>
      <c r="D1670" s="61" t="s">
        <v>8465</v>
      </c>
      <c r="E1670" s="2"/>
      <c r="F1670" s="57"/>
      <c r="G1670" s="64" t="s">
        <v>8466</v>
      </c>
      <c r="H1670" s="59">
        <v>999</v>
      </c>
    </row>
    <row r="1671" spans="1:8" ht="112.5" customHeight="1" x14ac:dyDescent="0.15">
      <c r="A1671" s="54">
        <v>1426</v>
      </c>
      <c r="B1671" s="55" t="s">
        <v>3509</v>
      </c>
      <c r="C1671" s="55" t="s">
        <v>8467</v>
      </c>
      <c r="D1671" s="56" t="s">
        <v>8468</v>
      </c>
      <c r="E1671" s="2"/>
      <c r="F1671" s="57"/>
      <c r="G1671" s="63" t="s">
        <v>8469</v>
      </c>
      <c r="H1671" s="59">
        <v>997</v>
      </c>
    </row>
    <row r="1672" spans="1:8" ht="112.5" customHeight="1" x14ac:dyDescent="0.15">
      <c r="A1672" s="60">
        <v>2271</v>
      </c>
      <c r="B1672" s="30" t="s">
        <v>3549</v>
      </c>
      <c r="C1672" s="30" t="s">
        <v>8470</v>
      </c>
      <c r="D1672" s="61" t="s">
        <v>8471</v>
      </c>
      <c r="E1672" s="2"/>
      <c r="F1672" s="57"/>
      <c r="G1672" s="64" t="s">
        <v>8472</v>
      </c>
      <c r="H1672" s="59">
        <v>994</v>
      </c>
    </row>
    <row r="1673" spans="1:8" ht="112.5" customHeight="1" x14ac:dyDescent="0.15">
      <c r="A1673" s="60">
        <v>1425</v>
      </c>
      <c r="B1673" s="30" t="s">
        <v>3814</v>
      </c>
      <c r="C1673" s="30" t="s">
        <v>8473</v>
      </c>
      <c r="D1673" s="61" t="s">
        <v>8474</v>
      </c>
      <c r="E1673" s="2"/>
      <c r="F1673" s="57"/>
      <c r="G1673" s="63" t="s">
        <v>8475</v>
      </c>
      <c r="H1673" s="59">
        <v>998</v>
      </c>
    </row>
    <row r="1674" spans="1:8" ht="112.5" customHeight="1" x14ac:dyDescent="0.15">
      <c r="A1674" s="60">
        <v>1609</v>
      </c>
      <c r="B1674" s="30" t="s">
        <v>3556</v>
      </c>
      <c r="C1674" s="30" t="s">
        <v>8476</v>
      </c>
      <c r="D1674" s="61" t="s">
        <v>8477</v>
      </c>
      <c r="E1674" s="2"/>
      <c r="F1674" s="57"/>
      <c r="G1674" s="64" t="s">
        <v>8478</v>
      </c>
      <c r="H1674" s="59">
        <v>0</v>
      </c>
    </row>
    <row r="1675" spans="1:8" ht="112.5" customHeight="1" x14ac:dyDescent="0.15">
      <c r="A1675" s="54">
        <v>1608</v>
      </c>
      <c r="B1675" s="55" t="s">
        <v>3556</v>
      </c>
      <c r="C1675" s="55" t="s">
        <v>8479</v>
      </c>
      <c r="D1675" s="56" t="s">
        <v>8480</v>
      </c>
      <c r="E1675" s="2"/>
      <c r="F1675" s="57"/>
      <c r="G1675" s="63" t="s">
        <v>8481</v>
      </c>
      <c r="H1675" s="59">
        <v>893</v>
      </c>
    </row>
    <row r="1676" spans="1:8" ht="112.5" customHeight="1" x14ac:dyDescent="0.15">
      <c r="A1676" s="60">
        <v>1607</v>
      </c>
      <c r="B1676" s="30" t="s">
        <v>3749</v>
      </c>
      <c r="C1676" s="30" t="s">
        <v>8482</v>
      </c>
      <c r="D1676" s="61" t="s">
        <v>8483</v>
      </c>
      <c r="E1676" s="2"/>
      <c r="F1676" s="57"/>
      <c r="G1676" s="64" t="s">
        <v>8484</v>
      </c>
      <c r="H1676" s="59">
        <v>866</v>
      </c>
    </row>
    <row r="1677" spans="1:8" ht="112.5" customHeight="1" x14ac:dyDescent="0.15">
      <c r="A1677" s="54">
        <v>1606</v>
      </c>
      <c r="B1677" s="55" t="s">
        <v>3513</v>
      </c>
      <c r="C1677" s="55" t="s">
        <v>8485</v>
      </c>
      <c r="D1677" s="56" t="s">
        <v>8486</v>
      </c>
      <c r="E1677" s="2"/>
      <c r="F1677" s="57"/>
      <c r="G1677" s="63" t="s">
        <v>8487</v>
      </c>
      <c r="H1677" s="59">
        <v>9.9120000000000008</v>
      </c>
    </row>
    <row r="1678" spans="1:8" ht="112.5" customHeight="1" x14ac:dyDescent="0.15">
      <c r="A1678" s="60">
        <v>1605</v>
      </c>
      <c r="B1678" s="30" t="s">
        <v>3513</v>
      </c>
      <c r="C1678" s="30" t="s">
        <v>8488</v>
      </c>
      <c r="D1678" s="61" t="s">
        <v>8489</v>
      </c>
      <c r="E1678" s="2"/>
      <c r="F1678" s="57"/>
      <c r="G1678" s="64" t="s">
        <v>8490</v>
      </c>
      <c r="H1678" s="59">
        <v>977</v>
      </c>
    </row>
    <row r="1679" spans="1:8" ht="112.5" customHeight="1" x14ac:dyDescent="0.15">
      <c r="A1679" s="54">
        <v>3316</v>
      </c>
      <c r="B1679" s="55" t="s">
        <v>3513</v>
      </c>
      <c r="C1679" s="55" t="s">
        <v>8491</v>
      </c>
      <c r="D1679" s="56" t="s">
        <v>8492</v>
      </c>
      <c r="E1679" s="2"/>
      <c r="F1679" s="57"/>
      <c r="G1679" s="63" t="s">
        <v>8493</v>
      </c>
      <c r="H1679" s="59">
        <v>908</v>
      </c>
    </row>
    <row r="1680" spans="1:8" ht="112.5" customHeight="1" x14ac:dyDescent="0.15">
      <c r="A1680" s="54">
        <v>1604</v>
      </c>
      <c r="B1680" s="55" t="s">
        <v>3818</v>
      </c>
      <c r="C1680" s="55" t="s">
        <v>8494</v>
      </c>
      <c r="D1680" s="56" t="s">
        <v>8495</v>
      </c>
      <c r="E1680" s="2"/>
      <c r="F1680" s="57"/>
      <c r="G1680" s="64" t="s">
        <v>8496</v>
      </c>
      <c r="H1680" s="59">
        <v>966</v>
      </c>
    </row>
    <row r="1681" spans="1:8" ht="112.5" customHeight="1" x14ac:dyDescent="0.15">
      <c r="A1681" s="60">
        <v>1665</v>
      </c>
      <c r="B1681" s="30" t="s">
        <v>3513</v>
      </c>
      <c r="C1681" s="30" t="s">
        <v>8497</v>
      </c>
      <c r="D1681" s="61" t="s">
        <v>8498</v>
      </c>
      <c r="E1681" s="2"/>
      <c r="F1681" s="57"/>
      <c r="G1681" s="63" t="s">
        <v>8499</v>
      </c>
      <c r="H1681" s="59">
        <v>974</v>
      </c>
    </row>
    <row r="1682" spans="1:8" ht="112.5" customHeight="1" x14ac:dyDescent="0.15">
      <c r="A1682" s="54">
        <v>1664</v>
      </c>
      <c r="B1682" s="55" t="s">
        <v>3492</v>
      </c>
      <c r="C1682" s="55" t="s">
        <v>8500</v>
      </c>
      <c r="D1682" s="56" t="s">
        <v>8501</v>
      </c>
      <c r="E1682" s="2"/>
      <c r="F1682" s="57"/>
      <c r="G1682" s="64" t="s">
        <v>8502</v>
      </c>
      <c r="H1682" s="59">
        <v>984</v>
      </c>
    </row>
    <row r="1683" spans="1:8" ht="112.5" customHeight="1" x14ac:dyDescent="0.15">
      <c r="A1683" s="60">
        <v>1663</v>
      </c>
      <c r="B1683" s="30" t="s">
        <v>3556</v>
      </c>
      <c r="C1683" s="30" t="s">
        <v>8503</v>
      </c>
      <c r="D1683" s="61" t="s">
        <v>8504</v>
      </c>
      <c r="E1683" s="2"/>
      <c r="F1683" s="57"/>
      <c r="G1683" s="63" t="s">
        <v>8505</v>
      </c>
      <c r="H1683" s="59">
        <v>1</v>
      </c>
    </row>
    <row r="1684" spans="1:8" ht="112.5" customHeight="1" x14ac:dyDescent="0.15">
      <c r="A1684" s="54">
        <v>1662</v>
      </c>
      <c r="B1684" s="55" t="s">
        <v>3801</v>
      </c>
      <c r="C1684" s="55" t="s">
        <v>8506</v>
      </c>
      <c r="D1684" s="56" t="s">
        <v>8507</v>
      </c>
      <c r="E1684" s="2"/>
      <c r="F1684" s="57"/>
      <c r="G1684" s="64" t="s">
        <v>8508</v>
      </c>
      <c r="H1684" s="59">
        <v>1</v>
      </c>
    </row>
    <row r="1685" spans="1:8" ht="112.5" customHeight="1" x14ac:dyDescent="0.15">
      <c r="A1685" s="60">
        <v>1661</v>
      </c>
      <c r="B1685" s="30" t="s">
        <v>3801</v>
      </c>
      <c r="C1685" s="30" t="s">
        <v>8509</v>
      </c>
      <c r="D1685" s="61" t="s">
        <v>8510</v>
      </c>
      <c r="E1685" s="2"/>
      <c r="F1685" s="57"/>
      <c r="G1685" s="63" t="s">
        <v>8511</v>
      </c>
      <c r="H1685" s="59">
        <v>1</v>
      </c>
    </row>
    <row r="1686" spans="1:8" ht="112.5" customHeight="1" x14ac:dyDescent="0.15">
      <c r="A1686" s="54">
        <v>1660</v>
      </c>
      <c r="B1686" s="55" t="s">
        <v>3801</v>
      </c>
      <c r="C1686" s="55" t="s">
        <v>8512</v>
      </c>
      <c r="D1686" s="56" t="s">
        <v>8513</v>
      </c>
      <c r="E1686" s="2"/>
      <c r="F1686" s="57"/>
      <c r="G1686" s="64" t="s">
        <v>8514</v>
      </c>
      <c r="H1686" s="59">
        <v>1</v>
      </c>
    </row>
    <row r="1687" spans="1:8" ht="112.5" customHeight="1" x14ac:dyDescent="0.15">
      <c r="A1687" s="60">
        <v>1659</v>
      </c>
      <c r="B1687" s="30" t="s">
        <v>3801</v>
      </c>
      <c r="C1687" s="30" t="s">
        <v>8515</v>
      </c>
      <c r="D1687" s="61" t="s">
        <v>8516</v>
      </c>
      <c r="E1687" s="2"/>
      <c r="F1687" s="57"/>
      <c r="G1687" s="63" t="s">
        <v>8517</v>
      </c>
      <c r="H1687" s="59">
        <v>1</v>
      </c>
    </row>
    <row r="1688" spans="1:8" ht="112.5" customHeight="1" x14ac:dyDescent="0.15">
      <c r="A1688" s="54">
        <v>1658</v>
      </c>
      <c r="B1688" s="55" t="s">
        <v>3801</v>
      </c>
      <c r="C1688" s="55" t="s">
        <v>8518</v>
      </c>
      <c r="D1688" s="56" t="s">
        <v>8519</v>
      </c>
      <c r="E1688" s="2"/>
      <c r="F1688" s="57"/>
      <c r="G1688" s="64" t="s">
        <v>8520</v>
      </c>
      <c r="H1688" s="59">
        <v>1</v>
      </c>
    </row>
    <row r="1689" spans="1:8" ht="112.5" customHeight="1" x14ac:dyDescent="0.15">
      <c r="A1689" s="60">
        <v>1657</v>
      </c>
      <c r="B1689" s="30" t="s">
        <v>3801</v>
      </c>
      <c r="C1689" s="30" t="s">
        <v>8521</v>
      </c>
      <c r="D1689" s="61" t="s">
        <v>8522</v>
      </c>
      <c r="E1689" s="2"/>
      <c r="F1689" s="57"/>
      <c r="G1689" s="63" t="s">
        <v>8523</v>
      </c>
      <c r="H1689" s="59">
        <v>1</v>
      </c>
    </row>
    <row r="1690" spans="1:8" ht="112.5" customHeight="1" x14ac:dyDescent="0.15">
      <c r="A1690" s="60">
        <v>1653</v>
      </c>
      <c r="B1690" s="30" t="s">
        <v>3801</v>
      </c>
      <c r="C1690" s="30" t="s">
        <v>8524</v>
      </c>
      <c r="D1690" s="61" t="s">
        <v>8525</v>
      </c>
      <c r="E1690" s="2"/>
      <c r="F1690" s="57"/>
      <c r="G1690" s="64" t="s">
        <v>8526</v>
      </c>
      <c r="H1690" s="59">
        <v>1</v>
      </c>
    </row>
    <row r="1691" spans="1:8" ht="112.5" customHeight="1" x14ac:dyDescent="0.15">
      <c r="A1691" s="54">
        <v>1656</v>
      </c>
      <c r="B1691" s="55" t="s">
        <v>3801</v>
      </c>
      <c r="C1691" s="55" t="s">
        <v>8527</v>
      </c>
      <c r="D1691" s="56" t="s">
        <v>8528</v>
      </c>
      <c r="E1691" s="2"/>
      <c r="F1691" s="57"/>
      <c r="G1691" s="63" t="s">
        <v>8529</v>
      </c>
      <c r="H1691" s="59">
        <v>1</v>
      </c>
    </row>
    <row r="1692" spans="1:8" ht="112.5" customHeight="1" x14ac:dyDescent="0.15">
      <c r="A1692" s="54">
        <v>1654</v>
      </c>
      <c r="B1692" s="55" t="s">
        <v>3801</v>
      </c>
      <c r="C1692" s="55" t="s">
        <v>8530</v>
      </c>
      <c r="D1692" s="56" t="s">
        <v>8531</v>
      </c>
      <c r="E1692" s="2"/>
      <c r="F1692" s="57"/>
      <c r="G1692" s="64" t="s">
        <v>8532</v>
      </c>
      <c r="H1692" s="59">
        <v>975</v>
      </c>
    </row>
    <row r="1693" spans="1:8" ht="112.5" customHeight="1" x14ac:dyDescent="0.15">
      <c r="A1693" s="54">
        <v>1652</v>
      </c>
      <c r="B1693" s="55" t="s">
        <v>3801</v>
      </c>
      <c r="C1693" s="55" t="s">
        <v>8533</v>
      </c>
      <c r="D1693" s="56" t="s">
        <v>8534</v>
      </c>
      <c r="E1693" s="2"/>
      <c r="F1693" s="57"/>
      <c r="G1693" s="63" t="s">
        <v>8535</v>
      </c>
      <c r="H1693" s="59">
        <v>1</v>
      </c>
    </row>
    <row r="1694" spans="1:8" ht="112.5" customHeight="1" x14ac:dyDescent="0.15">
      <c r="A1694" s="60">
        <v>1655</v>
      </c>
      <c r="B1694" s="30" t="s">
        <v>3801</v>
      </c>
      <c r="C1694" s="30" t="s">
        <v>8536</v>
      </c>
      <c r="D1694" s="61" t="s">
        <v>8537</v>
      </c>
      <c r="E1694" s="2"/>
      <c r="F1694" s="57"/>
      <c r="G1694" s="64" t="s">
        <v>8538</v>
      </c>
      <c r="H1694" s="59">
        <v>1</v>
      </c>
    </row>
    <row r="1695" spans="1:8" ht="112.5" customHeight="1" x14ac:dyDescent="0.15">
      <c r="A1695" s="60">
        <v>1651</v>
      </c>
      <c r="B1695" s="30" t="s">
        <v>3801</v>
      </c>
      <c r="C1695" s="30" t="s">
        <v>8539</v>
      </c>
      <c r="D1695" s="61" t="s">
        <v>8540</v>
      </c>
      <c r="E1695" s="2"/>
      <c r="F1695" s="57"/>
      <c r="G1695" s="63" t="s">
        <v>8541</v>
      </c>
      <c r="H1695" s="59">
        <v>0</v>
      </c>
    </row>
    <row r="1696" spans="1:8" ht="112.5" customHeight="1" x14ac:dyDescent="0.15">
      <c r="A1696" s="54">
        <v>1650</v>
      </c>
      <c r="B1696" s="55" t="s">
        <v>3818</v>
      </c>
      <c r="C1696" s="55" t="s">
        <v>8542</v>
      </c>
      <c r="D1696" s="56" t="s">
        <v>8543</v>
      </c>
      <c r="E1696" s="2"/>
      <c r="F1696" s="57"/>
      <c r="G1696" s="64" t="s">
        <v>8544</v>
      </c>
      <c r="H1696" s="59">
        <v>0</v>
      </c>
    </row>
    <row r="1697" spans="1:8" ht="112.5" customHeight="1" x14ac:dyDescent="0.15">
      <c r="A1697" s="60">
        <v>1649</v>
      </c>
      <c r="B1697" s="30" t="s">
        <v>3801</v>
      </c>
      <c r="C1697" s="30" t="s">
        <v>8545</v>
      </c>
      <c r="D1697" s="61" t="s">
        <v>8546</v>
      </c>
      <c r="E1697" s="2"/>
      <c r="F1697" s="57"/>
      <c r="G1697" s="63" t="s">
        <v>8547</v>
      </c>
      <c r="H1697" s="59">
        <v>1</v>
      </c>
    </row>
    <row r="1698" spans="1:8" ht="112.5" customHeight="1" x14ac:dyDescent="0.15">
      <c r="A1698" s="54">
        <v>1648</v>
      </c>
      <c r="B1698" s="55" t="s">
        <v>3801</v>
      </c>
      <c r="C1698" s="55" t="s">
        <v>8548</v>
      </c>
      <c r="D1698" s="56" t="s">
        <v>8549</v>
      </c>
      <c r="E1698" s="2"/>
      <c r="F1698" s="57"/>
      <c r="G1698" s="64" t="s">
        <v>8550</v>
      </c>
      <c r="H1698" s="59">
        <v>998</v>
      </c>
    </row>
    <row r="1699" spans="1:8" ht="112.5" customHeight="1" x14ac:dyDescent="0.15">
      <c r="A1699" s="60">
        <v>1647</v>
      </c>
      <c r="B1699" s="30" t="s">
        <v>3801</v>
      </c>
      <c r="C1699" s="30" t="s">
        <v>8551</v>
      </c>
      <c r="D1699" s="61" t="s">
        <v>8552</v>
      </c>
      <c r="E1699" s="2"/>
      <c r="F1699" s="57"/>
      <c r="G1699" s="63" t="s">
        <v>8553</v>
      </c>
      <c r="H1699" s="59">
        <v>911</v>
      </c>
    </row>
    <row r="1700" spans="1:8" ht="112.5" customHeight="1" x14ac:dyDescent="0.15">
      <c r="A1700" s="54">
        <v>1646</v>
      </c>
      <c r="B1700" s="55" t="s">
        <v>3801</v>
      </c>
      <c r="C1700" s="55" t="s">
        <v>8554</v>
      </c>
      <c r="D1700" s="56" t="s">
        <v>8555</v>
      </c>
      <c r="E1700" s="2"/>
      <c r="F1700" s="57"/>
      <c r="G1700" s="64" t="s">
        <v>8556</v>
      </c>
      <c r="H1700" s="59">
        <v>0</v>
      </c>
    </row>
    <row r="1701" spans="1:8" ht="112.5" customHeight="1" x14ac:dyDescent="0.15">
      <c r="A1701" s="60">
        <v>1645</v>
      </c>
      <c r="B1701" s="30" t="s">
        <v>3818</v>
      </c>
      <c r="C1701" s="30" t="s">
        <v>8557</v>
      </c>
      <c r="D1701" s="61" t="s">
        <v>8558</v>
      </c>
      <c r="E1701" s="2"/>
      <c r="F1701" s="57"/>
      <c r="G1701" s="63" t="s">
        <v>8559</v>
      </c>
      <c r="H1701" s="59">
        <v>0</v>
      </c>
    </row>
    <row r="1702" spans="1:8" ht="112.5" customHeight="1" x14ac:dyDescent="0.15">
      <c r="A1702" s="54">
        <v>1644</v>
      </c>
      <c r="B1702" s="55" t="s">
        <v>3801</v>
      </c>
      <c r="C1702" s="55" t="s">
        <v>8560</v>
      </c>
      <c r="D1702" s="56" t="s">
        <v>8561</v>
      </c>
      <c r="E1702" s="2"/>
      <c r="F1702" s="57"/>
      <c r="G1702" s="64" t="s">
        <v>8562</v>
      </c>
      <c r="H1702" s="59">
        <v>0</v>
      </c>
    </row>
    <row r="1703" spans="1:8" ht="112.5" customHeight="1" x14ac:dyDescent="0.15">
      <c r="A1703" s="60">
        <v>1643</v>
      </c>
      <c r="B1703" s="30" t="s">
        <v>3513</v>
      </c>
      <c r="C1703" s="30" t="s">
        <v>8563</v>
      </c>
      <c r="D1703" s="61" t="s">
        <v>8564</v>
      </c>
      <c r="E1703" s="2"/>
      <c r="F1703" s="57"/>
      <c r="G1703" s="63" t="s">
        <v>8565</v>
      </c>
      <c r="H1703" s="59">
        <v>1</v>
      </c>
    </row>
    <row r="1704" spans="1:8" ht="112.5" customHeight="1" x14ac:dyDescent="0.15">
      <c r="A1704" s="54">
        <v>1642</v>
      </c>
      <c r="B1704" s="55" t="s">
        <v>3513</v>
      </c>
      <c r="C1704" s="55" t="s">
        <v>8566</v>
      </c>
      <c r="D1704" s="56" t="s">
        <v>8567</v>
      </c>
      <c r="E1704" s="2"/>
      <c r="F1704" s="57"/>
      <c r="G1704" s="64" t="s">
        <v>8568</v>
      </c>
      <c r="H1704" s="59">
        <v>888</v>
      </c>
    </row>
    <row r="1705" spans="1:8" ht="112.5" customHeight="1" x14ac:dyDescent="0.15">
      <c r="A1705" s="60">
        <v>1641</v>
      </c>
      <c r="B1705" s="30" t="s">
        <v>3533</v>
      </c>
      <c r="C1705" s="30" t="s">
        <v>8569</v>
      </c>
      <c r="D1705" s="61" t="s">
        <v>8570</v>
      </c>
      <c r="E1705" s="2"/>
      <c r="F1705" s="57"/>
      <c r="G1705" s="63" t="s">
        <v>8571</v>
      </c>
      <c r="H1705" s="59">
        <v>822</v>
      </c>
    </row>
    <row r="1706" spans="1:8" ht="112.5" customHeight="1" x14ac:dyDescent="0.15">
      <c r="A1706" s="54">
        <v>1640</v>
      </c>
      <c r="B1706" s="55" t="s">
        <v>3801</v>
      </c>
      <c r="C1706" s="55" t="s">
        <v>8572</v>
      </c>
      <c r="D1706" s="56" t="s">
        <v>8573</v>
      </c>
      <c r="E1706" s="2"/>
      <c r="F1706" s="57"/>
      <c r="G1706" s="64" t="s">
        <v>8574</v>
      </c>
      <c r="H1706" s="59">
        <v>976</v>
      </c>
    </row>
    <row r="1707" spans="1:8" ht="112.5" customHeight="1" x14ac:dyDescent="0.15">
      <c r="A1707" s="60">
        <v>1639</v>
      </c>
      <c r="B1707" s="30" t="s">
        <v>3801</v>
      </c>
      <c r="C1707" s="30" t="s">
        <v>8575</v>
      </c>
      <c r="D1707" s="61" t="s">
        <v>8576</v>
      </c>
      <c r="E1707" s="2"/>
      <c r="F1707" s="57"/>
      <c r="G1707" s="63" t="s">
        <v>8577</v>
      </c>
      <c r="H1707" s="59">
        <v>961</v>
      </c>
    </row>
    <row r="1708" spans="1:8" ht="112.5" customHeight="1" x14ac:dyDescent="0.15">
      <c r="A1708" s="54">
        <v>1638</v>
      </c>
      <c r="B1708" s="55" t="s">
        <v>3801</v>
      </c>
      <c r="C1708" s="55" t="s">
        <v>8578</v>
      </c>
      <c r="D1708" s="56" t="s">
        <v>8579</v>
      </c>
      <c r="E1708" s="2"/>
      <c r="F1708" s="57"/>
      <c r="G1708" s="64" t="s">
        <v>8580</v>
      </c>
      <c r="H1708" s="59">
        <v>976</v>
      </c>
    </row>
    <row r="1709" spans="1:8" ht="112.5" customHeight="1" x14ac:dyDescent="0.15">
      <c r="A1709" s="60">
        <v>1637</v>
      </c>
      <c r="B1709" s="30" t="s">
        <v>3801</v>
      </c>
      <c r="C1709" s="30" t="s">
        <v>8581</v>
      </c>
      <c r="D1709" s="61" t="s">
        <v>8582</v>
      </c>
      <c r="E1709" s="2"/>
      <c r="F1709" s="57"/>
      <c r="G1709" s="63" t="s">
        <v>8583</v>
      </c>
      <c r="H1709" s="59">
        <v>1</v>
      </c>
    </row>
    <row r="1710" spans="1:8" ht="112.5" customHeight="1" x14ac:dyDescent="0.15">
      <c r="A1710" s="54">
        <v>1636</v>
      </c>
      <c r="B1710" s="55" t="s">
        <v>3801</v>
      </c>
      <c r="C1710" s="55" t="s">
        <v>8584</v>
      </c>
      <c r="D1710" s="56" t="s">
        <v>8585</v>
      </c>
      <c r="E1710" s="2"/>
      <c r="F1710" s="57"/>
      <c r="G1710" s="64" t="s">
        <v>8586</v>
      </c>
      <c r="H1710" s="59">
        <v>1</v>
      </c>
    </row>
    <row r="1711" spans="1:8" ht="112.5" customHeight="1" x14ac:dyDescent="0.15">
      <c r="A1711" s="60">
        <v>1603</v>
      </c>
      <c r="B1711" s="30" t="s">
        <v>3822</v>
      </c>
      <c r="C1711" s="30" t="s">
        <v>8587</v>
      </c>
      <c r="D1711" s="61" t="s">
        <v>8588</v>
      </c>
      <c r="E1711" s="2"/>
      <c r="F1711" s="57"/>
      <c r="G1711" s="63" t="s">
        <v>8589</v>
      </c>
      <c r="H1711" s="59">
        <v>996</v>
      </c>
    </row>
    <row r="1712" spans="1:8" ht="112.5" customHeight="1" x14ac:dyDescent="0.15">
      <c r="A1712" s="54">
        <v>1602</v>
      </c>
      <c r="B1712" s="55" t="s">
        <v>3801</v>
      </c>
      <c r="C1712" s="55" t="s">
        <v>8590</v>
      </c>
      <c r="D1712" s="56" t="s">
        <v>8591</v>
      </c>
      <c r="E1712" s="2"/>
      <c r="F1712" s="57"/>
      <c r="G1712" s="64" t="s">
        <v>8592</v>
      </c>
      <c r="H1712" s="59">
        <v>0</v>
      </c>
    </row>
    <row r="1713" spans="1:8" ht="112.5" customHeight="1" x14ac:dyDescent="0.15">
      <c r="A1713" s="60">
        <v>1601</v>
      </c>
      <c r="B1713" s="30" t="s">
        <v>3549</v>
      </c>
      <c r="C1713" s="30" t="s">
        <v>8593</v>
      </c>
      <c r="D1713" s="61" t="s">
        <v>8594</v>
      </c>
      <c r="E1713" s="2"/>
      <c r="F1713" s="57"/>
      <c r="G1713" s="63" t="s">
        <v>8595</v>
      </c>
      <c r="H1713" s="59">
        <v>0</v>
      </c>
    </row>
    <row r="1714" spans="1:8" ht="112.5" customHeight="1" x14ac:dyDescent="0.15">
      <c r="A1714" s="54">
        <v>1600</v>
      </c>
      <c r="B1714" s="55" t="s">
        <v>3533</v>
      </c>
      <c r="C1714" s="55" t="s">
        <v>8596</v>
      </c>
      <c r="D1714" s="56" t="s">
        <v>8597</v>
      </c>
      <c r="E1714" s="2"/>
      <c r="F1714" s="57"/>
      <c r="G1714" s="64" t="s">
        <v>8598</v>
      </c>
      <c r="H1714" s="59">
        <v>998</v>
      </c>
    </row>
    <row r="1715" spans="1:8" ht="112.5" customHeight="1" x14ac:dyDescent="0.15">
      <c r="A1715" s="60">
        <v>1599</v>
      </c>
      <c r="B1715" s="30" t="s">
        <v>3556</v>
      </c>
      <c r="C1715" s="30" t="s">
        <v>8599</v>
      </c>
      <c r="D1715" s="61" t="s">
        <v>8600</v>
      </c>
      <c r="E1715" s="2"/>
      <c r="F1715" s="57"/>
      <c r="G1715" s="63" t="s">
        <v>8601</v>
      </c>
      <c r="H1715" s="59">
        <v>1</v>
      </c>
    </row>
    <row r="1716" spans="1:8" ht="112.5" customHeight="1" x14ac:dyDescent="0.15">
      <c r="A1716" s="54">
        <v>1598</v>
      </c>
      <c r="B1716" s="55" t="s">
        <v>3670</v>
      </c>
      <c r="C1716" s="55" t="s">
        <v>8602</v>
      </c>
      <c r="D1716" s="56" t="s">
        <v>8603</v>
      </c>
      <c r="E1716" s="2"/>
      <c r="F1716" s="57"/>
      <c r="G1716" s="64" t="s">
        <v>8604</v>
      </c>
      <c r="H1716" s="59">
        <v>1</v>
      </c>
    </row>
    <row r="1717" spans="1:8" ht="112.5" customHeight="1" x14ac:dyDescent="0.15">
      <c r="A1717" s="60">
        <v>1597</v>
      </c>
      <c r="B1717" s="30" t="s">
        <v>3670</v>
      </c>
      <c r="C1717" s="30" t="s">
        <v>8605</v>
      </c>
      <c r="D1717" s="61" t="s">
        <v>8606</v>
      </c>
      <c r="E1717" s="2"/>
      <c r="F1717" s="57"/>
      <c r="G1717" s="63" t="s">
        <v>8607</v>
      </c>
      <c r="H1717" s="59">
        <v>1</v>
      </c>
    </row>
    <row r="1718" spans="1:8" ht="112.5" customHeight="1" x14ac:dyDescent="0.15">
      <c r="A1718" s="54">
        <v>1596</v>
      </c>
      <c r="B1718" s="55" t="s">
        <v>3502</v>
      </c>
      <c r="C1718" s="55" t="s">
        <v>8608</v>
      </c>
      <c r="D1718" s="56" t="s">
        <v>8609</v>
      </c>
      <c r="E1718" s="2"/>
      <c r="F1718" s="57"/>
      <c r="G1718" s="64" t="s">
        <v>8610</v>
      </c>
      <c r="H1718" s="59">
        <v>1</v>
      </c>
    </row>
    <row r="1719" spans="1:8" ht="112.5" customHeight="1" x14ac:dyDescent="0.15">
      <c r="A1719" s="60">
        <v>1595</v>
      </c>
      <c r="B1719" s="30" t="s">
        <v>3502</v>
      </c>
      <c r="C1719" s="30" t="s">
        <v>8611</v>
      </c>
      <c r="D1719" s="61" t="s">
        <v>8612</v>
      </c>
      <c r="E1719" s="2"/>
      <c r="F1719" s="57"/>
      <c r="G1719" s="63" t="s">
        <v>8613</v>
      </c>
      <c r="H1719" s="59">
        <v>995</v>
      </c>
    </row>
    <row r="1720" spans="1:8" ht="112.5" customHeight="1" x14ac:dyDescent="0.15">
      <c r="A1720" s="54">
        <v>1594</v>
      </c>
      <c r="B1720" s="55" t="s">
        <v>3502</v>
      </c>
      <c r="C1720" s="55" t="s">
        <v>8614</v>
      </c>
      <c r="D1720" s="56" t="s">
        <v>8615</v>
      </c>
      <c r="E1720" s="2"/>
      <c r="F1720" s="57"/>
      <c r="G1720" s="64" t="s">
        <v>8616</v>
      </c>
      <c r="H1720" s="59">
        <v>1</v>
      </c>
    </row>
    <row r="1721" spans="1:8" ht="112.5" customHeight="1" x14ac:dyDescent="0.15">
      <c r="A1721" s="60">
        <v>1593</v>
      </c>
      <c r="B1721" s="30" t="s">
        <v>3502</v>
      </c>
      <c r="C1721" s="30" t="s">
        <v>8617</v>
      </c>
      <c r="D1721" s="61" t="s">
        <v>8618</v>
      </c>
      <c r="E1721" s="2"/>
      <c r="F1721" s="57"/>
      <c r="G1721" s="63" t="s">
        <v>8619</v>
      </c>
      <c r="H1721" s="59">
        <v>1</v>
      </c>
    </row>
    <row r="1722" spans="1:8" ht="112.5" customHeight="1" x14ac:dyDescent="0.15">
      <c r="A1722" s="54">
        <v>1592</v>
      </c>
      <c r="B1722" s="55" t="s">
        <v>3502</v>
      </c>
      <c r="C1722" s="55" t="s">
        <v>8620</v>
      </c>
      <c r="D1722" s="56" t="s">
        <v>8621</v>
      </c>
      <c r="E1722" s="2"/>
      <c r="F1722" s="57"/>
      <c r="G1722" s="64" t="s">
        <v>8622</v>
      </c>
      <c r="H1722" s="59">
        <v>0</v>
      </c>
    </row>
    <row r="1723" spans="1:8" ht="112.5" customHeight="1" x14ac:dyDescent="0.15">
      <c r="A1723" s="60">
        <v>1591</v>
      </c>
      <c r="B1723" s="30" t="s">
        <v>3513</v>
      </c>
      <c r="C1723" s="30" t="s">
        <v>8623</v>
      </c>
      <c r="D1723" s="61" t="s">
        <v>8624</v>
      </c>
      <c r="E1723" s="2"/>
      <c r="F1723" s="57"/>
      <c r="G1723" s="63" t="s">
        <v>8625</v>
      </c>
      <c r="H1723" s="59">
        <v>1</v>
      </c>
    </row>
    <row r="1724" spans="1:8" ht="112.5" customHeight="1" x14ac:dyDescent="0.15">
      <c r="A1724" s="54">
        <v>1590</v>
      </c>
      <c r="B1724" s="55" t="s">
        <v>3513</v>
      </c>
      <c r="C1724" s="55" t="s">
        <v>8626</v>
      </c>
      <c r="D1724" s="56" t="s">
        <v>8627</v>
      </c>
      <c r="E1724" s="2"/>
      <c r="F1724" s="57"/>
      <c r="G1724" s="64" t="s">
        <v>8628</v>
      </c>
      <c r="H1724" s="59">
        <v>1</v>
      </c>
    </row>
    <row r="1725" spans="1:8" ht="112.5" customHeight="1" x14ac:dyDescent="0.15">
      <c r="A1725" s="60">
        <v>1589</v>
      </c>
      <c r="B1725" s="30" t="s">
        <v>3822</v>
      </c>
      <c r="C1725" s="30" t="s">
        <v>8629</v>
      </c>
      <c r="D1725" s="61" t="s">
        <v>8630</v>
      </c>
      <c r="E1725" s="2"/>
      <c r="F1725" s="57"/>
      <c r="G1725" s="63" t="s">
        <v>8631</v>
      </c>
      <c r="H1725" s="59">
        <v>1</v>
      </c>
    </row>
    <row r="1726" spans="1:8" ht="112.5" customHeight="1" x14ac:dyDescent="0.15">
      <c r="A1726" s="54">
        <v>1588</v>
      </c>
      <c r="B1726" s="55" t="s">
        <v>3822</v>
      </c>
      <c r="C1726" s="55" t="s">
        <v>8632</v>
      </c>
      <c r="D1726" s="56" t="s">
        <v>8633</v>
      </c>
      <c r="E1726" s="2"/>
      <c r="F1726" s="57"/>
      <c r="G1726" s="64" t="s">
        <v>8634</v>
      </c>
      <c r="H1726" s="59">
        <v>1</v>
      </c>
    </row>
    <row r="1727" spans="1:8" ht="112.5" customHeight="1" x14ac:dyDescent="0.15">
      <c r="A1727" s="60">
        <v>3433</v>
      </c>
      <c r="B1727" s="30" t="s">
        <v>3496</v>
      </c>
      <c r="C1727" s="30" t="s">
        <v>8635</v>
      </c>
      <c r="D1727" s="61" t="s">
        <v>8636</v>
      </c>
      <c r="E1727" s="2"/>
      <c r="F1727" s="57"/>
      <c r="G1727" s="63" t="s">
        <v>8637</v>
      </c>
      <c r="H1727" s="59">
        <v>1</v>
      </c>
    </row>
    <row r="1728" spans="1:8" ht="112.5" customHeight="1" x14ac:dyDescent="0.15">
      <c r="A1728" s="60">
        <v>1587</v>
      </c>
      <c r="B1728" s="30" t="s">
        <v>3513</v>
      </c>
      <c r="C1728" s="30" t="s">
        <v>8638</v>
      </c>
      <c r="D1728" s="61" t="s">
        <v>8639</v>
      </c>
      <c r="E1728" s="2"/>
      <c r="F1728" s="57"/>
      <c r="G1728" s="64" t="s">
        <v>8640</v>
      </c>
      <c r="H1728" s="59">
        <v>1</v>
      </c>
    </row>
    <row r="1729" spans="1:13" ht="112.5" customHeight="1" x14ac:dyDescent="0.15">
      <c r="A1729" s="54">
        <v>1586</v>
      </c>
      <c r="B1729" s="55" t="s">
        <v>3513</v>
      </c>
      <c r="C1729" s="55" t="s">
        <v>8641</v>
      </c>
      <c r="D1729" s="56" t="s">
        <v>8642</v>
      </c>
      <c r="E1729" s="2"/>
      <c r="F1729" s="57"/>
      <c r="G1729" s="63" t="s">
        <v>8643</v>
      </c>
      <c r="H1729" s="59">
        <v>982</v>
      </c>
    </row>
    <row r="1730" spans="1:13" ht="112.5" customHeight="1" x14ac:dyDescent="0.15">
      <c r="A1730" s="60">
        <v>1585</v>
      </c>
      <c r="B1730" s="30" t="s">
        <v>3822</v>
      </c>
      <c r="C1730" s="30" t="s">
        <v>8644</v>
      </c>
      <c r="D1730" s="61" t="s">
        <v>8645</v>
      </c>
      <c r="E1730" s="2"/>
      <c r="F1730" s="57"/>
      <c r="G1730" s="64" t="s">
        <v>8646</v>
      </c>
      <c r="H1730" s="59">
        <v>0</v>
      </c>
    </row>
    <row r="1731" spans="1:13" ht="112.5" customHeight="1" x14ac:dyDescent="0.15">
      <c r="A1731" s="54">
        <v>1584</v>
      </c>
      <c r="B1731" s="55" t="s">
        <v>3630</v>
      </c>
      <c r="C1731" s="55" t="s">
        <v>8647</v>
      </c>
      <c r="D1731" s="56" t="s">
        <v>8648</v>
      </c>
      <c r="E1731" s="2"/>
      <c r="F1731" s="57"/>
      <c r="G1731" s="63" t="s">
        <v>8649</v>
      </c>
      <c r="H1731" s="59">
        <v>996</v>
      </c>
    </row>
    <row r="1732" spans="1:13" ht="112.5" customHeight="1" x14ac:dyDescent="0.15">
      <c r="A1732" s="54">
        <v>1582</v>
      </c>
      <c r="B1732" s="55" t="s">
        <v>3513</v>
      </c>
      <c r="C1732" s="55" t="s">
        <v>8650</v>
      </c>
      <c r="D1732" s="56" t="s">
        <v>8651</v>
      </c>
      <c r="E1732" s="2"/>
      <c r="F1732" s="57"/>
      <c r="G1732" s="64" t="s">
        <v>8652</v>
      </c>
      <c r="H1732" s="59">
        <v>999</v>
      </c>
    </row>
    <row r="1733" spans="1:13" ht="112.5" customHeight="1" x14ac:dyDescent="0.15">
      <c r="A1733" s="60">
        <v>1583</v>
      </c>
      <c r="B1733" s="30" t="s">
        <v>3513</v>
      </c>
      <c r="C1733" s="30" t="s">
        <v>8653</v>
      </c>
      <c r="D1733" s="61" t="s">
        <v>8654</v>
      </c>
      <c r="E1733" s="2"/>
      <c r="F1733" s="57"/>
      <c r="G1733" s="63" t="s">
        <v>8655</v>
      </c>
      <c r="H1733" s="59">
        <v>999</v>
      </c>
    </row>
    <row r="1734" spans="1:13" ht="112.5" customHeight="1" x14ac:dyDescent="0.15">
      <c r="A1734" s="60">
        <v>1581</v>
      </c>
      <c r="B1734" s="30" t="s">
        <v>3492</v>
      </c>
      <c r="C1734" s="30" t="s">
        <v>8656</v>
      </c>
      <c r="D1734" s="61" t="s">
        <v>8657</v>
      </c>
      <c r="E1734" s="2"/>
      <c r="F1734" s="57"/>
      <c r="G1734" s="64" t="s">
        <v>8658</v>
      </c>
      <c r="H1734" s="59">
        <v>996</v>
      </c>
    </row>
    <row r="1735" spans="1:13" ht="112.5" customHeight="1" x14ac:dyDescent="0.15">
      <c r="A1735" s="54">
        <v>3666</v>
      </c>
      <c r="B1735" s="55" t="s">
        <v>3492</v>
      </c>
      <c r="C1735" s="55" t="s">
        <v>8659</v>
      </c>
      <c r="D1735" s="56" t="s">
        <v>8660</v>
      </c>
      <c r="E1735" s="2"/>
      <c r="F1735" s="57"/>
      <c r="G1735" s="63" t="s">
        <v>8661</v>
      </c>
      <c r="H1735" s="59">
        <v>999</v>
      </c>
    </row>
    <row r="1736" spans="1:13" ht="112.5" customHeight="1" x14ac:dyDescent="0.15">
      <c r="A1736" s="54">
        <v>1580</v>
      </c>
      <c r="B1736" s="55" t="s">
        <v>3513</v>
      </c>
      <c r="C1736" s="55" t="s">
        <v>8662</v>
      </c>
      <c r="D1736" s="56" t="s">
        <v>8663</v>
      </c>
      <c r="E1736" s="2"/>
      <c r="F1736" s="57"/>
      <c r="G1736" s="58" t="s">
        <v>8664</v>
      </c>
      <c r="H1736" s="59">
        <v>899</v>
      </c>
      <c r="I1736" s="29"/>
      <c r="J1736" s="29"/>
      <c r="K1736" s="29"/>
      <c r="L1736" s="29"/>
      <c r="M1736" s="29"/>
    </row>
    <row r="1737" spans="1:13" ht="112.5" customHeight="1" x14ac:dyDescent="0.15">
      <c r="A1737" s="54">
        <v>1578</v>
      </c>
      <c r="B1737" s="55" t="s">
        <v>3556</v>
      </c>
      <c r="C1737" s="55" t="s">
        <v>8665</v>
      </c>
      <c r="D1737" s="56" t="s">
        <v>8666</v>
      </c>
      <c r="E1737" s="2"/>
      <c r="F1737" s="57"/>
      <c r="G1737" s="63" t="s">
        <v>8667</v>
      </c>
      <c r="H1737" s="59">
        <v>0</v>
      </c>
    </row>
    <row r="1738" spans="1:13" ht="112.5" customHeight="1" x14ac:dyDescent="0.15">
      <c r="A1738" s="60">
        <v>1577</v>
      </c>
      <c r="B1738" s="30" t="s">
        <v>3898</v>
      </c>
      <c r="C1738" s="30" t="s">
        <v>8668</v>
      </c>
      <c r="D1738" s="61" t="s">
        <v>8669</v>
      </c>
      <c r="E1738" s="2"/>
      <c r="F1738" s="57"/>
      <c r="G1738" s="64" t="s">
        <v>8670</v>
      </c>
      <c r="H1738" s="59">
        <v>926</v>
      </c>
    </row>
    <row r="1739" spans="1:13" ht="112.5" customHeight="1" x14ac:dyDescent="0.15">
      <c r="A1739" s="60">
        <v>1617</v>
      </c>
      <c r="B1739" s="30" t="s">
        <v>3801</v>
      </c>
      <c r="C1739" s="30" t="s">
        <v>8671</v>
      </c>
      <c r="D1739" s="61" t="s">
        <v>8672</v>
      </c>
      <c r="E1739" s="2"/>
      <c r="F1739" s="57"/>
      <c r="G1739" s="63" t="s">
        <v>8673</v>
      </c>
      <c r="H1739" s="59">
        <v>997</v>
      </c>
    </row>
    <row r="1740" spans="1:13" ht="112.5" customHeight="1" x14ac:dyDescent="0.15">
      <c r="A1740" s="54">
        <v>1618</v>
      </c>
      <c r="B1740" s="55" t="s">
        <v>3801</v>
      </c>
      <c r="C1740" s="55" t="s">
        <v>8674</v>
      </c>
      <c r="D1740" s="56" t="s">
        <v>8675</v>
      </c>
      <c r="E1740" s="2"/>
      <c r="F1740" s="57"/>
      <c r="G1740" s="64" t="s">
        <v>8676</v>
      </c>
      <c r="H1740" s="59">
        <v>987</v>
      </c>
    </row>
    <row r="1741" spans="1:13" ht="112.5" customHeight="1" x14ac:dyDescent="0.15">
      <c r="A1741" s="54">
        <v>1616</v>
      </c>
      <c r="B1741" s="55" t="s">
        <v>3599</v>
      </c>
      <c r="C1741" s="55" t="s">
        <v>8677</v>
      </c>
      <c r="D1741" s="56" t="s">
        <v>8678</v>
      </c>
      <c r="E1741" s="2"/>
      <c r="F1741" s="57"/>
      <c r="G1741" s="63" t="s">
        <v>8679</v>
      </c>
      <c r="H1741" s="59">
        <v>1</v>
      </c>
    </row>
    <row r="1742" spans="1:13" ht="112.5" customHeight="1" x14ac:dyDescent="0.15">
      <c r="A1742" s="60">
        <v>1615</v>
      </c>
      <c r="B1742" s="30" t="s">
        <v>3533</v>
      </c>
      <c r="C1742" s="30" t="s">
        <v>8680</v>
      </c>
      <c r="D1742" s="61" t="s">
        <v>8681</v>
      </c>
      <c r="E1742" s="2"/>
      <c r="F1742" s="57"/>
      <c r="G1742" s="64" t="s">
        <v>8682</v>
      </c>
      <c r="H1742" s="59">
        <v>955</v>
      </c>
    </row>
    <row r="1743" spans="1:13" ht="112.5" customHeight="1" x14ac:dyDescent="0.15">
      <c r="A1743" s="60">
        <v>1613</v>
      </c>
      <c r="B1743" s="30" t="s">
        <v>3822</v>
      </c>
      <c r="C1743" s="30" t="s">
        <v>8683</v>
      </c>
      <c r="D1743" s="61" t="s">
        <v>8684</v>
      </c>
      <c r="E1743" s="2"/>
      <c r="F1743" s="57"/>
      <c r="G1743" s="63" t="s">
        <v>8685</v>
      </c>
      <c r="H1743" s="59">
        <v>992</v>
      </c>
    </row>
    <row r="1744" spans="1:13" ht="112.5" customHeight="1" x14ac:dyDescent="0.15">
      <c r="A1744" s="54">
        <v>1612</v>
      </c>
      <c r="B1744" s="55" t="s">
        <v>3822</v>
      </c>
      <c r="C1744" s="55" t="s">
        <v>8686</v>
      </c>
      <c r="D1744" s="56" t="s">
        <v>8687</v>
      </c>
      <c r="E1744" s="2"/>
      <c r="F1744" s="57"/>
      <c r="G1744" s="64" t="s">
        <v>8688</v>
      </c>
      <c r="H1744" s="59">
        <v>1</v>
      </c>
    </row>
    <row r="1745" spans="1:8" ht="112.5" customHeight="1" x14ac:dyDescent="0.15">
      <c r="A1745" s="60">
        <v>1611</v>
      </c>
      <c r="B1745" s="30" t="s">
        <v>3502</v>
      </c>
      <c r="C1745" s="30" t="s">
        <v>8689</v>
      </c>
      <c r="D1745" s="61" t="s">
        <v>8690</v>
      </c>
      <c r="E1745" s="2"/>
      <c r="F1745" s="57"/>
      <c r="G1745" s="63" t="s">
        <v>8691</v>
      </c>
      <c r="H1745" s="59">
        <v>998</v>
      </c>
    </row>
    <row r="1746" spans="1:8" ht="112.5" customHeight="1" x14ac:dyDescent="0.15">
      <c r="A1746" s="54">
        <v>1610</v>
      </c>
      <c r="B1746" s="55" t="s">
        <v>3502</v>
      </c>
      <c r="C1746" s="55" t="s">
        <v>8692</v>
      </c>
      <c r="D1746" s="56" t="s">
        <v>8693</v>
      </c>
      <c r="E1746" s="2"/>
      <c r="F1746" s="57"/>
      <c r="G1746" s="64" t="s">
        <v>8694</v>
      </c>
      <c r="H1746" s="59">
        <v>992</v>
      </c>
    </row>
    <row r="1747" spans="1:8" ht="112.5" customHeight="1" x14ac:dyDescent="0.15">
      <c r="A1747" s="54">
        <v>1710</v>
      </c>
      <c r="B1747" s="55" t="s">
        <v>3502</v>
      </c>
      <c r="C1747" s="55" t="s">
        <v>8695</v>
      </c>
      <c r="D1747" s="56" t="s">
        <v>8696</v>
      </c>
      <c r="E1747" s="2"/>
      <c r="F1747" s="57"/>
      <c r="G1747" s="63" t="s">
        <v>8697</v>
      </c>
      <c r="H1747" s="59">
        <v>824</v>
      </c>
    </row>
    <row r="1748" spans="1:8" ht="112.5" customHeight="1" x14ac:dyDescent="0.15">
      <c r="A1748" s="60">
        <v>1709</v>
      </c>
      <c r="B1748" s="30" t="s">
        <v>3822</v>
      </c>
      <c r="C1748" s="30" t="s">
        <v>8698</v>
      </c>
      <c r="D1748" s="61" t="s">
        <v>8699</v>
      </c>
      <c r="E1748" s="2"/>
      <c r="F1748" s="57"/>
      <c r="G1748" s="64" t="s">
        <v>8700</v>
      </c>
      <c r="H1748" s="59">
        <v>1</v>
      </c>
    </row>
    <row r="1749" spans="1:8" ht="112.5" customHeight="1" x14ac:dyDescent="0.15">
      <c r="A1749" s="54">
        <v>1708</v>
      </c>
      <c r="B1749" s="55" t="s">
        <v>3599</v>
      </c>
      <c r="C1749" s="55" t="s">
        <v>8701</v>
      </c>
      <c r="D1749" s="56" t="s">
        <v>8702</v>
      </c>
      <c r="E1749" s="2"/>
      <c r="F1749" s="57"/>
      <c r="G1749" s="63" t="s">
        <v>8703</v>
      </c>
      <c r="H1749" s="59">
        <v>1</v>
      </c>
    </row>
    <row r="1750" spans="1:8" ht="112.5" customHeight="1" x14ac:dyDescent="0.15">
      <c r="A1750" s="54">
        <v>1706</v>
      </c>
      <c r="B1750" s="55" t="s">
        <v>3502</v>
      </c>
      <c r="C1750" s="55" t="s">
        <v>8704</v>
      </c>
      <c r="D1750" s="56" t="s">
        <v>8705</v>
      </c>
      <c r="E1750" s="2"/>
      <c r="F1750" s="57"/>
      <c r="G1750" s="64" t="s">
        <v>8706</v>
      </c>
      <c r="H1750" s="59">
        <v>1</v>
      </c>
    </row>
    <row r="1751" spans="1:8" ht="112.5" customHeight="1" x14ac:dyDescent="0.15">
      <c r="A1751" s="60">
        <v>1707</v>
      </c>
      <c r="B1751" s="30" t="s">
        <v>3502</v>
      </c>
      <c r="C1751" s="30" t="s">
        <v>8707</v>
      </c>
      <c r="D1751" s="61" t="s">
        <v>8708</v>
      </c>
      <c r="E1751" s="2"/>
      <c r="F1751" s="57"/>
      <c r="G1751" s="63" t="s">
        <v>8709</v>
      </c>
      <c r="H1751" s="59">
        <v>995</v>
      </c>
    </row>
    <row r="1752" spans="1:8" ht="112.5" customHeight="1" x14ac:dyDescent="0.15">
      <c r="A1752" s="60">
        <v>3377</v>
      </c>
      <c r="B1752" s="30" t="s">
        <v>3496</v>
      </c>
      <c r="C1752" s="30" t="s">
        <v>8710</v>
      </c>
      <c r="D1752" s="61" t="s">
        <v>8711</v>
      </c>
      <c r="E1752" s="2"/>
      <c r="F1752" s="57"/>
      <c r="G1752" s="64" t="s">
        <v>8712</v>
      </c>
      <c r="H1752" s="59">
        <v>992</v>
      </c>
    </row>
    <row r="1753" spans="1:8" ht="112.5" customHeight="1" x14ac:dyDescent="0.15">
      <c r="A1753" s="60">
        <v>1705</v>
      </c>
      <c r="B1753" s="30" t="s">
        <v>3898</v>
      </c>
      <c r="C1753" s="30" t="s">
        <v>8713</v>
      </c>
      <c r="D1753" s="61" t="s">
        <v>8714</v>
      </c>
      <c r="E1753" s="2"/>
      <c r="F1753" s="57"/>
      <c r="G1753" s="63" t="s">
        <v>8715</v>
      </c>
      <c r="H1753" s="59">
        <v>1</v>
      </c>
    </row>
    <row r="1754" spans="1:8" ht="112.5" customHeight="1" x14ac:dyDescent="0.15">
      <c r="A1754" s="54">
        <v>1704</v>
      </c>
      <c r="B1754" s="55" t="s">
        <v>3801</v>
      </c>
      <c r="C1754" s="55" t="s">
        <v>8716</v>
      </c>
      <c r="D1754" s="56" t="s">
        <v>8717</v>
      </c>
      <c r="E1754" s="2"/>
      <c r="F1754" s="57"/>
      <c r="G1754" s="64" t="s">
        <v>8718</v>
      </c>
      <c r="H1754" s="59">
        <v>1</v>
      </c>
    </row>
    <row r="1755" spans="1:8" ht="112.5" customHeight="1" x14ac:dyDescent="0.15">
      <c r="A1755" s="60">
        <v>1703</v>
      </c>
      <c r="B1755" s="30" t="s">
        <v>3801</v>
      </c>
      <c r="C1755" s="30" t="s">
        <v>8719</v>
      </c>
      <c r="D1755" s="61" t="s">
        <v>8720</v>
      </c>
      <c r="E1755" s="2"/>
      <c r="F1755" s="57"/>
      <c r="G1755" s="63" t="s">
        <v>8721</v>
      </c>
      <c r="H1755" s="59">
        <v>990</v>
      </c>
    </row>
    <row r="1756" spans="1:8" ht="112.5" customHeight="1" x14ac:dyDescent="0.15">
      <c r="A1756" s="54">
        <v>1614</v>
      </c>
      <c r="B1756" s="55" t="s">
        <v>3749</v>
      </c>
      <c r="C1756" s="55" t="s">
        <v>8722</v>
      </c>
      <c r="D1756" s="56" t="s">
        <v>8723</v>
      </c>
      <c r="E1756" s="2"/>
      <c r="F1756" s="57"/>
      <c r="G1756" s="64" t="s">
        <v>8724</v>
      </c>
      <c r="H1756" s="59">
        <v>0</v>
      </c>
    </row>
    <row r="1757" spans="1:8" ht="112.5" customHeight="1" x14ac:dyDescent="0.15">
      <c r="A1757" s="54">
        <v>1702</v>
      </c>
      <c r="B1757" s="55" t="s">
        <v>3533</v>
      </c>
      <c r="C1757" s="55" t="s">
        <v>8725</v>
      </c>
      <c r="D1757" s="56" t="s">
        <v>8726</v>
      </c>
      <c r="E1757" s="2"/>
      <c r="F1757" s="57"/>
      <c r="G1757" s="63" t="s">
        <v>8727</v>
      </c>
      <c r="H1757" s="59">
        <v>955</v>
      </c>
    </row>
    <row r="1758" spans="1:8" ht="112.5" customHeight="1" x14ac:dyDescent="0.15">
      <c r="A1758" s="60">
        <v>1701</v>
      </c>
      <c r="B1758" s="30" t="s">
        <v>3533</v>
      </c>
      <c r="C1758" s="30" t="s">
        <v>8728</v>
      </c>
      <c r="D1758" s="61" t="s">
        <v>8729</v>
      </c>
      <c r="E1758" s="2"/>
      <c r="F1758" s="57"/>
      <c r="G1758" s="64" t="s">
        <v>8730</v>
      </c>
      <c r="H1758" s="59">
        <v>1</v>
      </c>
    </row>
    <row r="1759" spans="1:8" ht="112.5" customHeight="1" x14ac:dyDescent="0.15">
      <c r="A1759" s="54">
        <v>1700</v>
      </c>
      <c r="B1759" s="55" t="s">
        <v>3502</v>
      </c>
      <c r="C1759" s="55" t="s">
        <v>8731</v>
      </c>
      <c r="D1759" s="56" t="s">
        <v>8732</v>
      </c>
      <c r="E1759" s="2"/>
      <c r="F1759" s="57"/>
      <c r="G1759" s="63" t="s">
        <v>8733</v>
      </c>
      <c r="H1759" s="59">
        <v>972</v>
      </c>
    </row>
    <row r="1760" spans="1:8" ht="112.5" customHeight="1" x14ac:dyDescent="0.15">
      <c r="A1760" s="54">
        <v>3518</v>
      </c>
      <c r="B1760" s="55" t="s">
        <v>3502</v>
      </c>
      <c r="C1760" s="55" t="s">
        <v>8734</v>
      </c>
      <c r="D1760" s="56" t="s">
        <v>8735</v>
      </c>
      <c r="E1760" s="2"/>
      <c r="F1760" s="57"/>
      <c r="G1760" s="64" t="s">
        <v>8736</v>
      </c>
      <c r="H1760" s="59">
        <v>1</v>
      </c>
    </row>
    <row r="1761" spans="1:8" ht="112.5" customHeight="1" x14ac:dyDescent="0.15">
      <c r="A1761" s="60">
        <v>1699</v>
      </c>
      <c r="B1761" s="30" t="s">
        <v>3502</v>
      </c>
      <c r="C1761" s="30" t="s">
        <v>8737</v>
      </c>
      <c r="D1761" s="61" t="s">
        <v>8738</v>
      </c>
      <c r="E1761" s="2"/>
      <c r="F1761" s="57"/>
      <c r="G1761" s="63" t="s">
        <v>8739</v>
      </c>
      <c r="H1761" s="59">
        <v>1</v>
      </c>
    </row>
    <row r="1762" spans="1:8" ht="112.5" customHeight="1" x14ac:dyDescent="0.15">
      <c r="A1762" s="54">
        <v>1698</v>
      </c>
      <c r="B1762" s="55" t="s">
        <v>3876</v>
      </c>
      <c r="C1762" s="55" t="s">
        <v>8740</v>
      </c>
      <c r="D1762" s="56" t="s">
        <v>8741</v>
      </c>
      <c r="E1762" s="2"/>
      <c r="F1762" s="57"/>
      <c r="G1762" s="64" t="s">
        <v>8742</v>
      </c>
      <c r="H1762" s="59">
        <v>0</v>
      </c>
    </row>
    <row r="1763" spans="1:8" ht="112.5" customHeight="1" x14ac:dyDescent="0.15">
      <c r="A1763" s="60">
        <v>1697</v>
      </c>
      <c r="B1763" s="30" t="s">
        <v>3556</v>
      </c>
      <c r="C1763" s="30" t="s">
        <v>8743</v>
      </c>
      <c r="D1763" s="61" t="s">
        <v>8744</v>
      </c>
      <c r="E1763" s="2"/>
      <c r="F1763" s="57"/>
      <c r="G1763" s="63" t="s">
        <v>8745</v>
      </c>
      <c r="H1763" s="59">
        <v>1</v>
      </c>
    </row>
    <row r="1764" spans="1:8" ht="112.5" customHeight="1" x14ac:dyDescent="0.15">
      <c r="A1764" s="54">
        <v>1696</v>
      </c>
      <c r="B1764" s="55" t="s">
        <v>3599</v>
      </c>
      <c r="C1764" s="55" t="s">
        <v>8746</v>
      </c>
      <c r="D1764" s="56" t="s">
        <v>8747</v>
      </c>
      <c r="E1764" s="2"/>
      <c r="F1764" s="57"/>
      <c r="G1764" s="64" t="s">
        <v>8748</v>
      </c>
      <c r="H1764" s="59">
        <v>991</v>
      </c>
    </row>
    <row r="1765" spans="1:8" ht="112.5" customHeight="1" x14ac:dyDescent="0.15">
      <c r="A1765" s="60">
        <v>1695</v>
      </c>
      <c r="B1765" s="30" t="s">
        <v>3818</v>
      </c>
      <c r="C1765" s="30" t="s">
        <v>8749</v>
      </c>
      <c r="D1765" s="61" t="s">
        <v>8750</v>
      </c>
      <c r="E1765" s="2"/>
      <c r="F1765" s="57"/>
      <c r="G1765" s="63" t="s">
        <v>4529</v>
      </c>
      <c r="H1765" s="59">
        <v>983</v>
      </c>
    </row>
    <row r="1766" spans="1:8" ht="112.5" customHeight="1" x14ac:dyDescent="0.15">
      <c r="A1766" s="54">
        <v>1694</v>
      </c>
      <c r="B1766" s="55" t="s">
        <v>3818</v>
      </c>
      <c r="C1766" s="55" t="s">
        <v>8751</v>
      </c>
      <c r="D1766" s="56" t="s">
        <v>8752</v>
      </c>
      <c r="E1766" s="2"/>
      <c r="F1766" s="57"/>
      <c r="G1766" s="64" t="s">
        <v>8753</v>
      </c>
      <c r="H1766" s="59">
        <v>971</v>
      </c>
    </row>
    <row r="1767" spans="1:8" ht="112.5" customHeight="1" x14ac:dyDescent="0.15">
      <c r="A1767" s="60">
        <v>1693</v>
      </c>
      <c r="B1767" s="30" t="s">
        <v>3599</v>
      </c>
      <c r="C1767" s="30" t="s">
        <v>8754</v>
      </c>
      <c r="D1767" s="61" t="s">
        <v>8755</v>
      </c>
      <c r="E1767" s="2"/>
      <c r="F1767" s="57"/>
      <c r="G1767" s="63" t="s">
        <v>8756</v>
      </c>
      <c r="H1767" s="59">
        <v>1</v>
      </c>
    </row>
    <row r="1768" spans="1:8" ht="112.5" customHeight="1" x14ac:dyDescent="0.15">
      <c r="A1768" s="54">
        <v>1692</v>
      </c>
      <c r="B1768" s="55" t="s">
        <v>3502</v>
      </c>
      <c r="C1768" s="55" t="s">
        <v>8757</v>
      </c>
      <c r="D1768" s="56" t="s">
        <v>8758</v>
      </c>
      <c r="E1768" s="2"/>
      <c r="F1768" s="57"/>
      <c r="G1768" s="64" t="s">
        <v>8759</v>
      </c>
      <c r="H1768" s="59">
        <v>1</v>
      </c>
    </row>
    <row r="1769" spans="1:8" ht="112.5" customHeight="1" x14ac:dyDescent="0.15">
      <c r="A1769" s="60">
        <v>1691</v>
      </c>
      <c r="B1769" s="30" t="s">
        <v>3502</v>
      </c>
      <c r="C1769" s="30" t="s">
        <v>8760</v>
      </c>
      <c r="D1769" s="61" t="s">
        <v>8761</v>
      </c>
      <c r="E1769" s="2"/>
      <c r="F1769" s="57"/>
      <c r="G1769" s="63" t="s">
        <v>8762</v>
      </c>
      <c r="H1769" s="59">
        <v>1</v>
      </c>
    </row>
    <row r="1770" spans="1:8" ht="112.5" customHeight="1" x14ac:dyDescent="0.15">
      <c r="A1770" s="54">
        <v>1690</v>
      </c>
      <c r="B1770" s="55" t="s">
        <v>3502</v>
      </c>
      <c r="C1770" s="55" t="s">
        <v>8763</v>
      </c>
      <c r="D1770" s="56" t="s">
        <v>8764</v>
      </c>
      <c r="E1770" s="2"/>
      <c r="F1770" s="57"/>
      <c r="G1770" s="64" t="s">
        <v>8765</v>
      </c>
      <c r="H1770" s="59">
        <v>1</v>
      </c>
    </row>
    <row r="1771" spans="1:8" ht="112.5" customHeight="1" x14ac:dyDescent="0.15">
      <c r="A1771" s="54">
        <v>3324</v>
      </c>
      <c r="B1771" s="55" t="s">
        <v>3496</v>
      </c>
      <c r="C1771" s="55" t="s">
        <v>8766</v>
      </c>
      <c r="D1771" s="56" t="s">
        <v>8767</v>
      </c>
      <c r="E1771" s="2"/>
      <c r="F1771" s="57"/>
      <c r="G1771" s="63" t="s">
        <v>8768</v>
      </c>
      <c r="H1771" s="59">
        <v>1</v>
      </c>
    </row>
    <row r="1772" spans="1:8" ht="112.5" customHeight="1" x14ac:dyDescent="0.15">
      <c r="A1772" s="60">
        <v>1689</v>
      </c>
      <c r="B1772" s="30" t="s">
        <v>3556</v>
      </c>
      <c r="C1772" s="30" t="s">
        <v>8769</v>
      </c>
      <c r="D1772" s="61" t="s">
        <v>8770</v>
      </c>
      <c r="E1772" s="2"/>
      <c r="F1772" s="57"/>
      <c r="G1772" s="64" t="s">
        <v>8771</v>
      </c>
      <c r="H1772" s="59">
        <v>100</v>
      </c>
    </row>
    <row r="1773" spans="1:8" ht="112.5" customHeight="1" x14ac:dyDescent="0.15">
      <c r="A1773" s="54">
        <v>1688</v>
      </c>
      <c r="B1773" s="55" t="s">
        <v>3492</v>
      </c>
      <c r="C1773" s="55" t="s">
        <v>8772</v>
      </c>
      <c r="D1773" s="56" t="s">
        <v>8773</v>
      </c>
      <c r="E1773" s="2"/>
      <c r="F1773" s="57"/>
      <c r="G1773" s="63" t="s">
        <v>8774</v>
      </c>
      <c r="H1773" s="59">
        <v>100</v>
      </c>
    </row>
    <row r="1774" spans="1:8" ht="112.5" customHeight="1" x14ac:dyDescent="0.15">
      <c r="A1774" s="60">
        <v>1687</v>
      </c>
      <c r="B1774" s="30" t="s">
        <v>3749</v>
      </c>
      <c r="C1774" s="30" t="s">
        <v>8775</v>
      </c>
      <c r="D1774" s="61" t="s">
        <v>8776</v>
      </c>
      <c r="E1774" s="2"/>
      <c r="F1774" s="57"/>
      <c r="G1774" s="64" t="s">
        <v>8777</v>
      </c>
      <c r="H1774" s="59">
        <v>99.875</v>
      </c>
    </row>
    <row r="1775" spans="1:8" ht="112.5" customHeight="1" x14ac:dyDescent="0.15">
      <c r="A1775" s="54">
        <v>1686</v>
      </c>
      <c r="B1775" s="55" t="s">
        <v>3492</v>
      </c>
      <c r="C1775" s="55" t="s">
        <v>8778</v>
      </c>
      <c r="D1775" s="56" t="s">
        <v>8779</v>
      </c>
      <c r="E1775" s="2"/>
      <c r="F1775" s="57"/>
      <c r="G1775" s="63" t="s">
        <v>8780</v>
      </c>
      <c r="H1775" s="59">
        <v>99.35</v>
      </c>
    </row>
    <row r="1776" spans="1:8" ht="112.5" customHeight="1" x14ac:dyDescent="0.15">
      <c r="A1776" s="60">
        <v>1685</v>
      </c>
      <c r="B1776" s="30" t="s">
        <v>3876</v>
      </c>
      <c r="C1776" s="30" t="s">
        <v>8781</v>
      </c>
      <c r="D1776" s="61" t="s">
        <v>8782</v>
      </c>
      <c r="E1776" s="2"/>
      <c r="F1776" s="57"/>
      <c r="G1776" s="64" t="s">
        <v>8783</v>
      </c>
      <c r="H1776" s="59">
        <v>99.888999999999996</v>
      </c>
    </row>
    <row r="1777" spans="1:8" ht="112.5" customHeight="1" x14ac:dyDescent="0.15">
      <c r="A1777" s="54">
        <v>1684</v>
      </c>
      <c r="B1777" s="55" t="s">
        <v>4330</v>
      </c>
      <c r="C1777" s="55" t="s">
        <v>8784</v>
      </c>
      <c r="D1777" s="56" t="s">
        <v>8785</v>
      </c>
      <c r="E1777" s="2"/>
      <c r="F1777" s="57"/>
      <c r="G1777" s="63" t="s">
        <v>8786</v>
      </c>
      <c r="H1777" s="59">
        <v>99.95</v>
      </c>
    </row>
    <row r="1778" spans="1:8" ht="112.5" customHeight="1" x14ac:dyDescent="0.15">
      <c r="A1778" s="60">
        <v>1683</v>
      </c>
      <c r="B1778" s="30" t="s">
        <v>3533</v>
      </c>
      <c r="C1778" s="30" t="s">
        <v>8787</v>
      </c>
      <c r="D1778" s="61" t="s">
        <v>8788</v>
      </c>
      <c r="E1778" s="2"/>
      <c r="F1778" s="57"/>
      <c r="G1778" s="64" t="s">
        <v>8789</v>
      </c>
      <c r="H1778" s="59">
        <v>99.97</v>
      </c>
    </row>
    <row r="1779" spans="1:8" ht="112.5" customHeight="1" x14ac:dyDescent="0.15">
      <c r="A1779" s="54">
        <v>1682</v>
      </c>
      <c r="B1779" s="55" t="s">
        <v>3533</v>
      </c>
      <c r="C1779" s="55" t="s">
        <v>8790</v>
      </c>
      <c r="D1779" s="56" t="s">
        <v>8791</v>
      </c>
      <c r="E1779" s="2"/>
      <c r="F1779" s="57"/>
      <c r="G1779" s="63" t="s">
        <v>8792</v>
      </c>
      <c r="H1779" s="59">
        <v>99.975999999999999</v>
      </c>
    </row>
    <row r="1780" spans="1:8" ht="112.5" customHeight="1" x14ac:dyDescent="0.15">
      <c r="A1780" s="60">
        <v>1681</v>
      </c>
      <c r="B1780" s="30" t="s">
        <v>3496</v>
      </c>
      <c r="C1780" s="30" t="s">
        <v>8793</v>
      </c>
      <c r="D1780" s="61" t="s">
        <v>8794</v>
      </c>
      <c r="E1780" s="2"/>
      <c r="F1780" s="57"/>
      <c r="G1780" s="64" t="s">
        <v>8795</v>
      </c>
      <c r="H1780" s="59">
        <v>99.863</v>
      </c>
    </row>
    <row r="1781" spans="1:8" ht="112.5" customHeight="1" x14ac:dyDescent="0.15">
      <c r="A1781" s="54">
        <v>1680</v>
      </c>
      <c r="B1781" s="55" t="s">
        <v>3670</v>
      </c>
      <c r="C1781" s="55" t="s">
        <v>8796</v>
      </c>
      <c r="D1781" s="56" t="s">
        <v>8797</v>
      </c>
      <c r="E1781" s="2"/>
      <c r="F1781" s="57"/>
      <c r="G1781" s="63" t="s">
        <v>8798</v>
      </c>
      <c r="H1781" s="59">
        <v>100</v>
      </c>
    </row>
    <row r="1782" spans="1:8" ht="112.5" customHeight="1" x14ac:dyDescent="0.15">
      <c r="A1782" s="60">
        <v>1679</v>
      </c>
      <c r="B1782" s="30" t="s">
        <v>3533</v>
      </c>
      <c r="C1782" s="30" t="s">
        <v>8799</v>
      </c>
      <c r="D1782" s="61" t="s">
        <v>8800</v>
      </c>
      <c r="E1782" s="2"/>
      <c r="F1782" s="57"/>
      <c r="G1782" s="64" t="s">
        <v>8801</v>
      </c>
      <c r="H1782" s="59">
        <v>99.991</v>
      </c>
    </row>
    <row r="1783" spans="1:8" ht="112.5" customHeight="1" x14ac:dyDescent="0.15">
      <c r="A1783" s="60">
        <v>705</v>
      </c>
      <c r="B1783" s="30" t="s">
        <v>3801</v>
      </c>
      <c r="C1783" s="30" t="s">
        <v>8802</v>
      </c>
      <c r="D1783" s="61" t="s">
        <v>8803</v>
      </c>
      <c r="E1783" s="2"/>
      <c r="F1783" s="57"/>
      <c r="G1783" s="63" t="s">
        <v>8804</v>
      </c>
      <c r="H1783" s="59">
        <v>99.998000000000005</v>
      </c>
    </row>
    <row r="1784" spans="1:8" ht="112.5" customHeight="1" x14ac:dyDescent="0.15">
      <c r="A1784" s="54">
        <v>1678</v>
      </c>
      <c r="B1784" s="55" t="s">
        <v>3533</v>
      </c>
      <c r="C1784" s="55" t="s">
        <v>8805</v>
      </c>
      <c r="D1784" s="56" t="s">
        <v>8806</v>
      </c>
      <c r="E1784" s="2"/>
      <c r="F1784" s="57"/>
      <c r="G1784" s="64" t="s">
        <v>8807</v>
      </c>
      <c r="H1784" s="59">
        <v>100</v>
      </c>
    </row>
    <row r="1785" spans="1:8" ht="112.5" customHeight="1" x14ac:dyDescent="0.15">
      <c r="A1785" s="60">
        <v>1677</v>
      </c>
      <c r="B1785" s="30" t="s">
        <v>3533</v>
      </c>
      <c r="C1785" s="30" t="s">
        <v>8808</v>
      </c>
      <c r="D1785" s="61" t="s">
        <v>8809</v>
      </c>
      <c r="E1785" s="2"/>
      <c r="F1785" s="57"/>
      <c r="G1785" s="63" t="s">
        <v>8810</v>
      </c>
      <c r="H1785" s="59">
        <v>100</v>
      </c>
    </row>
    <row r="1786" spans="1:8" ht="112.5" customHeight="1" x14ac:dyDescent="0.15">
      <c r="A1786" s="60">
        <v>1675</v>
      </c>
      <c r="B1786" s="30" t="s">
        <v>3533</v>
      </c>
      <c r="C1786" s="30" t="s">
        <v>8811</v>
      </c>
      <c r="D1786" s="61" t="s">
        <v>8812</v>
      </c>
      <c r="E1786" s="2"/>
      <c r="F1786" s="57"/>
      <c r="G1786" s="64" t="s">
        <v>8813</v>
      </c>
      <c r="H1786" s="59">
        <v>100</v>
      </c>
    </row>
    <row r="1787" spans="1:8" ht="112.5" customHeight="1" x14ac:dyDescent="0.15">
      <c r="A1787" s="54">
        <v>1676</v>
      </c>
      <c r="B1787" s="55" t="s">
        <v>3533</v>
      </c>
      <c r="C1787" s="55" t="s">
        <v>8814</v>
      </c>
      <c r="D1787" s="56" t="s">
        <v>8815</v>
      </c>
      <c r="E1787" s="2"/>
      <c r="F1787" s="57"/>
      <c r="G1787" s="63" t="s">
        <v>8816</v>
      </c>
      <c r="H1787" s="59">
        <v>100</v>
      </c>
    </row>
    <row r="1788" spans="1:8" ht="112.5" customHeight="1" x14ac:dyDescent="0.15">
      <c r="A1788" s="54">
        <v>1674</v>
      </c>
      <c r="B1788" s="55" t="s">
        <v>3818</v>
      </c>
      <c r="C1788" s="55" t="s">
        <v>8817</v>
      </c>
      <c r="D1788" s="56" t="s">
        <v>8818</v>
      </c>
      <c r="E1788" s="2"/>
      <c r="F1788" s="57"/>
      <c r="G1788" s="64" t="s">
        <v>8819</v>
      </c>
      <c r="H1788" s="59">
        <v>100</v>
      </c>
    </row>
    <row r="1789" spans="1:8" ht="112.5" customHeight="1" x14ac:dyDescent="0.15">
      <c r="A1789" s="60">
        <v>1673</v>
      </c>
      <c r="B1789" s="30" t="s">
        <v>3533</v>
      </c>
      <c r="C1789" s="30" t="s">
        <v>8820</v>
      </c>
      <c r="D1789" s="61" t="s">
        <v>8821</v>
      </c>
      <c r="E1789" s="2"/>
      <c r="F1789" s="57"/>
      <c r="G1789" s="63" t="s">
        <v>8822</v>
      </c>
      <c r="H1789" s="59">
        <v>100</v>
      </c>
    </row>
    <row r="1790" spans="1:8" ht="112.5" customHeight="1" x14ac:dyDescent="0.15">
      <c r="A1790" s="54">
        <v>1672</v>
      </c>
      <c r="B1790" s="55" t="s">
        <v>3818</v>
      </c>
      <c r="C1790" s="55" t="s">
        <v>8823</v>
      </c>
      <c r="D1790" s="56" t="s">
        <v>8824</v>
      </c>
      <c r="E1790" s="2"/>
      <c r="F1790" s="57"/>
      <c r="G1790" s="64" t="s">
        <v>8825</v>
      </c>
      <c r="H1790" s="59">
        <v>99.968000000000004</v>
      </c>
    </row>
    <row r="1791" spans="1:8" ht="112.5" customHeight="1" x14ac:dyDescent="0.15">
      <c r="A1791" s="60">
        <v>1671</v>
      </c>
      <c r="B1791" s="30" t="s">
        <v>3509</v>
      </c>
      <c r="C1791" s="30" t="s">
        <v>8826</v>
      </c>
      <c r="D1791" s="61" t="s">
        <v>8827</v>
      </c>
      <c r="E1791" s="2"/>
      <c r="F1791" s="57"/>
      <c r="G1791" s="63" t="s">
        <v>8828</v>
      </c>
      <c r="H1791" s="59">
        <v>100</v>
      </c>
    </row>
    <row r="1792" spans="1:8" ht="112.5" customHeight="1" x14ac:dyDescent="0.15">
      <c r="A1792" s="54">
        <v>1670</v>
      </c>
      <c r="B1792" s="55" t="s">
        <v>3556</v>
      </c>
      <c r="C1792" s="55" t="s">
        <v>8829</v>
      </c>
      <c r="D1792" s="56" t="s">
        <v>8830</v>
      </c>
      <c r="E1792" s="2"/>
      <c r="F1792" s="57"/>
      <c r="G1792" s="64" t="s">
        <v>8831</v>
      </c>
      <c r="H1792" s="59">
        <v>100</v>
      </c>
    </row>
    <row r="1793" spans="1:8" ht="112.5" customHeight="1" x14ac:dyDescent="0.15">
      <c r="A1793" s="60">
        <v>1669</v>
      </c>
      <c r="B1793" s="30" t="s">
        <v>3513</v>
      </c>
      <c r="C1793" s="30" t="s">
        <v>8832</v>
      </c>
      <c r="D1793" s="61" t="s">
        <v>8833</v>
      </c>
      <c r="E1793" s="2"/>
      <c r="F1793" s="57"/>
      <c r="G1793" s="63" t="s">
        <v>8834</v>
      </c>
      <c r="H1793" s="59">
        <v>91</v>
      </c>
    </row>
    <row r="1794" spans="1:8" ht="112.5" customHeight="1" x14ac:dyDescent="0.15">
      <c r="A1794" s="54">
        <v>1668</v>
      </c>
      <c r="B1794" s="55" t="s">
        <v>3509</v>
      </c>
      <c r="C1794" s="55" t="s">
        <v>8835</v>
      </c>
      <c r="D1794" s="56" t="s">
        <v>8836</v>
      </c>
      <c r="E1794" s="2"/>
      <c r="F1794" s="57"/>
      <c r="G1794" s="64" t="s">
        <v>8837</v>
      </c>
      <c r="H1794" s="59">
        <v>0</v>
      </c>
    </row>
    <row r="1795" spans="1:8" ht="112.5" customHeight="1" x14ac:dyDescent="0.15">
      <c r="A1795" s="60">
        <v>1667</v>
      </c>
      <c r="B1795" s="30" t="s">
        <v>3509</v>
      </c>
      <c r="C1795" s="30" t="s">
        <v>8838</v>
      </c>
      <c r="D1795" s="61" t="s">
        <v>8839</v>
      </c>
      <c r="E1795" s="2"/>
      <c r="F1795" s="57"/>
      <c r="G1795" s="63" t="s">
        <v>8840</v>
      </c>
      <c r="H1795" s="59">
        <v>999.995</v>
      </c>
    </row>
    <row r="1796" spans="1:8" ht="112.5" customHeight="1" x14ac:dyDescent="0.15">
      <c r="A1796" s="54">
        <v>1666</v>
      </c>
      <c r="B1796" s="55" t="s">
        <v>4330</v>
      </c>
      <c r="C1796" s="55" t="s">
        <v>8841</v>
      </c>
      <c r="D1796" s="56" t="s">
        <v>8842</v>
      </c>
      <c r="E1796" s="2"/>
      <c r="F1796" s="57"/>
      <c r="G1796" s="64" t="s">
        <v>8843</v>
      </c>
      <c r="H1796" s="59">
        <v>100</v>
      </c>
    </row>
    <row r="1797" spans="1:8" ht="112.5" customHeight="1" x14ac:dyDescent="0.15">
      <c r="A1797" s="54">
        <v>1626</v>
      </c>
      <c r="B1797" s="55" t="s">
        <v>3502</v>
      </c>
      <c r="C1797" s="55" t="s">
        <v>8844</v>
      </c>
      <c r="D1797" s="56" t="s">
        <v>8845</v>
      </c>
      <c r="E1797" s="2"/>
      <c r="F1797" s="57"/>
      <c r="G1797" s="63" t="s">
        <v>8846</v>
      </c>
      <c r="H1797" s="59">
        <v>99.968000000000004</v>
      </c>
    </row>
    <row r="1798" spans="1:8" ht="112.5" customHeight="1" x14ac:dyDescent="0.15">
      <c r="A1798" s="60">
        <v>1625</v>
      </c>
      <c r="B1798" s="30" t="s">
        <v>3533</v>
      </c>
      <c r="C1798" s="30" t="s">
        <v>8847</v>
      </c>
      <c r="D1798" s="61" t="s">
        <v>8848</v>
      </c>
      <c r="E1798" s="2"/>
      <c r="F1798" s="57"/>
      <c r="G1798" s="64" t="s">
        <v>8849</v>
      </c>
      <c r="H1798" s="59">
        <v>99.983000000000004</v>
      </c>
    </row>
    <row r="1799" spans="1:8" ht="112.5" customHeight="1" x14ac:dyDescent="0.15">
      <c r="A1799" s="54">
        <v>1624</v>
      </c>
      <c r="B1799" s="55" t="s">
        <v>3492</v>
      </c>
      <c r="C1799" s="55" t="s">
        <v>8850</v>
      </c>
      <c r="D1799" s="56" t="s">
        <v>8851</v>
      </c>
      <c r="E1799" s="2"/>
      <c r="F1799" s="57"/>
      <c r="G1799" s="63" t="s">
        <v>8852</v>
      </c>
      <c r="H1799" s="59">
        <v>99.97</v>
      </c>
    </row>
    <row r="1800" spans="1:8" ht="112.5" customHeight="1" x14ac:dyDescent="0.15">
      <c r="A1800" s="60">
        <v>1765</v>
      </c>
      <c r="B1800" s="30" t="s">
        <v>3549</v>
      </c>
      <c r="C1800" s="30" t="s">
        <v>8853</v>
      </c>
      <c r="D1800" s="61" t="s">
        <v>8854</v>
      </c>
      <c r="E1800" s="2"/>
      <c r="F1800" s="57"/>
      <c r="G1800" s="64" t="s">
        <v>8855</v>
      </c>
      <c r="H1800" s="59">
        <v>100</v>
      </c>
    </row>
    <row r="1801" spans="1:8" ht="112.5" customHeight="1" x14ac:dyDescent="0.15">
      <c r="A1801" s="54">
        <v>1764</v>
      </c>
      <c r="B1801" s="55" t="s">
        <v>3549</v>
      </c>
      <c r="C1801" s="55" t="s">
        <v>8856</v>
      </c>
      <c r="D1801" s="56" t="s">
        <v>8857</v>
      </c>
      <c r="E1801" s="2"/>
      <c r="F1801" s="57"/>
      <c r="G1801" s="63" t="s">
        <v>8858</v>
      </c>
      <c r="H1801" s="59">
        <v>99.995000000000005</v>
      </c>
    </row>
    <row r="1802" spans="1:8" ht="112.5" customHeight="1" x14ac:dyDescent="0.15">
      <c r="A1802" s="60">
        <v>1763</v>
      </c>
      <c r="B1802" s="30" t="s">
        <v>3492</v>
      </c>
      <c r="C1802" s="30" t="s">
        <v>8859</v>
      </c>
      <c r="D1802" s="61" t="s">
        <v>8860</v>
      </c>
      <c r="E1802" s="2"/>
      <c r="F1802" s="57"/>
      <c r="G1802" s="64" t="s">
        <v>8861</v>
      </c>
      <c r="H1802" s="59">
        <v>0</v>
      </c>
    </row>
    <row r="1803" spans="1:8" ht="112.5" customHeight="1" x14ac:dyDescent="0.15">
      <c r="A1803" s="60">
        <v>1623</v>
      </c>
      <c r="B1803" s="30" t="s">
        <v>3502</v>
      </c>
      <c r="C1803" s="30" t="s">
        <v>8862</v>
      </c>
      <c r="D1803" s="61" t="s">
        <v>8863</v>
      </c>
      <c r="E1803" s="2"/>
      <c r="F1803" s="57"/>
      <c r="G1803" s="63" t="s">
        <v>8864</v>
      </c>
      <c r="H1803" s="59">
        <v>100</v>
      </c>
    </row>
    <row r="1804" spans="1:8" ht="112.5" customHeight="1" x14ac:dyDescent="0.15">
      <c r="A1804" s="54">
        <v>1762</v>
      </c>
      <c r="B1804" s="55" t="s">
        <v>3502</v>
      </c>
      <c r="C1804" s="55" t="s">
        <v>8865</v>
      </c>
      <c r="D1804" s="56" t="s">
        <v>8866</v>
      </c>
      <c r="E1804" s="2"/>
      <c r="F1804" s="57"/>
      <c r="G1804" s="64" t="s">
        <v>8867</v>
      </c>
      <c r="H1804" s="59">
        <v>99.998999999999995</v>
      </c>
    </row>
    <row r="1805" spans="1:8" ht="112.5" customHeight="1" x14ac:dyDescent="0.15">
      <c r="A1805" s="54">
        <v>1760</v>
      </c>
      <c r="B1805" s="55" t="s">
        <v>3502</v>
      </c>
      <c r="C1805" s="55" t="s">
        <v>8868</v>
      </c>
      <c r="D1805" s="56" t="s">
        <v>8869</v>
      </c>
      <c r="E1805" s="2"/>
      <c r="F1805" s="57"/>
      <c r="G1805" s="63" t="s">
        <v>8870</v>
      </c>
      <c r="H1805" s="59">
        <v>99.998999999999995</v>
      </c>
    </row>
    <row r="1806" spans="1:8" ht="112.5" customHeight="1" x14ac:dyDescent="0.15">
      <c r="A1806" s="54">
        <v>1622</v>
      </c>
      <c r="B1806" s="55" t="s">
        <v>3526</v>
      </c>
      <c r="C1806" s="55" t="s">
        <v>8871</v>
      </c>
      <c r="D1806" s="56" t="s">
        <v>8872</v>
      </c>
      <c r="E1806" s="2"/>
      <c r="F1806" s="57"/>
      <c r="G1806" s="64" t="s">
        <v>8873</v>
      </c>
      <c r="H1806" s="59">
        <v>99.989000000000004</v>
      </c>
    </row>
    <row r="1807" spans="1:8" ht="112.5" customHeight="1" x14ac:dyDescent="0.15">
      <c r="A1807" s="60">
        <v>1759</v>
      </c>
      <c r="B1807" s="30" t="s">
        <v>3549</v>
      </c>
      <c r="C1807" s="30" t="s">
        <v>8874</v>
      </c>
      <c r="D1807" s="61" t="s">
        <v>8875</v>
      </c>
      <c r="E1807" s="2"/>
      <c r="F1807" s="57"/>
      <c r="G1807" s="63" t="s">
        <v>8876</v>
      </c>
      <c r="H1807" s="59">
        <v>100</v>
      </c>
    </row>
    <row r="1808" spans="1:8" ht="112.5" customHeight="1" x14ac:dyDescent="0.15">
      <c r="A1808" s="54">
        <v>1758</v>
      </c>
      <c r="B1808" s="55" t="s">
        <v>3492</v>
      </c>
      <c r="C1808" s="55" t="s">
        <v>8877</v>
      </c>
      <c r="D1808" s="56" t="s">
        <v>8878</v>
      </c>
      <c r="E1808" s="2"/>
      <c r="F1808" s="57"/>
      <c r="G1808" s="64" t="s">
        <v>8879</v>
      </c>
      <c r="H1808" s="59">
        <v>99.769000000000005</v>
      </c>
    </row>
    <row r="1809" spans="1:8" ht="112.5" customHeight="1" x14ac:dyDescent="0.15">
      <c r="A1809" s="60">
        <v>1757</v>
      </c>
      <c r="B1809" s="30" t="s">
        <v>3556</v>
      </c>
      <c r="C1809" s="30" t="s">
        <v>8880</v>
      </c>
      <c r="D1809" s="61" t="s">
        <v>8881</v>
      </c>
      <c r="E1809" s="2"/>
      <c r="F1809" s="57"/>
      <c r="G1809" s="63" t="s">
        <v>8882</v>
      </c>
      <c r="H1809" s="59">
        <v>0</v>
      </c>
    </row>
    <row r="1810" spans="1:8" ht="112.5" customHeight="1" x14ac:dyDescent="0.15">
      <c r="A1810" s="60">
        <v>1621</v>
      </c>
      <c r="B1810" s="30" t="s">
        <v>3556</v>
      </c>
      <c r="C1810" s="30" t="s">
        <v>8883</v>
      </c>
      <c r="D1810" s="61" t="s">
        <v>8884</v>
      </c>
      <c r="E1810" s="2"/>
      <c r="F1810" s="57"/>
      <c r="G1810" s="64" t="s">
        <v>8885</v>
      </c>
      <c r="H1810" s="59">
        <v>100</v>
      </c>
    </row>
    <row r="1811" spans="1:8" ht="112.5" customHeight="1" x14ac:dyDescent="0.15">
      <c r="A1811" s="54">
        <v>1756</v>
      </c>
      <c r="B1811" s="55" t="s">
        <v>3492</v>
      </c>
      <c r="C1811" s="55" t="s">
        <v>8886</v>
      </c>
      <c r="D1811" s="56" t="s">
        <v>8887</v>
      </c>
      <c r="E1811" s="2"/>
      <c r="F1811" s="57"/>
      <c r="G1811" s="63" t="s">
        <v>8888</v>
      </c>
      <c r="H1811" s="59">
        <v>0</v>
      </c>
    </row>
    <row r="1812" spans="1:8" ht="112.5" customHeight="1" x14ac:dyDescent="0.15">
      <c r="A1812" s="54">
        <v>2148</v>
      </c>
      <c r="B1812" s="55" t="s">
        <v>4334</v>
      </c>
      <c r="C1812" s="55" t="s">
        <v>8889</v>
      </c>
      <c r="D1812" s="56" t="s">
        <v>8890</v>
      </c>
      <c r="E1812" s="2"/>
      <c r="F1812" s="57"/>
      <c r="G1812" s="64" t="s">
        <v>8891</v>
      </c>
      <c r="H1812" s="59">
        <v>99.998000000000005</v>
      </c>
    </row>
    <row r="1813" spans="1:8" ht="112.5" customHeight="1" x14ac:dyDescent="0.15">
      <c r="A1813" s="60">
        <v>1755</v>
      </c>
      <c r="B1813" s="30" t="s">
        <v>3492</v>
      </c>
      <c r="C1813" s="30" t="s">
        <v>8892</v>
      </c>
      <c r="D1813" s="61" t="s">
        <v>8893</v>
      </c>
      <c r="E1813" s="2"/>
      <c r="F1813" s="57"/>
      <c r="G1813" s="63" t="s">
        <v>8894</v>
      </c>
      <c r="H1813" s="59">
        <v>0</v>
      </c>
    </row>
    <row r="1814" spans="1:8" ht="112.5" customHeight="1" x14ac:dyDescent="0.15">
      <c r="A1814" s="54">
        <v>1754</v>
      </c>
      <c r="B1814" s="55" t="s">
        <v>3502</v>
      </c>
      <c r="C1814" s="55" t="s">
        <v>8895</v>
      </c>
      <c r="D1814" s="56" t="s">
        <v>8896</v>
      </c>
      <c r="E1814" s="2"/>
      <c r="F1814" s="57"/>
      <c r="G1814" s="64" t="s">
        <v>8897</v>
      </c>
      <c r="H1814" s="59">
        <v>100</v>
      </c>
    </row>
    <row r="1815" spans="1:8" ht="112.5" customHeight="1" x14ac:dyDescent="0.15">
      <c r="A1815" s="60">
        <v>1753</v>
      </c>
      <c r="B1815" s="30" t="s">
        <v>3533</v>
      </c>
      <c r="C1815" s="30" t="s">
        <v>8898</v>
      </c>
      <c r="D1815" s="61" t="s">
        <v>8899</v>
      </c>
      <c r="E1815" s="2"/>
      <c r="F1815" s="57"/>
      <c r="G1815" s="63" t="s">
        <v>8900</v>
      </c>
      <c r="H1815" s="59">
        <v>99.997</v>
      </c>
    </row>
    <row r="1816" spans="1:8" ht="112.5" customHeight="1" x14ac:dyDescent="0.15">
      <c r="A1816" s="54">
        <v>1752</v>
      </c>
      <c r="B1816" s="55" t="s">
        <v>3533</v>
      </c>
      <c r="C1816" s="55" t="s">
        <v>8901</v>
      </c>
      <c r="D1816" s="56" t="s">
        <v>8902</v>
      </c>
      <c r="E1816" s="2"/>
      <c r="F1816" s="57"/>
      <c r="G1816" s="64" t="s">
        <v>8903</v>
      </c>
      <c r="H1816" s="59">
        <v>99.991</v>
      </c>
    </row>
    <row r="1817" spans="1:8" ht="112.5" customHeight="1" x14ac:dyDescent="0.15">
      <c r="A1817" s="60">
        <v>1751</v>
      </c>
      <c r="B1817" s="30" t="s">
        <v>3502</v>
      </c>
      <c r="C1817" s="30" t="s">
        <v>8904</v>
      </c>
      <c r="D1817" s="61" t="s">
        <v>8905</v>
      </c>
      <c r="E1817" s="2"/>
      <c r="F1817" s="57"/>
      <c r="G1817" s="63" t="s">
        <v>8906</v>
      </c>
      <c r="H1817" s="59">
        <v>99.89</v>
      </c>
    </row>
    <row r="1818" spans="1:8" ht="112.5" customHeight="1" x14ac:dyDescent="0.15">
      <c r="A1818" s="54">
        <v>1750</v>
      </c>
      <c r="B1818" s="55" t="s">
        <v>3502</v>
      </c>
      <c r="C1818" s="55" t="s">
        <v>8907</v>
      </c>
      <c r="D1818" s="56" t="s">
        <v>8908</v>
      </c>
      <c r="E1818" s="2"/>
      <c r="F1818" s="57"/>
      <c r="G1818" s="64" t="s">
        <v>8909</v>
      </c>
      <c r="H1818" s="59">
        <v>100</v>
      </c>
    </row>
    <row r="1819" spans="1:8" ht="112.5" customHeight="1" x14ac:dyDescent="0.15">
      <c r="A1819" s="60">
        <v>1749</v>
      </c>
      <c r="B1819" s="30" t="s">
        <v>3513</v>
      </c>
      <c r="C1819" s="30" t="s">
        <v>8910</v>
      </c>
      <c r="D1819" s="61" t="s">
        <v>8911</v>
      </c>
      <c r="E1819" s="2"/>
      <c r="F1819" s="57"/>
      <c r="G1819" s="63" t="s">
        <v>8912</v>
      </c>
      <c r="H1819" s="59">
        <v>1</v>
      </c>
    </row>
    <row r="1820" spans="1:8" ht="112.5" customHeight="1" x14ac:dyDescent="0.15">
      <c r="A1820" s="54">
        <v>1748</v>
      </c>
      <c r="B1820" s="55" t="s">
        <v>3502</v>
      </c>
      <c r="C1820" s="55" t="s">
        <v>8913</v>
      </c>
      <c r="D1820" s="56" t="s">
        <v>8914</v>
      </c>
      <c r="E1820" s="2"/>
      <c r="F1820" s="57"/>
      <c r="G1820" s="64" t="s">
        <v>8915</v>
      </c>
      <c r="H1820" s="59">
        <v>1</v>
      </c>
    </row>
    <row r="1821" spans="1:8" ht="112.5" customHeight="1" x14ac:dyDescent="0.15">
      <c r="A1821" s="60">
        <v>1747</v>
      </c>
      <c r="B1821" s="30" t="s">
        <v>3502</v>
      </c>
      <c r="C1821" s="30" t="s">
        <v>8916</v>
      </c>
      <c r="D1821" s="61" t="s">
        <v>8917</v>
      </c>
      <c r="E1821" s="2"/>
      <c r="F1821" s="57"/>
      <c r="G1821" s="63" t="s">
        <v>8918</v>
      </c>
      <c r="H1821" s="59">
        <v>993</v>
      </c>
    </row>
    <row r="1822" spans="1:8" ht="112.5" customHeight="1" x14ac:dyDescent="0.15">
      <c r="A1822" s="54">
        <v>1746</v>
      </c>
      <c r="B1822" s="55" t="s">
        <v>3526</v>
      </c>
      <c r="C1822" s="55" t="s">
        <v>8919</v>
      </c>
      <c r="D1822" s="56" t="s">
        <v>8920</v>
      </c>
      <c r="E1822" s="2"/>
      <c r="F1822" s="57"/>
      <c r="G1822" s="64" t="s">
        <v>8921</v>
      </c>
      <c r="H1822" s="59">
        <v>1</v>
      </c>
    </row>
    <row r="1823" spans="1:8" ht="112.5" customHeight="1" x14ac:dyDescent="0.15">
      <c r="A1823" s="60">
        <v>1745</v>
      </c>
      <c r="B1823" s="30" t="s">
        <v>3526</v>
      </c>
      <c r="C1823" s="30" t="s">
        <v>8922</v>
      </c>
      <c r="D1823" s="61" t="s">
        <v>8923</v>
      </c>
      <c r="E1823" s="2"/>
      <c r="F1823" s="57"/>
      <c r="G1823" s="63" t="s">
        <v>8924</v>
      </c>
      <c r="H1823" s="59">
        <v>1</v>
      </c>
    </row>
    <row r="1824" spans="1:8" ht="112.5" customHeight="1" x14ac:dyDescent="0.15">
      <c r="A1824" s="60">
        <v>1741</v>
      </c>
      <c r="B1824" s="30" t="s">
        <v>3526</v>
      </c>
      <c r="C1824" s="30" t="s">
        <v>8925</v>
      </c>
      <c r="D1824" s="61" t="s">
        <v>8926</v>
      </c>
      <c r="E1824" s="2"/>
      <c r="F1824" s="57"/>
      <c r="G1824" s="64" t="s">
        <v>8927</v>
      </c>
      <c r="H1824" s="59">
        <v>995</v>
      </c>
    </row>
    <row r="1825" spans="1:8" ht="112.5" customHeight="1" x14ac:dyDescent="0.15">
      <c r="A1825" s="54">
        <v>1744</v>
      </c>
      <c r="B1825" s="55" t="s">
        <v>3526</v>
      </c>
      <c r="C1825" s="55" t="s">
        <v>8928</v>
      </c>
      <c r="D1825" s="56" t="s">
        <v>8929</v>
      </c>
      <c r="E1825" s="2"/>
      <c r="F1825" s="57"/>
      <c r="G1825" s="63" t="s">
        <v>8930</v>
      </c>
      <c r="H1825" s="59">
        <v>0</v>
      </c>
    </row>
    <row r="1826" spans="1:8" ht="112.5" customHeight="1" x14ac:dyDescent="0.15">
      <c r="A1826" s="60">
        <v>1743</v>
      </c>
      <c r="B1826" s="30" t="s">
        <v>3526</v>
      </c>
      <c r="C1826" s="30" t="s">
        <v>8931</v>
      </c>
      <c r="D1826" s="61" t="s">
        <v>8932</v>
      </c>
      <c r="E1826" s="2"/>
      <c r="F1826" s="57"/>
      <c r="G1826" s="64" t="s">
        <v>8933</v>
      </c>
      <c r="H1826" s="59">
        <v>1</v>
      </c>
    </row>
    <row r="1827" spans="1:8" ht="112.5" customHeight="1" x14ac:dyDescent="0.15">
      <c r="A1827" s="54">
        <v>1740</v>
      </c>
      <c r="B1827" s="55" t="s">
        <v>3526</v>
      </c>
      <c r="C1827" s="55" t="s">
        <v>8934</v>
      </c>
      <c r="D1827" s="56" t="s">
        <v>8935</v>
      </c>
      <c r="E1827" s="2"/>
      <c r="F1827" s="57"/>
      <c r="G1827" s="63" t="s">
        <v>8936</v>
      </c>
      <c r="H1827" s="59">
        <v>1</v>
      </c>
    </row>
    <row r="1828" spans="1:8" ht="112.5" customHeight="1" x14ac:dyDescent="0.15">
      <c r="A1828" s="54">
        <v>1742</v>
      </c>
      <c r="B1828" s="55" t="s">
        <v>3526</v>
      </c>
      <c r="C1828" s="55" t="s">
        <v>8937</v>
      </c>
      <c r="D1828" s="56" t="s">
        <v>8938</v>
      </c>
      <c r="E1828" s="2"/>
      <c r="F1828" s="57"/>
      <c r="G1828" s="64" t="s">
        <v>8939</v>
      </c>
      <c r="H1828" s="59">
        <v>1</v>
      </c>
    </row>
    <row r="1829" spans="1:8" ht="112.5" customHeight="1" x14ac:dyDescent="0.15">
      <c r="A1829" s="60">
        <v>1739</v>
      </c>
      <c r="B1829" s="30" t="s">
        <v>3526</v>
      </c>
      <c r="C1829" s="30" t="s">
        <v>8940</v>
      </c>
      <c r="D1829" s="61" t="s">
        <v>8941</v>
      </c>
      <c r="E1829" s="2"/>
      <c r="F1829" s="57"/>
      <c r="G1829" s="63" t="s">
        <v>8942</v>
      </c>
      <c r="H1829" s="59">
        <v>156</v>
      </c>
    </row>
    <row r="1830" spans="1:8" ht="112.5" customHeight="1" x14ac:dyDescent="0.15">
      <c r="A1830" s="54">
        <v>1738</v>
      </c>
      <c r="B1830" s="55" t="s">
        <v>3526</v>
      </c>
      <c r="C1830" s="55" t="s">
        <v>8943</v>
      </c>
      <c r="D1830" s="56" t="s">
        <v>8944</v>
      </c>
      <c r="E1830" s="2"/>
      <c r="F1830" s="57"/>
      <c r="G1830" s="64" t="s">
        <v>8945</v>
      </c>
      <c r="H1830" s="59">
        <v>1</v>
      </c>
    </row>
    <row r="1831" spans="1:8" ht="112.5" customHeight="1" x14ac:dyDescent="0.15">
      <c r="A1831" s="60">
        <v>1737</v>
      </c>
      <c r="B1831" s="30" t="s">
        <v>3526</v>
      </c>
      <c r="C1831" s="30" t="s">
        <v>8946</v>
      </c>
      <c r="D1831" s="61" t="s">
        <v>8947</v>
      </c>
      <c r="E1831" s="2"/>
      <c r="F1831" s="57"/>
      <c r="G1831" s="63" t="s">
        <v>8948</v>
      </c>
      <c r="H1831" s="59">
        <v>1</v>
      </c>
    </row>
    <row r="1832" spans="1:8" ht="112.5" customHeight="1" x14ac:dyDescent="0.15">
      <c r="A1832" s="54">
        <v>1736</v>
      </c>
      <c r="B1832" s="55" t="s">
        <v>3876</v>
      </c>
      <c r="C1832" s="55" t="s">
        <v>8949</v>
      </c>
      <c r="D1832" s="56" t="s">
        <v>8950</v>
      </c>
      <c r="E1832" s="2"/>
      <c r="F1832" s="57"/>
      <c r="G1832" s="64" t="s">
        <v>8951</v>
      </c>
      <c r="H1832" s="59">
        <v>1</v>
      </c>
    </row>
    <row r="1833" spans="1:8" ht="112.5" customHeight="1" x14ac:dyDescent="0.15">
      <c r="A1833" s="60">
        <v>1733</v>
      </c>
      <c r="B1833" s="30" t="s">
        <v>3876</v>
      </c>
      <c r="C1833" s="30" t="s">
        <v>8952</v>
      </c>
      <c r="D1833" s="61" t="s">
        <v>8953</v>
      </c>
      <c r="E1833" s="2"/>
      <c r="F1833" s="57"/>
      <c r="G1833" s="63" t="s">
        <v>8954</v>
      </c>
      <c r="H1833" s="59">
        <v>997</v>
      </c>
    </row>
    <row r="1834" spans="1:8" ht="112.5" customHeight="1" x14ac:dyDescent="0.15">
      <c r="A1834" s="54">
        <v>1734</v>
      </c>
      <c r="B1834" s="55" t="s">
        <v>3876</v>
      </c>
      <c r="C1834" s="55" t="s">
        <v>8955</v>
      </c>
      <c r="D1834" s="56" t="s">
        <v>8956</v>
      </c>
      <c r="E1834" s="2"/>
      <c r="F1834" s="57"/>
      <c r="G1834" s="64" t="s">
        <v>8957</v>
      </c>
      <c r="H1834" s="59">
        <v>1</v>
      </c>
    </row>
    <row r="1835" spans="1:8" ht="112.5" customHeight="1" x14ac:dyDescent="0.15">
      <c r="A1835" s="54">
        <v>1732</v>
      </c>
      <c r="B1835" s="55" t="s">
        <v>3876</v>
      </c>
      <c r="C1835" s="55" t="s">
        <v>8958</v>
      </c>
      <c r="D1835" s="56" t="s">
        <v>8959</v>
      </c>
      <c r="E1835" s="2"/>
      <c r="F1835" s="57"/>
      <c r="G1835" s="63" t="s">
        <v>8960</v>
      </c>
      <c r="H1835" s="59">
        <v>0</v>
      </c>
    </row>
    <row r="1836" spans="1:8" ht="112.5" customHeight="1" x14ac:dyDescent="0.15">
      <c r="A1836" s="60">
        <v>1731</v>
      </c>
      <c r="B1836" s="30" t="s">
        <v>3876</v>
      </c>
      <c r="C1836" s="30" t="s">
        <v>8961</v>
      </c>
      <c r="D1836" s="61" t="s">
        <v>8962</v>
      </c>
      <c r="E1836" s="2"/>
      <c r="F1836" s="57"/>
      <c r="G1836" s="64" t="s">
        <v>8963</v>
      </c>
      <c r="H1836" s="59">
        <v>992</v>
      </c>
    </row>
    <row r="1837" spans="1:8" ht="112.5" customHeight="1" x14ac:dyDescent="0.15">
      <c r="A1837" s="54">
        <v>1730</v>
      </c>
      <c r="B1837" s="55" t="s">
        <v>3876</v>
      </c>
      <c r="C1837" s="55" t="s">
        <v>8964</v>
      </c>
      <c r="D1837" s="56" t="s">
        <v>8965</v>
      </c>
      <c r="E1837" s="2"/>
      <c r="F1837" s="57"/>
      <c r="G1837" s="63" t="s">
        <v>8966</v>
      </c>
      <c r="H1837" s="59">
        <v>995</v>
      </c>
    </row>
    <row r="1838" spans="1:8" ht="112.5" customHeight="1" x14ac:dyDescent="0.15">
      <c r="A1838" s="60">
        <v>1729</v>
      </c>
      <c r="B1838" s="30" t="s">
        <v>3526</v>
      </c>
      <c r="C1838" s="30" t="s">
        <v>8967</v>
      </c>
      <c r="D1838" s="61" t="s">
        <v>8968</v>
      </c>
      <c r="E1838" s="2"/>
      <c r="F1838" s="57"/>
      <c r="G1838" s="64" t="s">
        <v>8969</v>
      </c>
      <c r="H1838" s="59">
        <v>1</v>
      </c>
    </row>
    <row r="1839" spans="1:8" ht="112.5" customHeight="1" x14ac:dyDescent="0.15">
      <c r="A1839" s="54">
        <v>1728</v>
      </c>
      <c r="B1839" s="55" t="s">
        <v>3526</v>
      </c>
      <c r="C1839" s="55" t="s">
        <v>8970</v>
      </c>
      <c r="D1839" s="56" t="s">
        <v>8971</v>
      </c>
      <c r="E1839" s="2"/>
      <c r="F1839" s="57"/>
      <c r="G1839" s="63" t="s">
        <v>8972</v>
      </c>
      <c r="H1839" s="59">
        <v>995</v>
      </c>
    </row>
    <row r="1840" spans="1:8" ht="112.5" customHeight="1" x14ac:dyDescent="0.15">
      <c r="A1840" s="60">
        <v>1727</v>
      </c>
      <c r="B1840" s="30" t="s">
        <v>3526</v>
      </c>
      <c r="C1840" s="30" t="s">
        <v>8973</v>
      </c>
      <c r="D1840" s="61" t="s">
        <v>8974</v>
      </c>
      <c r="E1840" s="2"/>
      <c r="F1840" s="57"/>
      <c r="G1840" s="64" t="s">
        <v>8975</v>
      </c>
      <c r="H1840" s="59">
        <v>0</v>
      </c>
    </row>
    <row r="1841" spans="1:13" ht="112.5" customHeight="1" x14ac:dyDescent="0.15">
      <c r="A1841" s="54">
        <v>1726</v>
      </c>
      <c r="B1841" s="55" t="s">
        <v>3526</v>
      </c>
      <c r="C1841" s="55" t="s">
        <v>8976</v>
      </c>
      <c r="D1841" s="56" t="s">
        <v>8977</v>
      </c>
      <c r="E1841" s="2"/>
      <c r="F1841" s="57"/>
      <c r="G1841" s="63" t="s">
        <v>8978</v>
      </c>
      <c r="H1841" s="59">
        <v>1</v>
      </c>
    </row>
    <row r="1842" spans="1:13" ht="112.5" customHeight="1" x14ac:dyDescent="0.15">
      <c r="A1842" s="60">
        <v>1725</v>
      </c>
      <c r="B1842" s="30" t="s">
        <v>3513</v>
      </c>
      <c r="C1842" s="30" t="s">
        <v>8979</v>
      </c>
      <c r="D1842" s="61" t="s">
        <v>8980</v>
      </c>
      <c r="E1842" s="2"/>
      <c r="F1842" s="57"/>
      <c r="G1842" s="64" t="s">
        <v>8981</v>
      </c>
      <c r="H1842" s="59">
        <v>1</v>
      </c>
    </row>
    <row r="1843" spans="1:13" ht="112.5" customHeight="1" x14ac:dyDescent="0.15">
      <c r="A1843" s="54">
        <v>1724</v>
      </c>
      <c r="B1843" s="55" t="s">
        <v>3492</v>
      </c>
      <c r="C1843" s="55" t="s">
        <v>8982</v>
      </c>
      <c r="D1843" s="56" t="s">
        <v>8983</v>
      </c>
      <c r="E1843" s="2"/>
      <c r="F1843" s="57"/>
      <c r="G1843" s="63" t="s">
        <v>8984</v>
      </c>
      <c r="H1843" s="59">
        <v>1</v>
      </c>
    </row>
    <row r="1844" spans="1:13" ht="112.5" customHeight="1" x14ac:dyDescent="0.15">
      <c r="A1844" s="60">
        <v>1723</v>
      </c>
      <c r="B1844" s="30" t="s">
        <v>3533</v>
      </c>
      <c r="C1844" s="30" t="s">
        <v>8985</v>
      </c>
      <c r="D1844" s="61" t="s">
        <v>8986</v>
      </c>
      <c r="E1844" s="2"/>
      <c r="F1844" s="57"/>
      <c r="G1844" s="58" t="s">
        <v>8987</v>
      </c>
      <c r="H1844" s="59">
        <v>0</v>
      </c>
      <c r="I1844" s="29"/>
      <c r="J1844" s="29"/>
      <c r="K1844" s="29"/>
      <c r="L1844" s="29"/>
      <c r="M1844" s="29"/>
    </row>
    <row r="1845" spans="1:13" ht="112.5" customHeight="1" x14ac:dyDescent="0.15">
      <c r="A1845" s="54">
        <v>1722</v>
      </c>
      <c r="B1845" s="55" t="s">
        <v>3533</v>
      </c>
      <c r="C1845" s="55" t="s">
        <v>8988</v>
      </c>
      <c r="D1845" s="56" t="s">
        <v>8989</v>
      </c>
      <c r="E1845" s="2"/>
      <c r="F1845" s="57"/>
      <c r="G1845" s="63" t="s">
        <v>8990</v>
      </c>
      <c r="H1845" s="59">
        <v>1</v>
      </c>
    </row>
    <row r="1846" spans="1:13" ht="112.5" customHeight="1" x14ac:dyDescent="0.15">
      <c r="A1846" s="60">
        <v>1721</v>
      </c>
      <c r="B1846" s="30" t="s">
        <v>3502</v>
      </c>
      <c r="C1846" s="30" t="s">
        <v>8991</v>
      </c>
      <c r="D1846" s="61" t="s">
        <v>8992</v>
      </c>
      <c r="E1846" s="2"/>
      <c r="F1846" s="57"/>
      <c r="G1846" s="64" t="s">
        <v>8993</v>
      </c>
      <c r="H1846" s="59">
        <v>978</v>
      </c>
    </row>
    <row r="1847" spans="1:13" ht="112.5" customHeight="1" x14ac:dyDescent="0.15">
      <c r="A1847" s="54">
        <v>1720</v>
      </c>
      <c r="B1847" s="55" t="s">
        <v>3526</v>
      </c>
      <c r="C1847" s="55" t="s">
        <v>8994</v>
      </c>
      <c r="D1847" s="56" t="s">
        <v>8995</v>
      </c>
      <c r="E1847" s="2"/>
      <c r="F1847" s="57"/>
      <c r="G1847" s="63" t="s">
        <v>8996</v>
      </c>
      <c r="H1847" s="59">
        <v>1</v>
      </c>
    </row>
    <row r="1848" spans="1:13" ht="112.5" customHeight="1" x14ac:dyDescent="0.15">
      <c r="A1848" s="54">
        <v>1620</v>
      </c>
      <c r="B1848" s="55" t="s">
        <v>3526</v>
      </c>
      <c r="C1848" s="55" t="s">
        <v>8997</v>
      </c>
      <c r="D1848" s="56" t="s">
        <v>8998</v>
      </c>
      <c r="E1848" s="2"/>
      <c r="F1848" s="57"/>
      <c r="G1848" s="64" t="s">
        <v>8999</v>
      </c>
      <c r="H1848" s="59">
        <v>1</v>
      </c>
    </row>
    <row r="1849" spans="1:13" ht="112.5" customHeight="1" x14ac:dyDescent="0.15">
      <c r="A1849" s="60">
        <v>1619</v>
      </c>
      <c r="B1849" s="30" t="s">
        <v>3526</v>
      </c>
      <c r="C1849" s="30" t="s">
        <v>9000</v>
      </c>
      <c r="D1849" s="61" t="s">
        <v>9001</v>
      </c>
      <c r="E1849" s="2"/>
      <c r="F1849" s="57"/>
      <c r="G1849" s="63" t="s">
        <v>9002</v>
      </c>
      <c r="H1849" s="59">
        <v>998</v>
      </c>
    </row>
    <row r="1850" spans="1:13" ht="112.5" customHeight="1" x14ac:dyDescent="0.15">
      <c r="A1850" s="60">
        <v>1719</v>
      </c>
      <c r="B1850" s="30" t="s">
        <v>3822</v>
      </c>
      <c r="C1850" s="30" t="s">
        <v>9003</v>
      </c>
      <c r="D1850" s="61" t="s">
        <v>9004</v>
      </c>
      <c r="E1850" s="2"/>
      <c r="F1850" s="57"/>
      <c r="G1850" s="64" t="s">
        <v>9005</v>
      </c>
      <c r="H1850" s="59">
        <v>1</v>
      </c>
    </row>
    <row r="1851" spans="1:13" ht="112.5" customHeight="1" x14ac:dyDescent="0.15">
      <c r="A1851" s="54">
        <v>1718</v>
      </c>
      <c r="B1851" s="55" t="s">
        <v>3822</v>
      </c>
      <c r="C1851" s="55" t="s">
        <v>9006</v>
      </c>
      <c r="D1851" s="56" t="s">
        <v>9007</v>
      </c>
      <c r="E1851" s="2"/>
      <c r="F1851" s="57"/>
      <c r="G1851" s="63" t="s">
        <v>9008</v>
      </c>
      <c r="H1851" s="59">
        <v>1</v>
      </c>
    </row>
    <row r="1852" spans="1:13" ht="112.5" customHeight="1" x14ac:dyDescent="0.15">
      <c r="A1852" s="60">
        <v>1717</v>
      </c>
      <c r="B1852" s="30" t="s">
        <v>3822</v>
      </c>
      <c r="C1852" s="30" t="s">
        <v>9009</v>
      </c>
      <c r="D1852" s="61" t="s">
        <v>9010</v>
      </c>
      <c r="E1852" s="2"/>
      <c r="F1852" s="57"/>
      <c r="G1852" s="64" t="s">
        <v>9011</v>
      </c>
      <c r="H1852" s="59">
        <v>1</v>
      </c>
    </row>
    <row r="1853" spans="1:13" ht="112.5" customHeight="1" x14ac:dyDescent="0.15">
      <c r="A1853" s="54">
        <v>1716</v>
      </c>
      <c r="B1853" s="55" t="s">
        <v>3513</v>
      </c>
      <c r="C1853" s="55" t="s">
        <v>9012</v>
      </c>
      <c r="D1853" s="56" t="s">
        <v>9013</v>
      </c>
      <c r="E1853" s="2"/>
      <c r="F1853" s="57"/>
      <c r="G1853" s="63" t="s">
        <v>9014</v>
      </c>
      <c r="H1853" s="59">
        <v>977</v>
      </c>
    </row>
    <row r="1854" spans="1:13" ht="112.5" customHeight="1" x14ac:dyDescent="0.15">
      <c r="A1854" s="60">
        <v>1715</v>
      </c>
      <c r="B1854" s="30" t="s">
        <v>3513</v>
      </c>
      <c r="C1854" s="30" t="s">
        <v>9015</v>
      </c>
      <c r="D1854" s="61" t="s">
        <v>9016</v>
      </c>
      <c r="E1854" s="2"/>
      <c r="F1854" s="57"/>
      <c r="G1854" s="64" t="s">
        <v>9017</v>
      </c>
      <c r="H1854" s="59">
        <v>1</v>
      </c>
    </row>
    <row r="1855" spans="1:13" ht="112.5" customHeight="1" x14ac:dyDescent="0.15">
      <c r="A1855" s="54">
        <v>1714</v>
      </c>
      <c r="B1855" s="55" t="s">
        <v>3502</v>
      </c>
      <c r="C1855" s="55" t="s">
        <v>9018</v>
      </c>
      <c r="D1855" s="56" t="s">
        <v>9019</v>
      </c>
      <c r="E1855" s="2"/>
      <c r="F1855" s="57"/>
      <c r="G1855" s="63" t="s">
        <v>9020</v>
      </c>
      <c r="H1855" s="59">
        <v>957</v>
      </c>
    </row>
    <row r="1856" spans="1:13" ht="112.5" customHeight="1" x14ac:dyDescent="0.15">
      <c r="A1856" s="60">
        <v>1713</v>
      </c>
      <c r="B1856" s="30" t="s">
        <v>3513</v>
      </c>
      <c r="C1856" s="30" t="s">
        <v>9021</v>
      </c>
      <c r="D1856" s="61" t="s">
        <v>9022</v>
      </c>
      <c r="E1856" s="2"/>
      <c r="F1856" s="57"/>
      <c r="G1856" s="64" t="s">
        <v>9023</v>
      </c>
      <c r="H1856" s="59">
        <v>981</v>
      </c>
    </row>
    <row r="1857" spans="1:8" ht="112.5" customHeight="1" x14ac:dyDescent="0.15">
      <c r="A1857" s="54">
        <v>1712</v>
      </c>
      <c r="B1857" s="55" t="s">
        <v>3502</v>
      </c>
      <c r="C1857" s="55" t="s">
        <v>9024</v>
      </c>
      <c r="D1857" s="56" t="s">
        <v>9025</v>
      </c>
      <c r="E1857" s="2"/>
      <c r="F1857" s="57"/>
      <c r="G1857" s="63" t="s">
        <v>9026</v>
      </c>
      <c r="H1857" s="59">
        <v>997</v>
      </c>
    </row>
    <row r="1858" spans="1:8" ht="112.5" customHeight="1" x14ac:dyDescent="0.15">
      <c r="A1858" s="60">
        <v>1711</v>
      </c>
      <c r="B1858" s="30" t="s">
        <v>3502</v>
      </c>
      <c r="C1858" s="30" t="s">
        <v>9027</v>
      </c>
      <c r="D1858" s="61" t="s">
        <v>9028</v>
      </c>
      <c r="E1858" s="2"/>
      <c r="F1858" s="57"/>
      <c r="G1858" s="64" t="s">
        <v>9029</v>
      </c>
      <c r="H1858" s="59">
        <v>946</v>
      </c>
    </row>
    <row r="1859" spans="1:8" ht="112.5" customHeight="1" x14ac:dyDescent="0.15">
      <c r="A1859" s="60">
        <v>1631</v>
      </c>
      <c r="B1859" s="30" t="s">
        <v>3509</v>
      </c>
      <c r="C1859" s="30" t="s">
        <v>9030</v>
      </c>
      <c r="D1859" s="61" t="s">
        <v>9031</v>
      </c>
      <c r="E1859" s="2"/>
      <c r="F1859" s="57"/>
      <c r="G1859" s="63" t="s">
        <v>9032</v>
      </c>
      <c r="H1859" s="59">
        <v>1</v>
      </c>
    </row>
    <row r="1860" spans="1:8" ht="112.5" customHeight="1" x14ac:dyDescent="0.15">
      <c r="A1860" s="54">
        <v>1630</v>
      </c>
      <c r="B1860" s="55" t="s">
        <v>3509</v>
      </c>
      <c r="C1860" s="55" t="s">
        <v>9033</v>
      </c>
      <c r="D1860" s="56" t="s">
        <v>9034</v>
      </c>
      <c r="E1860" s="2"/>
      <c r="F1860" s="57"/>
      <c r="G1860" s="64" t="s">
        <v>9035</v>
      </c>
      <c r="H1860" s="59">
        <v>0</v>
      </c>
    </row>
    <row r="1861" spans="1:8" ht="112.5" customHeight="1" x14ac:dyDescent="0.15">
      <c r="A1861" s="60">
        <v>1629</v>
      </c>
      <c r="B1861" s="30" t="s">
        <v>3492</v>
      </c>
      <c r="C1861" s="30" t="s">
        <v>9036</v>
      </c>
      <c r="D1861" s="61" t="s">
        <v>9037</v>
      </c>
      <c r="E1861" s="2"/>
      <c r="F1861" s="57"/>
      <c r="G1861" s="63" t="s">
        <v>9038</v>
      </c>
      <c r="H1861" s="59">
        <v>1</v>
      </c>
    </row>
    <row r="1862" spans="1:8" ht="112.5" customHeight="1" x14ac:dyDescent="0.15">
      <c r="A1862" s="54">
        <v>1628</v>
      </c>
      <c r="B1862" s="55" t="s">
        <v>3513</v>
      </c>
      <c r="C1862" s="55" t="s">
        <v>9039</v>
      </c>
      <c r="D1862" s="56" t="s">
        <v>9040</v>
      </c>
      <c r="E1862" s="2"/>
      <c r="F1862" s="57"/>
      <c r="G1862" s="64" t="s">
        <v>9041</v>
      </c>
      <c r="H1862" s="59">
        <v>0</v>
      </c>
    </row>
    <row r="1863" spans="1:8" ht="112.5" customHeight="1" x14ac:dyDescent="0.15">
      <c r="A1863" s="54">
        <v>1770</v>
      </c>
      <c r="B1863" s="55" t="s">
        <v>3492</v>
      </c>
      <c r="C1863" s="55" t="s">
        <v>9042</v>
      </c>
      <c r="D1863" s="56" t="s">
        <v>9043</v>
      </c>
      <c r="E1863" s="2"/>
      <c r="F1863" s="57"/>
      <c r="G1863" s="63" t="s">
        <v>9044</v>
      </c>
      <c r="H1863" s="59">
        <v>998</v>
      </c>
    </row>
    <row r="1864" spans="1:8" ht="112.5" customHeight="1" x14ac:dyDescent="0.15">
      <c r="A1864" s="60">
        <v>1769</v>
      </c>
      <c r="B1864" s="30" t="s">
        <v>3492</v>
      </c>
      <c r="C1864" s="30" t="s">
        <v>9045</v>
      </c>
      <c r="D1864" s="61" t="s">
        <v>9046</v>
      </c>
      <c r="E1864" s="2"/>
      <c r="F1864" s="57"/>
      <c r="G1864" s="64" t="s">
        <v>9047</v>
      </c>
      <c r="H1864" s="59">
        <v>1</v>
      </c>
    </row>
    <row r="1865" spans="1:8" ht="112.5" customHeight="1" x14ac:dyDescent="0.15">
      <c r="A1865" s="54">
        <v>1768</v>
      </c>
      <c r="B1865" s="55" t="s">
        <v>3513</v>
      </c>
      <c r="C1865" s="55" t="s">
        <v>9048</v>
      </c>
      <c r="D1865" s="56" t="s">
        <v>9049</v>
      </c>
      <c r="E1865" s="2"/>
      <c r="F1865" s="57"/>
      <c r="G1865" s="63" t="s">
        <v>9050</v>
      </c>
      <c r="H1865" s="59">
        <v>1</v>
      </c>
    </row>
    <row r="1866" spans="1:8" ht="112.5" customHeight="1" x14ac:dyDescent="0.15">
      <c r="A1866" s="60">
        <v>1767</v>
      </c>
      <c r="B1866" s="30" t="s">
        <v>3818</v>
      </c>
      <c r="C1866" s="30" t="s">
        <v>9051</v>
      </c>
      <c r="D1866" s="61" t="s">
        <v>9052</v>
      </c>
      <c r="E1866" s="2"/>
      <c r="F1866" s="57"/>
      <c r="G1866" s="64" t="s">
        <v>9053</v>
      </c>
      <c r="H1866" s="59">
        <v>1</v>
      </c>
    </row>
    <row r="1867" spans="1:8" ht="112.5" customHeight="1" x14ac:dyDescent="0.15">
      <c r="A1867" s="54">
        <v>1766</v>
      </c>
      <c r="B1867" s="55" t="s">
        <v>3556</v>
      </c>
      <c r="C1867" s="55" t="s">
        <v>9054</v>
      </c>
      <c r="D1867" s="56" t="s">
        <v>9055</v>
      </c>
      <c r="E1867" s="2"/>
      <c r="F1867" s="57"/>
      <c r="G1867" s="63" t="s">
        <v>9056</v>
      </c>
      <c r="H1867" s="59">
        <v>1</v>
      </c>
    </row>
    <row r="1868" spans="1:8" ht="112.5" customHeight="1" x14ac:dyDescent="0.15">
      <c r="A1868" s="54">
        <v>1860</v>
      </c>
      <c r="B1868" s="55" t="s">
        <v>3599</v>
      </c>
      <c r="C1868" s="55" t="s">
        <v>9057</v>
      </c>
      <c r="D1868" s="56" t="s">
        <v>9058</v>
      </c>
      <c r="E1868" s="2"/>
      <c r="F1868" s="57"/>
      <c r="G1868" s="64" t="s">
        <v>9059</v>
      </c>
      <c r="H1868" s="59">
        <v>994</v>
      </c>
    </row>
    <row r="1869" spans="1:8" ht="112.5" customHeight="1" x14ac:dyDescent="0.15">
      <c r="A1869" s="60">
        <v>1859</v>
      </c>
      <c r="B1869" s="30" t="s">
        <v>3630</v>
      </c>
      <c r="C1869" s="30" t="s">
        <v>9060</v>
      </c>
      <c r="D1869" s="61" t="s">
        <v>9061</v>
      </c>
      <c r="E1869" s="2"/>
      <c r="F1869" s="57"/>
      <c r="G1869" s="63" t="s">
        <v>9062</v>
      </c>
      <c r="H1869" s="59">
        <v>999</v>
      </c>
    </row>
    <row r="1870" spans="1:8" ht="112.5" customHeight="1" x14ac:dyDescent="0.15">
      <c r="A1870" s="60">
        <v>1857</v>
      </c>
      <c r="B1870" s="30" t="s">
        <v>3670</v>
      </c>
      <c r="C1870" s="30" t="s">
        <v>9063</v>
      </c>
      <c r="D1870" s="61" t="s">
        <v>9064</v>
      </c>
      <c r="E1870" s="2"/>
      <c r="F1870" s="57"/>
      <c r="G1870" s="64" t="s">
        <v>9065</v>
      </c>
      <c r="H1870" s="59">
        <v>963</v>
      </c>
    </row>
    <row r="1871" spans="1:8" ht="112.5" customHeight="1" x14ac:dyDescent="0.15">
      <c r="A1871" s="54">
        <v>1856</v>
      </c>
      <c r="B1871" s="55" t="s">
        <v>3670</v>
      </c>
      <c r="C1871" s="55" t="s">
        <v>9066</v>
      </c>
      <c r="D1871" s="56" t="s">
        <v>9067</v>
      </c>
      <c r="E1871" s="2"/>
      <c r="F1871" s="57"/>
      <c r="G1871" s="63" t="s">
        <v>9068</v>
      </c>
      <c r="H1871" s="59">
        <v>1</v>
      </c>
    </row>
    <row r="1872" spans="1:8" ht="112.5" customHeight="1" x14ac:dyDescent="0.15">
      <c r="A1872" s="54">
        <v>1858</v>
      </c>
      <c r="B1872" s="55" t="s">
        <v>3670</v>
      </c>
      <c r="C1872" s="55" t="s">
        <v>9069</v>
      </c>
      <c r="D1872" s="56" t="s">
        <v>9070</v>
      </c>
      <c r="E1872" s="2"/>
      <c r="F1872" s="57"/>
      <c r="G1872" s="64" t="s">
        <v>9071</v>
      </c>
      <c r="H1872" s="59">
        <v>970</v>
      </c>
    </row>
    <row r="1873" spans="1:8" ht="112.5" customHeight="1" x14ac:dyDescent="0.15">
      <c r="A1873" s="60">
        <v>1855</v>
      </c>
      <c r="B1873" s="30" t="s">
        <v>3670</v>
      </c>
      <c r="C1873" s="30" t="s">
        <v>9072</v>
      </c>
      <c r="D1873" s="61" t="s">
        <v>9073</v>
      </c>
      <c r="E1873" s="2"/>
      <c r="F1873" s="57"/>
      <c r="G1873" s="63" t="s">
        <v>9074</v>
      </c>
      <c r="H1873" s="59">
        <v>1</v>
      </c>
    </row>
    <row r="1874" spans="1:8" ht="112.5" customHeight="1" x14ac:dyDescent="0.15">
      <c r="A1874" s="54">
        <v>1854</v>
      </c>
      <c r="B1874" s="55" t="s">
        <v>3526</v>
      </c>
      <c r="C1874" s="55" t="s">
        <v>9075</v>
      </c>
      <c r="D1874" s="56" t="s">
        <v>9076</v>
      </c>
      <c r="E1874" s="2"/>
      <c r="F1874" s="57"/>
      <c r="G1874" s="64" t="s">
        <v>9077</v>
      </c>
      <c r="H1874" s="59">
        <v>1</v>
      </c>
    </row>
    <row r="1875" spans="1:8" ht="112.5" customHeight="1" x14ac:dyDescent="0.15">
      <c r="A1875" s="60">
        <v>1853</v>
      </c>
      <c r="B1875" s="30" t="s">
        <v>3822</v>
      </c>
      <c r="C1875" s="30" t="s">
        <v>9078</v>
      </c>
      <c r="D1875" s="61" t="s">
        <v>9079</v>
      </c>
      <c r="E1875" s="2"/>
      <c r="F1875" s="57"/>
      <c r="G1875" s="63" t="s">
        <v>9080</v>
      </c>
      <c r="H1875" s="59">
        <v>0</v>
      </c>
    </row>
    <row r="1876" spans="1:8" ht="112.5" customHeight="1" x14ac:dyDescent="0.15">
      <c r="A1876" s="54">
        <v>1852</v>
      </c>
      <c r="B1876" s="55" t="s">
        <v>3556</v>
      </c>
      <c r="C1876" s="55" t="s">
        <v>9081</v>
      </c>
      <c r="D1876" s="56" t="s">
        <v>9082</v>
      </c>
      <c r="E1876" s="2"/>
      <c r="F1876" s="57"/>
      <c r="G1876" s="64" t="s">
        <v>9083</v>
      </c>
      <c r="H1876" s="59">
        <v>0</v>
      </c>
    </row>
    <row r="1877" spans="1:8" ht="112.5" customHeight="1" x14ac:dyDescent="0.15">
      <c r="A1877" s="60">
        <v>1851</v>
      </c>
      <c r="B1877" s="30" t="s">
        <v>3814</v>
      </c>
      <c r="C1877" s="30" t="s">
        <v>9084</v>
      </c>
      <c r="D1877" s="61" t="s">
        <v>9085</v>
      </c>
      <c r="E1877" s="2"/>
      <c r="F1877" s="57"/>
      <c r="G1877" s="63" t="s">
        <v>9086</v>
      </c>
      <c r="H1877" s="59">
        <v>970</v>
      </c>
    </row>
    <row r="1878" spans="1:8" ht="112.5" customHeight="1" x14ac:dyDescent="0.15">
      <c r="A1878" s="54">
        <v>1850</v>
      </c>
      <c r="B1878" s="55" t="s">
        <v>3556</v>
      </c>
      <c r="C1878" s="55" t="s">
        <v>9087</v>
      </c>
      <c r="D1878" s="56" t="s">
        <v>9088</v>
      </c>
      <c r="E1878" s="2"/>
      <c r="F1878" s="57"/>
      <c r="G1878" s="64" t="s">
        <v>9089</v>
      </c>
      <c r="H1878" s="59">
        <v>0</v>
      </c>
    </row>
    <row r="1879" spans="1:8" ht="112.5" customHeight="1" x14ac:dyDescent="0.15">
      <c r="A1879" s="54">
        <v>3120</v>
      </c>
      <c r="B1879" s="55" t="s">
        <v>3496</v>
      </c>
      <c r="C1879" s="55" t="s">
        <v>9090</v>
      </c>
      <c r="D1879" s="56" t="s">
        <v>9091</v>
      </c>
      <c r="E1879" s="2"/>
      <c r="F1879" s="57"/>
      <c r="G1879" s="63" t="s">
        <v>9092</v>
      </c>
      <c r="H1879" s="59">
        <v>1</v>
      </c>
    </row>
    <row r="1880" spans="1:8" ht="112.5" customHeight="1" x14ac:dyDescent="0.15">
      <c r="A1880" s="60">
        <v>1849</v>
      </c>
      <c r="B1880" s="30" t="s">
        <v>3556</v>
      </c>
      <c r="C1880" s="30" t="s">
        <v>9093</v>
      </c>
      <c r="D1880" s="61" t="s">
        <v>9094</v>
      </c>
      <c r="E1880" s="2"/>
      <c r="F1880" s="57"/>
      <c r="G1880" s="64" t="s">
        <v>9095</v>
      </c>
      <c r="H1880" s="59">
        <v>1</v>
      </c>
    </row>
    <row r="1881" spans="1:8" ht="112.5" customHeight="1" x14ac:dyDescent="0.15">
      <c r="A1881" s="54">
        <v>1848</v>
      </c>
      <c r="B1881" s="55" t="s">
        <v>3496</v>
      </c>
      <c r="C1881" s="55" t="s">
        <v>9096</v>
      </c>
      <c r="D1881" s="56" t="s">
        <v>9097</v>
      </c>
      <c r="E1881" s="2"/>
      <c r="F1881" s="57"/>
      <c r="G1881" s="63" t="s">
        <v>9098</v>
      </c>
      <c r="H1881" s="59">
        <v>998</v>
      </c>
    </row>
    <row r="1882" spans="1:8" ht="112.5" customHeight="1" x14ac:dyDescent="0.15">
      <c r="A1882" s="60">
        <v>1847</v>
      </c>
      <c r="B1882" s="30" t="s">
        <v>3670</v>
      </c>
      <c r="C1882" s="30" t="s">
        <v>9099</v>
      </c>
      <c r="D1882" s="61" t="s">
        <v>9100</v>
      </c>
      <c r="E1882" s="2"/>
      <c r="F1882" s="57"/>
      <c r="G1882" s="64" t="s">
        <v>9101</v>
      </c>
      <c r="H1882" s="59">
        <v>0</v>
      </c>
    </row>
    <row r="1883" spans="1:8" ht="112.5" customHeight="1" x14ac:dyDescent="0.15">
      <c r="A1883" s="54">
        <v>1846</v>
      </c>
      <c r="B1883" s="55" t="s">
        <v>3670</v>
      </c>
      <c r="C1883" s="55" t="s">
        <v>9102</v>
      </c>
      <c r="D1883" s="56" t="s">
        <v>9103</v>
      </c>
      <c r="E1883" s="2"/>
      <c r="F1883" s="57"/>
      <c r="G1883" s="63" t="s">
        <v>9104</v>
      </c>
      <c r="H1883" s="59">
        <v>1</v>
      </c>
    </row>
    <row r="1884" spans="1:8" ht="112.5" customHeight="1" x14ac:dyDescent="0.15">
      <c r="A1884" s="60">
        <v>1845</v>
      </c>
      <c r="B1884" s="30" t="s">
        <v>3556</v>
      </c>
      <c r="C1884" s="30" t="s">
        <v>9105</v>
      </c>
      <c r="D1884" s="61" t="s">
        <v>9106</v>
      </c>
      <c r="E1884" s="2"/>
      <c r="F1884" s="57"/>
      <c r="G1884" s="64" t="s">
        <v>9107</v>
      </c>
      <c r="H1884" s="59">
        <v>993</v>
      </c>
    </row>
    <row r="1885" spans="1:8" ht="112.5" customHeight="1" x14ac:dyDescent="0.15">
      <c r="A1885" s="60">
        <v>2147</v>
      </c>
      <c r="B1885" s="30" t="s">
        <v>4334</v>
      </c>
      <c r="C1885" s="30" t="s">
        <v>9108</v>
      </c>
      <c r="D1885" s="61" t="s">
        <v>9109</v>
      </c>
      <c r="E1885" s="2"/>
      <c r="F1885" s="57"/>
      <c r="G1885" s="63" t="s">
        <v>9110</v>
      </c>
      <c r="H1885" s="59">
        <v>993</v>
      </c>
    </row>
    <row r="1886" spans="1:8" ht="112.5" customHeight="1" x14ac:dyDescent="0.15">
      <c r="A1886" s="60">
        <v>1627</v>
      </c>
      <c r="B1886" s="30" t="s">
        <v>4334</v>
      </c>
      <c r="C1886" s="30" t="s">
        <v>9111</v>
      </c>
      <c r="D1886" s="61" t="s">
        <v>9112</v>
      </c>
      <c r="E1886" s="2"/>
      <c r="F1886" s="57"/>
      <c r="G1886" s="64" t="s">
        <v>9113</v>
      </c>
      <c r="H1886" s="59">
        <v>1</v>
      </c>
    </row>
    <row r="1887" spans="1:8" ht="112.5" customHeight="1" x14ac:dyDescent="0.15">
      <c r="A1887" s="54">
        <v>1844</v>
      </c>
      <c r="B1887" s="55" t="s">
        <v>3814</v>
      </c>
      <c r="C1887" s="55" t="s">
        <v>9114</v>
      </c>
      <c r="D1887" s="56" t="s">
        <v>9115</v>
      </c>
      <c r="E1887" s="2"/>
      <c r="F1887" s="57"/>
      <c r="G1887" s="63" t="s">
        <v>9116</v>
      </c>
      <c r="H1887" s="59">
        <v>1</v>
      </c>
    </row>
    <row r="1888" spans="1:8" ht="112.5" customHeight="1" x14ac:dyDescent="0.15">
      <c r="A1888" s="54">
        <v>1842</v>
      </c>
      <c r="B1888" s="55" t="s">
        <v>3526</v>
      </c>
      <c r="C1888" s="55" t="s">
        <v>9117</v>
      </c>
      <c r="D1888" s="56" t="s">
        <v>9118</v>
      </c>
      <c r="E1888" s="2"/>
      <c r="F1888" s="57"/>
      <c r="G1888" s="64" t="s">
        <v>9119</v>
      </c>
      <c r="H1888" s="59">
        <v>1</v>
      </c>
    </row>
    <row r="1889" spans="1:8" ht="112.5" customHeight="1" x14ac:dyDescent="0.15">
      <c r="A1889" s="60">
        <v>1841</v>
      </c>
      <c r="B1889" s="30" t="s">
        <v>3822</v>
      </c>
      <c r="C1889" s="30" t="s">
        <v>9120</v>
      </c>
      <c r="D1889" s="61" t="s">
        <v>9121</v>
      </c>
      <c r="E1889" s="2"/>
      <c r="F1889" s="57"/>
      <c r="G1889" s="63" t="s">
        <v>9122</v>
      </c>
      <c r="H1889" s="59">
        <v>1</v>
      </c>
    </row>
    <row r="1890" spans="1:8" ht="112.5" customHeight="1" x14ac:dyDescent="0.15">
      <c r="A1890" s="54">
        <v>1840</v>
      </c>
      <c r="B1890" s="55" t="s">
        <v>3822</v>
      </c>
      <c r="C1890" s="55" t="s">
        <v>9123</v>
      </c>
      <c r="D1890" s="56" t="s">
        <v>9124</v>
      </c>
      <c r="E1890" s="2"/>
      <c r="F1890" s="57"/>
      <c r="G1890" s="64" t="s">
        <v>9125</v>
      </c>
      <c r="H1890" s="59">
        <v>1</v>
      </c>
    </row>
    <row r="1891" spans="1:8" ht="112.5" customHeight="1" x14ac:dyDescent="0.15">
      <c r="A1891" s="60">
        <v>1839</v>
      </c>
      <c r="B1891" s="30" t="s">
        <v>3822</v>
      </c>
      <c r="C1891" s="30" t="s">
        <v>9126</v>
      </c>
      <c r="D1891" s="61" t="s">
        <v>9127</v>
      </c>
      <c r="E1891" s="2"/>
      <c r="F1891" s="57"/>
      <c r="G1891" s="63" t="s">
        <v>9128</v>
      </c>
      <c r="H1891" s="59">
        <v>1</v>
      </c>
    </row>
    <row r="1892" spans="1:8" ht="112.5" customHeight="1" x14ac:dyDescent="0.15">
      <c r="A1892" s="54">
        <v>1838</v>
      </c>
      <c r="B1892" s="55" t="s">
        <v>3513</v>
      </c>
      <c r="C1892" s="55" t="s">
        <v>9129</v>
      </c>
      <c r="D1892" s="56" t="s">
        <v>9130</v>
      </c>
      <c r="E1892" s="2"/>
      <c r="F1892" s="57"/>
      <c r="G1892" s="64" t="s">
        <v>9131</v>
      </c>
      <c r="H1892" s="59">
        <v>994</v>
      </c>
    </row>
    <row r="1893" spans="1:8" ht="112.5" customHeight="1" x14ac:dyDescent="0.15">
      <c r="A1893" s="60">
        <v>1837</v>
      </c>
      <c r="B1893" s="30" t="s">
        <v>3509</v>
      </c>
      <c r="C1893" s="30" t="s">
        <v>9132</v>
      </c>
      <c r="D1893" s="61" t="s">
        <v>9133</v>
      </c>
      <c r="E1893" s="2"/>
      <c r="F1893" s="57"/>
      <c r="G1893" s="63" t="s">
        <v>9134</v>
      </c>
      <c r="H1893" s="59">
        <v>1</v>
      </c>
    </row>
    <row r="1894" spans="1:8" ht="112.5" customHeight="1" x14ac:dyDescent="0.15">
      <c r="A1894" s="54">
        <v>1836</v>
      </c>
      <c r="B1894" s="55" t="s">
        <v>3822</v>
      </c>
      <c r="C1894" s="55" t="s">
        <v>9135</v>
      </c>
      <c r="D1894" s="56" t="s">
        <v>9136</v>
      </c>
      <c r="E1894" s="2"/>
      <c r="F1894" s="57"/>
      <c r="G1894" s="64" t="s">
        <v>9137</v>
      </c>
      <c r="H1894" s="59">
        <v>988</v>
      </c>
    </row>
    <row r="1895" spans="1:8" ht="112.5" customHeight="1" x14ac:dyDescent="0.15">
      <c r="A1895" s="60">
        <v>1835</v>
      </c>
      <c r="B1895" s="30" t="s">
        <v>3630</v>
      </c>
      <c r="C1895" s="30" t="s">
        <v>9138</v>
      </c>
      <c r="D1895" s="61" t="s">
        <v>9139</v>
      </c>
      <c r="E1895" s="2"/>
      <c r="F1895" s="57"/>
      <c r="G1895" s="63" t="s">
        <v>9140</v>
      </c>
      <c r="H1895" s="59">
        <v>1</v>
      </c>
    </row>
    <row r="1896" spans="1:8" ht="112.5" customHeight="1" x14ac:dyDescent="0.15">
      <c r="A1896" s="54">
        <v>1834</v>
      </c>
      <c r="B1896" s="55" t="s">
        <v>3492</v>
      </c>
      <c r="C1896" s="55" t="s">
        <v>9141</v>
      </c>
      <c r="D1896" s="56" t="s">
        <v>9142</v>
      </c>
      <c r="E1896" s="2"/>
      <c r="F1896" s="57"/>
      <c r="G1896" s="64" t="s">
        <v>9143</v>
      </c>
      <c r="H1896" s="59">
        <v>985</v>
      </c>
    </row>
    <row r="1897" spans="1:8" ht="112.5" customHeight="1" x14ac:dyDescent="0.15">
      <c r="A1897" s="60">
        <v>1833</v>
      </c>
      <c r="B1897" s="30" t="s">
        <v>3814</v>
      </c>
      <c r="C1897" s="30" t="s">
        <v>9144</v>
      </c>
      <c r="D1897" s="61" t="s">
        <v>9145</v>
      </c>
      <c r="E1897" s="2"/>
      <c r="F1897" s="57"/>
      <c r="G1897" s="63" t="s">
        <v>9146</v>
      </c>
      <c r="H1897" s="59">
        <v>1</v>
      </c>
    </row>
    <row r="1898" spans="1:8" ht="112.5" customHeight="1" x14ac:dyDescent="0.15">
      <c r="A1898" s="54">
        <v>1832</v>
      </c>
      <c r="B1898" s="55" t="s">
        <v>3822</v>
      </c>
      <c r="C1898" s="55" t="s">
        <v>9147</v>
      </c>
      <c r="D1898" s="56" t="s">
        <v>9148</v>
      </c>
      <c r="E1898" s="2"/>
      <c r="F1898" s="57"/>
      <c r="G1898" s="64" t="s">
        <v>9149</v>
      </c>
      <c r="H1898" s="59">
        <v>594</v>
      </c>
    </row>
    <row r="1899" spans="1:8" ht="112.5" customHeight="1" x14ac:dyDescent="0.15">
      <c r="A1899" s="60">
        <v>1831</v>
      </c>
      <c r="B1899" s="30" t="s">
        <v>3822</v>
      </c>
      <c r="C1899" s="30" t="s">
        <v>9150</v>
      </c>
      <c r="D1899" s="61" t="s">
        <v>9151</v>
      </c>
      <c r="E1899" s="2"/>
      <c r="F1899" s="57"/>
      <c r="G1899" s="63" t="s">
        <v>9152</v>
      </c>
      <c r="H1899" s="59">
        <v>999</v>
      </c>
    </row>
    <row r="1900" spans="1:8" ht="112.5" customHeight="1" x14ac:dyDescent="0.15">
      <c r="A1900" s="54">
        <v>3344</v>
      </c>
      <c r="B1900" s="55" t="s">
        <v>3822</v>
      </c>
      <c r="C1900" s="55" t="s">
        <v>9153</v>
      </c>
      <c r="D1900" s="56" t="s">
        <v>9154</v>
      </c>
      <c r="E1900" s="2"/>
      <c r="F1900" s="57"/>
      <c r="G1900" s="64" t="s">
        <v>9155</v>
      </c>
      <c r="H1900" s="59">
        <v>983</v>
      </c>
    </row>
    <row r="1901" spans="1:8" ht="112.5" customHeight="1" x14ac:dyDescent="0.15">
      <c r="A1901" s="54">
        <v>1830</v>
      </c>
      <c r="B1901" s="55" t="s">
        <v>3630</v>
      </c>
      <c r="C1901" s="55" t="s">
        <v>9156</v>
      </c>
      <c r="D1901" s="56" t="s">
        <v>9157</v>
      </c>
      <c r="E1901" s="2"/>
      <c r="F1901" s="57"/>
      <c r="G1901" s="63" t="s">
        <v>9158</v>
      </c>
      <c r="H1901" s="59">
        <v>1</v>
      </c>
    </row>
    <row r="1902" spans="1:8" ht="112.5" customHeight="1" x14ac:dyDescent="0.15">
      <c r="A1902" s="60">
        <v>1829</v>
      </c>
      <c r="B1902" s="30" t="s">
        <v>3814</v>
      </c>
      <c r="C1902" s="30" t="s">
        <v>9159</v>
      </c>
      <c r="D1902" s="61" t="s">
        <v>9160</v>
      </c>
      <c r="E1902" s="2"/>
      <c r="F1902" s="57"/>
      <c r="G1902" s="64" t="s">
        <v>9161</v>
      </c>
      <c r="H1902" s="59">
        <v>944</v>
      </c>
    </row>
    <row r="1903" spans="1:8" ht="112.5" customHeight="1" x14ac:dyDescent="0.15">
      <c r="A1903" s="54">
        <v>1828</v>
      </c>
      <c r="B1903" s="55" t="s">
        <v>3533</v>
      </c>
      <c r="C1903" s="55" t="s">
        <v>9162</v>
      </c>
      <c r="D1903" s="56" t="s">
        <v>9163</v>
      </c>
      <c r="E1903" s="2"/>
      <c r="F1903" s="57"/>
      <c r="G1903" s="63" t="s">
        <v>9164</v>
      </c>
      <c r="H1903" s="59">
        <v>1</v>
      </c>
    </row>
    <row r="1904" spans="1:8" ht="112.5" customHeight="1" x14ac:dyDescent="0.15">
      <c r="A1904" s="60">
        <v>1827</v>
      </c>
      <c r="B1904" s="30" t="s">
        <v>3822</v>
      </c>
      <c r="C1904" s="30" t="s">
        <v>9165</v>
      </c>
      <c r="D1904" s="61" t="s">
        <v>9166</v>
      </c>
      <c r="E1904" s="2"/>
      <c r="F1904" s="57"/>
      <c r="G1904" s="64" t="s">
        <v>9167</v>
      </c>
      <c r="H1904" s="59">
        <v>992</v>
      </c>
    </row>
    <row r="1905" spans="1:13" ht="112.5" customHeight="1" x14ac:dyDescent="0.15">
      <c r="A1905" s="54">
        <v>1826</v>
      </c>
      <c r="B1905" s="55" t="s">
        <v>3513</v>
      </c>
      <c r="C1905" s="55" t="s">
        <v>9168</v>
      </c>
      <c r="D1905" s="56" t="s">
        <v>9169</v>
      </c>
      <c r="E1905" s="2"/>
      <c r="F1905" s="57"/>
      <c r="G1905" s="63" t="s">
        <v>9170</v>
      </c>
      <c r="H1905" s="59">
        <v>983</v>
      </c>
    </row>
    <row r="1906" spans="1:13" ht="112.5" customHeight="1" x14ac:dyDescent="0.15">
      <c r="A1906" s="60">
        <v>1825</v>
      </c>
      <c r="B1906" s="30" t="s">
        <v>3509</v>
      </c>
      <c r="C1906" s="30" t="s">
        <v>9171</v>
      </c>
      <c r="D1906" s="61" t="s">
        <v>9172</v>
      </c>
      <c r="E1906" s="2"/>
      <c r="F1906" s="57"/>
      <c r="G1906" s="64" t="s">
        <v>9173</v>
      </c>
      <c r="H1906" s="59">
        <v>1</v>
      </c>
    </row>
    <row r="1907" spans="1:13" ht="112.5" customHeight="1" x14ac:dyDescent="0.15">
      <c r="A1907" s="60">
        <v>1821</v>
      </c>
      <c r="B1907" s="30" t="s">
        <v>3492</v>
      </c>
      <c r="C1907" s="30" t="s">
        <v>9174</v>
      </c>
      <c r="D1907" s="61" t="s">
        <v>9175</v>
      </c>
      <c r="E1907" s="2"/>
      <c r="F1907" s="57"/>
      <c r="G1907" s="63" t="s">
        <v>9176</v>
      </c>
      <c r="H1907" s="59">
        <v>1</v>
      </c>
    </row>
    <row r="1908" spans="1:13" ht="112.5" customHeight="1" x14ac:dyDescent="0.15">
      <c r="A1908" s="54">
        <v>1824</v>
      </c>
      <c r="B1908" s="55" t="s">
        <v>3670</v>
      </c>
      <c r="C1908" s="55" t="s">
        <v>9177</v>
      </c>
      <c r="D1908" s="56" t="s">
        <v>9178</v>
      </c>
      <c r="E1908" s="2"/>
      <c r="F1908" s="57"/>
      <c r="G1908" s="64" t="s">
        <v>9179</v>
      </c>
      <c r="H1908" s="59">
        <v>999</v>
      </c>
    </row>
    <row r="1909" spans="1:13" ht="112.5" customHeight="1" x14ac:dyDescent="0.15">
      <c r="A1909" s="60">
        <v>1823</v>
      </c>
      <c r="B1909" s="30" t="s">
        <v>3670</v>
      </c>
      <c r="C1909" s="30" t="s">
        <v>9180</v>
      </c>
      <c r="D1909" s="61" t="s">
        <v>9181</v>
      </c>
      <c r="E1909" s="2"/>
      <c r="F1909" s="57"/>
      <c r="G1909" s="63" t="s">
        <v>9182</v>
      </c>
      <c r="H1909" s="59">
        <v>997</v>
      </c>
    </row>
    <row r="1910" spans="1:13" ht="112.5" customHeight="1" x14ac:dyDescent="0.15">
      <c r="A1910" s="54">
        <v>1822</v>
      </c>
      <c r="B1910" s="55" t="s">
        <v>3670</v>
      </c>
      <c r="C1910" s="55" t="s">
        <v>9183</v>
      </c>
      <c r="D1910" s="56" t="s">
        <v>9184</v>
      </c>
      <c r="E1910" s="2"/>
      <c r="F1910" s="57"/>
      <c r="G1910" s="64" t="s">
        <v>9185</v>
      </c>
      <c r="H1910" s="59">
        <v>998</v>
      </c>
    </row>
    <row r="1911" spans="1:13" ht="112.5" customHeight="1" x14ac:dyDescent="0.15">
      <c r="A1911" s="54">
        <v>1820</v>
      </c>
      <c r="B1911" s="55" t="s">
        <v>3749</v>
      </c>
      <c r="C1911" s="55" t="s">
        <v>9186</v>
      </c>
      <c r="D1911" s="56" t="s">
        <v>9187</v>
      </c>
      <c r="E1911" s="2"/>
      <c r="F1911" s="57"/>
      <c r="G1911" s="63" t="s">
        <v>9188</v>
      </c>
      <c r="H1911" s="59">
        <v>1</v>
      </c>
    </row>
    <row r="1912" spans="1:13" ht="112.5" customHeight="1" x14ac:dyDescent="0.15">
      <c r="A1912" s="60">
        <v>1633</v>
      </c>
      <c r="B1912" s="30" t="s">
        <v>3749</v>
      </c>
      <c r="C1912" s="30" t="s">
        <v>9189</v>
      </c>
      <c r="D1912" s="61" t="s">
        <v>9190</v>
      </c>
      <c r="E1912" s="2"/>
      <c r="F1912" s="57"/>
      <c r="G1912" s="58" t="s">
        <v>9191</v>
      </c>
      <c r="H1912" s="59">
        <v>955</v>
      </c>
      <c r="I1912" s="29"/>
      <c r="J1912" s="29"/>
      <c r="K1912" s="29"/>
      <c r="L1912" s="29"/>
      <c r="M1912" s="29"/>
    </row>
    <row r="1913" spans="1:13" ht="112.5" customHeight="1" x14ac:dyDescent="0.15">
      <c r="A1913" s="60">
        <v>1819</v>
      </c>
      <c r="B1913" s="30" t="s">
        <v>3749</v>
      </c>
      <c r="C1913" s="30" t="s">
        <v>9192</v>
      </c>
      <c r="D1913" s="61" t="s">
        <v>9193</v>
      </c>
      <c r="E1913" s="2"/>
      <c r="F1913" s="57"/>
      <c r="G1913" s="62" t="s">
        <v>9194</v>
      </c>
      <c r="H1913" s="59">
        <v>0</v>
      </c>
      <c r="I1913" s="29"/>
      <c r="J1913" s="29"/>
      <c r="K1913" s="29"/>
      <c r="L1913" s="29"/>
      <c r="M1913" s="29"/>
    </row>
    <row r="1914" spans="1:13" ht="112.5" customHeight="1" x14ac:dyDescent="0.15">
      <c r="A1914" s="54">
        <v>1632</v>
      </c>
      <c r="B1914" s="55" t="s">
        <v>3749</v>
      </c>
      <c r="C1914" s="55" t="s">
        <v>9195</v>
      </c>
      <c r="D1914" s="56" t="s">
        <v>9196</v>
      </c>
      <c r="E1914" s="2"/>
      <c r="F1914" s="57"/>
      <c r="G1914" s="58" t="s">
        <v>9197</v>
      </c>
      <c r="H1914" s="59">
        <v>0</v>
      </c>
      <c r="I1914" s="29"/>
      <c r="J1914" s="29"/>
      <c r="K1914" s="29"/>
      <c r="L1914" s="29"/>
      <c r="M1914" s="29"/>
    </row>
    <row r="1915" spans="1:13" ht="112.5" customHeight="1" x14ac:dyDescent="0.15">
      <c r="A1915" s="54">
        <v>1818</v>
      </c>
      <c r="B1915" s="55" t="s">
        <v>3749</v>
      </c>
      <c r="C1915" s="55" t="s">
        <v>9198</v>
      </c>
      <c r="D1915" s="56" t="s">
        <v>9199</v>
      </c>
      <c r="E1915" s="2"/>
      <c r="F1915" s="57"/>
      <c r="G1915" s="63" t="s">
        <v>4526</v>
      </c>
      <c r="H1915" s="59">
        <v>776</v>
      </c>
    </row>
    <row r="1916" spans="1:13" ht="112.5" customHeight="1" x14ac:dyDescent="0.15">
      <c r="A1916" s="54">
        <v>1910</v>
      </c>
      <c r="B1916" s="55" t="s">
        <v>3749</v>
      </c>
      <c r="C1916" s="55" t="s">
        <v>9200</v>
      </c>
      <c r="D1916" s="56" t="s">
        <v>9201</v>
      </c>
      <c r="E1916" s="2"/>
      <c r="F1916" s="57"/>
      <c r="G1916" s="64" t="s">
        <v>9202</v>
      </c>
      <c r="H1916" s="59">
        <v>1</v>
      </c>
    </row>
    <row r="1917" spans="1:13" ht="112.5" customHeight="1" x14ac:dyDescent="0.15">
      <c r="A1917" s="60">
        <v>1909</v>
      </c>
      <c r="B1917" s="30" t="s">
        <v>3749</v>
      </c>
      <c r="C1917" s="30" t="s">
        <v>9203</v>
      </c>
      <c r="D1917" s="61" t="s">
        <v>9204</v>
      </c>
      <c r="E1917" s="2"/>
      <c r="F1917" s="57"/>
      <c r="G1917" s="63" t="s">
        <v>9205</v>
      </c>
      <c r="H1917" s="59">
        <v>1</v>
      </c>
    </row>
    <row r="1918" spans="1:13" ht="112.5" customHeight="1" x14ac:dyDescent="0.15">
      <c r="A1918" s="60">
        <v>1933</v>
      </c>
      <c r="B1918" s="30" t="s">
        <v>3749</v>
      </c>
      <c r="C1918" s="30" t="s">
        <v>9206</v>
      </c>
      <c r="D1918" s="61" t="s">
        <v>9207</v>
      </c>
      <c r="E1918" s="2"/>
      <c r="F1918" s="57"/>
      <c r="G1918" s="64" t="s">
        <v>9208</v>
      </c>
      <c r="H1918" s="59">
        <v>999</v>
      </c>
    </row>
    <row r="1919" spans="1:13" ht="112.5" customHeight="1" x14ac:dyDescent="0.15">
      <c r="A1919" s="54">
        <v>1932</v>
      </c>
      <c r="B1919" s="55" t="s">
        <v>3749</v>
      </c>
      <c r="C1919" s="55" t="s">
        <v>9209</v>
      </c>
      <c r="D1919" s="56" t="s">
        <v>9210</v>
      </c>
      <c r="E1919" s="2"/>
      <c r="F1919" s="57"/>
      <c r="G1919" s="63" t="s">
        <v>9211</v>
      </c>
      <c r="H1919" s="59">
        <v>1</v>
      </c>
    </row>
    <row r="1920" spans="1:13" ht="112.5" customHeight="1" x14ac:dyDescent="0.15">
      <c r="A1920" s="60">
        <v>1931</v>
      </c>
      <c r="B1920" s="30" t="s">
        <v>3749</v>
      </c>
      <c r="C1920" s="30" t="s">
        <v>9212</v>
      </c>
      <c r="D1920" s="61" t="s">
        <v>9213</v>
      </c>
      <c r="E1920" s="2"/>
      <c r="F1920" s="57"/>
      <c r="G1920" s="64" t="s">
        <v>9214</v>
      </c>
      <c r="H1920" s="59">
        <v>990</v>
      </c>
    </row>
    <row r="1921" spans="1:8" ht="112.5" customHeight="1" x14ac:dyDescent="0.15">
      <c r="A1921" s="54">
        <v>1930</v>
      </c>
      <c r="B1921" s="55" t="s">
        <v>3749</v>
      </c>
      <c r="C1921" s="55" t="s">
        <v>9215</v>
      </c>
      <c r="D1921" s="56" t="s">
        <v>9216</v>
      </c>
      <c r="E1921" s="2"/>
      <c r="F1921" s="57"/>
      <c r="G1921" s="63" t="s">
        <v>9217</v>
      </c>
      <c r="H1921" s="59">
        <v>987</v>
      </c>
    </row>
    <row r="1922" spans="1:8" ht="112.5" customHeight="1" x14ac:dyDescent="0.15">
      <c r="A1922" s="54">
        <v>3266</v>
      </c>
      <c r="B1922" s="55" t="s">
        <v>3749</v>
      </c>
      <c r="C1922" s="55" t="s">
        <v>9218</v>
      </c>
      <c r="D1922" s="56" t="s">
        <v>9219</v>
      </c>
      <c r="E1922" s="2"/>
      <c r="F1922" s="57"/>
      <c r="G1922" s="64" t="s">
        <v>9220</v>
      </c>
      <c r="H1922" s="59">
        <v>995</v>
      </c>
    </row>
    <row r="1923" spans="1:8" ht="112.5" customHeight="1" x14ac:dyDescent="0.15">
      <c r="A1923" s="60">
        <v>3265</v>
      </c>
      <c r="B1923" s="30" t="s">
        <v>3492</v>
      </c>
      <c r="C1923" s="30" t="s">
        <v>9221</v>
      </c>
      <c r="D1923" s="61" t="s">
        <v>9222</v>
      </c>
      <c r="E1923" s="2"/>
      <c r="F1923" s="57"/>
      <c r="G1923" s="63" t="s">
        <v>9223</v>
      </c>
      <c r="H1923" s="59">
        <v>1</v>
      </c>
    </row>
    <row r="1924" spans="1:8" ht="112.5" customHeight="1" x14ac:dyDescent="0.15">
      <c r="A1924" s="54">
        <v>3236</v>
      </c>
      <c r="B1924" s="55" t="s">
        <v>3492</v>
      </c>
      <c r="C1924" s="55" t="s">
        <v>9224</v>
      </c>
      <c r="D1924" s="56" t="s">
        <v>9225</v>
      </c>
      <c r="E1924" s="2"/>
      <c r="F1924" s="57"/>
      <c r="G1924" s="64" t="s">
        <v>9226</v>
      </c>
      <c r="H1924" s="59">
        <v>997</v>
      </c>
    </row>
    <row r="1925" spans="1:8" ht="112.5" customHeight="1" x14ac:dyDescent="0.15">
      <c r="A1925" s="54">
        <v>3264</v>
      </c>
      <c r="B1925" s="55" t="s">
        <v>3492</v>
      </c>
      <c r="C1925" s="55" t="s">
        <v>9227</v>
      </c>
      <c r="D1925" s="56" t="s">
        <v>9228</v>
      </c>
      <c r="E1925" s="2"/>
      <c r="F1925" s="57"/>
      <c r="G1925" s="63" t="s">
        <v>9229</v>
      </c>
      <c r="H1925" s="59">
        <v>997</v>
      </c>
    </row>
    <row r="1926" spans="1:8" ht="112.5" customHeight="1" x14ac:dyDescent="0.15">
      <c r="A1926" s="60">
        <v>1929</v>
      </c>
      <c r="B1926" s="30" t="s">
        <v>3502</v>
      </c>
      <c r="C1926" s="30" t="s">
        <v>9230</v>
      </c>
      <c r="D1926" s="61" t="s">
        <v>9231</v>
      </c>
      <c r="E1926" s="2"/>
      <c r="F1926" s="57"/>
      <c r="G1926" s="64" t="s">
        <v>9232</v>
      </c>
      <c r="H1926" s="59">
        <v>992</v>
      </c>
    </row>
    <row r="1927" spans="1:8" ht="112.5" customHeight="1" x14ac:dyDescent="0.15">
      <c r="A1927" s="54">
        <v>1928</v>
      </c>
      <c r="B1927" s="55" t="s">
        <v>3533</v>
      </c>
      <c r="C1927" s="55" t="s">
        <v>9233</v>
      </c>
      <c r="D1927" s="56" t="s">
        <v>9234</v>
      </c>
      <c r="E1927" s="2"/>
      <c r="F1927" s="57"/>
      <c r="G1927" s="63" t="s">
        <v>9235</v>
      </c>
      <c r="H1927" s="59">
        <v>1</v>
      </c>
    </row>
    <row r="1928" spans="1:8" ht="112.5" customHeight="1" x14ac:dyDescent="0.15">
      <c r="A1928" s="60">
        <v>1927</v>
      </c>
      <c r="B1928" s="30" t="s">
        <v>3533</v>
      </c>
      <c r="C1928" s="30" t="s">
        <v>9236</v>
      </c>
      <c r="D1928" s="61" t="s">
        <v>9237</v>
      </c>
      <c r="E1928" s="2"/>
      <c r="F1928" s="57"/>
      <c r="G1928" s="64" t="s">
        <v>9238</v>
      </c>
      <c r="H1928" s="59">
        <v>1</v>
      </c>
    </row>
    <row r="1929" spans="1:8" ht="112.5" customHeight="1" x14ac:dyDescent="0.15">
      <c r="A1929" s="54">
        <v>1926</v>
      </c>
      <c r="B1929" s="55" t="s">
        <v>3533</v>
      </c>
      <c r="C1929" s="55" t="s">
        <v>9239</v>
      </c>
      <c r="D1929" s="56" t="s">
        <v>9240</v>
      </c>
      <c r="E1929" s="2"/>
      <c r="F1929" s="57"/>
      <c r="G1929" s="63" t="s">
        <v>9241</v>
      </c>
      <c r="H1929" s="59">
        <v>1</v>
      </c>
    </row>
    <row r="1930" spans="1:8" ht="112.5" customHeight="1" x14ac:dyDescent="0.15">
      <c r="A1930" s="60">
        <v>1925</v>
      </c>
      <c r="B1930" s="30" t="s">
        <v>3492</v>
      </c>
      <c r="C1930" s="30" t="s">
        <v>9242</v>
      </c>
      <c r="D1930" s="61" t="s">
        <v>9243</v>
      </c>
      <c r="E1930" s="2"/>
      <c r="F1930" s="57"/>
      <c r="G1930" s="64" t="s">
        <v>9244</v>
      </c>
      <c r="H1930" s="59">
        <v>985</v>
      </c>
    </row>
    <row r="1931" spans="1:8" ht="112.5" customHeight="1" x14ac:dyDescent="0.15">
      <c r="A1931" s="54">
        <v>1924</v>
      </c>
      <c r="B1931" s="55" t="s">
        <v>3492</v>
      </c>
      <c r="C1931" s="55" t="s">
        <v>9245</v>
      </c>
      <c r="D1931" s="56" t="s">
        <v>9246</v>
      </c>
      <c r="E1931" s="2"/>
      <c r="F1931" s="57"/>
      <c r="G1931" s="63" t="s">
        <v>9247</v>
      </c>
      <c r="H1931" s="59">
        <v>1</v>
      </c>
    </row>
    <row r="1932" spans="1:8" ht="112.5" customHeight="1" x14ac:dyDescent="0.15">
      <c r="A1932" s="60">
        <v>1923</v>
      </c>
      <c r="B1932" s="30" t="s">
        <v>3822</v>
      </c>
      <c r="C1932" s="30" t="s">
        <v>9248</v>
      </c>
      <c r="D1932" s="61" t="s">
        <v>9249</v>
      </c>
      <c r="E1932" s="2"/>
      <c r="F1932" s="57"/>
      <c r="G1932" s="64" t="s">
        <v>9250</v>
      </c>
      <c r="H1932" s="59">
        <v>1</v>
      </c>
    </row>
    <row r="1933" spans="1:8" ht="112.5" customHeight="1" x14ac:dyDescent="0.15">
      <c r="A1933" s="54">
        <v>1922</v>
      </c>
      <c r="B1933" s="55" t="s">
        <v>3513</v>
      </c>
      <c r="C1933" s="55" t="s">
        <v>9251</v>
      </c>
      <c r="D1933" s="56" t="s">
        <v>9252</v>
      </c>
      <c r="E1933" s="2"/>
      <c r="F1933" s="57"/>
      <c r="G1933" s="63" t="s">
        <v>9253</v>
      </c>
      <c r="H1933" s="59">
        <v>1</v>
      </c>
    </row>
    <row r="1934" spans="1:8" ht="112.5" customHeight="1" x14ac:dyDescent="0.15">
      <c r="A1934" s="60">
        <v>1919</v>
      </c>
      <c r="B1934" s="30" t="s">
        <v>3492</v>
      </c>
      <c r="C1934" s="30" t="s">
        <v>9254</v>
      </c>
      <c r="D1934" s="61" t="s">
        <v>9255</v>
      </c>
      <c r="E1934" s="2"/>
      <c r="F1934" s="57"/>
      <c r="G1934" s="64" t="s">
        <v>9256</v>
      </c>
      <c r="H1934" s="59">
        <v>994</v>
      </c>
    </row>
    <row r="1935" spans="1:8" ht="112.5" customHeight="1" x14ac:dyDescent="0.15">
      <c r="A1935" s="54">
        <v>1918</v>
      </c>
      <c r="B1935" s="55" t="s">
        <v>3513</v>
      </c>
      <c r="C1935" s="55" t="s">
        <v>9257</v>
      </c>
      <c r="D1935" s="56" t="s">
        <v>9258</v>
      </c>
      <c r="E1935" s="2"/>
      <c r="F1935" s="57"/>
      <c r="G1935" s="63" t="s">
        <v>9259</v>
      </c>
      <c r="H1935" s="59">
        <v>845</v>
      </c>
    </row>
    <row r="1936" spans="1:8" ht="112.5" customHeight="1" x14ac:dyDescent="0.15">
      <c r="A1936" s="60">
        <v>1917</v>
      </c>
      <c r="B1936" s="30" t="s">
        <v>3513</v>
      </c>
      <c r="C1936" s="30" t="s">
        <v>9260</v>
      </c>
      <c r="D1936" s="61" t="s">
        <v>9261</v>
      </c>
      <c r="E1936" s="2"/>
      <c r="F1936" s="57"/>
      <c r="G1936" s="64" t="s">
        <v>9262</v>
      </c>
      <c r="H1936" s="59">
        <v>1</v>
      </c>
    </row>
    <row r="1937" spans="1:8" ht="112.5" customHeight="1" x14ac:dyDescent="0.15">
      <c r="A1937" s="54">
        <v>1916</v>
      </c>
      <c r="B1937" s="55" t="s">
        <v>3513</v>
      </c>
      <c r="C1937" s="55" t="s">
        <v>9263</v>
      </c>
      <c r="D1937" s="56" t="s">
        <v>9264</v>
      </c>
      <c r="E1937" s="2"/>
      <c r="F1937" s="57"/>
      <c r="G1937" s="63" t="s">
        <v>9265</v>
      </c>
      <c r="H1937" s="59">
        <v>993</v>
      </c>
    </row>
    <row r="1938" spans="1:8" ht="112.5" customHeight="1" x14ac:dyDescent="0.15">
      <c r="A1938" s="60">
        <v>1915</v>
      </c>
      <c r="B1938" s="30" t="s">
        <v>3513</v>
      </c>
      <c r="C1938" s="30" t="s">
        <v>9266</v>
      </c>
      <c r="D1938" s="61" t="s">
        <v>9267</v>
      </c>
      <c r="E1938" s="2"/>
      <c r="F1938" s="57"/>
      <c r="G1938" s="64" t="s">
        <v>9268</v>
      </c>
      <c r="H1938" s="59">
        <v>0</v>
      </c>
    </row>
    <row r="1939" spans="1:8" ht="112.5" customHeight="1" x14ac:dyDescent="0.15">
      <c r="A1939" s="54">
        <v>1908</v>
      </c>
      <c r="B1939" s="55" t="s">
        <v>3513</v>
      </c>
      <c r="C1939" s="55" t="s">
        <v>9269</v>
      </c>
      <c r="D1939" s="56" t="s">
        <v>9270</v>
      </c>
      <c r="E1939" s="2"/>
      <c r="F1939" s="57"/>
      <c r="G1939" s="63" t="s">
        <v>9271</v>
      </c>
      <c r="H1939" s="59">
        <v>989</v>
      </c>
    </row>
    <row r="1940" spans="1:8" ht="112.5" customHeight="1" x14ac:dyDescent="0.15">
      <c r="A1940" s="60">
        <v>1907</v>
      </c>
      <c r="B1940" s="30" t="s">
        <v>3513</v>
      </c>
      <c r="C1940" s="30" t="s">
        <v>9272</v>
      </c>
      <c r="D1940" s="61" t="s">
        <v>9273</v>
      </c>
      <c r="E1940" s="2"/>
      <c r="F1940" s="57"/>
      <c r="G1940" s="64" t="s">
        <v>9274</v>
      </c>
      <c r="H1940" s="59">
        <v>996</v>
      </c>
    </row>
    <row r="1941" spans="1:8" ht="112.5" customHeight="1" x14ac:dyDescent="0.15">
      <c r="A1941" s="54">
        <v>1906</v>
      </c>
      <c r="B1941" s="55" t="s">
        <v>3749</v>
      </c>
      <c r="C1941" s="55" t="s">
        <v>9275</v>
      </c>
      <c r="D1941" s="56" t="s">
        <v>9276</v>
      </c>
      <c r="E1941" s="2"/>
      <c r="F1941" s="57"/>
      <c r="G1941" s="63" t="s">
        <v>9277</v>
      </c>
      <c r="H1941" s="59">
        <v>978</v>
      </c>
    </row>
    <row r="1942" spans="1:8" ht="112.5" customHeight="1" x14ac:dyDescent="0.15">
      <c r="A1942" s="60">
        <v>1905</v>
      </c>
      <c r="B1942" s="30" t="s">
        <v>3502</v>
      </c>
      <c r="C1942" s="30" t="s">
        <v>9278</v>
      </c>
      <c r="D1942" s="61" t="s">
        <v>9279</v>
      </c>
      <c r="E1942" s="2"/>
      <c r="F1942" s="57"/>
      <c r="G1942" s="64" t="s">
        <v>9280</v>
      </c>
      <c r="H1942" s="59">
        <v>0</v>
      </c>
    </row>
    <row r="1943" spans="1:8" ht="112.5" customHeight="1" x14ac:dyDescent="0.15">
      <c r="A1943" s="54">
        <v>1904</v>
      </c>
      <c r="B1943" s="55" t="s">
        <v>3749</v>
      </c>
      <c r="C1943" s="55" t="s">
        <v>9281</v>
      </c>
      <c r="D1943" s="56" t="s">
        <v>9282</v>
      </c>
      <c r="E1943" s="2"/>
      <c r="F1943" s="57"/>
      <c r="G1943" s="63" t="s">
        <v>9283</v>
      </c>
      <c r="H1943" s="59">
        <v>1</v>
      </c>
    </row>
    <row r="1944" spans="1:8" ht="112.5" customHeight="1" x14ac:dyDescent="0.15">
      <c r="A1944" s="60">
        <v>1903</v>
      </c>
      <c r="B1944" s="30" t="s">
        <v>3496</v>
      </c>
      <c r="C1944" s="30" t="s">
        <v>9284</v>
      </c>
      <c r="D1944" s="61" t="s">
        <v>9285</v>
      </c>
      <c r="E1944" s="2"/>
      <c r="F1944" s="57"/>
      <c r="G1944" s="64" t="s">
        <v>9286</v>
      </c>
      <c r="H1944" s="59">
        <v>910</v>
      </c>
    </row>
    <row r="1945" spans="1:8" ht="112.5" customHeight="1" x14ac:dyDescent="0.15">
      <c r="A1945" s="54">
        <v>1902</v>
      </c>
      <c r="B1945" s="55" t="s">
        <v>3509</v>
      </c>
      <c r="C1945" s="55" t="s">
        <v>9287</v>
      </c>
      <c r="D1945" s="56" t="s">
        <v>9288</v>
      </c>
      <c r="E1945" s="2"/>
      <c r="F1945" s="57"/>
      <c r="G1945" s="63" t="s">
        <v>9289</v>
      </c>
      <c r="H1945" s="59">
        <v>988</v>
      </c>
    </row>
    <row r="1946" spans="1:8" ht="112.5" customHeight="1" x14ac:dyDescent="0.15">
      <c r="A1946" s="60">
        <v>1901</v>
      </c>
      <c r="B1946" s="30" t="s">
        <v>3898</v>
      </c>
      <c r="C1946" s="30" t="s">
        <v>9290</v>
      </c>
      <c r="D1946" s="61" t="s">
        <v>9291</v>
      </c>
      <c r="E1946" s="2"/>
      <c r="F1946" s="57"/>
      <c r="G1946" s="64" t="s">
        <v>9292</v>
      </c>
      <c r="H1946" s="59">
        <v>1</v>
      </c>
    </row>
    <row r="1947" spans="1:8" ht="112.5" customHeight="1" x14ac:dyDescent="0.15">
      <c r="A1947" s="54">
        <v>1900</v>
      </c>
      <c r="B1947" s="55" t="s">
        <v>3513</v>
      </c>
      <c r="C1947" s="55" t="s">
        <v>9293</v>
      </c>
      <c r="D1947" s="56" t="s">
        <v>9294</v>
      </c>
      <c r="E1947" s="2"/>
      <c r="F1947" s="57"/>
      <c r="G1947" s="63" t="s">
        <v>9295</v>
      </c>
      <c r="H1947" s="59">
        <v>1</v>
      </c>
    </row>
    <row r="1948" spans="1:8" ht="112.5" customHeight="1" x14ac:dyDescent="0.15">
      <c r="A1948" s="60">
        <v>1899</v>
      </c>
      <c r="B1948" s="30" t="s">
        <v>3549</v>
      </c>
      <c r="C1948" s="30" t="s">
        <v>9296</v>
      </c>
      <c r="D1948" s="61" t="s">
        <v>9297</v>
      </c>
      <c r="E1948" s="2"/>
      <c r="F1948" s="57"/>
      <c r="G1948" s="64" t="s">
        <v>9298</v>
      </c>
      <c r="H1948" s="59">
        <v>1</v>
      </c>
    </row>
    <row r="1949" spans="1:8" ht="112.5" customHeight="1" x14ac:dyDescent="0.15">
      <c r="A1949" s="54">
        <v>1898</v>
      </c>
      <c r="B1949" s="55" t="s">
        <v>3818</v>
      </c>
      <c r="C1949" s="55" t="s">
        <v>9299</v>
      </c>
      <c r="D1949" s="56" t="s">
        <v>9300</v>
      </c>
      <c r="E1949" s="2"/>
      <c r="F1949" s="57"/>
      <c r="G1949" s="63" t="s">
        <v>9301</v>
      </c>
      <c r="H1949" s="59">
        <v>0</v>
      </c>
    </row>
    <row r="1950" spans="1:8" ht="112.5" customHeight="1" x14ac:dyDescent="0.15">
      <c r="A1950" s="60">
        <v>1897</v>
      </c>
      <c r="B1950" s="30" t="s">
        <v>3630</v>
      </c>
      <c r="C1950" s="30" t="s">
        <v>9302</v>
      </c>
      <c r="D1950" s="61" t="s">
        <v>9303</v>
      </c>
      <c r="E1950" s="2"/>
      <c r="F1950" s="57"/>
      <c r="G1950" s="64" t="s">
        <v>9304</v>
      </c>
      <c r="H1950" s="59">
        <v>978</v>
      </c>
    </row>
    <row r="1951" spans="1:8" ht="112.5" customHeight="1" x14ac:dyDescent="0.15">
      <c r="A1951" s="54">
        <v>1896</v>
      </c>
      <c r="B1951" s="55" t="s">
        <v>3876</v>
      </c>
      <c r="C1951" s="55" t="s">
        <v>9305</v>
      </c>
      <c r="D1951" s="56" t="s">
        <v>9306</v>
      </c>
      <c r="E1951" s="2"/>
      <c r="F1951" s="57"/>
      <c r="G1951" s="63" t="s">
        <v>9307</v>
      </c>
      <c r="H1951" s="59">
        <v>980</v>
      </c>
    </row>
    <row r="1952" spans="1:8" ht="112.5" customHeight="1" x14ac:dyDescent="0.15">
      <c r="A1952" s="60">
        <v>1895</v>
      </c>
      <c r="B1952" s="30" t="s">
        <v>3556</v>
      </c>
      <c r="C1952" s="30" t="s">
        <v>9308</v>
      </c>
      <c r="D1952" s="61" t="s">
        <v>9309</v>
      </c>
      <c r="E1952" s="2"/>
      <c r="F1952" s="57"/>
      <c r="G1952" s="64" t="s">
        <v>4523</v>
      </c>
      <c r="H1952" s="59">
        <v>0</v>
      </c>
    </row>
    <row r="1953" spans="1:8" ht="112.5" customHeight="1" x14ac:dyDescent="0.15">
      <c r="A1953" s="54">
        <v>1894</v>
      </c>
      <c r="B1953" s="55" t="s">
        <v>3556</v>
      </c>
      <c r="C1953" s="55" t="s">
        <v>9310</v>
      </c>
      <c r="D1953" s="56" t="s">
        <v>9311</v>
      </c>
      <c r="E1953" s="2"/>
      <c r="F1953" s="57"/>
      <c r="G1953" s="63" t="s">
        <v>9312</v>
      </c>
      <c r="H1953" s="59">
        <v>1</v>
      </c>
    </row>
    <row r="1954" spans="1:8" ht="112.5" customHeight="1" x14ac:dyDescent="0.15">
      <c r="A1954" s="60">
        <v>1893</v>
      </c>
      <c r="B1954" s="30" t="s">
        <v>3822</v>
      </c>
      <c r="C1954" s="30" t="s">
        <v>9313</v>
      </c>
      <c r="D1954" s="61" t="s">
        <v>9314</v>
      </c>
      <c r="E1954" s="2"/>
      <c r="F1954" s="57"/>
      <c r="G1954" s="64" t="s">
        <v>9315</v>
      </c>
      <c r="H1954" s="59">
        <v>1</v>
      </c>
    </row>
    <row r="1955" spans="1:8" ht="112.5" customHeight="1" x14ac:dyDescent="0.15">
      <c r="A1955" s="60">
        <v>2305</v>
      </c>
      <c r="B1955" s="30" t="s">
        <v>3496</v>
      </c>
      <c r="C1955" s="30" t="s">
        <v>9316</v>
      </c>
      <c r="D1955" s="61" t="s">
        <v>9317</v>
      </c>
      <c r="E1955" s="2"/>
      <c r="F1955" s="57"/>
      <c r="G1955" s="63" t="s">
        <v>9318</v>
      </c>
      <c r="H1955" s="59">
        <v>998</v>
      </c>
    </row>
    <row r="1956" spans="1:8" ht="112.5" customHeight="1" x14ac:dyDescent="0.15">
      <c r="A1956" s="54">
        <v>1892</v>
      </c>
      <c r="B1956" s="55" t="s">
        <v>3549</v>
      </c>
      <c r="C1956" s="55" t="s">
        <v>9319</v>
      </c>
      <c r="D1956" s="56" t="s">
        <v>9320</v>
      </c>
      <c r="E1956" s="2"/>
      <c r="F1956" s="57"/>
      <c r="G1956" s="64" t="s">
        <v>9321</v>
      </c>
      <c r="H1956" s="59">
        <v>1</v>
      </c>
    </row>
    <row r="1957" spans="1:8" ht="112.5" customHeight="1" x14ac:dyDescent="0.15">
      <c r="A1957" s="60">
        <v>1891</v>
      </c>
      <c r="B1957" s="30" t="s">
        <v>3492</v>
      </c>
      <c r="C1957" s="30" t="s">
        <v>9322</v>
      </c>
      <c r="D1957" s="61" t="s">
        <v>9323</v>
      </c>
      <c r="E1957" s="2"/>
      <c r="F1957" s="57"/>
      <c r="G1957" s="63" t="s">
        <v>9324</v>
      </c>
      <c r="H1957" s="59">
        <v>1</v>
      </c>
    </row>
    <row r="1958" spans="1:8" ht="112.5" customHeight="1" x14ac:dyDescent="0.15">
      <c r="A1958" s="54">
        <v>1890</v>
      </c>
      <c r="B1958" s="55" t="s">
        <v>3492</v>
      </c>
      <c r="C1958" s="55" t="s">
        <v>9325</v>
      </c>
      <c r="D1958" s="56" t="s">
        <v>9326</v>
      </c>
      <c r="E1958" s="2"/>
      <c r="F1958" s="57"/>
      <c r="G1958" s="64" t="s">
        <v>9327</v>
      </c>
      <c r="H1958" s="59">
        <v>1</v>
      </c>
    </row>
    <row r="1959" spans="1:8" ht="112.5" customHeight="1" x14ac:dyDescent="0.15">
      <c r="A1959" s="60">
        <v>1889</v>
      </c>
      <c r="B1959" s="30" t="s">
        <v>3822</v>
      </c>
      <c r="C1959" s="30" t="s">
        <v>9328</v>
      </c>
      <c r="D1959" s="61" t="s">
        <v>9329</v>
      </c>
      <c r="E1959" s="2"/>
      <c r="F1959" s="57"/>
      <c r="G1959" s="63" t="s">
        <v>9330</v>
      </c>
      <c r="H1959" s="59">
        <v>1</v>
      </c>
    </row>
    <row r="1960" spans="1:8" ht="112.5" customHeight="1" x14ac:dyDescent="0.15">
      <c r="A1960" s="54">
        <v>1888</v>
      </c>
      <c r="B1960" s="55" t="s">
        <v>3533</v>
      </c>
      <c r="C1960" s="55" t="s">
        <v>9331</v>
      </c>
      <c r="D1960" s="56" t="s">
        <v>9332</v>
      </c>
      <c r="E1960" s="2"/>
      <c r="F1960" s="57"/>
      <c r="G1960" s="64" t="s">
        <v>9333</v>
      </c>
      <c r="H1960" s="59">
        <v>999</v>
      </c>
    </row>
    <row r="1961" spans="1:8" ht="112.5" customHeight="1" x14ac:dyDescent="0.15">
      <c r="A1961" s="60">
        <v>1887</v>
      </c>
      <c r="B1961" s="30" t="s">
        <v>3556</v>
      </c>
      <c r="C1961" s="30" t="s">
        <v>9334</v>
      </c>
      <c r="D1961" s="61" t="s">
        <v>9335</v>
      </c>
      <c r="E1961" s="2"/>
      <c r="F1961" s="57"/>
      <c r="G1961" s="63" t="s">
        <v>9336</v>
      </c>
      <c r="H1961" s="59">
        <v>1</v>
      </c>
    </row>
    <row r="1962" spans="1:8" ht="112.5" customHeight="1" x14ac:dyDescent="0.15">
      <c r="A1962" s="54">
        <v>1886</v>
      </c>
      <c r="B1962" s="55" t="s">
        <v>3749</v>
      </c>
      <c r="C1962" s="55" t="s">
        <v>9337</v>
      </c>
      <c r="D1962" s="56" t="s">
        <v>9338</v>
      </c>
      <c r="E1962" s="2"/>
      <c r="F1962" s="57"/>
      <c r="G1962" s="64" t="s">
        <v>9339</v>
      </c>
      <c r="H1962" s="59">
        <v>1</v>
      </c>
    </row>
    <row r="1963" spans="1:8" ht="112.5" customHeight="1" x14ac:dyDescent="0.15">
      <c r="A1963" s="60">
        <v>1885</v>
      </c>
      <c r="B1963" s="30" t="s">
        <v>3749</v>
      </c>
      <c r="C1963" s="30" t="s">
        <v>9340</v>
      </c>
      <c r="D1963" s="61" t="s">
        <v>9341</v>
      </c>
      <c r="E1963" s="2"/>
      <c r="F1963" s="57"/>
      <c r="G1963" s="63" t="s">
        <v>9342</v>
      </c>
      <c r="H1963" s="59">
        <v>1</v>
      </c>
    </row>
    <row r="1964" spans="1:8" ht="112.5" customHeight="1" x14ac:dyDescent="0.15">
      <c r="A1964" s="54">
        <v>1884</v>
      </c>
      <c r="B1964" s="55" t="s">
        <v>3556</v>
      </c>
      <c r="C1964" s="55" t="s">
        <v>9343</v>
      </c>
      <c r="D1964" s="56" t="s">
        <v>9344</v>
      </c>
      <c r="E1964" s="2"/>
      <c r="F1964" s="57"/>
      <c r="G1964" s="64" t="s">
        <v>9345</v>
      </c>
      <c r="H1964" s="59">
        <v>1</v>
      </c>
    </row>
    <row r="1965" spans="1:8" ht="112.5" customHeight="1" x14ac:dyDescent="0.15">
      <c r="A1965" s="60">
        <v>1883</v>
      </c>
      <c r="B1965" s="30" t="s">
        <v>3749</v>
      </c>
      <c r="C1965" s="30" t="s">
        <v>9346</v>
      </c>
      <c r="D1965" s="61" t="s">
        <v>9347</v>
      </c>
      <c r="E1965" s="2"/>
      <c r="F1965" s="57"/>
      <c r="G1965" s="63" t="s">
        <v>9348</v>
      </c>
      <c r="H1965" s="59">
        <v>1</v>
      </c>
    </row>
    <row r="1966" spans="1:8" ht="112.5" customHeight="1" x14ac:dyDescent="0.15">
      <c r="A1966" s="54">
        <v>1882</v>
      </c>
      <c r="B1966" s="55" t="s">
        <v>3749</v>
      </c>
      <c r="C1966" s="55" t="s">
        <v>9349</v>
      </c>
      <c r="D1966" s="56" t="s">
        <v>9350</v>
      </c>
      <c r="E1966" s="2"/>
      <c r="F1966" s="57"/>
      <c r="G1966" s="64" t="s">
        <v>9351</v>
      </c>
      <c r="H1966" s="59">
        <v>992</v>
      </c>
    </row>
    <row r="1967" spans="1:8" ht="112.5" customHeight="1" x14ac:dyDescent="0.15">
      <c r="A1967" s="60">
        <v>1881</v>
      </c>
      <c r="B1967" s="30" t="s">
        <v>3513</v>
      </c>
      <c r="C1967" s="30" t="s">
        <v>9352</v>
      </c>
      <c r="D1967" s="61" t="s">
        <v>9353</v>
      </c>
      <c r="E1967" s="2"/>
      <c r="F1967" s="57"/>
      <c r="G1967" s="63" t="s">
        <v>9354</v>
      </c>
      <c r="H1967" s="59">
        <v>0</v>
      </c>
    </row>
    <row r="1968" spans="1:8" ht="112.5" customHeight="1" x14ac:dyDescent="0.15">
      <c r="A1968" s="54">
        <v>1880</v>
      </c>
      <c r="B1968" s="55" t="s">
        <v>3876</v>
      </c>
      <c r="C1968" s="55" t="s">
        <v>9355</v>
      </c>
      <c r="D1968" s="56" t="s">
        <v>9356</v>
      </c>
      <c r="E1968" s="2"/>
      <c r="F1968" s="57"/>
      <c r="G1968" s="64" t="s">
        <v>9357</v>
      </c>
      <c r="H1968" s="59">
        <v>1</v>
      </c>
    </row>
    <row r="1969" spans="1:8" ht="112.5" customHeight="1" x14ac:dyDescent="0.15">
      <c r="A1969" s="60">
        <v>1879</v>
      </c>
      <c r="B1969" s="30" t="s">
        <v>3801</v>
      </c>
      <c r="C1969" s="30" t="s">
        <v>9358</v>
      </c>
      <c r="D1969" s="61" t="s">
        <v>9359</v>
      </c>
      <c r="E1969" s="2"/>
      <c r="F1969" s="57"/>
      <c r="G1969" s="63" t="s">
        <v>9360</v>
      </c>
      <c r="H1969" s="59">
        <v>1</v>
      </c>
    </row>
    <row r="1970" spans="1:8" ht="112.5" customHeight="1" x14ac:dyDescent="0.15">
      <c r="A1970" s="54">
        <v>1878</v>
      </c>
      <c r="B1970" s="55" t="s">
        <v>3549</v>
      </c>
      <c r="C1970" s="55" t="s">
        <v>9361</v>
      </c>
      <c r="D1970" s="56" t="s">
        <v>9362</v>
      </c>
      <c r="E1970" s="2"/>
      <c r="F1970" s="57"/>
      <c r="G1970" s="64" t="s">
        <v>9363</v>
      </c>
      <c r="H1970" s="59">
        <v>985</v>
      </c>
    </row>
    <row r="1971" spans="1:8" ht="112.5" customHeight="1" x14ac:dyDescent="0.15">
      <c r="A1971" s="60">
        <v>1877</v>
      </c>
      <c r="B1971" s="30" t="s">
        <v>3549</v>
      </c>
      <c r="C1971" s="30" t="s">
        <v>9364</v>
      </c>
      <c r="D1971" s="61" t="s">
        <v>9365</v>
      </c>
      <c r="E1971" s="2"/>
      <c r="F1971" s="57"/>
      <c r="G1971" s="63" t="s">
        <v>9366</v>
      </c>
      <c r="H1971" s="59">
        <v>992</v>
      </c>
    </row>
    <row r="1972" spans="1:8" ht="112.5" customHeight="1" x14ac:dyDescent="0.15">
      <c r="A1972" s="54">
        <v>1876</v>
      </c>
      <c r="B1972" s="55" t="s">
        <v>3556</v>
      </c>
      <c r="C1972" s="55" t="s">
        <v>9367</v>
      </c>
      <c r="D1972" s="56" t="s">
        <v>9368</v>
      </c>
      <c r="E1972" s="2"/>
      <c r="F1972" s="57"/>
      <c r="G1972" s="64" t="s">
        <v>9369</v>
      </c>
      <c r="H1972" s="59">
        <v>989</v>
      </c>
    </row>
    <row r="1973" spans="1:8" ht="112.5" customHeight="1" x14ac:dyDescent="0.15">
      <c r="A1973" s="60">
        <v>1875</v>
      </c>
      <c r="B1973" s="30" t="s">
        <v>3502</v>
      </c>
      <c r="C1973" s="30" t="s">
        <v>9370</v>
      </c>
      <c r="D1973" s="61" t="s">
        <v>9371</v>
      </c>
      <c r="E1973" s="2"/>
      <c r="F1973" s="57"/>
      <c r="G1973" s="63" t="s">
        <v>9372</v>
      </c>
      <c r="H1973" s="59">
        <v>0</v>
      </c>
    </row>
    <row r="1974" spans="1:8" ht="112.5" customHeight="1" x14ac:dyDescent="0.15">
      <c r="A1974" s="54">
        <v>1874</v>
      </c>
      <c r="B1974" s="55" t="s">
        <v>3599</v>
      </c>
      <c r="C1974" s="55" t="s">
        <v>9373</v>
      </c>
      <c r="D1974" s="56" t="s">
        <v>9374</v>
      </c>
      <c r="E1974" s="2"/>
      <c r="F1974" s="57"/>
      <c r="G1974" s="64" t="s">
        <v>9375</v>
      </c>
      <c r="H1974" s="59">
        <v>949</v>
      </c>
    </row>
    <row r="1975" spans="1:8" ht="112.5" customHeight="1" x14ac:dyDescent="0.15">
      <c r="A1975" s="60">
        <v>1873</v>
      </c>
      <c r="B1975" s="30" t="s">
        <v>3599</v>
      </c>
      <c r="C1975" s="30" t="s">
        <v>9376</v>
      </c>
      <c r="D1975" s="61" t="s">
        <v>9377</v>
      </c>
      <c r="E1975" s="2"/>
      <c r="F1975" s="57"/>
      <c r="G1975" s="63" t="s">
        <v>9378</v>
      </c>
      <c r="H1975" s="59">
        <v>955</v>
      </c>
    </row>
    <row r="1976" spans="1:8" ht="112.5" customHeight="1" x14ac:dyDescent="0.15">
      <c r="A1976" s="54">
        <v>1872</v>
      </c>
      <c r="B1976" s="55" t="s">
        <v>3822</v>
      </c>
      <c r="C1976" s="55" t="s">
        <v>9379</v>
      </c>
      <c r="D1976" s="56" t="s">
        <v>9380</v>
      </c>
      <c r="E1976" s="2"/>
      <c r="F1976" s="57"/>
      <c r="G1976" s="64" t="s">
        <v>4520</v>
      </c>
      <c r="H1976" s="59">
        <v>966</v>
      </c>
    </row>
    <row r="1977" spans="1:8" ht="112.5" customHeight="1" x14ac:dyDescent="0.15">
      <c r="A1977" s="60">
        <v>1871</v>
      </c>
      <c r="B1977" s="30" t="s">
        <v>3509</v>
      </c>
      <c r="C1977" s="30" t="s">
        <v>9381</v>
      </c>
      <c r="D1977" s="61" t="s">
        <v>9382</v>
      </c>
      <c r="E1977" s="2"/>
      <c r="F1977" s="57"/>
      <c r="G1977" s="63" t="s">
        <v>9383</v>
      </c>
      <c r="H1977" s="59">
        <v>946</v>
      </c>
    </row>
    <row r="1978" spans="1:8" ht="112.5" customHeight="1" x14ac:dyDescent="0.15">
      <c r="A1978" s="54">
        <v>1870</v>
      </c>
      <c r="B1978" s="55" t="s">
        <v>3822</v>
      </c>
      <c r="C1978" s="55" t="s">
        <v>9384</v>
      </c>
      <c r="D1978" s="56" t="s">
        <v>9385</v>
      </c>
      <c r="E1978" s="2"/>
      <c r="F1978" s="57"/>
      <c r="G1978" s="64" t="s">
        <v>9386</v>
      </c>
      <c r="H1978" s="59">
        <v>1</v>
      </c>
    </row>
    <row r="1979" spans="1:8" ht="112.5" customHeight="1" x14ac:dyDescent="0.15">
      <c r="A1979" s="54">
        <v>3230</v>
      </c>
      <c r="B1979" s="55" t="s">
        <v>3496</v>
      </c>
      <c r="C1979" s="55" t="s">
        <v>9387</v>
      </c>
      <c r="D1979" s="56" t="s">
        <v>9388</v>
      </c>
      <c r="E1979" s="2"/>
      <c r="F1979" s="57"/>
      <c r="G1979" s="63" t="s">
        <v>9389</v>
      </c>
      <c r="H1979" s="59">
        <v>999</v>
      </c>
    </row>
    <row r="1980" spans="1:8" ht="112.5" customHeight="1" x14ac:dyDescent="0.15">
      <c r="A1980" s="60">
        <v>1869</v>
      </c>
      <c r="B1980" s="30" t="s">
        <v>3492</v>
      </c>
      <c r="C1980" s="30" t="s">
        <v>9390</v>
      </c>
      <c r="D1980" s="61" t="s">
        <v>9391</v>
      </c>
      <c r="E1980" s="2"/>
      <c r="F1980" s="57"/>
      <c r="G1980" s="64" t="s">
        <v>9392</v>
      </c>
      <c r="H1980" s="59">
        <v>0</v>
      </c>
    </row>
    <row r="1981" spans="1:8" ht="112.5" customHeight="1" x14ac:dyDescent="0.15">
      <c r="A1981" s="54">
        <v>1868</v>
      </c>
      <c r="B1981" s="55" t="s">
        <v>3533</v>
      </c>
      <c r="C1981" s="55" t="s">
        <v>9393</v>
      </c>
      <c r="D1981" s="56" t="s">
        <v>9394</v>
      </c>
      <c r="E1981" s="2"/>
      <c r="F1981" s="57"/>
      <c r="G1981" s="63" t="s">
        <v>9395</v>
      </c>
      <c r="H1981" s="59">
        <v>992</v>
      </c>
    </row>
    <row r="1982" spans="1:8" ht="112.5" customHeight="1" x14ac:dyDescent="0.15">
      <c r="A1982" s="60">
        <v>1867</v>
      </c>
      <c r="B1982" s="30" t="s">
        <v>3818</v>
      </c>
      <c r="C1982" s="30" t="s">
        <v>9396</v>
      </c>
      <c r="D1982" s="61" t="s">
        <v>9397</v>
      </c>
      <c r="E1982" s="2"/>
      <c r="F1982" s="57"/>
      <c r="G1982" s="64" t="s">
        <v>9398</v>
      </c>
      <c r="H1982" s="59">
        <v>999</v>
      </c>
    </row>
    <row r="1983" spans="1:8" ht="112.5" customHeight="1" x14ac:dyDescent="0.15">
      <c r="A1983" s="54">
        <v>1866</v>
      </c>
      <c r="B1983" s="55" t="s">
        <v>3549</v>
      </c>
      <c r="C1983" s="55" t="s">
        <v>9399</v>
      </c>
      <c r="D1983" s="56" t="s">
        <v>9400</v>
      </c>
      <c r="E1983" s="2"/>
      <c r="F1983" s="57"/>
      <c r="G1983" s="63" t="s">
        <v>9401</v>
      </c>
      <c r="H1983" s="59">
        <v>1</v>
      </c>
    </row>
    <row r="1984" spans="1:8" ht="112.5" customHeight="1" x14ac:dyDescent="0.15">
      <c r="A1984" s="60">
        <v>1865</v>
      </c>
      <c r="B1984" s="30" t="s">
        <v>3549</v>
      </c>
      <c r="C1984" s="30" t="s">
        <v>9402</v>
      </c>
      <c r="D1984" s="61" t="s">
        <v>9403</v>
      </c>
      <c r="E1984" s="2"/>
      <c r="F1984" s="57"/>
      <c r="G1984" s="64" t="s">
        <v>9404</v>
      </c>
      <c r="H1984" s="59">
        <v>1</v>
      </c>
    </row>
    <row r="1985" spans="1:8" ht="112.5" customHeight="1" x14ac:dyDescent="0.15">
      <c r="A1985" s="54">
        <v>1864</v>
      </c>
      <c r="B1985" s="55" t="s">
        <v>3549</v>
      </c>
      <c r="C1985" s="55" t="s">
        <v>9405</v>
      </c>
      <c r="D1985" s="56" t="s">
        <v>9406</v>
      </c>
      <c r="E1985" s="2"/>
      <c r="F1985" s="57"/>
      <c r="G1985" s="63" t="s">
        <v>9407</v>
      </c>
      <c r="H1985" s="59">
        <v>1</v>
      </c>
    </row>
    <row r="1986" spans="1:8" ht="112.5" customHeight="1" x14ac:dyDescent="0.15">
      <c r="A1986" s="60">
        <v>1863</v>
      </c>
      <c r="B1986" s="30" t="s">
        <v>3533</v>
      </c>
      <c r="C1986" s="30" t="s">
        <v>9408</v>
      </c>
      <c r="D1986" s="61" t="s">
        <v>9409</v>
      </c>
      <c r="E1986" s="2"/>
      <c r="F1986" s="57"/>
      <c r="G1986" s="64" t="s">
        <v>9410</v>
      </c>
      <c r="H1986" s="59">
        <v>987</v>
      </c>
    </row>
    <row r="1987" spans="1:8" ht="112.5" customHeight="1" x14ac:dyDescent="0.15">
      <c r="A1987" s="54">
        <v>1862</v>
      </c>
      <c r="B1987" s="55" t="s">
        <v>3533</v>
      </c>
      <c r="C1987" s="55" t="s">
        <v>9411</v>
      </c>
      <c r="D1987" s="56" t="s">
        <v>9412</v>
      </c>
      <c r="E1987" s="2"/>
      <c r="F1987" s="57"/>
      <c r="G1987" s="63" t="s">
        <v>9413</v>
      </c>
      <c r="H1987" s="59">
        <v>1</v>
      </c>
    </row>
    <row r="1988" spans="1:8" ht="112.5" customHeight="1" x14ac:dyDescent="0.15">
      <c r="A1988" s="54">
        <v>1962</v>
      </c>
      <c r="B1988" s="55" t="s">
        <v>3533</v>
      </c>
      <c r="C1988" s="55" t="s">
        <v>9414</v>
      </c>
      <c r="D1988" s="56" t="s">
        <v>9415</v>
      </c>
      <c r="E1988" s="2"/>
      <c r="F1988" s="57"/>
      <c r="G1988" s="64" t="s">
        <v>9416</v>
      </c>
      <c r="H1988" s="59">
        <v>999</v>
      </c>
    </row>
    <row r="1989" spans="1:8" ht="112.5" customHeight="1" x14ac:dyDescent="0.15">
      <c r="A1989" s="60">
        <v>1961</v>
      </c>
      <c r="B1989" s="30" t="s">
        <v>3526</v>
      </c>
      <c r="C1989" s="30" t="s">
        <v>9417</v>
      </c>
      <c r="D1989" s="61" t="s">
        <v>9418</v>
      </c>
      <c r="E1989" s="2"/>
      <c r="F1989" s="57"/>
      <c r="G1989" s="63" t="s">
        <v>9419</v>
      </c>
      <c r="H1989" s="59">
        <v>1</v>
      </c>
    </row>
    <row r="1990" spans="1:8" ht="112.5" customHeight="1" x14ac:dyDescent="0.15">
      <c r="A1990" s="54">
        <v>1960</v>
      </c>
      <c r="B1990" s="55" t="s">
        <v>3876</v>
      </c>
      <c r="C1990" s="55" t="s">
        <v>9420</v>
      </c>
      <c r="D1990" s="56" t="s">
        <v>9421</v>
      </c>
      <c r="E1990" s="2"/>
      <c r="F1990" s="57"/>
      <c r="G1990" s="64" t="s">
        <v>9422</v>
      </c>
      <c r="H1990" s="59">
        <v>1</v>
      </c>
    </row>
    <row r="1991" spans="1:8" ht="112.5" customHeight="1" x14ac:dyDescent="0.15">
      <c r="A1991" s="60">
        <v>1959</v>
      </c>
      <c r="B1991" s="30" t="s">
        <v>3814</v>
      </c>
      <c r="C1991" s="30" t="s">
        <v>9423</v>
      </c>
      <c r="D1991" s="61" t="s">
        <v>9424</v>
      </c>
      <c r="E1991" s="2"/>
      <c r="F1991" s="57"/>
      <c r="G1991" s="63" t="s">
        <v>9425</v>
      </c>
      <c r="H1991" s="59">
        <v>995</v>
      </c>
    </row>
    <row r="1992" spans="1:8" ht="112.5" customHeight="1" x14ac:dyDescent="0.15">
      <c r="A1992" s="54">
        <v>1958</v>
      </c>
      <c r="B1992" s="55" t="s">
        <v>3814</v>
      </c>
      <c r="C1992" s="55" t="s">
        <v>9426</v>
      </c>
      <c r="D1992" s="56" t="s">
        <v>9427</v>
      </c>
      <c r="E1992" s="2"/>
      <c r="F1992" s="57"/>
      <c r="G1992" s="64" t="s">
        <v>9428</v>
      </c>
      <c r="H1992" s="59">
        <v>1</v>
      </c>
    </row>
    <row r="1993" spans="1:8" ht="112.5" customHeight="1" x14ac:dyDescent="0.15">
      <c r="A1993" s="60">
        <v>1991</v>
      </c>
      <c r="B1993" s="30" t="s">
        <v>3492</v>
      </c>
      <c r="C1993" s="30" t="s">
        <v>9429</v>
      </c>
      <c r="D1993" s="61" t="s">
        <v>9430</v>
      </c>
      <c r="E1993" s="2"/>
      <c r="F1993" s="57"/>
      <c r="G1993" s="63" t="s">
        <v>9431</v>
      </c>
      <c r="H1993" s="59">
        <v>1</v>
      </c>
    </row>
    <row r="1994" spans="1:8" ht="112.5" customHeight="1" x14ac:dyDescent="0.15">
      <c r="A1994" s="54">
        <v>1990</v>
      </c>
      <c r="B1994" s="55" t="s">
        <v>3496</v>
      </c>
      <c r="C1994" s="55" t="s">
        <v>9432</v>
      </c>
      <c r="D1994" s="56" t="s">
        <v>9433</v>
      </c>
      <c r="E1994" s="2"/>
      <c r="F1994" s="57"/>
      <c r="G1994" s="64" t="s">
        <v>9434</v>
      </c>
      <c r="H1994" s="59">
        <v>1</v>
      </c>
    </row>
    <row r="1995" spans="1:8" ht="112.5" customHeight="1" x14ac:dyDescent="0.15">
      <c r="A1995" s="60">
        <v>1989</v>
      </c>
      <c r="B1995" s="30" t="s">
        <v>3496</v>
      </c>
      <c r="C1995" s="30" t="s">
        <v>9435</v>
      </c>
      <c r="D1995" s="61" t="s">
        <v>9436</v>
      </c>
      <c r="E1995" s="2"/>
      <c r="F1995" s="57"/>
      <c r="G1995" s="63" t="s">
        <v>9437</v>
      </c>
      <c r="H1995" s="59">
        <v>0</v>
      </c>
    </row>
    <row r="1996" spans="1:8" ht="112.5" customHeight="1" x14ac:dyDescent="0.15">
      <c r="A1996" s="54">
        <v>1988</v>
      </c>
      <c r="B1996" s="55" t="s">
        <v>3496</v>
      </c>
      <c r="C1996" s="55" t="s">
        <v>9438</v>
      </c>
      <c r="D1996" s="56" t="s">
        <v>9439</v>
      </c>
      <c r="E1996" s="2"/>
      <c r="F1996" s="57"/>
      <c r="G1996" s="64" t="s">
        <v>9440</v>
      </c>
      <c r="H1996" s="59">
        <v>905</v>
      </c>
    </row>
    <row r="1997" spans="1:8" ht="112.5" customHeight="1" x14ac:dyDescent="0.15">
      <c r="A1997" s="60">
        <v>1987</v>
      </c>
      <c r="B1997" s="30" t="s">
        <v>3496</v>
      </c>
      <c r="C1997" s="30" t="s">
        <v>9441</v>
      </c>
      <c r="D1997" s="61" t="s">
        <v>9442</v>
      </c>
      <c r="E1997" s="2"/>
      <c r="F1997" s="57"/>
      <c r="G1997" s="63" t="s">
        <v>9443</v>
      </c>
      <c r="H1997" s="59">
        <v>993</v>
      </c>
    </row>
    <row r="1998" spans="1:8" ht="112.5" customHeight="1" x14ac:dyDescent="0.15">
      <c r="A1998" s="60">
        <v>445</v>
      </c>
      <c r="B1998" s="30" t="s">
        <v>3496</v>
      </c>
      <c r="C1998" s="30" t="s">
        <v>9444</v>
      </c>
      <c r="D1998" s="61" t="s">
        <v>9445</v>
      </c>
      <c r="E1998" s="2"/>
      <c r="F1998" s="57"/>
      <c r="G1998" s="64" t="s">
        <v>9446</v>
      </c>
      <c r="H1998" s="59">
        <v>994</v>
      </c>
    </row>
    <row r="1999" spans="1:8" ht="112.5" customHeight="1" x14ac:dyDescent="0.15">
      <c r="A1999" s="54">
        <v>1986</v>
      </c>
      <c r="B1999" s="55" t="s">
        <v>3509</v>
      </c>
      <c r="C1999" s="55" t="s">
        <v>9447</v>
      </c>
      <c r="D1999" s="56" t="s">
        <v>9448</v>
      </c>
      <c r="E1999" s="2"/>
      <c r="F1999" s="57"/>
      <c r="G1999" s="63" t="s">
        <v>9449</v>
      </c>
      <c r="H1999" s="59">
        <v>980</v>
      </c>
    </row>
    <row r="2000" spans="1:8" ht="112.5" customHeight="1" x14ac:dyDescent="0.15">
      <c r="A2000" s="60">
        <v>1985</v>
      </c>
      <c r="B2000" s="30" t="s">
        <v>3533</v>
      </c>
      <c r="C2000" s="30" t="s">
        <v>9450</v>
      </c>
      <c r="D2000" s="61" t="s">
        <v>9451</v>
      </c>
      <c r="E2000" s="2"/>
      <c r="F2000" s="57"/>
      <c r="G2000" s="64" t="s">
        <v>4517</v>
      </c>
      <c r="H2000" s="59">
        <v>0</v>
      </c>
    </row>
    <row r="2001" spans="1:8" ht="112.5" customHeight="1" x14ac:dyDescent="0.15">
      <c r="A2001" s="54">
        <v>1984</v>
      </c>
      <c r="B2001" s="55" t="s">
        <v>3822</v>
      </c>
      <c r="C2001" s="55" t="s">
        <v>9452</v>
      </c>
      <c r="D2001" s="56" t="s">
        <v>9453</v>
      </c>
      <c r="E2001" s="2"/>
      <c r="F2001" s="57"/>
      <c r="G2001" s="63" t="s">
        <v>4514</v>
      </c>
      <c r="H2001" s="59">
        <v>184</v>
      </c>
    </row>
    <row r="2002" spans="1:8" ht="112.5" customHeight="1" x14ac:dyDescent="0.15">
      <c r="A2002" s="60">
        <v>1983</v>
      </c>
      <c r="B2002" s="30" t="s">
        <v>3822</v>
      </c>
      <c r="C2002" s="30" t="s">
        <v>9454</v>
      </c>
      <c r="D2002" s="61" t="s">
        <v>9455</v>
      </c>
      <c r="E2002" s="2"/>
      <c r="F2002" s="57"/>
      <c r="G2002" s="64" t="s">
        <v>9456</v>
      </c>
      <c r="H2002" s="59">
        <v>1</v>
      </c>
    </row>
    <row r="2003" spans="1:8" ht="112.5" customHeight="1" x14ac:dyDescent="0.15">
      <c r="A2003" s="54">
        <v>1982</v>
      </c>
      <c r="B2003" s="55" t="s">
        <v>3822</v>
      </c>
      <c r="C2003" s="55" t="s">
        <v>9457</v>
      </c>
      <c r="D2003" s="56" t="s">
        <v>9458</v>
      </c>
      <c r="E2003" s="2"/>
      <c r="F2003" s="57"/>
      <c r="G2003" s="63" t="s">
        <v>9459</v>
      </c>
      <c r="H2003" s="59">
        <v>1</v>
      </c>
    </row>
    <row r="2004" spans="1:8" ht="112.5" customHeight="1" x14ac:dyDescent="0.15">
      <c r="A2004" s="60">
        <v>1981</v>
      </c>
      <c r="B2004" s="30" t="s">
        <v>3822</v>
      </c>
      <c r="C2004" s="30" t="s">
        <v>9460</v>
      </c>
      <c r="D2004" s="61" t="s">
        <v>9461</v>
      </c>
      <c r="E2004" s="2"/>
      <c r="F2004" s="57"/>
      <c r="G2004" s="64" t="s">
        <v>9462</v>
      </c>
      <c r="H2004" s="59">
        <v>998</v>
      </c>
    </row>
    <row r="2005" spans="1:8" ht="112.5" customHeight="1" x14ac:dyDescent="0.15">
      <c r="A2005" s="54">
        <v>1980</v>
      </c>
      <c r="B2005" s="55" t="s">
        <v>3822</v>
      </c>
      <c r="C2005" s="55" t="s">
        <v>9463</v>
      </c>
      <c r="D2005" s="56" t="s">
        <v>9464</v>
      </c>
      <c r="E2005" s="2"/>
      <c r="F2005" s="57"/>
      <c r="G2005" s="63" t="s">
        <v>9465</v>
      </c>
      <c r="H2005" s="59">
        <v>956</v>
      </c>
    </row>
    <row r="2006" spans="1:8" ht="112.5" customHeight="1" x14ac:dyDescent="0.15">
      <c r="A2006" s="60">
        <v>1979</v>
      </c>
      <c r="B2006" s="30" t="s">
        <v>3513</v>
      </c>
      <c r="C2006" s="30" t="s">
        <v>9466</v>
      </c>
      <c r="D2006" s="61" t="s">
        <v>9467</v>
      </c>
      <c r="E2006" s="2"/>
      <c r="F2006" s="57"/>
      <c r="G2006" s="64" t="s">
        <v>9468</v>
      </c>
      <c r="H2006" s="59">
        <v>841</v>
      </c>
    </row>
    <row r="2007" spans="1:8" ht="112.5" customHeight="1" x14ac:dyDescent="0.15">
      <c r="A2007" s="60">
        <v>3317</v>
      </c>
      <c r="B2007" s="30" t="s">
        <v>3496</v>
      </c>
      <c r="C2007" s="30" t="s">
        <v>9469</v>
      </c>
      <c r="D2007" s="61" t="s">
        <v>9470</v>
      </c>
      <c r="E2007" s="2"/>
      <c r="F2007" s="57"/>
      <c r="G2007" s="63" t="s">
        <v>9471</v>
      </c>
      <c r="H2007" s="59">
        <v>987</v>
      </c>
    </row>
    <row r="2008" spans="1:8" ht="112.5" customHeight="1" x14ac:dyDescent="0.15">
      <c r="A2008" s="54">
        <v>3250</v>
      </c>
      <c r="B2008" s="55" t="s">
        <v>3496</v>
      </c>
      <c r="C2008" s="55" t="s">
        <v>9472</v>
      </c>
      <c r="D2008" s="56" t="s">
        <v>9473</v>
      </c>
      <c r="E2008" s="2"/>
      <c r="F2008" s="57"/>
      <c r="G2008" s="64" t="s">
        <v>9474</v>
      </c>
      <c r="H2008" s="59">
        <v>970</v>
      </c>
    </row>
    <row r="2009" spans="1:8" ht="112.5" customHeight="1" x14ac:dyDescent="0.15">
      <c r="A2009" s="60">
        <v>3251</v>
      </c>
      <c r="B2009" s="30" t="s">
        <v>3496</v>
      </c>
      <c r="C2009" s="30" t="s">
        <v>9475</v>
      </c>
      <c r="D2009" s="61" t="s">
        <v>9476</v>
      </c>
      <c r="E2009" s="2"/>
      <c r="F2009" s="57"/>
      <c r="G2009" s="63" t="s">
        <v>9477</v>
      </c>
      <c r="H2009" s="59">
        <v>1</v>
      </c>
    </row>
    <row r="2010" spans="1:8" ht="112.5" customHeight="1" x14ac:dyDescent="0.15">
      <c r="A2010" s="54">
        <v>1978</v>
      </c>
      <c r="B2010" s="55" t="s">
        <v>3556</v>
      </c>
      <c r="C2010" s="55" t="s">
        <v>9478</v>
      </c>
      <c r="D2010" s="56" t="s">
        <v>9479</v>
      </c>
      <c r="E2010" s="2"/>
      <c r="F2010" s="57"/>
      <c r="G2010" s="64" t="s">
        <v>9480</v>
      </c>
      <c r="H2010" s="59">
        <v>1</v>
      </c>
    </row>
    <row r="2011" spans="1:8" ht="112.5" customHeight="1" x14ac:dyDescent="0.15">
      <c r="A2011" s="60">
        <v>1977</v>
      </c>
      <c r="B2011" s="30" t="s">
        <v>3630</v>
      </c>
      <c r="C2011" s="30" t="s">
        <v>9481</v>
      </c>
      <c r="D2011" s="61" t="s">
        <v>9482</v>
      </c>
      <c r="E2011" s="2"/>
      <c r="F2011" s="57"/>
      <c r="G2011" s="63" t="s">
        <v>9483</v>
      </c>
      <c r="H2011" s="59">
        <v>998</v>
      </c>
    </row>
    <row r="2012" spans="1:8" ht="112.5" customHeight="1" x14ac:dyDescent="0.15">
      <c r="A2012" s="54">
        <v>1976</v>
      </c>
      <c r="B2012" s="55" t="s">
        <v>3599</v>
      </c>
      <c r="C2012" s="55" t="s">
        <v>9484</v>
      </c>
      <c r="D2012" s="56" t="s">
        <v>9485</v>
      </c>
      <c r="E2012" s="2"/>
      <c r="F2012" s="57"/>
      <c r="G2012" s="64" t="s">
        <v>9486</v>
      </c>
      <c r="H2012" s="59">
        <v>1</v>
      </c>
    </row>
    <row r="2013" spans="1:8" ht="112.5" customHeight="1" x14ac:dyDescent="0.15">
      <c r="A2013" s="60">
        <v>1951</v>
      </c>
      <c r="B2013" s="30" t="s">
        <v>3898</v>
      </c>
      <c r="C2013" s="30" t="s">
        <v>9487</v>
      </c>
      <c r="D2013" s="61" t="s">
        <v>9488</v>
      </c>
      <c r="E2013" s="2"/>
      <c r="F2013" s="57"/>
      <c r="G2013" s="63" t="s">
        <v>9489</v>
      </c>
      <c r="H2013" s="59">
        <v>1</v>
      </c>
    </row>
    <row r="2014" spans="1:8" ht="112.5" customHeight="1" x14ac:dyDescent="0.15">
      <c r="A2014" s="54">
        <v>1950</v>
      </c>
      <c r="B2014" s="55" t="s">
        <v>3898</v>
      </c>
      <c r="C2014" s="55" t="s">
        <v>9490</v>
      </c>
      <c r="D2014" s="56" t="s">
        <v>9491</v>
      </c>
      <c r="E2014" s="2"/>
      <c r="F2014" s="57"/>
      <c r="G2014" s="64" t="s">
        <v>9492</v>
      </c>
      <c r="H2014" s="59">
        <v>1</v>
      </c>
    </row>
    <row r="2015" spans="1:8" ht="112.5" customHeight="1" x14ac:dyDescent="0.15">
      <c r="A2015" s="60">
        <v>1949</v>
      </c>
      <c r="B2015" s="30" t="s">
        <v>3822</v>
      </c>
      <c r="C2015" s="30" t="s">
        <v>9493</v>
      </c>
      <c r="D2015" s="61" t="s">
        <v>9494</v>
      </c>
      <c r="E2015" s="2"/>
      <c r="F2015" s="57"/>
      <c r="G2015" s="63" t="s">
        <v>9495</v>
      </c>
      <c r="H2015" s="59">
        <v>1</v>
      </c>
    </row>
    <row r="2016" spans="1:8" ht="112.5" customHeight="1" x14ac:dyDescent="0.15">
      <c r="A2016" s="60">
        <v>1971</v>
      </c>
      <c r="B2016" s="30" t="s">
        <v>3492</v>
      </c>
      <c r="C2016" s="30" t="s">
        <v>9496</v>
      </c>
      <c r="D2016" s="61" t="s">
        <v>9497</v>
      </c>
      <c r="E2016" s="2"/>
      <c r="F2016" s="57"/>
      <c r="G2016" s="64" t="s">
        <v>9498</v>
      </c>
      <c r="H2016" s="59">
        <v>1</v>
      </c>
    </row>
    <row r="2017" spans="1:8" ht="112.5" customHeight="1" x14ac:dyDescent="0.15">
      <c r="A2017" s="60">
        <v>1947</v>
      </c>
      <c r="B2017" s="30" t="s">
        <v>3749</v>
      </c>
      <c r="C2017" s="30" t="s">
        <v>9499</v>
      </c>
      <c r="D2017" s="61" t="s">
        <v>9500</v>
      </c>
      <c r="E2017" s="2"/>
      <c r="F2017" s="57"/>
      <c r="G2017" s="63" t="s">
        <v>9501</v>
      </c>
      <c r="H2017" s="59">
        <v>836</v>
      </c>
    </row>
    <row r="2018" spans="1:8" ht="112.5" customHeight="1" x14ac:dyDescent="0.15">
      <c r="A2018" s="54">
        <v>1946</v>
      </c>
      <c r="B2018" s="55" t="s">
        <v>3513</v>
      </c>
      <c r="C2018" s="55" t="s">
        <v>9502</v>
      </c>
      <c r="D2018" s="56" t="s">
        <v>9503</v>
      </c>
      <c r="E2018" s="2"/>
      <c r="F2018" s="57"/>
      <c r="G2018" s="64" t="s">
        <v>9504</v>
      </c>
      <c r="H2018" s="59">
        <v>1</v>
      </c>
    </row>
    <row r="2019" spans="1:8" ht="112.5" customHeight="1" x14ac:dyDescent="0.15">
      <c r="A2019" s="60">
        <v>1945</v>
      </c>
      <c r="B2019" s="30" t="s">
        <v>3533</v>
      </c>
      <c r="C2019" s="30" t="s">
        <v>9505</v>
      </c>
      <c r="D2019" s="61" t="s">
        <v>9506</v>
      </c>
      <c r="E2019" s="2"/>
      <c r="F2019" s="57"/>
      <c r="G2019" s="63" t="s">
        <v>9507</v>
      </c>
      <c r="H2019" s="59">
        <v>1</v>
      </c>
    </row>
    <row r="2020" spans="1:8" ht="112.5" customHeight="1" x14ac:dyDescent="0.15">
      <c r="A2020" s="54">
        <v>1944</v>
      </c>
      <c r="B2020" s="55" t="s">
        <v>3556</v>
      </c>
      <c r="C2020" s="55" t="s">
        <v>9508</v>
      </c>
      <c r="D2020" s="56" t="s">
        <v>9509</v>
      </c>
      <c r="E2020" s="2"/>
      <c r="F2020" s="57"/>
      <c r="G2020" s="64" t="s">
        <v>9510</v>
      </c>
      <c r="H2020" s="59">
        <v>1</v>
      </c>
    </row>
    <row r="2021" spans="1:8" ht="112.5" customHeight="1" x14ac:dyDescent="0.15">
      <c r="A2021" s="60">
        <v>1943</v>
      </c>
      <c r="B2021" s="30" t="s">
        <v>3556</v>
      </c>
      <c r="C2021" s="30" t="s">
        <v>9511</v>
      </c>
      <c r="D2021" s="61" t="s">
        <v>9512</v>
      </c>
      <c r="E2021" s="2"/>
      <c r="F2021" s="57"/>
      <c r="G2021" s="63" t="s">
        <v>4511</v>
      </c>
      <c r="H2021" s="59">
        <v>1</v>
      </c>
    </row>
    <row r="2022" spans="1:8" ht="112.5" customHeight="1" x14ac:dyDescent="0.15">
      <c r="A2022" s="54">
        <v>1942</v>
      </c>
      <c r="B2022" s="55" t="s">
        <v>3749</v>
      </c>
      <c r="C2022" s="55" t="s">
        <v>9513</v>
      </c>
      <c r="D2022" s="56" t="s">
        <v>9514</v>
      </c>
      <c r="E2022" s="2"/>
      <c r="F2022" s="57"/>
      <c r="G2022" s="64" t="s">
        <v>9515</v>
      </c>
      <c r="H2022" s="59">
        <v>995</v>
      </c>
    </row>
    <row r="2023" spans="1:8" ht="112.5" customHeight="1" x14ac:dyDescent="0.15">
      <c r="A2023" s="60">
        <v>2363</v>
      </c>
      <c r="B2023" s="30" t="s">
        <v>3496</v>
      </c>
      <c r="C2023" s="30" t="s">
        <v>9516</v>
      </c>
      <c r="D2023" s="61" t="s">
        <v>9517</v>
      </c>
      <c r="E2023" s="2"/>
      <c r="F2023" s="57"/>
      <c r="G2023" s="63" t="s">
        <v>9518</v>
      </c>
      <c r="H2023" s="59">
        <v>978</v>
      </c>
    </row>
    <row r="2024" spans="1:8" ht="112.5" customHeight="1" x14ac:dyDescent="0.15">
      <c r="A2024" s="60">
        <v>1939</v>
      </c>
      <c r="B2024" s="30" t="s">
        <v>3549</v>
      </c>
      <c r="C2024" s="30" t="s">
        <v>9519</v>
      </c>
      <c r="D2024" s="61" t="s">
        <v>9520</v>
      </c>
      <c r="E2024" s="2"/>
      <c r="F2024" s="57"/>
      <c r="G2024" s="64" t="s">
        <v>9521</v>
      </c>
      <c r="H2024" s="59">
        <v>1</v>
      </c>
    </row>
    <row r="2025" spans="1:8" ht="112.5" customHeight="1" x14ac:dyDescent="0.15">
      <c r="A2025" s="54">
        <v>1938</v>
      </c>
      <c r="B2025" s="55" t="s">
        <v>3549</v>
      </c>
      <c r="C2025" s="55" t="s">
        <v>9522</v>
      </c>
      <c r="D2025" s="56" t="s">
        <v>9523</v>
      </c>
      <c r="E2025" s="2"/>
      <c r="F2025" s="57"/>
      <c r="G2025" s="63" t="s">
        <v>9524</v>
      </c>
      <c r="H2025" s="59">
        <v>990</v>
      </c>
    </row>
    <row r="2026" spans="1:8" ht="112.5" customHeight="1" x14ac:dyDescent="0.15">
      <c r="A2026" s="60">
        <v>1937</v>
      </c>
      <c r="B2026" s="30" t="s">
        <v>3502</v>
      </c>
      <c r="C2026" s="30" t="s">
        <v>9525</v>
      </c>
      <c r="D2026" s="61" t="s">
        <v>9526</v>
      </c>
      <c r="E2026" s="2"/>
      <c r="F2026" s="57"/>
      <c r="G2026" s="64" t="s">
        <v>9527</v>
      </c>
      <c r="H2026" s="59">
        <v>988</v>
      </c>
    </row>
    <row r="2027" spans="1:8" ht="112.5" customHeight="1" x14ac:dyDescent="0.15">
      <c r="A2027" s="54">
        <v>1936</v>
      </c>
      <c r="B2027" s="55" t="s">
        <v>3549</v>
      </c>
      <c r="C2027" s="55" t="s">
        <v>9528</v>
      </c>
      <c r="D2027" s="56" t="s">
        <v>9529</v>
      </c>
      <c r="E2027" s="2"/>
      <c r="F2027" s="57"/>
      <c r="G2027" s="63" t="s">
        <v>9530</v>
      </c>
      <c r="H2027" s="59">
        <v>997</v>
      </c>
    </row>
    <row r="2028" spans="1:8" ht="112.5" customHeight="1" x14ac:dyDescent="0.15">
      <c r="A2028" s="60">
        <v>1935</v>
      </c>
      <c r="B2028" s="30" t="s">
        <v>3549</v>
      </c>
      <c r="C2028" s="30" t="s">
        <v>9531</v>
      </c>
      <c r="D2028" s="61" t="s">
        <v>9532</v>
      </c>
      <c r="E2028" s="2"/>
      <c r="F2028" s="57"/>
      <c r="G2028" s="64" t="s">
        <v>9533</v>
      </c>
      <c r="H2028" s="59">
        <v>1</v>
      </c>
    </row>
    <row r="2029" spans="1:8" ht="112.5" customHeight="1" x14ac:dyDescent="0.15">
      <c r="A2029" s="54">
        <v>1934</v>
      </c>
      <c r="B2029" s="55" t="s">
        <v>3496</v>
      </c>
      <c r="C2029" s="55" t="s">
        <v>9534</v>
      </c>
      <c r="D2029" s="56" t="s">
        <v>9535</v>
      </c>
      <c r="E2029" s="2"/>
      <c r="F2029" s="57"/>
      <c r="G2029" s="63" t="s">
        <v>9536</v>
      </c>
      <c r="H2029" s="59">
        <v>1</v>
      </c>
    </row>
    <row r="2030" spans="1:8" ht="112.5" customHeight="1" x14ac:dyDescent="0.15">
      <c r="A2030" s="54">
        <v>1968</v>
      </c>
      <c r="B2030" s="55" t="s">
        <v>3749</v>
      </c>
      <c r="C2030" s="55" t="s">
        <v>9537</v>
      </c>
      <c r="D2030" s="56" t="s">
        <v>9538</v>
      </c>
      <c r="E2030" s="2"/>
      <c r="F2030" s="57"/>
      <c r="G2030" s="64" t="s">
        <v>9539</v>
      </c>
      <c r="H2030" s="59">
        <v>1</v>
      </c>
    </row>
    <row r="2031" spans="1:8" ht="112.5" customHeight="1" x14ac:dyDescent="0.15">
      <c r="A2031" s="60">
        <v>1967</v>
      </c>
      <c r="B2031" s="30" t="s">
        <v>3898</v>
      </c>
      <c r="C2031" s="30" t="s">
        <v>9540</v>
      </c>
      <c r="D2031" s="61" t="s">
        <v>9541</v>
      </c>
      <c r="E2031" s="2"/>
      <c r="F2031" s="57"/>
      <c r="G2031" s="63" t="s">
        <v>9542</v>
      </c>
      <c r="H2031" s="59">
        <v>1</v>
      </c>
    </row>
    <row r="2032" spans="1:8" ht="112.5" customHeight="1" x14ac:dyDescent="0.15">
      <c r="A2032" s="54">
        <v>1966</v>
      </c>
      <c r="B2032" s="55" t="s">
        <v>3801</v>
      </c>
      <c r="C2032" s="55" t="s">
        <v>9543</v>
      </c>
      <c r="D2032" s="56" t="s">
        <v>9544</v>
      </c>
      <c r="E2032" s="2"/>
      <c r="F2032" s="57"/>
      <c r="G2032" s="64" t="s">
        <v>9545</v>
      </c>
      <c r="H2032" s="59">
        <v>951</v>
      </c>
    </row>
    <row r="2033" spans="1:13" ht="112.5" customHeight="1" x14ac:dyDescent="0.15">
      <c r="A2033" s="60">
        <v>1965</v>
      </c>
      <c r="B2033" s="30" t="s">
        <v>3509</v>
      </c>
      <c r="C2033" s="30" t="s">
        <v>9546</v>
      </c>
      <c r="D2033" s="61" t="s">
        <v>9547</v>
      </c>
      <c r="E2033" s="2"/>
      <c r="F2033" s="57"/>
      <c r="G2033" s="62" t="s">
        <v>9548</v>
      </c>
      <c r="H2033" s="59">
        <v>0</v>
      </c>
      <c r="I2033" s="29"/>
      <c r="J2033" s="29"/>
      <c r="K2033" s="29"/>
      <c r="L2033" s="29"/>
      <c r="M2033" s="29"/>
    </row>
    <row r="2034" spans="1:13" ht="112.5" customHeight="1" x14ac:dyDescent="0.15">
      <c r="A2034" s="60">
        <v>2019</v>
      </c>
      <c r="B2034" s="30" t="s">
        <v>3749</v>
      </c>
      <c r="C2034" s="30" t="s">
        <v>9549</v>
      </c>
      <c r="D2034" s="61" t="s">
        <v>9550</v>
      </c>
      <c r="E2034" s="2"/>
      <c r="F2034" s="57"/>
      <c r="G2034" s="64" t="s">
        <v>9551</v>
      </c>
      <c r="H2034" s="59">
        <v>99.998999999999995</v>
      </c>
    </row>
    <row r="2035" spans="1:13" ht="112.5" customHeight="1" x14ac:dyDescent="0.15">
      <c r="A2035" s="54">
        <v>1964</v>
      </c>
      <c r="B2035" s="55" t="s">
        <v>3492</v>
      </c>
      <c r="C2035" s="55" t="s">
        <v>9552</v>
      </c>
      <c r="D2035" s="56" t="s">
        <v>9553</v>
      </c>
      <c r="E2035" s="2"/>
      <c r="F2035" s="57"/>
      <c r="G2035" s="63" t="s">
        <v>9554</v>
      </c>
      <c r="H2035" s="59">
        <v>100</v>
      </c>
    </row>
    <row r="2036" spans="1:13" ht="112.5" customHeight="1" x14ac:dyDescent="0.15">
      <c r="A2036" s="54">
        <v>2018</v>
      </c>
      <c r="B2036" s="55" t="s">
        <v>3509</v>
      </c>
      <c r="C2036" s="55" t="s">
        <v>9555</v>
      </c>
      <c r="D2036" s="56" t="s">
        <v>9556</v>
      </c>
      <c r="E2036" s="2"/>
      <c r="F2036" s="57"/>
      <c r="G2036" s="64" t="s">
        <v>9557</v>
      </c>
      <c r="H2036" s="59">
        <v>100</v>
      </c>
    </row>
    <row r="2037" spans="1:13" ht="112.5" customHeight="1" x14ac:dyDescent="0.15">
      <c r="A2037" s="60">
        <v>2017</v>
      </c>
      <c r="B2037" s="30" t="s">
        <v>3509</v>
      </c>
      <c r="C2037" s="30" t="s">
        <v>9558</v>
      </c>
      <c r="D2037" s="61" t="s">
        <v>9559</v>
      </c>
      <c r="E2037" s="2"/>
      <c r="F2037" s="57"/>
      <c r="G2037" s="63" t="s">
        <v>9560</v>
      </c>
      <c r="H2037" s="59">
        <v>99.99</v>
      </c>
    </row>
    <row r="2038" spans="1:13" ht="112.5" customHeight="1" x14ac:dyDescent="0.15">
      <c r="A2038" s="54">
        <v>2016</v>
      </c>
      <c r="B2038" s="55" t="s">
        <v>3513</v>
      </c>
      <c r="C2038" s="55" t="s">
        <v>9561</v>
      </c>
      <c r="D2038" s="56" t="s">
        <v>9562</v>
      </c>
      <c r="E2038" s="2"/>
      <c r="F2038" s="57"/>
      <c r="G2038" s="64" t="s">
        <v>9563</v>
      </c>
      <c r="H2038" s="59">
        <v>100</v>
      </c>
    </row>
    <row r="2039" spans="1:13" ht="112.5" customHeight="1" x14ac:dyDescent="0.15">
      <c r="A2039" s="60">
        <v>2015</v>
      </c>
      <c r="B2039" s="30" t="s">
        <v>3509</v>
      </c>
      <c r="C2039" s="30" t="s">
        <v>9564</v>
      </c>
      <c r="D2039" s="61" t="s">
        <v>9565</v>
      </c>
      <c r="E2039" s="2"/>
      <c r="F2039" s="57"/>
      <c r="G2039" s="63" t="s">
        <v>9566</v>
      </c>
      <c r="H2039" s="59">
        <v>99.7</v>
      </c>
    </row>
    <row r="2040" spans="1:13" ht="112.5" customHeight="1" x14ac:dyDescent="0.15">
      <c r="A2040" s="54">
        <v>2014</v>
      </c>
      <c r="B2040" s="55" t="s">
        <v>3509</v>
      </c>
      <c r="C2040" s="55" t="s">
        <v>9567</v>
      </c>
      <c r="D2040" s="56" t="s">
        <v>9568</v>
      </c>
      <c r="E2040" s="2"/>
      <c r="F2040" s="57"/>
      <c r="G2040" s="64" t="s">
        <v>9569</v>
      </c>
      <c r="H2040" s="59">
        <v>100</v>
      </c>
    </row>
    <row r="2041" spans="1:13" ht="112.5" customHeight="1" x14ac:dyDescent="0.15">
      <c r="A2041" s="60">
        <v>2013</v>
      </c>
      <c r="B2041" s="30" t="s">
        <v>3509</v>
      </c>
      <c r="C2041" s="30" t="s">
        <v>9570</v>
      </c>
      <c r="D2041" s="61" t="s">
        <v>9571</v>
      </c>
      <c r="E2041" s="2"/>
      <c r="F2041" s="57"/>
      <c r="G2041" s="63" t="s">
        <v>9572</v>
      </c>
      <c r="H2041" s="59">
        <v>100</v>
      </c>
    </row>
    <row r="2042" spans="1:13" ht="112.5" customHeight="1" x14ac:dyDescent="0.15">
      <c r="A2042" s="54">
        <v>2012</v>
      </c>
      <c r="B2042" s="55" t="s">
        <v>3509</v>
      </c>
      <c r="C2042" s="55" t="s">
        <v>9573</v>
      </c>
      <c r="D2042" s="56" t="s">
        <v>9574</v>
      </c>
      <c r="E2042" s="2"/>
      <c r="F2042" s="57"/>
      <c r="G2042" s="64" t="s">
        <v>9575</v>
      </c>
      <c r="H2042" s="59">
        <v>99.994</v>
      </c>
    </row>
    <row r="2043" spans="1:13" ht="112.5" customHeight="1" x14ac:dyDescent="0.15">
      <c r="A2043" s="60">
        <v>2187</v>
      </c>
      <c r="B2043" s="30" t="s">
        <v>3509</v>
      </c>
      <c r="C2043" s="30" t="s">
        <v>9576</v>
      </c>
      <c r="D2043" s="61" t="s">
        <v>9574</v>
      </c>
      <c r="E2043" s="2"/>
      <c r="F2043" s="57"/>
      <c r="G2043" s="63" t="s">
        <v>9577</v>
      </c>
      <c r="H2043" s="59">
        <v>99.956000000000003</v>
      </c>
    </row>
    <row r="2044" spans="1:13" ht="112.5" customHeight="1" x14ac:dyDescent="0.15">
      <c r="A2044" s="60">
        <v>1957</v>
      </c>
      <c r="B2044" s="30" t="s">
        <v>3556</v>
      </c>
      <c r="C2044" s="30" t="s">
        <v>9578</v>
      </c>
      <c r="D2044" s="61" t="s">
        <v>9579</v>
      </c>
      <c r="E2044" s="2"/>
      <c r="F2044" s="57"/>
      <c r="G2044" s="64" t="s">
        <v>9580</v>
      </c>
      <c r="H2044" s="59">
        <v>100</v>
      </c>
    </row>
    <row r="2045" spans="1:13" ht="112.5" customHeight="1" x14ac:dyDescent="0.15">
      <c r="A2045" s="54">
        <v>1956</v>
      </c>
      <c r="B2045" s="55" t="s">
        <v>3556</v>
      </c>
      <c r="C2045" s="55" t="s">
        <v>9581</v>
      </c>
      <c r="D2045" s="56" t="s">
        <v>9582</v>
      </c>
      <c r="E2045" s="2"/>
      <c r="F2045" s="57"/>
      <c r="G2045" s="63" t="s">
        <v>9583</v>
      </c>
      <c r="H2045" s="59">
        <v>100</v>
      </c>
    </row>
    <row r="2046" spans="1:13" ht="112.5" customHeight="1" x14ac:dyDescent="0.15">
      <c r="A2046" s="60">
        <v>1955</v>
      </c>
      <c r="B2046" s="30" t="s">
        <v>3556</v>
      </c>
      <c r="C2046" s="30" t="s">
        <v>9584</v>
      </c>
      <c r="D2046" s="61" t="s">
        <v>9585</v>
      </c>
      <c r="E2046" s="2"/>
      <c r="F2046" s="57"/>
      <c r="G2046" s="64" t="s">
        <v>9586</v>
      </c>
      <c r="H2046" s="59">
        <v>100</v>
      </c>
    </row>
    <row r="2047" spans="1:13" ht="112.5" customHeight="1" x14ac:dyDescent="0.15">
      <c r="A2047" s="54">
        <v>1954</v>
      </c>
      <c r="B2047" s="55" t="s">
        <v>3556</v>
      </c>
      <c r="C2047" s="55" t="s">
        <v>9587</v>
      </c>
      <c r="D2047" s="56" t="s">
        <v>9588</v>
      </c>
      <c r="E2047" s="2"/>
      <c r="F2047" s="57"/>
      <c r="G2047" s="63" t="s">
        <v>9589</v>
      </c>
      <c r="H2047" s="59">
        <v>1</v>
      </c>
    </row>
    <row r="2048" spans="1:13" ht="112.5" customHeight="1" x14ac:dyDescent="0.15">
      <c r="A2048" s="60">
        <v>1953</v>
      </c>
      <c r="B2048" s="30" t="s">
        <v>3492</v>
      </c>
      <c r="C2048" s="30" t="s">
        <v>9590</v>
      </c>
      <c r="D2048" s="61" t="s">
        <v>9591</v>
      </c>
      <c r="E2048" s="2"/>
      <c r="F2048" s="57"/>
      <c r="G2048" s="64" t="s">
        <v>9592</v>
      </c>
      <c r="H2048" s="59">
        <v>99.977000000000004</v>
      </c>
    </row>
    <row r="2049" spans="1:8" ht="112.5" customHeight="1" x14ac:dyDescent="0.15">
      <c r="A2049" s="54">
        <v>1952</v>
      </c>
      <c r="B2049" s="55" t="s">
        <v>3556</v>
      </c>
      <c r="C2049" s="55" t="s">
        <v>9593</v>
      </c>
      <c r="D2049" s="56" t="s">
        <v>9594</v>
      </c>
      <c r="E2049" s="2"/>
      <c r="F2049" s="57"/>
      <c r="G2049" s="63" t="s">
        <v>9595</v>
      </c>
      <c r="H2049" s="59">
        <v>99.986999999999995</v>
      </c>
    </row>
    <row r="2050" spans="1:8" ht="112.5" customHeight="1" x14ac:dyDescent="0.15">
      <c r="A2050" s="60">
        <v>1941</v>
      </c>
      <c r="B2050" s="30" t="s">
        <v>3814</v>
      </c>
      <c r="C2050" s="30" t="s">
        <v>9596</v>
      </c>
      <c r="D2050" s="61" t="s">
        <v>9597</v>
      </c>
      <c r="E2050" s="2"/>
      <c r="F2050" s="57"/>
      <c r="G2050" s="64" t="s">
        <v>9598</v>
      </c>
      <c r="H2050" s="59">
        <v>99.986999999999995</v>
      </c>
    </row>
    <row r="2051" spans="1:8" ht="112.5" customHeight="1" x14ac:dyDescent="0.15">
      <c r="A2051" s="54">
        <v>3100</v>
      </c>
      <c r="B2051" s="55" t="s">
        <v>3502</v>
      </c>
      <c r="C2051" s="55" t="s">
        <v>9599</v>
      </c>
      <c r="D2051" s="56" t="s">
        <v>9600</v>
      </c>
      <c r="E2051" s="2"/>
      <c r="F2051" s="57"/>
      <c r="G2051" s="63" t="s">
        <v>9601</v>
      </c>
      <c r="H2051" s="59">
        <v>0</v>
      </c>
    </row>
    <row r="2052" spans="1:8" ht="112.5" customHeight="1" x14ac:dyDescent="0.15">
      <c r="A2052" s="54">
        <v>2186</v>
      </c>
      <c r="B2052" s="55" t="s">
        <v>3822</v>
      </c>
      <c r="C2052" s="55" t="s">
        <v>9602</v>
      </c>
      <c r="D2052" s="56" t="s">
        <v>9603</v>
      </c>
      <c r="E2052" s="2"/>
      <c r="F2052" s="57"/>
      <c r="G2052" s="64" t="s">
        <v>9604</v>
      </c>
      <c r="H2052" s="59">
        <v>100</v>
      </c>
    </row>
    <row r="2053" spans="1:8" ht="112.5" customHeight="1" x14ac:dyDescent="0.15">
      <c r="A2053" s="60">
        <v>2185</v>
      </c>
      <c r="B2053" s="30" t="s">
        <v>3822</v>
      </c>
      <c r="C2053" s="30" t="s">
        <v>9605</v>
      </c>
      <c r="D2053" s="61" t="s">
        <v>9606</v>
      </c>
      <c r="E2053" s="2"/>
      <c r="F2053" s="57"/>
      <c r="G2053" s="63" t="s">
        <v>9607</v>
      </c>
      <c r="H2053" s="59">
        <v>99.805999999999997</v>
      </c>
    </row>
    <row r="2054" spans="1:8" ht="112.5" customHeight="1" x14ac:dyDescent="0.15">
      <c r="A2054" s="60">
        <v>1963</v>
      </c>
      <c r="B2054" s="30" t="s">
        <v>3533</v>
      </c>
      <c r="C2054" s="30" t="s">
        <v>9608</v>
      </c>
      <c r="D2054" s="61" t="s">
        <v>9609</v>
      </c>
      <c r="E2054" s="2"/>
      <c r="F2054" s="57"/>
      <c r="G2054" s="64" t="s">
        <v>9610</v>
      </c>
      <c r="H2054" s="59">
        <v>0</v>
      </c>
    </row>
    <row r="2055" spans="1:8" ht="112.5" customHeight="1" x14ac:dyDescent="0.15">
      <c r="A2055" s="54">
        <v>2184</v>
      </c>
      <c r="B2055" s="55" t="s">
        <v>3533</v>
      </c>
      <c r="C2055" s="55" t="s">
        <v>9611</v>
      </c>
      <c r="D2055" s="56" t="s">
        <v>9612</v>
      </c>
      <c r="E2055" s="2"/>
      <c r="F2055" s="57"/>
      <c r="G2055" s="63" t="s">
        <v>9613</v>
      </c>
      <c r="H2055" s="59">
        <v>100</v>
      </c>
    </row>
    <row r="2056" spans="1:8" ht="112.5" customHeight="1" x14ac:dyDescent="0.15">
      <c r="A2056" s="60">
        <v>2183</v>
      </c>
      <c r="B2056" s="30" t="s">
        <v>3556</v>
      </c>
      <c r="C2056" s="30" t="s">
        <v>9614</v>
      </c>
      <c r="D2056" s="61" t="s">
        <v>9615</v>
      </c>
      <c r="E2056" s="2"/>
      <c r="F2056" s="57"/>
      <c r="G2056" s="64" t="s">
        <v>9616</v>
      </c>
      <c r="H2056" s="59">
        <v>99.994</v>
      </c>
    </row>
    <row r="2057" spans="1:8" ht="112.5" customHeight="1" x14ac:dyDescent="0.15">
      <c r="A2057" s="54">
        <v>2182</v>
      </c>
      <c r="B2057" s="55" t="s">
        <v>3556</v>
      </c>
      <c r="C2057" s="55" t="s">
        <v>9617</v>
      </c>
      <c r="D2057" s="56" t="s">
        <v>9618</v>
      </c>
      <c r="E2057" s="2"/>
      <c r="F2057" s="57"/>
      <c r="G2057" s="63" t="s">
        <v>9619</v>
      </c>
      <c r="H2057" s="59">
        <v>99.918999999999997</v>
      </c>
    </row>
    <row r="2058" spans="1:8" ht="112.5" customHeight="1" x14ac:dyDescent="0.15">
      <c r="A2058" s="60">
        <v>2181</v>
      </c>
      <c r="B2058" s="30" t="s">
        <v>3818</v>
      </c>
      <c r="C2058" s="30" t="s">
        <v>9620</v>
      </c>
      <c r="D2058" s="61" t="s">
        <v>9621</v>
      </c>
      <c r="E2058" s="2"/>
      <c r="F2058" s="57"/>
      <c r="G2058" s="64" t="s">
        <v>9622</v>
      </c>
      <c r="H2058" s="59">
        <v>99.99</v>
      </c>
    </row>
    <row r="2059" spans="1:8" ht="112.5" customHeight="1" x14ac:dyDescent="0.15">
      <c r="A2059" s="54">
        <v>2180</v>
      </c>
      <c r="B2059" s="55" t="s">
        <v>3818</v>
      </c>
      <c r="C2059" s="55" t="s">
        <v>9623</v>
      </c>
      <c r="D2059" s="56" t="s">
        <v>9624</v>
      </c>
      <c r="E2059" s="2"/>
      <c r="F2059" s="57"/>
      <c r="G2059" s="63" t="s">
        <v>9625</v>
      </c>
      <c r="H2059" s="59">
        <v>99.995000000000005</v>
      </c>
    </row>
    <row r="2060" spans="1:8" ht="112.5" customHeight="1" x14ac:dyDescent="0.15">
      <c r="A2060" s="60">
        <v>2179</v>
      </c>
      <c r="B2060" s="30" t="s">
        <v>3502</v>
      </c>
      <c r="C2060" s="30" t="s">
        <v>9626</v>
      </c>
      <c r="D2060" s="61" t="s">
        <v>9627</v>
      </c>
      <c r="E2060" s="2"/>
      <c r="F2060" s="57"/>
      <c r="G2060" s="64" t="s">
        <v>9628</v>
      </c>
      <c r="H2060" s="59">
        <v>100</v>
      </c>
    </row>
    <row r="2061" spans="1:8" ht="112.5" customHeight="1" x14ac:dyDescent="0.15">
      <c r="A2061" s="54">
        <v>2178</v>
      </c>
      <c r="B2061" s="55" t="s">
        <v>3876</v>
      </c>
      <c r="C2061" s="55" t="s">
        <v>9629</v>
      </c>
      <c r="D2061" s="56" t="s">
        <v>9630</v>
      </c>
      <c r="E2061" s="2"/>
      <c r="F2061" s="57"/>
      <c r="G2061" s="63" t="s">
        <v>9631</v>
      </c>
      <c r="H2061" s="59">
        <v>100</v>
      </c>
    </row>
    <row r="2062" spans="1:8" ht="112.5" customHeight="1" x14ac:dyDescent="0.15">
      <c r="A2062" s="60">
        <v>2177</v>
      </c>
      <c r="B2062" s="30" t="s">
        <v>3556</v>
      </c>
      <c r="C2062" s="30" t="s">
        <v>9632</v>
      </c>
      <c r="D2062" s="61" t="s">
        <v>9633</v>
      </c>
      <c r="E2062" s="2"/>
      <c r="F2062" s="57"/>
      <c r="G2062" s="64" t="s">
        <v>9634</v>
      </c>
      <c r="H2062" s="59">
        <v>99.992999999999995</v>
      </c>
    </row>
    <row r="2063" spans="1:8" ht="112.5" customHeight="1" x14ac:dyDescent="0.15">
      <c r="A2063" s="54">
        <v>2176</v>
      </c>
      <c r="B2063" s="55" t="s">
        <v>3533</v>
      </c>
      <c r="C2063" s="55" t="s">
        <v>9635</v>
      </c>
      <c r="D2063" s="56" t="s">
        <v>9636</v>
      </c>
      <c r="E2063" s="2"/>
      <c r="F2063" s="57"/>
      <c r="G2063" s="63" t="s">
        <v>9637</v>
      </c>
      <c r="H2063" s="59">
        <v>0</v>
      </c>
    </row>
    <row r="2064" spans="1:8" ht="112.5" customHeight="1" x14ac:dyDescent="0.15">
      <c r="A2064" s="60">
        <v>2175</v>
      </c>
      <c r="B2064" s="30" t="s">
        <v>3749</v>
      </c>
      <c r="C2064" s="30" t="s">
        <v>9638</v>
      </c>
      <c r="D2064" s="61" t="s">
        <v>9639</v>
      </c>
      <c r="E2064" s="2"/>
      <c r="F2064" s="57"/>
      <c r="G2064" s="64" t="s">
        <v>9640</v>
      </c>
      <c r="H2064" s="59">
        <v>100</v>
      </c>
    </row>
    <row r="2065" spans="1:8" ht="112.5" customHeight="1" x14ac:dyDescent="0.15">
      <c r="A2065" s="54">
        <v>2174</v>
      </c>
      <c r="B2065" s="55" t="s">
        <v>3749</v>
      </c>
      <c r="C2065" s="55" t="s">
        <v>9641</v>
      </c>
      <c r="D2065" s="56" t="s">
        <v>9642</v>
      </c>
      <c r="E2065" s="2"/>
      <c r="F2065" s="57"/>
      <c r="G2065" s="63" t="s">
        <v>9643</v>
      </c>
      <c r="H2065" s="59">
        <v>99.966999999999999</v>
      </c>
    </row>
    <row r="2066" spans="1:8" ht="112.5" customHeight="1" x14ac:dyDescent="0.15">
      <c r="A2066" s="60">
        <v>2173</v>
      </c>
      <c r="B2066" s="30" t="s">
        <v>3533</v>
      </c>
      <c r="C2066" s="30" t="s">
        <v>9644</v>
      </c>
      <c r="D2066" s="61" t="s">
        <v>9645</v>
      </c>
      <c r="E2066" s="2"/>
      <c r="F2066" s="57"/>
      <c r="G2066" s="64" t="s">
        <v>9646</v>
      </c>
      <c r="H2066" s="59">
        <v>100</v>
      </c>
    </row>
    <row r="2067" spans="1:8" ht="112.5" customHeight="1" x14ac:dyDescent="0.15">
      <c r="A2067" s="54">
        <v>2172</v>
      </c>
      <c r="B2067" s="55" t="s">
        <v>3814</v>
      </c>
      <c r="C2067" s="55" t="s">
        <v>9647</v>
      </c>
      <c r="D2067" s="56" t="s">
        <v>9648</v>
      </c>
      <c r="E2067" s="2"/>
      <c r="F2067" s="57"/>
      <c r="G2067" s="63" t="s">
        <v>9649</v>
      </c>
      <c r="H2067" s="59">
        <v>99.998000000000005</v>
      </c>
    </row>
    <row r="2068" spans="1:8" ht="112.5" customHeight="1" x14ac:dyDescent="0.15">
      <c r="A2068" s="54">
        <v>2170</v>
      </c>
      <c r="B2068" s="55" t="s">
        <v>3749</v>
      </c>
      <c r="C2068" s="55" t="s">
        <v>9650</v>
      </c>
      <c r="D2068" s="56" t="s">
        <v>9651</v>
      </c>
      <c r="E2068" s="2"/>
      <c r="F2068" s="57"/>
      <c r="G2068" s="64" t="s">
        <v>9652</v>
      </c>
      <c r="H2068" s="59">
        <v>0</v>
      </c>
    </row>
    <row r="2069" spans="1:8" ht="112.5" customHeight="1" x14ac:dyDescent="0.15">
      <c r="A2069" s="60">
        <v>2169</v>
      </c>
      <c r="B2069" s="30" t="s">
        <v>3749</v>
      </c>
      <c r="C2069" s="30" t="s">
        <v>9653</v>
      </c>
      <c r="D2069" s="61" t="s">
        <v>9654</v>
      </c>
      <c r="E2069" s="2"/>
      <c r="F2069" s="57"/>
      <c r="G2069" s="63" t="s">
        <v>9655</v>
      </c>
      <c r="H2069" s="59">
        <v>99.997</v>
      </c>
    </row>
    <row r="2070" spans="1:8" ht="112.5" customHeight="1" x14ac:dyDescent="0.15">
      <c r="A2070" s="54">
        <v>2168</v>
      </c>
      <c r="B2070" s="55" t="s">
        <v>3749</v>
      </c>
      <c r="C2070" s="55" t="s">
        <v>9656</v>
      </c>
      <c r="D2070" s="56" t="s">
        <v>9657</v>
      </c>
      <c r="E2070" s="2"/>
      <c r="F2070" s="57"/>
      <c r="G2070" s="64" t="s">
        <v>9658</v>
      </c>
      <c r="H2070" s="59">
        <v>99.965000000000003</v>
      </c>
    </row>
    <row r="2071" spans="1:8" ht="112.5" customHeight="1" x14ac:dyDescent="0.15">
      <c r="A2071" s="60">
        <v>2167</v>
      </c>
      <c r="B2071" s="30" t="s">
        <v>3749</v>
      </c>
      <c r="C2071" s="30" t="s">
        <v>9659</v>
      </c>
      <c r="D2071" s="61" t="s">
        <v>9660</v>
      </c>
      <c r="E2071" s="2"/>
      <c r="F2071" s="57"/>
      <c r="G2071" s="63" t="s">
        <v>9661</v>
      </c>
      <c r="H2071" s="59">
        <v>100</v>
      </c>
    </row>
    <row r="2072" spans="1:8" ht="112.5" customHeight="1" x14ac:dyDescent="0.15">
      <c r="A2072" s="54">
        <v>2304</v>
      </c>
      <c r="B2072" s="55" t="s">
        <v>3749</v>
      </c>
      <c r="C2072" s="55" t="s">
        <v>9662</v>
      </c>
      <c r="D2072" s="56" t="s">
        <v>9663</v>
      </c>
      <c r="E2072" s="2"/>
      <c r="F2072" s="57"/>
      <c r="G2072" s="64" t="s">
        <v>9664</v>
      </c>
      <c r="H2072" s="59">
        <v>99.975999999999999</v>
      </c>
    </row>
    <row r="2073" spans="1:8" ht="112.5" customHeight="1" x14ac:dyDescent="0.15">
      <c r="A2073" s="60">
        <v>2303</v>
      </c>
      <c r="B2073" s="30" t="s">
        <v>3749</v>
      </c>
      <c r="C2073" s="30" t="s">
        <v>9665</v>
      </c>
      <c r="D2073" s="61" t="s">
        <v>9666</v>
      </c>
      <c r="E2073" s="2"/>
      <c r="F2073" s="57"/>
      <c r="G2073" s="63" t="s">
        <v>9667</v>
      </c>
      <c r="H2073" s="59">
        <v>0</v>
      </c>
    </row>
    <row r="2074" spans="1:8" ht="112.5" customHeight="1" x14ac:dyDescent="0.15">
      <c r="A2074" s="54">
        <v>2166</v>
      </c>
      <c r="B2074" s="55" t="s">
        <v>3533</v>
      </c>
      <c r="C2074" s="55" t="s">
        <v>9668</v>
      </c>
      <c r="D2074" s="56" t="s">
        <v>9669</v>
      </c>
      <c r="E2074" s="2"/>
      <c r="F2074" s="57"/>
      <c r="G2074" s="64" t="s">
        <v>9670</v>
      </c>
      <c r="H2074" s="59">
        <v>100</v>
      </c>
    </row>
    <row r="2075" spans="1:8" ht="112.5" customHeight="1" x14ac:dyDescent="0.15">
      <c r="A2075" s="60">
        <v>2165</v>
      </c>
      <c r="B2075" s="30" t="s">
        <v>3533</v>
      </c>
      <c r="C2075" s="30" t="s">
        <v>9671</v>
      </c>
      <c r="D2075" s="61" t="s">
        <v>9672</v>
      </c>
      <c r="E2075" s="2"/>
      <c r="F2075" s="57"/>
      <c r="G2075" s="63" t="s">
        <v>9673</v>
      </c>
      <c r="H2075" s="59">
        <v>99.986000000000004</v>
      </c>
    </row>
    <row r="2076" spans="1:8" ht="112.5" customHeight="1" x14ac:dyDescent="0.15">
      <c r="A2076" s="54">
        <v>2164</v>
      </c>
      <c r="B2076" s="55" t="s">
        <v>3533</v>
      </c>
      <c r="C2076" s="55" t="s">
        <v>9674</v>
      </c>
      <c r="D2076" s="56" t="s">
        <v>9675</v>
      </c>
      <c r="E2076" s="2"/>
      <c r="F2076" s="57"/>
      <c r="G2076" s="64" t="s">
        <v>9676</v>
      </c>
      <c r="H2076" s="59">
        <v>100</v>
      </c>
    </row>
    <row r="2077" spans="1:8" ht="112.5" customHeight="1" x14ac:dyDescent="0.15">
      <c r="A2077" s="60">
        <v>2163</v>
      </c>
      <c r="B2077" s="30" t="s">
        <v>3533</v>
      </c>
      <c r="C2077" s="30" t="s">
        <v>9677</v>
      </c>
      <c r="D2077" s="61" t="s">
        <v>9678</v>
      </c>
      <c r="E2077" s="2"/>
      <c r="F2077" s="57"/>
      <c r="G2077" s="63" t="s">
        <v>9679</v>
      </c>
      <c r="H2077" s="59">
        <v>100</v>
      </c>
    </row>
    <row r="2078" spans="1:8" ht="112.5" customHeight="1" x14ac:dyDescent="0.15">
      <c r="A2078" s="54">
        <v>2162</v>
      </c>
      <c r="B2078" s="55" t="s">
        <v>3533</v>
      </c>
      <c r="C2078" s="55" t="s">
        <v>9680</v>
      </c>
      <c r="D2078" s="56" t="s">
        <v>9681</v>
      </c>
      <c r="E2078" s="2"/>
      <c r="F2078" s="57"/>
      <c r="G2078" s="64" t="s">
        <v>9682</v>
      </c>
      <c r="H2078" s="59">
        <v>99.994</v>
      </c>
    </row>
    <row r="2079" spans="1:8" ht="112.5" customHeight="1" x14ac:dyDescent="0.15">
      <c r="A2079" s="60">
        <v>2161</v>
      </c>
      <c r="B2079" s="30" t="s">
        <v>3502</v>
      </c>
      <c r="C2079" s="30" t="s">
        <v>9683</v>
      </c>
      <c r="D2079" s="61" t="s">
        <v>9684</v>
      </c>
      <c r="E2079" s="2"/>
      <c r="F2079" s="57"/>
      <c r="G2079" s="63" t="s">
        <v>9685</v>
      </c>
      <c r="H2079" s="59">
        <v>99.991</v>
      </c>
    </row>
    <row r="2080" spans="1:8" ht="112.5" customHeight="1" x14ac:dyDescent="0.15">
      <c r="A2080" s="60">
        <v>2011</v>
      </c>
      <c r="B2080" s="30" t="s">
        <v>3533</v>
      </c>
      <c r="C2080" s="30" t="s">
        <v>9686</v>
      </c>
      <c r="D2080" s="61" t="s">
        <v>9687</v>
      </c>
      <c r="E2080" s="2"/>
      <c r="F2080" s="57"/>
      <c r="G2080" s="64" t="s">
        <v>9688</v>
      </c>
      <c r="H2080" s="59">
        <v>99.998000000000005</v>
      </c>
    </row>
    <row r="2081" spans="1:8" ht="112.5" customHeight="1" x14ac:dyDescent="0.15">
      <c r="A2081" s="54">
        <v>2160</v>
      </c>
      <c r="B2081" s="55" t="s">
        <v>3533</v>
      </c>
      <c r="C2081" s="55" t="s">
        <v>9689</v>
      </c>
      <c r="D2081" s="56" t="s">
        <v>9687</v>
      </c>
      <c r="E2081" s="2"/>
      <c r="F2081" s="57"/>
      <c r="G2081" s="63" t="s">
        <v>9690</v>
      </c>
      <c r="H2081" s="59">
        <v>99.95</v>
      </c>
    </row>
    <row r="2082" spans="1:8" ht="112.5" customHeight="1" x14ac:dyDescent="0.15">
      <c r="A2082" s="60">
        <v>2159</v>
      </c>
      <c r="B2082" s="30" t="s">
        <v>3876</v>
      </c>
      <c r="C2082" s="30" t="s">
        <v>9691</v>
      </c>
      <c r="D2082" s="61" t="s">
        <v>9692</v>
      </c>
      <c r="E2082" s="2"/>
      <c r="F2082" s="57"/>
      <c r="G2082" s="64" t="s">
        <v>9693</v>
      </c>
      <c r="H2082" s="59">
        <v>99.912000000000006</v>
      </c>
    </row>
    <row r="2083" spans="1:8" ht="112.5" customHeight="1" x14ac:dyDescent="0.15">
      <c r="A2083" s="54">
        <v>2158</v>
      </c>
      <c r="B2083" s="55" t="s">
        <v>3492</v>
      </c>
      <c r="C2083" s="55" t="s">
        <v>9694</v>
      </c>
      <c r="D2083" s="56" t="s">
        <v>9695</v>
      </c>
      <c r="E2083" s="2"/>
      <c r="F2083" s="57"/>
      <c r="G2083" s="63" t="s">
        <v>9696</v>
      </c>
      <c r="H2083" s="59">
        <v>99.992000000000004</v>
      </c>
    </row>
    <row r="2084" spans="1:8" ht="112.5" customHeight="1" x14ac:dyDescent="0.15">
      <c r="A2084" s="60">
        <v>2157</v>
      </c>
      <c r="B2084" s="30" t="s">
        <v>3492</v>
      </c>
      <c r="C2084" s="30" t="s">
        <v>9697</v>
      </c>
      <c r="D2084" s="61" t="s">
        <v>9698</v>
      </c>
      <c r="E2084" s="2"/>
      <c r="F2084" s="57"/>
      <c r="G2084" s="64" t="s">
        <v>9699</v>
      </c>
      <c r="H2084" s="59">
        <v>99.995000000000005</v>
      </c>
    </row>
    <row r="2085" spans="1:8" ht="112.5" customHeight="1" x14ac:dyDescent="0.15">
      <c r="A2085" s="54">
        <v>2010</v>
      </c>
      <c r="B2085" s="55" t="s">
        <v>3492</v>
      </c>
      <c r="C2085" s="55" t="s">
        <v>9700</v>
      </c>
      <c r="D2085" s="56" t="s">
        <v>9701</v>
      </c>
      <c r="E2085" s="2"/>
      <c r="F2085" s="57"/>
      <c r="G2085" s="63" t="s">
        <v>9702</v>
      </c>
      <c r="H2085" s="59">
        <v>99.983000000000004</v>
      </c>
    </row>
    <row r="2086" spans="1:8" ht="112.5" customHeight="1" x14ac:dyDescent="0.15">
      <c r="A2086" s="60">
        <v>2009</v>
      </c>
      <c r="B2086" s="30" t="s">
        <v>3513</v>
      </c>
      <c r="C2086" s="30" t="s">
        <v>9703</v>
      </c>
      <c r="D2086" s="61" t="s">
        <v>9704</v>
      </c>
      <c r="E2086" s="2"/>
      <c r="F2086" s="57"/>
      <c r="G2086" s="64" t="s">
        <v>9705</v>
      </c>
      <c r="H2086" s="59">
        <v>99.885000000000005</v>
      </c>
    </row>
    <row r="2087" spans="1:8" ht="112.5" customHeight="1" x14ac:dyDescent="0.15">
      <c r="A2087" s="54">
        <v>2008</v>
      </c>
      <c r="B2087" s="55" t="s">
        <v>3749</v>
      </c>
      <c r="C2087" s="55" t="s">
        <v>9706</v>
      </c>
      <c r="D2087" s="56" t="s">
        <v>9707</v>
      </c>
      <c r="E2087" s="2"/>
      <c r="F2087" s="57"/>
      <c r="G2087" s="63" t="s">
        <v>9708</v>
      </c>
      <c r="H2087" s="59">
        <v>99.962000000000003</v>
      </c>
    </row>
    <row r="2088" spans="1:8" ht="112.5" customHeight="1" x14ac:dyDescent="0.15">
      <c r="A2088" s="60">
        <v>2007</v>
      </c>
      <c r="B2088" s="30" t="s">
        <v>3749</v>
      </c>
      <c r="C2088" s="30" t="s">
        <v>9709</v>
      </c>
      <c r="D2088" s="61" t="s">
        <v>9710</v>
      </c>
      <c r="E2088" s="2"/>
      <c r="F2088" s="57"/>
      <c r="G2088" s="64" t="s">
        <v>9711</v>
      </c>
      <c r="H2088" s="59">
        <v>99.843999999999994</v>
      </c>
    </row>
    <row r="2089" spans="1:8" ht="112.5" customHeight="1" x14ac:dyDescent="0.15">
      <c r="A2089" s="54">
        <v>2006</v>
      </c>
      <c r="B2089" s="55" t="s">
        <v>3749</v>
      </c>
      <c r="C2089" s="55" t="s">
        <v>9712</v>
      </c>
      <c r="D2089" s="56" t="s">
        <v>9713</v>
      </c>
      <c r="E2089" s="2"/>
      <c r="F2089" s="57"/>
      <c r="G2089" s="63" t="s">
        <v>9714</v>
      </c>
      <c r="H2089" s="59">
        <v>99.991</v>
      </c>
    </row>
    <row r="2090" spans="1:8" ht="112.5" customHeight="1" x14ac:dyDescent="0.15">
      <c r="A2090" s="60">
        <v>2005</v>
      </c>
      <c r="B2090" s="30" t="s">
        <v>3533</v>
      </c>
      <c r="C2090" s="30" t="s">
        <v>9715</v>
      </c>
      <c r="D2090" s="61" t="s">
        <v>9716</v>
      </c>
      <c r="E2090" s="2"/>
      <c r="F2090" s="57"/>
      <c r="G2090" s="64" t="s">
        <v>9717</v>
      </c>
      <c r="H2090" s="59">
        <v>99.992000000000004</v>
      </c>
    </row>
    <row r="2091" spans="1:8" ht="112.5" customHeight="1" x14ac:dyDescent="0.15">
      <c r="A2091" s="54">
        <v>2004</v>
      </c>
      <c r="B2091" s="55" t="s">
        <v>3533</v>
      </c>
      <c r="C2091" s="55" t="s">
        <v>9718</v>
      </c>
      <c r="D2091" s="56" t="s">
        <v>9719</v>
      </c>
      <c r="E2091" s="2"/>
      <c r="F2091" s="57"/>
      <c r="G2091" s="63" t="s">
        <v>9720</v>
      </c>
      <c r="H2091" s="59">
        <v>99.953999999999994</v>
      </c>
    </row>
    <row r="2092" spans="1:8" ht="112.5" customHeight="1" x14ac:dyDescent="0.15">
      <c r="A2092" s="60">
        <v>2003</v>
      </c>
      <c r="B2092" s="30" t="s">
        <v>3533</v>
      </c>
      <c r="C2092" s="30" t="s">
        <v>9721</v>
      </c>
      <c r="D2092" s="61" t="s">
        <v>9722</v>
      </c>
      <c r="E2092" s="2"/>
      <c r="F2092" s="57"/>
      <c r="G2092" s="64" t="s">
        <v>9723</v>
      </c>
      <c r="H2092" s="59">
        <v>99.995999999999995</v>
      </c>
    </row>
    <row r="2093" spans="1:8" ht="112.5" customHeight="1" x14ac:dyDescent="0.15">
      <c r="A2093" s="54">
        <v>2002</v>
      </c>
      <c r="B2093" s="55" t="s">
        <v>3533</v>
      </c>
      <c r="C2093" s="55" t="s">
        <v>9724</v>
      </c>
      <c r="D2093" s="56" t="s">
        <v>9725</v>
      </c>
      <c r="E2093" s="2"/>
      <c r="F2093" s="57"/>
      <c r="G2093" s="63" t="s">
        <v>9726</v>
      </c>
      <c r="H2093" s="59">
        <v>100</v>
      </c>
    </row>
    <row r="2094" spans="1:8" ht="112.5" customHeight="1" x14ac:dyDescent="0.15">
      <c r="A2094" s="60">
        <v>2001</v>
      </c>
      <c r="B2094" s="30" t="s">
        <v>3533</v>
      </c>
      <c r="C2094" s="30" t="s">
        <v>9727</v>
      </c>
      <c r="D2094" s="61" t="s">
        <v>9728</v>
      </c>
      <c r="E2094" s="2"/>
      <c r="F2094" s="57"/>
      <c r="G2094" s="64" t="s">
        <v>9729</v>
      </c>
      <c r="H2094" s="59">
        <v>100</v>
      </c>
    </row>
    <row r="2095" spans="1:8" ht="112.5" customHeight="1" x14ac:dyDescent="0.15">
      <c r="A2095" s="54">
        <v>2000</v>
      </c>
      <c r="B2095" s="55" t="s">
        <v>3556</v>
      </c>
      <c r="C2095" s="55" t="s">
        <v>9730</v>
      </c>
      <c r="D2095" s="56" t="s">
        <v>9731</v>
      </c>
      <c r="E2095" s="2"/>
      <c r="F2095" s="57"/>
      <c r="G2095" s="63" t="s">
        <v>9732</v>
      </c>
      <c r="H2095" s="59">
        <v>99.347999999999999</v>
      </c>
    </row>
    <row r="2096" spans="1:8" ht="112.5" customHeight="1" x14ac:dyDescent="0.15">
      <c r="A2096" s="60">
        <v>1999</v>
      </c>
      <c r="B2096" s="30" t="s">
        <v>3556</v>
      </c>
      <c r="C2096" s="30" t="s">
        <v>9733</v>
      </c>
      <c r="D2096" s="61" t="s">
        <v>9734</v>
      </c>
      <c r="E2096" s="2"/>
      <c r="F2096" s="57"/>
      <c r="G2096" s="64" t="s">
        <v>9735</v>
      </c>
      <c r="H2096" s="59">
        <v>0</v>
      </c>
    </row>
    <row r="2097" spans="1:8" ht="112.5" customHeight="1" x14ac:dyDescent="0.15">
      <c r="A2097" s="54">
        <v>1998</v>
      </c>
      <c r="B2097" s="55" t="s">
        <v>4334</v>
      </c>
      <c r="C2097" s="55" t="s">
        <v>9736</v>
      </c>
      <c r="D2097" s="56" t="s">
        <v>9737</v>
      </c>
      <c r="E2097" s="2"/>
      <c r="F2097" s="57"/>
      <c r="G2097" s="63" t="s">
        <v>9738</v>
      </c>
      <c r="H2097" s="59">
        <v>0</v>
      </c>
    </row>
    <row r="2098" spans="1:8" ht="112.5" customHeight="1" x14ac:dyDescent="0.15">
      <c r="A2098" s="60">
        <v>1997</v>
      </c>
      <c r="B2098" s="30" t="s">
        <v>4334</v>
      </c>
      <c r="C2098" s="30" t="s">
        <v>9739</v>
      </c>
      <c r="D2098" s="61" t="s">
        <v>9740</v>
      </c>
      <c r="E2098" s="2"/>
      <c r="F2098" s="57"/>
      <c r="G2098" s="64" t="s">
        <v>9741</v>
      </c>
      <c r="H2098" s="59">
        <v>100</v>
      </c>
    </row>
    <row r="2099" spans="1:8" ht="112.5" customHeight="1" x14ac:dyDescent="0.15">
      <c r="A2099" s="54">
        <v>1996</v>
      </c>
      <c r="B2099" s="55" t="s">
        <v>4334</v>
      </c>
      <c r="C2099" s="55" t="s">
        <v>9742</v>
      </c>
      <c r="D2099" s="56" t="s">
        <v>9743</v>
      </c>
      <c r="E2099" s="2"/>
      <c r="F2099" s="57"/>
      <c r="G2099" s="63" t="s">
        <v>9744</v>
      </c>
      <c r="H2099" s="59">
        <v>0</v>
      </c>
    </row>
    <row r="2100" spans="1:8" ht="112.5" customHeight="1" x14ac:dyDescent="0.15">
      <c r="A2100" s="60">
        <v>1995</v>
      </c>
      <c r="B2100" s="30" t="s">
        <v>3556</v>
      </c>
      <c r="C2100" s="30" t="s">
        <v>9745</v>
      </c>
      <c r="D2100" s="61" t="s">
        <v>9746</v>
      </c>
      <c r="E2100" s="2"/>
      <c r="F2100" s="57"/>
      <c r="G2100" s="64" t="s">
        <v>9747</v>
      </c>
      <c r="H2100" s="59">
        <v>100</v>
      </c>
    </row>
    <row r="2101" spans="1:8" ht="112.5" customHeight="1" x14ac:dyDescent="0.15">
      <c r="A2101" s="54">
        <v>1994</v>
      </c>
      <c r="B2101" s="55" t="s">
        <v>3492</v>
      </c>
      <c r="C2101" s="55" t="s">
        <v>9748</v>
      </c>
      <c r="D2101" s="56" t="s">
        <v>9749</v>
      </c>
      <c r="E2101" s="2"/>
      <c r="F2101" s="57"/>
      <c r="G2101" s="63" t="s">
        <v>9750</v>
      </c>
      <c r="H2101" s="59">
        <v>99.992999999999995</v>
      </c>
    </row>
    <row r="2102" spans="1:8" ht="112.5" customHeight="1" x14ac:dyDescent="0.15">
      <c r="A2102" s="60">
        <v>1993</v>
      </c>
      <c r="B2102" s="30" t="s">
        <v>3599</v>
      </c>
      <c r="C2102" s="30" t="s">
        <v>9751</v>
      </c>
      <c r="D2102" s="61" t="s">
        <v>9752</v>
      </c>
      <c r="E2102" s="2"/>
      <c r="F2102" s="57"/>
      <c r="G2102" s="64" t="s">
        <v>9753</v>
      </c>
      <c r="H2102" s="59">
        <v>99.992000000000004</v>
      </c>
    </row>
    <row r="2103" spans="1:8" ht="112.5" customHeight="1" x14ac:dyDescent="0.15">
      <c r="A2103" s="54">
        <v>1992</v>
      </c>
      <c r="B2103" s="55" t="s">
        <v>3599</v>
      </c>
      <c r="C2103" s="55" t="s">
        <v>9754</v>
      </c>
      <c r="D2103" s="56" t="s">
        <v>9755</v>
      </c>
      <c r="E2103" s="2"/>
      <c r="F2103" s="57"/>
      <c r="G2103" s="63" t="s">
        <v>9756</v>
      </c>
      <c r="H2103" s="59">
        <v>0</v>
      </c>
    </row>
    <row r="2104" spans="1:8" ht="112.5" customHeight="1" x14ac:dyDescent="0.15">
      <c r="A2104" s="60">
        <v>2031</v>
      </c>
      <c r="B2104" s="30" t="s">
        <v>3599</v>
      </c>
      <c r="C2104" s="30" t="s">
        <v>9757</v>
      </c>
      <c r="D2104" s="61" t="s">
        <v>9758</v>
      </c>
      <c r="E2104" s="2"/>
      <c r="F2104" s="57"/>
      <c r="G2104" s="64" t="s">
        <v>9759</v>
      </c>
      <c r="H2104" s="59">
        <v>99.998999999999995</v>
      </c>
    </row>
    <row r="2105" spans="1:8" ht="112.5" customHeight="1" x14ac:dyDescent="0.15">
      <c r="A2105" s="54">
        <v>2030</v>
      </c>
      <c r="B2105" s="55" t="s">
        <v>3599</v>
      </c>
      <c r="C2105" s="55" t="s">
        <v>9760</v>
      </c>
      <c r="D2105" s="56" t="s">
        <v>9761</v>
      </c>
      <c r="E2105" s="2"/>
      <c r="F2105" s="57"/>
      <c r="G2105" s="63" t="s">
        <v>9762</v>
      </c>
      <c r="H2105" s="59">
        <v>100</v>
      </c>
    </row>
    <row r="2106" spans="1:8" ht="112.5" customHeight="1" x14ac:dyDescent="0.15">
      <c r="A2106" s="60">
        <v>2029</v>
      </c>
      <c r="B2106" s="30" t="s">
        <v>3513</v>
      </c>
      <c r="C2106" s="30" t="s">
        <v>9763</v>
      </c>
      <c r="D2106" s="61" t="s">
        <v>9764</v>
      </c>
      <c r="E2106" s="2"/>
      <c r="F2106" s="57"/>
      <c r="G2106" s="64" t="s">
        <v>9765</v>
      </c>
      <c r="H2106" s="59">
        <v>99.998000000000005</v>
      </c>
    </row>
    <row r="2107" spans="1:8" ht="112.5" customHeight="1" x14ac:dyDescent="0.15">
      <c r="A2107" s="54">
        <v>2028</v>
      </c>
      <c r="B2107" s="55" t="s">
        <v>3513</v>
      </c>
      <c r="C2107" s="55" t="s">
        <v>9766</v>
      </c>
      <c r="D2107" s="56" t="s">
        <v>9767</v>
      </c>
      <c r="E2107" s="2"/>
      <c r="F2107" s="57"/>
      <c r="G2107" s="63" t="s">
        <v>9768</v>
      </c>
      <c r="H2107" s="59">
        <v>99.99</v>
      </c>
    </row>
    <row r="2108" spans="1:8" ht="112.5" customHeight="1" x14ac:dyDescent="0.15">
      <c r="A2108" s="60">
        <v>2027</v>
      </c>
      <c r="B2108" s="30" t="s">
        <v>3513</v>
      </c>
      <c r="C2108" s="30" t="s">
        <v>9769</v>
      </c>
      <c r="D2108" s="61" t="s">
        <v>9770</v>
      </c>
      <c r="E2108" s="2"/>
      <c r="F2108" s="57"/>
      <c r="G2108" s="64" t="s">
        <v>4797</v>
      </c>
      <c r="H2108" s="59">
        <v>99.995000000000005</v>
      </c>
    </row>
    <row r="2109" spans="1:8" ht="112.5" customHeight="1" x14ac:dyDescent="0.15">
      <c r="A2109" s="54">
        <v>2026</v>
      </c>
      <c r="B2109" s="55" t="s">
        <v>3513</v>
      </c>
      <c r="C2109" s="55" t="s">
        <v>9771</v>
      </c>
      <c r="D2109" s="56" t="s">
        <v>9772</v>
      </c>
      <c r="E2109" s="2"/>
      <c r="F2109" s="57"/>
      <c r="G2109" s="63" t="s">
        <v>9773</v>
      </c>
      <c r="H2109" s="59">
        <v>99.816999999999993</v>
      </c>
    </row>
    <row r="2110" spans="1:8" ht="112.5" customHeight="1" x14ac:dyDescent="0.15">
      <c r="A2110" s="60">
        <v>2025</v>
      </c>
      <c r="B2110" s="30" t="s">
        <v>3670</v>
      </c>
      <c r="C2110" s="30" t="s">
        <v>9774</v>
      </c>
      <c r="D2110" s="61" t="s">
        <v>9775</v>
      </c>
      <c r="E2110" s="2"/>
      <c r="F2110" s="57"/>
      <c r="G2110" s="64" t="s">
        <v>9776</v>
      </c>
      <c r="H2110" s="59">
        <v>99.959000000000003</v>
      </c>
    </row>
    <row r="2111" spans="1:8" ht="112.5" customHeight="1" x14ac:dyDescent="0.15">
      <c r="A2111" s="54">
        <v>2024</v>
      </c>
      <c r="B2111" s="55" t="s">
        <v>3670</v>
      </c>
      <c r="C2111" s="55" t="s">
        <v>9777</v>
      </c>
      <c r="D2111" s="56" t="s">
        <v>9778</v>
      </c>
      <c r="E2111" s="2"/>
      <c r="F2111" s="57"/>
      <c r="G2111" s="63" t="s">
        <v>9779</v>
      </c>
      <c r="H2111" s="59">
        <v>99.998999999999995</v>
      </c>
    </row>
    <row r="2112" spans="1:8" ht="112.5" customHeight="1" x14ac:dyDescent="0.15">
      <c r="A2112" s="60">
        <v>2023</v>
      </c>
      <c r="B2112" s="30" t="s">
        <v>3513</v>
      </c>
      <c r="C2112" s="30" t="s">
        <v>9780</v>
      </c>
      <c r="D2112" s="61" t="s">
        <v>9781</v>
      </c>
      <c r="E2112" s="2"/>
      <c r="F2112" s="57"/>
      <c r="G2112" s="64" t="s">
        <v>9782</v>
      </c>
      <c r="H2112" s="59">
        <v>99.998999999999995</v>
      </c>
    </row>
    <row r="2113" spans="1:8" ht="112.5" customHeight="1" x14ac:dyDescent="0.15">
      <c r="A2113" s="54">
        <v>2022</v>
      </c>
      <c r="B2113" s="55" t="s">
        <v>4330</v>
      </c>
      <c r="C2113" s="55" t="s">
        <v>9783</v>
      </c>
      <c r="D2113" s="56" t="s">
        <v>9784</v>
      </c>
      <c r="E2113" s="2"/>
      <c r="F2113" s="57"/>
      <c r="G2113" s="63" t="s">
        <v>9785</v>
      </c>
      <c r="H2113" s="59">
        <v>99.994</v>
      </c>
    </row>
    <row r="2114" spans="1:8" ht="112.5" customHeight="1" x14ac:dyDescent="0.15">
      <c r="A2114" s="60">
        <v>2021</v>
      </c>
      <c r="B2114" s="30" t="s">
        <v>4330</v>
      </c>
      <c r="C2114" s="30" t="s">
        <v>9786</v>
      </c>
      <c r="D2114" s="61" t="s">
        <v>9787</v>
      </c>
      <c r="E2114" s="2"/>
      <c r="F2114" s="57"/>
      <c r="G2114" s="64" t="s">
        <v>9788</v>
      </c>
      <c r="H2114" s="59">
        <v>99.909000000000006</v>
      </c>
    </row>
    <row r="2115" spans="1:8" ht="112.5" customHeight="1" x14ac:dyDescent="0.15">
      <c r="A2115" s="54">
        <v>3228</v>
      </c>
      <c r="B2115" s="55" t="s">
        <v>3496</v>
      </c>
      <c r="C2115" s="55" t="s">
        <v>9789</v>
      </c>
      <c r="D2115" s="56" t="s">
        <v>9790</v>
      </c>
      <c r="E2115" s="2"/>
      <c r="F2115" s="57"/>
      <c r="G2115" s="63" t="s">
        <v>9791</v>
      </c>
      <c r="H2115" s="59">
        <v>995</v>
      </c>
    </row>
    <row r="2116" spans="1:8" ht="112.5" customHeight="1" x14ac:dyDescent="0.15">
      <c r="A2116" s="60">
        <v>3227</v>
      </c>
      <c r="B2116" s="30" t="s">
        <v>3496</v>
      </c>
      <c r="C2116" s="30" t="s">
        <v>9792</v>
      </c>
      <c r="D2116" s="61" t="s">
        <v>9793</v>
      </c>
      <c r="E2116" s="2"/>
      <c r="F2116" s="57"/>
      <c r="G2116" s="64" t="s">
        <v>9794</v>
      </c>
      <c r="H2116" s="59">
        <v>0</v>
      </c>
    </row>
    <row r="2117" spans="1:8" ht="112.5" customHeight="1" x14ac:dyDescent="0.15">
      <c r="A2117" s="60">
        <v>2239</v>
      </c>
      <c r="B2117" s="30" t="s">
        <v>3670</v>
      </c>
      <c r="C2117" s="30" t="s">
        <v>9795</v>
      </c>
      <c r="D2117" s="61" t="s">
        <v>9796</v>
      </c>
      <c r="E2117" s="2"/>
      <c r="F2117" s="57"/>
      <c r="G2117" s="63" t="s">
        <v>9797</v>
      </c>
      <c r="H2117" s="59">
        <v>9.3800000000000008</v>
      </c>
    </row>
    <row r="2118" spans="1:8" ht="112.5" customHeight="1" x14ac:dyDescent="0.15">
      <c r="A2118" s="54">
        <v>2238</v>
      </c>
      <c r="B2118" s="55" t="s">
        <v>3814</v>
      </c>
      <c r="C2118" s="55" t="s">
        <v>9798</v>
      </c>
      <c r="D2118" s="56" t="s">
        <v>9799</v>
      </c>
      <c r="E2118" s="2"/>
      <c r="F2118" s="57"/>
      <c r="G2118" s="64" t="s">
        <v>9800</v>
      </c>
      <c r="H2118" s="59">
        <v>99.998000000000005</v>
      </c>
    </row>
    <row r="2119" spans="1:8" ht="112.5" customHeight="1" x14ac:dyDescent="0.15">
      <c r="A2119" s="60">
        <v>3613</v>
      </c>
      <c r="B2119" s="30" t="s">
        <v>3670</v>
      </c>
      <c r="C2119" s="30" t="s">
        <v>9801</v>
      </c>
      <c r="D2119" s="61" t="s">
        <v>9802</v>
      </c>
      <c r="E2119" s="2"/>
      <c r="F2119" s="57"/>
      <c r="G2119" s="63" t="s">
        <v>9803</v>
      </c>
      <c r="H2119" s="59">
        <v>99.995000000000005</v>
      </c>
    </row>
    <row r="2120" spans="1:8" ht="112.5" customHeight="1" x14ac:dyDescent="0.15">
      <c r="A2120" s="60">
        <v>3293</v>
      </c>
      <c r="B2120" s="30" t="s">
        <v>3496</v>
      </c>
      <c r="C2120" s="30" t="s">
        <v>9804</v>
      </c>
      <c r="D2120" s="61" t="s">
        <v>9805</v>
      </c>
      <c r="E2120" s="2"/>
      <c r="F2120" s="57"/>
      <c r="G2120" s="64" t="s">
        <v>9806</v>
      </c>
      <c r="H2120" s="59">
        <v>0</v>
      </c>
    </row>
    <row r="2121" spans="1:8" ht="112.5" customHeight="1" x14ac:dyDescent="0.15">
      <c r="A2121" s="60">
        <v>3437</v>
      </c>
      <c r="B2121" s="30" t="s">
        <v>3502</v>
      </c>
      <c r="C2121" s="30" t="s">
        <v>9807</v>
      </c>
      <c r="D2121" s="61" t="s">
        <v>9808</v>
      </c>
      <c r="E2121" s="2"/>
      <c r="F2121" s="57"/>
      <c r="G2121" s="63" t="s">
        <v>9809</v>
      </c>
      <c r="H2121" s="59">
        <v>100</v>
      </c>
    </row>
    <row r="2122" spans="1:8" ht="112.5" customHeight="1" x14ac:dyDescent="0.15">
      <c r="A2122" s="54">
        <v>3504</v>
      </c>
      <c r="B2122" s="55" t="s">
        <v>3502</v>
      </c>
      <c r="C2122" s="55" t="s">
        <v>9810</v>
      </c>
      <c r="D2122" s="56" t="s">
        <v>9811</v>
      </c>
      <c r="E2122" s="2"/>
      <c r="F2122" s="57"/>
      <c r="G2122" s="64" t="s">
        <v>9812</v>
      </c>
      <c r="H2122" s="59">
        <v>100</v>
      </c>
    </row>
    <row r="2123" spans="1:8" ht="112.5" customHeight="1" x14ac:dyDescent="0.15">
      <c r="A2123" s="60">
        <v>2237</v>
      </c>
      <c r="B2123" s="30" t="s">
        <v>3670</v>
      </c>
      <c r="C2123" s="30" t="s">
        <v>9813</v>
      </c>
      <c r="D2123" s="61" t="s">
        <v>9814</v>
      </c>
      <c r="E2123" s="2"/>
      <c r="F2123" s="57"/>
      <c r="G2123" s="63" t="s">
        <v>9815</v>
      </c>
      <c r="H2123" s="59">
        <v>1</v>
      </c>
    </row>
    <row r="2124" spans="1:8" ht="112.5" customHeight="1" x14ac:dyDescent="0.15">
      <c r="A2124" s="54">
        <v>1974</v>
      </c>
      <c r="B2124" s="55" t="s">
        <v>3670</v>
      </c>
      <c r="C2124" s="55" t="s">
        <v>9816</v>
      </c>
      <c r="D2124" s="56" t="s">
        <v>9817</v>
      </c>
      <c r="E2124" s="2"/>
      <c r="F2124" s="57"/>
      <c r="G2124" s="64" t="s">
        <v>9818</v>
      </c>
      <c r="H2124" s="59">
        <v>99.992000000000004</v>
      </c>
    </row>
    <row r="2125" spans="1:8" ht="112.5" customHeight="1" x14ac:dyDescent="0.15">
      <c r="A2125" s="60">
        <v>3337</v>
      </c>
      <c r="B2125" s="30" t="s">
        <v>3496</v>
      </c>
      <c r="C2125" s="30" t="s">
        <v>9819</v>
      </c>
      <c r="D2125" s="61" t="s">
        <v>9820</v>
      </c>
      <c r="E2125" s="2"/>
      <c r="F2125" s="57"/>
      <c r="G2125" s="63" t="s">
        <v>9821</v>
      </c>
      <c r="H2125" s="59">
        <v>99.873000000000005</v>
      </c>
    </row>
    <row r="2126" spans="1:8" ht="112.5" customHeight="1" x14ac:dyDescent="0.15">
      <c r="A2126" s="54">
        <v>3336</v>
      </c>
      <c r="B2126" s="55" t="s">
        <v>3496</v>
      </c>
      <c r="C2126" s="55" t="s">
        <v>9822</v>
      </c>
      <c r="D2126" s="56" t="s">
        <v>9823</v>
      </c>
      <c r="E2126" s="2"/>
      <c r="F2126" s="57"/>
      <c r="G2126" s="64" t="s">
        <v>9824</v>
      </c>
      <c r="H2126" s="59">
        <v>0</v>
      </c>
    </row>
    <row r="2127" spans="1:8" ht="112.5" customHeight="1" x14ac:dyDescent="0.15">
      <c r="A2127" s="54">
        <v>2236</v>
      </c>
      <c r="B2127" s="55" t="s">
        <v>3670</v>
      </c>
      <c r="C2127" s="55" t="s">
        <v>9825</v>
      </c>
      <c r="D2127" s="56" t="s">
        <v>9826</v>
      </c>
      <c r="E2127" s="2"/>
      <c r="F2127" s="57"/>
      <c r="G2127" s="63" t="s">
        <v>9827</v>
      </c>
      <c r="H2127" s="59">
        <v>99.998999999999995</v>
      </c>
    </row>
    <row r="2128" spans="1:8" ht="112.5" customHeight="1" x14ac:dyDescent="0.15">
      <c r="A2128" s="60">
        <v>2235</v>
      </c>
      <c r="B2128" s="30" t="s">
        <v>3670</v>
      </c>
      <c r="C2128" s="30" t="s">
        <v>9828</v>
      </c>
      <c r="D2128" s="61" t="s">
        <v>9829</v>
      </c>
      <c r="E2128" s="2"/>
      <c r="F2128" s="57"/>
      <c r="G2128" s="64" t="s">
        <v>9830</v>
      </c>
      <c r="H2128" s="59">
        <v>0</v>
      </c>
    </row>
    <row r="2129" spans="1:8" ht="112.5" customHeight="1" x14ac:dyDescent="0.15">
      <c r="A2129" s="54">
        <v>2234</v>
      </c>
      <c r="B2129" s="55" t="s">
        <v>3670</v>
      </c>
      <c r="C2129" s="55" t="s">
        <v>9831</v>
      </c>
      <c r="D2129" s="56" t="s">
        <v>9832</v>
      </c>
      <c r="E2129" s="2"/>
      <c r="F2129" s="57"/>
      <c r="G2129" s="63" t="s">
        <v>9833</v>
      </c>
      <c r="H2129" s="59">
        <v>99.965999999999994</v>
      </c>
    </row>
    <row r="2130" spans="1:8" ht="112.5" customHeight="1" x14ac:dyDescent="0.15">
      <c r="A2130" s="60">
        <v>2233</v>
      </c>
      <c r="B2130" s="30" t="s">
        <v>3670</v>
      </c>
      <c r="C2130" s="30" t="s">
        <v>9834</v>
      </c>
      <c r="D2130" s="61" t="s">
        <v>9835</v>
      </c>
      <c r="E2130" s="2"/>
      <c r="F2130" s="57"/>
      <c r="G2130" s="64" t="s">
        <v>9836</v>
      </c>
      <c r="H2130" s="59">
        <v>0</v>
      </c>
    </row>
    <row r="2131" spans="1:8" ht="112.5" customHeight="1" x14ac:dyDescent="0.15">
      <c r="A2131" s="54">
        <v>2232</v>
      </c>
      <c r="B2131" s="55" t="s">
        <v>3670</v>
      </c>
      <c r="C2131" s="55" t="s">
        <v>9837</v>
      </c>
      <c r="D2131" s="56" t="s">
        <v>9838</v>
      </c>
      <c r="E2131" s="2"/>
      <c r="F2131" s="57"/>
      <c r="G2131" s="63" t="s">
        <v>9839</v>
      </c>
      <c r="H2131" s="59">
        <v>99.998000000000005</v>
      </c>
    </row>
    <row r="2132" spans="1:8" ht="112.5" customHeight="1" x14ac:dyDescent="0.15">
      <c r="A2132" s="60">
        <v>2231</v>
      </c>
      <c r="B2132" s="30" t="s">
        <v>3670</v>
      </c>
      <c r="C2132" s="30" t="s">
        <v>9840</v>
      </c>
      <c r="D2132" s="61" t="s">
        <v>9841</v>
      </c>
      <c r="E2132" s="2"/>
      <c r="F2132" s="57"/>
      <c r="G2132" s="64" t="s">
        <v>9842</v>
      </c>
      <c r="H2132" s="59">
        <v>99.995000000000005</v>
      </c>
    </row>
    <row r="2133" spans="1:8" ht="112.5" customHeight="1" x14ac:dyDescent="0.15">
      <c r="A2133" s="54">
        <v>2230</v>
      </c>
      <c r="B2133" s="55" t="s">
        <v>3599</v>
      </c>
      <c r="C2133" s="55" t="s">
        <v>9843</v>
      </c>
      <c r="D2133" s="56" t="s">
        <v>9844</v>
      </c>
      <c r="E2133" s="2"/>
      <c r="F2133" s="57"/>
      <c r="G2133" s="63" t="s">
        <v>9845</v>
      </c>
      <c r="H2133" s="59">
        <v>99.980999999999995</v>
      </c>
    </row>
    <row r="2134" spans="1:8" ht="112.5" customHeight="1" x14ac:dyDescent="0.15">
      <c r="A2134" s="60">
        <v>2229</v>
      </c>
      <c r="B2134" s="30" t="s">
        <v>3599</v>
      </c>
      <c r="C2134" s="30" t="s">
        <v>9846</v>
      </c>
      <c r="D2134" s="61" t="s">
        <v>9847</v>
      </c>
      <c r="E2134" s="2"/>
      <c r="F2134" s="57"/>
      <c r="G2134" s="64" t="s">
        <v>9848</v>
      </c>
      <c r="H2134" s="59">
        <v>100</v>
      </c>
    </row>
    <row r="2135" spans="1:8" ht="112.5" customHeight="1" x14ac:dyDescent="0.15">
      <c r="A2135" s="54">
        <v>2228</v>
      </c>
      <c r="B2135" s="55" t="s">
        <v>3670</v>
      </c>
      <c r="C2135" s="55" t="s">
        <v>9849</v>
      </c>
      <c r="D2135" s="56" t="s">
        <v>9850</v>
      </c>
      <c r="E2135" s="2"/>
      <c r="F2135" s="57"/>
      <c r="G2135" s="63" t="s">
        <v>9851</v>
      </c>
      <c r="H2135" s="59">
        <v>99.980999999999995</v>
      </c>
    </row>
    <row r="2136" spans="1:8" ht="112.5" customHeight="1" x14ac:dyDescent="0.15">
      <c r="A2136" s="60">
        <v>3411</v>
      </c>
      <c r="B2136" s="30" t="s">
        <v>3496</v>
      </c>
      <c r="C2136" s="30" t="s">
        <v>9852</v>
      </c>
      <c r="D2136" s="61" t="s">
        <v>9853</v>
      </c>
      <c r="E2136" s="2"/>
      <c r="F2136" s="57"/>
      <c r="G2136" s="64" t="s">
        <v>9854</v>
      </c>
      <c r="H2136" s="59">
        <v>0</v>
      </c>
    </row>
    <row r="2137" spans="1:8" ht="112.5" customHeight="1" x14ac:dyDescent="0.15">
      <c r="A2137" s="60">
        <v>3335</v>
      </c>
      <c r="B2137" s="30" t="s">
        <v>3496</v>
      </c>
      <c r="C2137" s="30" t="s">
        <v>9855</v>
      </c>
      <c r="D2137" s="61" t="s">
        <v>9856</v>
      </c>
      <c r="E2137" s="2"/>
      <c r="F2137" s="57"/>
      <c r="G2137" s="63" t="s">
        <v>9857</v>
      </c>
      <c r="H2137" s="59">
        <v>99.978999999999999</v>
      </c>
    </row>
    <row r="2138" spans="1:8" ht="112.5" customHeight="1" x14ac:dyDescent="0.15">
      <c r="A2138" s="60">
        <v>2227</v>
      </c>
      <c r="B2138" s="30" t="s">
        <v>3670</v>
      </c>
      <c r="C2138" s="30" t="s">
        <v>9858</v>
      </c>
      <c r="D2138" s="61" t="s">
        <v>9859</v>
      </c>
      <c r="E2138" s="2"/>
      <c r="F2138" s="57"/>
      <c r="G2138" s="64" t="s">
        <v>9860</v>
      </c>
      <c r="H2138" s="59">
        <v>100</v>
      </c>
    </row>
    <row r="2139" spans="1:8" ht="112.5" customHeight="1" x14ac:dyDescent="0.15">
      <c r="A2139" s="54">
        <v>2226</v>
      </c>
      <c r="B2139" s="55" t="s">
        <v>3670</v>
      </c>
      <c r="C2139" s="55" t="s">
        <v>9861</v>
      </c>
      <c r="D2139" s="56" t="s">
        <v>9862</v>
      </c>
      <c r="E2139" s="2"/>
      <c r="F2139" s="57"/>
      <c r="G2139" s="63" t="s">
        <v>9863</v>
      </c>
      <c r="H2139" s="59">
        <v>99.89</v>
      </c>
    </row>
    <row r="2140" spans="1:8" ht="112.5" customHeight="1" x14ac:dyDescent="0.15">
      <c r="A2140" s="60">
        <v>3609</v>
      </c>
      <c r="B2140" s="30" t="s">
        <v>3502</v>
      </c>
      <c r="C2140" s="30" t="s">
        <v>9864</v>
      </c>
      <c r="D2140" s="61" t="s">
        <v>9865</v>
      </c>
      <c r="E2140" s="2"/>
      <c r="F2140" s="57"/>
      <c r="G2140" s="64" t="s">
        <v>9866</v>
      </c>
      <c r="H2140" s="59">
        <v>99.805000000000007</v>
      </c>
    </row>
    <row r="2141" spans="1:8" ht="112.5" customHeight="1" x14ac:dyDescent="0.15">
      <c r="A2141" s="60">
        <v>2225</v>
      </c>
      <c r="B2141" s="30" t="s">
        <v>3556</v>
      </c>
      <c r="C2141" s="30" t="s">
        <v>9867</v>
      </c>
      <c r="D2141" s="61" t="s">
        <v>9868</v>
      </c>
      <c r="E2141" s="2"/>
      <c r="F2141" s="57"/>
      <c r="G2141" s="63" t="s">
        <v>9869</v>
      </c>
      <c r="H2141" s="59">
        <v>0</v>
      </c>
    </row>
    <row r="2142" spans="1:8" ht="112.5" customHeight="1" x14ac:dyDescent="0.15">
      <c r="A2142" s="54">
        <v>2224</v>
      </c>
      <c r="B2142" s="55" t="s">
        <v>3556</v>
      </c>
      <c r="C2142" s="55" t="s">
        <v>9870</v>
      </c>
      <c r="D2142" s="56" t="s">
        <v>9871</v>
      </c>
      <c r="E2142" s="2"/>
      <c r="F2142" s="57"/>
      <c r="G2142" s="64" t="s">
        <v>9872</v>
      </c>
      <c r="H2142" s="59">
        <v>100</v>
      </c>
    </row>
    <row r="2143" spans="1:8" ht="112.5" customHeight="1" x14ac:dyDescent="0.15">
      <c r="A2143" s="60">
        <v>2223</v>
      </c>
      <c r="B2143" s="30" t="s">
        <v>3556</v>
      </c>
      <c r="C2143" s="30" t="s">
        <v>9873</v>
      </c>
      <c r="D2143" s="61" t="s">
        <v>9874</v>
      </c>
      <c r="E2143" s="2"/>
      <c r="F2143" s="57"/>
      <c r="G2143" s="63" t="s">
        <v>9875</v>
      </c>
      <c r="H2143" s="59">
        <v>100</v>
      </c>
    </row>
    <row r="2144" spans="1:8" ht="112.5" customHeight="1" x14ac:dyDescent="0.15">
      <c r="A2144" s="54">
        <v>2222</v>
      </c>
      <c r="B2144" s="55" t="s">
        <v>3749</v>
      </c>
      <c r="C2144" s="55" t="s">
        <v>9876</v>
      </c>
      <c r="D2144" s="56" t="s">
        <v>9877</v>
      </c>
      <c r="E2144" s="2"/>
      <c r="F2144" s="57"/>
      <c r="G2144" s="64" t="s">
        <v>9878</v>
      </c>
      <c r="H2144" s="59">
        <v>99.998000000000005</v>
      </c>
    </row>
    <row r="2145" spans="1:13" ht="112.5" customHeight="1" x14ac:dyDescent="0.15">
      <c r="A2145" s="60">
        <v>2221</v>
      </c>
      <c r="B2145" s="30" t="s">
        <v>3556</v>
      </c>
      <c r="C2145" s="30" t="s">
        <v>9879</v>
      </c>
      <c r="D2145" s="61" t="s">
        <v>9880</v>
      </c>
      <c r="E2145" s="2"/>
      <c r="F2145" s="57"/>
      <c r="G2145" s="63" t="s">
        <v>9881</v>
      </c>
      <c r="H2145" s="59">
        <v>100</v>
      </c>
    </row>
    <row r="2146" spans="1:13" ht="112.5" customHeight="1" x14ac:dyDescent="0.15">
      <c r="A2146" s="54">
        <v>2220</v>
      </c>
      <c r="B2146" s="55" t="s">
        <v>3749</v>
      </c>
      <c r="C2146" s="55" t="s">
        <v>9882</v>
      </c>
      <c r="D2146" s="56" t="s">
        <v>9883</v>
      </c>
      <c r="E2146" s="2"/>
      <c r="F2146" s="57"/>
      <c r="G2146" s="58" t="s">
        <v>9884</v>
      </c>
      <c r="H2146" s="59">
        <v>9.1649999999999991</v>
      </c>
      <c r="I2146" s="29"/>
      <c r="J2146" s="29"/>
      <c r="K2146" s="29"/>
      <c r="L2146" s="29"/>
      <c r="M2146" s="29"/>
    </row>
    <row r="2147" spans="1:13" ht="112.5" customHeight="1" x14ac:dyDescent="0.15">
      <c r="A2147" s="60">
        <v>2219</v>
      </c>
      <c r="B2147" s="30" t="s">
        <v>3670</v>
      </c>
      <c r="C2147" s="30" t="s">
        <v>9885</v>
      </c>
      <c r="D2147" s="61" t="s">
        <v>9886</v>
      </c>
      <c r="E2147" s="2"/>
      <c r="F2147" s="57"/>
      <c r="G2147" s="62" t="s">
        <v>9887</v>
      </c>
      <c r="H2147" s="59">
        <v>980</v>
      </c>
      <c r="I2147" s="29"/>
      <c r="J2147" s="29"/>
      <c r="K2147" s="29"/>
      <c r="L2147" s="29"/>
      <c r="M2147" s="29"/>
    </row>
    <row r="2148" spans="1:13" ht="112.5" customHeight="1" x14ac:dyDescent="0.15">
      <c r="A2148" s="54">
        <v>2218</v>
      </c>
      <c r="B2148" s="55" t="s">
        <v>3749</v>
      </c>
      <c r="C2148" s="55" t="s">
        <v>9888</v>
      </c>
      <c r="D2148" s="56" t="s">
        <v>9889</v>
      </c>
      <c r="E2148" s="2"/>
      <c r="F2148" s="57"/>
      <c r="G2148" s="64" t="s">
        <v>9890</v>
      </c>
      <c r="H2148" s="59">
        <v>0</v>
      </c>
    </row>
    <row r="2149" spans="1:13" ht="112.5" customHeight="1" x14ac:dyDescent="0.15">
      <c r="A2149" s="60">
        <v>2217</v>
      </c>
      <c r="B2149" s="30" t="s">
        <v>4330</v>
      </c>
      <c r="C2149" s="30" t="s">
        <v>9891</v>
      </c>
      <c r="D2149" s="61" t="s">
        <v>9892</v>
      </c>
      <c r="E2149" s="2"/>
      <c r="F2149" s="57"/>
      <c r="G2149" s="63" t="s">
        <v>4508</v>
      </c>
      <c r="H2149" s="59">
        <v>943</v>
      </c>
    </row>
    <row r="2150" spans="1:13" ht="112.5" customHeight="1" x14ac:dyDescent="0.15">
      <c r="A2150" s="54">
        <v>2216</v>
      </c>
      <c r="B2150" s="55" t="s">
        <v>4330</v>
      </c>
      <c r="C2150" s="55" t="s">
        <v>9893</v>
      </c>
      <c r="D2150" s="56" t="s">
        <v>9894</v>
      </c>
      <c r="E2150" s="2"/>
      <c r="F2150" s="57"/>
      <c r="G2150" s="64" t="s">
        <v>9895</v>
      </c>
      <c r="H2150" s="59">
        <v>994</v>
      </c>
    </row>
    <row r="2151" spans="1:13" ht="112.5" customHeight="1" x14ac:dyDescent="0.15">
      <c r="A2151" s="60">
        <v>2215</v>
      </c>
      <c r="B2151" s="30" t="s">
        <v>3749</v>
      </c>
      <c r="C2151" s="30" t="s">
        <v>9896</v>
      </c>
      <c r="D2151" s="61" t="s">
        <v>9897</v>
      </c>
      <c r="E2151" s="2"/>
      <c r="F2151" s="57"/>
      <c r="G2151" s="63" t="s">
        <v>9898</v>
      </c>
      <c r="H2151" s="59">
        <v>998</v>
      </c>
    </row>
    <row r="2152" spans="1:13" ht="112.5" customHeight="1" x14ac:dyDescent="0.15">
      <c r="A2152" s="54">
        <v>2214</v>
      </c>
      <c r="B2152" s="55" t="s">
        <v>3533</v>
      </c>
      <c r="C2152" s="55" t="s">
        <v>9899</v>
      </c>
      <c r="D2152" s="56" t="s">
        <v>9900</v>
      </c>
      <c r="E2152" s="2"/>
      <c r="F2152" s="57"/>
      <c r="G2152" s="64" t="s">
        <v>9901</v>
      </c>
      <c r="H2152" s="59">
        <v>985</v>
      </c>
    </row>
    <row r="2153" spans="1:13" ht="112.5" customHeight="1" x14ac:dyDescent="0.15">
      <c r="A2153" s="60">
        <v>2213</v>
      </c>
      <c r="B2153" s="30" t="s">
        <v>3749</v>
      </c>
      <c r="C2153" s="30" t="s">
        <v>9902</v>
      </c>
      <c r="D2153" s="61" t="s">
        <v>9903</v>
      </c>
      <c r="E2153" s="2"/>
      <c r="F2153" s="57"/>
      <c r="G2153" s="63" t="s">
        <v>9904</v>
      </c>
      <c r="H2153" s="59">
        <v>993</v>
      </c>
    </row>
    <row r="2154" spans="1:13" ht="112.5" customHeight="1" x14ac:dyDescent="0.15">
      <c r="A2154" s="54">
        <v>2212</v>
      </c>
      <c r="B2154" s="55" t="s">
        <v>3749</v>
      </c>
      <c r="C2154" s="55" t="s">
        <v>9905</v>
      </c>
      <c r="D2154" s="56" t="s">
        <v>9906</v>
      </c>
      <c r="E2154" s="2"/>
      <c r="F2154" s="57"/>
      <c r="G2154" s="64" t="s">
        <v>9907</v>
      </c>
      <c r="H2154" s="59">
        <v>1</v>
      </c>
    </row>
    <row r="2155" spans="1:13" ht="112.5" customHeight="1" x14ac:dyDescent="0.15">
      <c r="A2155" s="60">
        <v>2211</v>
      </c>
      <c r="B2155" s="30" t="s">
        <v>3556</v>
      </c>
      <c r="C2155" s="30" t="s">
        <v>9908</v>
      </c>
      <c r="D2155" s="61" t="s">
        <v>9909</v>
      </c>
      <c r="E2155" s="2"/>
      <c r="F2155" s="57"/>
      <c r="G2155" s="63" t="s">
        <v>9910</v>
      </c>
      <c r="H2155" s="59">
        <v>983</v>
      </c>
    </row>
    <row r="2156" spans="1:13" ht="112.5" customHeight="1" x14ac:dyDescent="0.15">
      <c r="A2156" s="54">
        <v>2210</v>
      </c>
      <c r="B2156" s="55" t="s">
        <v>3533</v>
      </c>
      <c r="C2156" s="55" t="s">
        <v>9911</v>
      </c>
      <c r="D2156" s="56" t="s">
        <v>9912</v>
      </c>
      <c r="E2156" s="2"/>
      <c r="F2156" s="57"/>
      <c r="G2156" s="64" t="s">
        <v>9913</v>
      </c>
      <c r="H2156" s="59">
        <v>1</v>
      </c>
    </row>
    <row r="2157" spans="1:13" ht="112.5" customHeight="1" x14ac:dyDescent="0.15">
      <c r="A2157" s="60">
        <v>2209</v>
      </c>
      <c r="B2157" s="30" t="s">
        <v>3556</v>
      </c>
      <c r="C2157" s="30" t="s">
        <v>9914</v>
      </c>
      <c r="D2157" s="61" t="s">
        <v>9915</v>
      </c>
      <c r="E2157" s="2"/>
      <c r="F2157" s="57"/>
      <c r="G2157" s="63" t="s">
        <v>9916</v>
      </c>
      <c r="H2157" s="59">
        <v>989</v>
      </c>
    </row>
    <row r="2158" spans="1:13" ht="112.5" customHeight="1" x14ac:dyDescent="0.15">
      <c r="A2158" s="54">
        <v>2208</v>
      </c>
      <c r="B2158" s="55" t="s">
        <v>3749</v>
      </c>
      <c r="C2158" s="55" t="s">
        <v>9917</v>
      </c>
      <c r="D2158" s="56" t="s">
        <v>9918</v>
      </c>
      <c r="E2158" s="2"/>
      <c r="F2158" s="57"/>
      <c r="G2158" s="64" t="s">
        <v>9919</v>
      </c>
      <c r="H2158" s="59">
        <v>998</v>
      </c>
    </row>
    <row r="2159" spans="1:13" ht="112.5" customHeight="1" x14ac:dyDescent="0.15">
      <c r="A2159" s="60">
        <v>2207</v>
      </c>
      <c r="B2159" s="30" t="s">
        <v>3749</v>
      </c>
      <c r="C2159" s="30" t="s">
        <v>9920</v>
      </c>
      <c r="D2159" s="61" t="s">
        <v>9921</v>
      </c>
      <c r="E2159" s="2"/>
      <c r="F2159" s="57"/>
      <c r="G2159" s="63" t="s">
        <v>9922</v>
      </c>
      <c r="H2159" s="59">
        <v>995</v>
      </c>
    </row>
    <row r="2160" spans="1:13" ht="112.5" customHeight="1" x14ac:dyDescent="0.15">
      <c r="A2160" s="54">
        <v>2206</v>
      </c>
      <c r="B2160" s="55" t="s">
        <v>3749</v>
      </c>
      <c r="C2160" s="55" t="s">
        <v>9923</v>
      </c>
      <c r="D2160" s="56" t="s">
        <v>9924</v>
      </c>
      <c r="E2160" s="2"/>
      <c r="F2160" s="57"/>
      <c r="G2160" s="64" t="s">
        <v>9925</v>
      </c>
      <c r="H2160" s="59">
        <v>998</v>
      </c>
    </row>
    <row r="2161" spans="1:8" ht="112.5" customHeight="1" x14ac:dyDescent="0.15">
      <c r="A2161" s="60">
        <v>2205</v>
      </c>
      <c r="B2161" s="30" t="s">
        <v>3749</v>
      </c>
      <c r="C2161" s="30" t="s">
        <v>9926</v>
      </c>
      <c r="D2161" s="61" t="s">
        <v>9927</v>
      </c>
      <c r="E2161" s="2"/>
      <c r="F2161" s="57"/>
      <c r="G2161" s="63" t="s">
        <v>9928</v>
      </c>
      <c r="H2161" s="59">
        <v>1</v>
      </c>
    </row>
    <row r="2162" spans="1:8" ht="112.5" customHeight="1" x14ac:dyDescent="0.15">
      <c r="A2162" s="54">
        <v>2204</v>
      </c>
      <c r="B2162" s="55" t="s">
        <v>3749</v>
      </c>
      <c r="C2162" s="55" t="s">
        <v>9929</v>
      </c>
      <c r="D2162" s="56" t="s">
        <v>9930</v>
      </c>
      <c r="E2162" s="2"/>
      <c r="F2162" s="57"/>
      <c r="G2162" s="64" t="s">
        <v>9931</v>
      </c>
      <c r="H2162" s="59">
        <v>977</v>
      </c>
    </row>
    <row r="2163" spans="1:8" ht="112.5" customHeight="1" x14ac:dyDescent="0.15">
      <c r="A2163" s="60">
        <v>2203</v>
      </c>
      <c r="B2163" s="30" t="s">
        <v>3822</v>
      </c>
      <c r="C2163" s="30" t="s">
        <v>9932</v>
      </c>
      <c r="D2163" s="61" t="s">
        <v>9933</v>
      </c>
      <c r="E2163" s="2"/>
      <c r="F2163" s="57"/>
      <c r="G2163" s="63" t="s">
        <v>9934</v>
      </c>
      <c r="H2163" s="59">
        <v>1</v>
      </c>
    </row>
    <row r="2164" spans="1:8" ht="112.5" customHeight="1" x14ac:dyDescent="0.15">
      <c r="A2164" s="54">
        <v>2020</v>
      </c>
      <c r="B2164" s="55" t="s">
        <v>3556</v>
      </c>
      <c r="C2164" s="55" t="s">
        <v>9935</v>
      </c>
      <c r="D2164" s="56" t="s">
        <v>9936</v>
      </c>
      <c r="E2164" s="2"/>
      <c r="F2164" s="57"/>
      <c r="G2164" s="64" t="s">
        <v>9937</v>
      </c>
      <c r="H2164" s="59">
        <v>1</v>
      </c>
    </row>
    <row r="2165" spans="1:8" ht="112.5" customHeight="1" x14ac:dyDescent="0.15">
      <c r="A2165" s="54">
        <v>2202</v>
      </c>
      <c r="B2165" s="55" t="s">
        <v>3502</v>
      </c>
      <c r="C2165" s="55" t="s">
        <v>9938</v>
      </c>
      <c r="D2165" s="56" t="s">
        <v>9939</v>
      </c>
      <c r="E2165" s="2"/>
      <c r="F2165" s="57"/>
      <c r="G2165" s="63" t="s">
        <v>9940</v>
      </c>
      <c r="H2165" s="59">
        <v>1</v>
      </c>
    </row>
    <row r="2166" spans="1:8" ht="112.5" customHeight="1" x14ac:dyDescent="0.15">
      <c r="A2166" s="60">
        <v>2201</v>
      </c>
      <c r="B2166" s="30" t="s">
        <v>3502</v>
      </c>
      <c r="C2166" s="30" t="s">
        <v>9941</v>
      </c>
      <c r="D2166" s="61" t="s">
        <v>9942</v>
      </c>
      <c r="E2166" s="2"/>
      <c r="F2166" s="57"/>
      <c r="G2166" s="64" t="s">
        <v>9943</v>
      </c>
      <c r="H2166" s="59">
        <v>1</v>
      </c>
    </row>
    <row r="2167" spans="1:8" ht="112.5" customHeight="1" x14ac:dyDescent="0.15">
      <c r="A2167" s="54">
        <v>2200</v>
      </c>
      <c r="B2167" s="55" t="s">
        <v>3492</v>
      </c>
      <c r="C2167" s="55" t="s">
        <v>9944</v>
      </c>
      <c r="D2167" s="56" t="s">
        <v>9945</v>
      </c>
      <c r="E2167" s="2"/>
      <c r="F2167" s="57"/>
      <c r="G2167" s="63" t="s">
        <v>9946</v>
      </c>
      <c r="H2167" s="59">
        <v>1</v>
      </c>
    </row>
    <row r="2168" spans="1:8" ht="112.5" customHeight="1" x14ac:dyDescent="0.15">
      <c r="A2168" s="60">
        <v>2199</v>
      </c>
      <c r="B2168" s="30" t="s">
        <v>3526</v>
      </c>
      <c r="C2168" s="30" t="s">
        <v>9947</v>
      </c>
      <c r="D2168" s="61" t="s">
        <v>9948</v>
      </c>
      <c r="E2168" s="2"/>
      <c r="F2168" s="57"/>
      <c r="G2168" s="64" t="s">
        <v>9949</v>
      </c>
      <c r="H2168" s="59">
        <v>1</v>
      </c>
    </row>
    <row r="2169" spans="1:8" ht="112.5" customHeight="1" x14ac:dyDescent="0.15">
      <c r="A2169" s="60">
        <v>2197</v>
      </c>
      <c r="B2169" s="30" t="s">
        <v>3513</v>
      </c>
      <c r="C2169" s="30" t="s">
        <v>9950</v>
      </c>
      <c r="D2169" s="61" t="s">
        <v>9951</v>
      </c>
      <c r="E2169" s="2"/>
      <c r="F2169" s="57"/>
      <c r="G2169" s="63" t="s">
        <v>9952</v>
      </c>
      <c r="H2169" s="59">
        <v>1</v>
      </c>
    </row>
    <row r="2170" spans="1:8" ht="112.5" customHeight="1" x14ac:dyDescent="0.15">
      <c r="A2170" s="54">
        <v>2196</v>
      </c>
      <c r="B2170" s="55" t="s">
        <v>3513</v>
      </c>
      <c r="C2170" s="55" t="s">
        <v>9953</v>
      </c>
      <c r="D2170" s="56" t="s">
        <v>9954</v>
      </c>
      <c r="E2170" s="2"/>
      <c r="F2170" s="57"/>
      <c r="G2170" s="64" t="s">
        <v>9955</v>
      </c>
      <c r="H2170" s="59">
        <v>1</v>
      </c>
    </row>
    <row r="2171" spans="1:8" ht="112.5" customHeight="1" x14ac:dyDescent="0.15">
      <c r="A2171" s="54">
        <v>2198</v>
      </c>
      <c r="B2171" s="55" t="s">
        <v>3513</v>
      </c>
      <c r="C2171" s="55" t="s">
        <v>9956</v>
      </c>
      <c r="D2171" s="56" t="s">
        <v>9957</v>
      </c>
      <c r="E2171" s="2"/>
      <c r="F2171" s="57"/>
      <c r="G2171" s="63" t="s">
        <v>9958</v>
      </c>
      <c r="H2171" s="59">
        <v>1</v>
      </c>
    </row>
    <row r="2172" spans="1:8" ht="112.5" customHeight="1" x14ac:dyDescent="0.15">
      <c r="A2172" s="54">
        <v>2194</v>
      </c>
      <c r="B2172" s="55" t="s">
        <v>3513</v>
      </c>
      <c r="C2172" s="55" t="s">
        <v>9959</v>
      </c>
      <c r="D2172" s="56" t="s">
        <v>9960</v>
      </c>
      <c r="E2172" s="2"/>
      <c r="F2172" s="57"/>
      <c r="G2172" s="64" t="s">
        <v>9961</v>
      </c>
      <c r="H2172" s="59">
        <v>0</v>
      </c>
    </row>
    <row r="2173" spans="1:8" ht="112.5" customHeight="1" x14ac:dyDescent="0.15">
      <c r="A2173" s="60">
        <v>2193</v>
      </c>
      <c r="B2173" s="30" t="s">
        <v>3513</v>
      </c>
      <c r="C2173" s="30" t="s">
        <v>9962</v>
      </c>
      <c r="D2173" s="61" t="s">
        <v>9963</v>
      </c>
      <c r="E2173" s="2"/>
      <c r="F2173" s="57"/>
      <c r="G2173" s="63" t="s">
        <v>9964</v>
      </c>
      <c r="H2173" s="59">
        <v>1</v>
      </c>
    </row>
    <row r="2174" spans="1:8" ht="112.5" customHeight="1" x14ac:dyDescent="0.15">
      <c r="A2174" s="60">
        <v>2195</v>
      </c>
      <c r="B2174" s="30" t="s">
        <v>3513</v>
      </c>
      <c r="C2174" s="30" t="s">
        <v>9965</v>
      </c>
      <c r="D2174" s="61" t="s">
        <v>9966</v>
      </c>
      <c r="E2174" s="2"/>
      <c r="F2174" s="57"/>
      <c r="G2174" s="64" t="s">
        <v>9967</v>
      </c>
      <c r="H2174" s="59">
        <v>1</v>
      </c>
    </row>
    <row r="2175" spans="1:8" ht="112.5" customHeight="1" x14ac:dyDescent="0.15">
      <c r="A2175" s="54">
        <v>2192</v>
      </c>
      <c r="B2175" s="55" t="s">
        <v>3556</v>
      </c>
      <c r="C2175" s="55" t="s">
        <v>9968</v>
      </c>
      <c r="D2175" s="56" t="s">
        <v>9969</v>
      </c>
      <c r="E2175" s="2"/>
      <c r="F2175" s="57"/>
      <c r="G2175" s="63" t="s">
        <v>9970</v>
      </c>
      <c r="H2175" s="59">
        <v>998</v>
      </c>
    </row>
    <row r="2176" spans="1:8" ht="112.5" customHeight="1" x14ac:dyDescent="0.15">
      <c r="A2176" s="60">
        <v>2191</v>
      </c>
      <c r="B2176" s="30" t="s">
        <v>3509</v>
      </c>
      <c r="C2176" s="30" t="s">
        <v>9971</v>
      </c>
      <c r="D2176" s="61" t="s">
        <v>9972</v>
      </c>
      <c r="E2176" s="2"/>
      <c r="F2176" s="57"/>
      <c r="G2176" s="64" t="s">
        <v>9973</v>
      </c>
      <c r="H2176" s="59">
        <v>9.9960000000000004</v>
      </c>
    </row>
    <row r="2177" spans="1:8" ht="112.5" customHeight="1" x14ac:dyDescent="0.15">
      <c r="A2177" s="54">
        <v>2190</v>
      </c>
      <c r="B2177" s="55" t="s">
        <v>3801</v>
      </c>
      <c r="C2177" s="55" t="s">
        <v>9974</v>
      </c>
      <c r="D2177" s="56" t="s">
        <v>9975</v>
      </c>
      <c r="E2177" s="2"/>
      <c r="F2177" s="57"/>
      <c r="G2177" s="63" t="s">
        <v>9976</v>
      </c>
      <c r="H2177" s="59">
        <v>1</v>
      </c>
    </row>
    <row r="2178" spans="1:8" ht="112.5" customHeight="1" x14ac:dyDescent="0.15">
      <c r="A2178" s="60">
        <v>2189</v>
      </c>
      <c r="B2178" s="30" t="s">
        <v>3556</v>
      </c>
      <c r="C2178" s="30" t="s">
        <v>9977</v>
      </c>
      <c r="D2178" s="61" t="s">
        <v>9978</v>
      </c>
      <c r="E2178" s="2"/>
      <c r="F2178" s="57"/>
      <c r="G2178" s="64" t="s">
        <v>9979</v>
      </c>
      <c r="H2178" s="59">
        <v>1</v>
      </c>
    </row>
    <row r="2179" spans="1:8" ht="112.5" customHeight="1" x14ac:dyDescent="0.15">
      <c r="A2179" s="54">
        <v>2188</v>
      </c>
      <c r="B2179" s="55" t="s">
        <v>3556</v>
      </c>
      <c r="C2179" s="55" t="s">
        <v>9980</v>
      </c>
      <c r="D2179" s="56" t="s">
        <v>9981</v>
      </c>
      <c r="E2179" s="2"/>
      <c r="F2179" s="57"/>
      <c r="G2179" s="63" t="s">
        <v>9982</v>
      </c>
      <c r="H2179" s="59">
        <v>1</v>
      </c>
    </row>
    <row r="2180" spans="1:8" ht="112.5" customHeight="1" x14ac:dyDescent="0.15">
      <c r="A2180" s="60">
        <v>2253</v>
      </c>
      <c r="B2180" s="30" t="s">
        <v>3513</v>
      </c>
      <c r="C2180" s="30" t="s">
        <v>9983</v>
      </c>
      <c r="D2180" s="61" t="s">
        <v>9984</v>
      </c>
      <c r="E2180" s="2"/>
      <c r="F2180" s="57"/>
      <c r="G2180" s="64" t="s">
        <v>9985</v>
      </c>
      <c r="H2180" s="59">
        <v>1</v>
      </c>
    </row>
    <row r="2181" spans="1:8" ht="112.5" customHeight="1" x14ac:dyDescent="0.15">
      <c r="A2181" s="54">
        <v>2252</v>
      </c>
      <c r="B2181" s="55" t="s">
        <v>3502</v>
      </c>
      <c r="C2181" s="55" t="s">
        <v>9986</v>
      </c>
      <c r="D2181" s="56" t="s">
        <v>9987</v>
      </c>
      <c r="E2181" s="2"/>
      <c r="F2181" s="57"/>
      <c r="G2181" s="63" t="s">
        <v>9988</v>
      </c>
      <c r="H2181" s="59">
        <v>999</v>
      </c>
    </row>
    <row r="2182" spans="1:8" ht="112.5" customHeight="1" x14ac:dyDescent="0.15">
      <c r="A2182" s="60">
        <v>2251</v>
      </c>
      <c r="B2182" s="30" t="s">
        <v>3502</v>
      </c>
      <c r="C2182" s="30" t="s">
        <v>9989</v>
      </c>
      <c r="D2182" s="61" t="s">
        <v>9990</v>
      </c>
      <c r="E2182" s="2"/>
      <c r="F2182" s="57"/>
      <c r="G2182" s="64" t="s">
        <v>9991</v>
      </c>
      <c r="H2182" s="59">
        <v>1</v>
      </c>
    </row>
    <row r="2183" spans="1:8" ht="112.5" customHeight="1" x14ac:dyDescent="0.15">
      <c r="A2183" s="54">
        <v>2250</v>
      </c>
      <c r="B2183" s="55" t="s">
        <v>3502</v>
      </c>
      <c r="C2183" s="55" t="s">
        <v>9992</v>
      </c>
      <c r="D2183" s="56" t="s">
        <v>9993</v>
      </c>
      <c r="E2183" s="2"/>
      <c r="F2183" s="57"/>
      <c r="G2183" s="63" t="s">
        <v>9994</v>
      </c>
      <c r="H2183" s="59">
        <v>0</v>
      </c>
    </row>
    <row r="2184" spans="1:8" ht="112.5" customHeight="1" x14ac:dyDescent="0.15">
      <c r="A2184" s="60">
        <v>2249</v>
      </c>
      <c r="B2184" s="30" t="s">
        <v>3502</v>
      </c>
      <c r="C2184" s="30" t="s">
        <v>9995</v>
      </c>
      <c r="D2184" s="61" t="s">
        <v>9996</v>
      </c>
      <c r="E2184" s="2"/>
      <c r="F2184" s="57"/>
      <c r="G2184" s="64" t="s">
        <v>9997</v>
      </c>
      <c r="H2184" s="59">
        <v>991</v>
      </c>
    </row>
    <row r="2185" spans="1:8" ht="112.5" customHeight="1" x14ac:dyDescent="0.15">
      <c r="A2185" s="54">
        <v>2248</v>
      </c>
      <c r="B2185" s="55" t="s">
        <v>3502</v>
      </c>
      <c r="C2185" s="55" t="s">
        <v>9998</v>
      </c>
      <c r="D2185" s="56" t="s">
        <v>9999</v>
      </c>
      <c r="E2185" s="2"/>
      <c r="F2185" s="57"/>
      <c r="G2185" s="63" t="s">
        <v>10000</v>
      </c>
      <c r="H2185" s="59">
        <v>994</v>
      </c>
    </row>
    <row r="2186" spans="1:8" ht="112.5" customHeight="1" x14ac:dyDescent="0.15">
      <c r="A2186" s="60">
        <v>2247</v>
      </c>
      <c r="B2186" s="30" t="s">
        <v>3502</v>
      </c>
      <c r="C2186" s="30" t="s">
        <v>10001</v>
      </c>
      <c r="D2186" s="61" t="s">
        <v>10002</v>
      </c>
      <c r="E2186" s="2"/>
      <c r="F2186" s="57"/>
      <c r="G2186" s="64" t="s">
        <v>10003</v>
      </c>
      <c r="H2186" s="59">
        <v>998</v>
      </c>
    </row>
    <row r="2187" spans="1:8" ht="112.5" customHeight="1" x14ac:dyDescent="0.15">
      <c r="A2187" s="54">
        <v>2246</v>
      </c>
      <c r="B2187" s="55" t="s">
        <v>3502</v>
      </c>
      <c r="C2187" s="55" t="s">
        <v>10004</v>
      </c>
      <c r="D2187" s="56" t="s">
        <v>10005</v>
      </c>
      <c r="E2187" s="2"/>
      <c r="F2187" s="57"/>
      <c r="G2187" s="63" t="s">
        <v>10006</v>
      </c>
      <c r="H2187" s="59">
        <v>960</v>
      </c>
    </row>
    <row r="2188" spans="1:8" ht="112.5" customHeight="1" x14ac:dyDescent="0.15">
      <c r="A2188" s="60">
        <v>2245</v>
      </c>
      <c r="B2188" s="30" t="s">
        <v>3502</v>
      </c>
      <c r="C2188" s="30" t="s">
        <v>10007</v>
      </c>
      <c r="D2188" s="61" t="s">
        <v>10008</v>
      </c>
      <c r="E2188" s="2"/>
      <c r="F2188" s="57"/>
      <c r="G2188" s="64" t="s">
        <v>10009</v>
      </c>
      <c r="H2188" s="59">
        <v>1</v>
      </c>
    </row>
    <row r="2189" spans="1:8" ht="112.5" customHeight="1" x14ac:dyDescent="0.15">
      <c r="A2189" s="54">
        <v>2244</v>
      </c>
      <c r="B2189" s="55" t="s">
        <v>3502</v>
      </c>
      <c r="C2189" s="55" t="s">
        <v>10010</v>
      </c>
      <c r="D2189" s="56" t="s">
        <v>10011</v>
      </c>
      <c r="E2189" s="2"/>
      <c r="F2189" s="57"/>
      <c r="G2189" s="63" t="s">
        <v>10012</v>
      </c>
      <c r="H2189" s="59">
        <v>0</v>
      </c>
    </row>
    <row r="2190" spans="1:8" ht="112.5" customHeight="1" x14ac:dyDescent="0.15">
      <c r="A2190" s="60">
        <v>2243</v>
      </c>
      <c r="B2190" s="30" t="s">
        <v>3818</v>
      </c>
      <c r="C2190" s="30" t="s">
        <v>10013</v>
      </c>
      <c r="D2190" s="61" t="s">
        <v>10014</v>
      </c>
      <c r="E2190" s="2"/>
      <c r="F2190" s="57"/>
      <c r="G2190" s="64" t="s">
        <v>10015</v>
      </c>
      <c r="H2190" s="59">
        <v>1</v>
      </c>
    </row>
    <row r="2191" spans="1:8" ht="112.5" customHeight="1" x14ac:dyDescent="0.15">
      <c r="A2191" s="54">
        <v>2242</v>
      </c>
      <c r="B2191" s="55" t="s">
        <v>3814</v>
      </c>
      <c r="C2191" s="55" t="s">
        <v>10016</v>
      </c>
      <c r="D2191" s="56" t="s">
        <v>10017</v>
      </c>
      <c r="E2191" s="2"/>
      <c r="F2191" s="57"/>
      <c r="G2191" s="63" t="s">
        <v>10018</v>
      </c>
      <c r="H2191" s="59">
        <v>1</v>
      </c>
    </row>
    <row r="2192" spans="1:8" ht="112.5" customHeight="1" x14ac:dyDescent="0.15">
      <c r="A2192" s="60">
        <v>2241</v>
      </c>
      <c r="B2192" s="30" t="s">
        <v>3822</v>
      </c>
      <c r="C2192" s="30" t="s">
        <v>10019</v>
      </c>
      <c r="D2192" s="61" t="s">
        <v>10020</v>
      </c>
      <c r="E2192" s="2"/>
      <c r="F2192" s="57"/>
      <c r="G2192" s="64" t="s">
        <v>10021</v>
      </c>
      <c r="H2192" s="59">
        <v>971</v>
      </c>
    </row>
    <row r="2193" spans="1:8" ht="112.5" customHeight="1" x14ac:dyDescent="0.15">
      <c r="A2193" s="54">
        <v>2240</v>
      </c>
      <c r="B2193" s="55" t="s">
        <v>3526</v>
      </c>
      <c r="C2193" s="55" t="s">
        <v>10022</v>
      </c>
      <c r="D2193" s="56" t="s">
        <v>10023</v>
      </c>
      <c r="E2193" s="2"/>
      <c r="F2193" s="57"/>
      <c r="G2193" s="63" t="s">
        <v>10024</v>
      </c>
      <c r="H2193" s="59">
        <v>1</v>
      </c>
    </row>
    <row r="2194" spans="1:8" ht="112.5" customHeight="1" x14ac:dyDescent="0.15">
      <c r="A2194" s="54">
        <v>2360</v>
      </c>
      <c r="B2194" s="55" t="s">
        <v>3556</v>
      </c>
      <c r="C2194" s="55" t="s">
        <v>10025</v>
      </c>
      <c r="D2194" s="56" t="s">
        <v>10026</v>
      </c>
      <c r="E2194" s="2"/>
      <c r="F2194" s="57"/>
      <c r="G2194" s="64" t="s">
        <v>10027</v>
      </c>
      <c r="H2194" s="59">
        <v>995</v>
      </c>
    </row>
    <row r="2195" spans="1:8" ht="112.5" customHeight="1" x14ac:dyDescent="0.15">
      <c r="A2195" s="60">
        <v>2359</v>
      </c>
      <c r="B2195" s="30" t="s">
        <v>3496</v>
      </c>
      <c r="C2195" s="30" t="s">
        <v>10028</v>
      </c>
      <c r="D2195" s="61" t="s">
        <v>10029</v>
      </c>
      <c r="E2195" s="2"/>
      <c r="F2195" s="57"/>
      <c r="G2195" s="63" t="s">
        <v>10030</v>
      </c>
      <c r="H2195" s="59">
        <v>1</v>
      </c>
    </row>
    <row r="2196" spans="1:8" ht="112.5" customHeight="1" x14ac:dyDescent="0.15">
      <c r="A2196" s="54">
        <v>2358</v>
      </c>
      <c r="B2196" s="55" t="s">
        <v>3496</v>
      </c>
      <c r="C2196" s="55" t="s">
        <v>10031</v>
      </c>
      <c r="D2196" s="56" t="s">
        <v>10032</v>
      </c>
      <c r="E2196" s="2"/>
      <c r="F2196" s="57"/>
      <c r="G2196" s="64" t="s">
        <v>10033</v>
      </c>
      <c r="H2196" s="59">
        <v>944</v>
      </c>
    </row>
    <row r="2197" spans="1:8" ht="112.5" customHeight="1" x14ac:dyDescent="0.15">
      <c r="A2197" s="60">
        <v>2269</v>
      </c>
      <c r="B2197" s="30" t="s">
        <v>3496</v>
      </c>
      <c r="C2197" s="30" t="s">
        <v>10034</v>
      </c>
      <c r="D2197" s="61" t="s">
        <v>10035</v>
      </c>
      <c r="E2197" s="2"/>
      <c r="F2197" s="57"/>
      <c r="G2197" s="63" t="s">
        <v>10036</v>
      </c>
      <c r="H2197" s="59">
        <v>0</v>
      </c>
    </row>
    <row r="2198" spans="1:8" ht="112.5" customHeight="1" x14ac:dyDescent="0.15">
      <c r="A2198" s="60">
        <v>2357</v>
      </c>
      <c r="B2198" s="30" t="s">
        <v>3670</v>
      </c>
      <c r="C2198" s="30" t="s">
        <v>10037</v>
      </c>
      <c r="D2198" s="61" t="s">
        <v>10038</v>
      </c>
      <c r="E2198" s="2"/>
      <c r="F2198" s="57"/>
      <c r="G2198" s="64" t="s">
        <v>10039</v>
      </c>
      <c r="H2198" s="59">
        <v>999</v>
      </c>
    </row>
    <row r="2199" spans="1:8" ht="112.5" customHeight="1" x14ac:dyDescent="0.15">
      <c r="A2199" s="54">
        <v>2356</v>
      </c>
      <c r="B2199" s="55" t="s">
        <v>3670</v>
      </c>
      <c r="C2199" s="55" t="s">
        <v>10040</v>
      </c>
      <c r="D2199" s="56" t="s">
        <v>10041</v>
      </c>
      <c r="E2199" s="2"/>
      <c r="F2199" s="57"/>
      <c r="G2199" s="63" t="s">
        <v>10042</v>
      </c>
      <c r="H2199" s="59">
        <v>987</v>
      </c>
    </row>
    <row r="2200" spans="1:8" ht="112.5" customHeight="1" x14ac:dyDescent="0.15">
      <c r="A2200" s="60">
        <v>2355</v>
      </c>
      <c r="B2200" s="30" t="s">
        <v>3526</v>
      </c>
      <c r="C2200" s="30" t="s">
        <v>10043</v>
      </c>
      <c r="D2200" s="61" t="s">
        <v>10044</v>
      </c>
      <c r="E2200" s="2"/>
      <c r="F2200" s="57"/>
      <c r="G2200" s="64" t="s">
        <v>10045</v>
      </c>
      <c r="H2200" s="59">
        <v>998</v>
      </c>
    </row>
    <row r="2201" spans="1:8" ht="112.5" customHeight="1" x14ac:dyDescent="0.15">
      <c r="A2201" s="54">
        <v>2354</v>
      </c>
      <c r="B2201" s="55" t="s">
        <v>3556</v>
      </c>
      <c r="C2201" s="55" t="s">
        <v>10046</v>
      </c>
      <c r="D2201" s="56" t="s">
        <v>10047</v>
      </c>
      <c r="E2201" s="2"/>
      <c r="F2201" s="57"/>
      <c r="G2201" s="63" t="s">
        <v>10048</v>
      </c>
      <c r="H2201" s="59">
        <v>976</v>
      </c>
    </row>
    <row r="2202" spans="1:8" ht="112.5" customHeight="1" x14ac:dyDescent="0.15">
      <c r="A2202" s="60">
        <v>2353</v>
      </c>
      <c r="B2202" s="30" t="s">
        <v>3526</v>
      </c>
      <c r="C2202" s="30" t="s">
        <v>10049</v>
      </c>
      <c r="D2202" s="61" t="s">
        <v>10050</v>
      </c>
      <c r="E2202" s="2"/>
      <c r="F2202" s="57"/>
      <c r="G2202" s="64" t="s">
        <v>10051</v>
      </c>
      <c r="H2202" s="59">
        <v>993</v>
      </c>
    </row>
    <row r="2203" spans="1:8" ht="112.5" customHeight="1" x14ac:dyDescent="0.15">
      <c r="A2203" s="54">
        <v>2352</v>
      </c>
      <c r="B2203" s="55" t="s">
        <v>3513</v>
      </c>
      <c r="C2203" s="55" t="s">
        <v>10052</v>
      </c>
      <c r="D2203" s="56" t="s">
        <v>10053</v>
      </c>
      <c r="E2203" s="2"/>
      <c r="F2203" s="57"/>
      <c r="G2203" s="63" t="s">
        <v>10054</v>
      </c>
      <c r="H2203" s="59">
        <v>1</v>
      </c>
    </row>
    <row r="2204" spans="1:8" ht="112.5" customHeight="1" x14ac:dyDescent="0.15">
      <c r="A2204" s="60">
        <v>2351</v>
      </c>
      <c r="B2204" s="30" t="s">
        <v>3513</v>
      </c>
      <c r="C2204" s="30" t="s">
        <v>10055</v>
      </c>
      <c r="D2204" s="61" t="s">
        <v>10056</v>
      </c>
      <c r="E2204" s="2"/>
      <c r="F2204" s="57"/>
      <c r="G2204" s="64" t="s">
        <v>10057</v>
      </c>
      <c r="H2204" s="59">
        <v>1</v>
      </c>
    </row>
    <row r="2205" spans="1:8" ht="112.5" customHeight="1" x14ac:dyDescent="0.15">
      <c r="A2205" s="54">
        <v>2350</v>
      </c>
      <c r="B2205" s="55" t="s">
        <v>3509</v>
      </c>
      <c r="C2205" s="55" t="s">
        <v>10058</v>
      </c>
      <c r="D2205" s="56" t="s">
        <v>10059</v>
      </c>
      <c r="E2205" s="2"/>
      <c r="F2205" s="57"/>
      <c r="G2205" s="63" t="s">
        <v>10060</v>
      </c>
      <c r="H2205" s="59">
        <v>992</v>
      </c>
    </row>
    <row r="2206" spans="1:8" ht="112.5" customHeight="1" x14ac:dyDescent="0.15">
      <c r="A2206" s="60">
        <v>2349</v>
      </c>
      <c r="B2206" s="30" t="s">
        <v>3509</v>
      </c>
      <c r="C2206" s="30" t="s">
        <v>10061</v>
      </c>
      <c r="D2206" s="61" t="s">
        <v>10062</v>
      </c>
      <c r="E2206" s="2"/>
      <c r="F2206" s="57"/>
      <c r="G2206" s="64" t="s">
        <v>10063</v>
      </c>
      <c r="H2206" s="59">
        <v>999</v>
      </c>
    </row>
    <row r="2207" spans="1:8" ht="112.5" customHeight="1" x14ac:dyDescent="0.15">
      <c r="A2207" s="54">
        <v>2348</v>
      </c>
      <c r="B2207" s="55" t="s">
        <v>3526</v>
      </c>
      <c r="C2207" s="55" t="s">
        <v>10064</v>
      </c>
      <c r="D2207" s="56" t="s">
        <v>10065</v>
      </c>
      <c r="E2207" s="2"/>
      <c r="F2207" s="57"/>
      <c r="G2207" s="63" t="s">
        <v>10066</v>
      </c>
      <c r="H2207" s="59">
        <v>998</v>
      </c>
    </row>
    <row r="2208" spans="1:8" ht="112.5" customHeight="1" x14ac:dyDescent="0.15">
      <c r="A2208" s="60">
        <v>2347</v>
      </c>
      <c r="B2208" s="30" t="s">
        <v>3822</v>
      </c>
      <c r="C2208" s="30" t="s">
        <v>10067</v>
      </c>
      <c r="D2208" s="61" t="s">
        <v>10068</v>
      </c>
      <c r="E2208" s="2"/>
      <c r="F2208" s="57"/>
      <c r="G2208" s="64" t="s">
        <v>10069</v>
      </c>
      <c r="H2208" s="59">
        <v>996</v>
      </c>
    </row>
    <row r="2209" spans="1:8" ht="112.5" customHeight="1" x14ac:dyDescent="0.15">
      <c r="A2209" s="54">
        <v>2346</v>
      </c>
      <c r="B2209" s="55" t="s">
        <v>3670</v>
      </c>
      <c r="C2209" s="55" t="s">
        <v>10070</v>
      </c>
      <c r="D2209" s="56" t="s">
        <v>10071</v>
      </c>
      <c r="E2209" s="2"/>
      <c r="F2209" s="57"/>
      <c r="G2209" s="63" t="s">
        <v>10072</v>
      </c>
      <c r="H2209" s="59">
        <v>1</v>
      </c>
    </row>
    <row r="2210" spans="1:8" ht="112.5" customHeight="1" x14ac:dyDescent="0.15">
      <c r="A2210" s="60">
        <v>2345</v>
      </c>
      <c r="B2210" s="30" t="s">
        <v>3670</v>
      </c>
      <c r="C2210" s="30" t="s">
        <v>10073</v>
      </c>
      <c r="D2210" s="61" t="s">
        <v>10074</v>
      </c>
      <c r="E2210" s="2"/>
      <c r="F2210" s="57"/>
      <c r="G2210" s="64" t="s">
        <v>10075</v>
      </c>
      <c r="H2210" s="59">
        <v>1</v>
      </c>
    </row>
    <row r="2211" spans="1:8" ht="112.5" customHeight="1" x14ac:dyDescent="0.15">
      <c r="A2211" s="54">
        <v>2344</v>
      </c>
      <c r="B2211" s="55" t="s">
        <v>3670</v>
      </c>
      <c r="C2211" s="55" t="s">
        <v>10076</v>
      </c>
      <c r="D2211" s="56" t="s">
        <v>10077</v>
      </c>
      <c r="E2211" s="2"/>
      <c r="F2211" s="57"/>
      <c r="G2211" s="63" t="s">
        <v>10078</v>
      </c>
      <c r="H2211" s="59">
        <v>0</v>
      </c>
    </row>
    <row r="2212" spans="1:8" ht="112.5" customHeight="1" x14ac:dyDescent="0.15">
      <c r="A2212" s="60">
        <v>2343</v>
      </c>
      <c r="B2212" s="30" t="s">
        <v>3549</v>
      </c>
      <c r="C2212" s="30" t="s">
        <v>10079</v>
      </c>
      <c r="D2212" s="61" t="s">
        <v>10080</v>
      </c>
      <c r="E2212" s="2"/>
      <c r="F2212" s="57"/>
      <c r="G2212" s="64" t="s">
        <v>10081</v>
      </c>
      <c r="H2212" s="59">
        <v>996</v>
      </c>
    </row>
    <row r="2213" spans="1:8" ht="112.5" customHeight="1" x14ac:dyDescent="0.15">
      <c r="A2213" s="54">
        <v>2342</v>
      </c>
      <c r="B2213" s="55" t="s">
        <v>3533</v>
      </c>
      <c r="C2213" s="55" t="s">
        <v>10082</v>
      </c>
      <c r="D2213" s="56" t="s">
        <v>10083</v>
      </c>
      <c r="E2213" s="2"/>
      <c r="F2213" s="57"/>
      <c r="G2213" s="63" t="s">
        <v>10084</v>
      </c>
      <c r="H2213" s="59">
        <v>989</v>
      </c>
    </row>
    <row r="2214" spans="1:8" ht="112.5" customHeight="1" x14ac:dyDescent="0.15">
      <c r="A2214" s="60">
        <v>2341</v>
      </c>
      <c r="B2214" s="30" t="s">
        <v>3526</v>
      </c>
      <c r="C2214" s="30" t="s">
        <v>10085</v>
      </c>
      <c r="D2214" s="61" t="s">
        <v>10086</v>
      </c>
      <c r="E2214" s="2"/>
      <c r="F2214" s="57"/>
      <c r="G2214" s="64" t="s">
        <v>10087</v>
      </c>
      <c r="H2214" s="59">
        <v>988</v>
      </c>
    </row>
    <row r="2215" spans="1:8" ht="112.5" customHeight="1" x14ac:dyDescent="0.15">
      <c r="A2215" s="54">
        <v>2340</v>
      </c>
      <c r="B2215" s="55" t="s">
        <v>3526</v>
      </c>
      <c r="C2215" s="55" t="s">
        <v>10088</v>
      </c>
      <c r="D2215" s="56" t="s">
        <v>10089</v>
      </c>
      <c r="E2215" s="2"/>
      <c r="F2215" s="57"/>
      <c r="G2215" s="63" t="s">
        <v>10090</v>
      </c>
      <c r="H2215" s="59">
        <v>1</v>
      </c>
    </row>
    <row r="2216" spans="1:8" ht="112.5" customHeight="1" x14ac:dyDescent="0.15">
      <c r="A2216" s="60">
        <v>2339</v>
      </c>
      <c r="B2216" s="30" t="s">
        <v>3822</v>
      </c>
      <c r="C2216" s="30" t="s">
        <v>10091</v>
      </c>
      <c r="D2216" s="61" t="s">
        <v>10092</v>
      </c>
      <c r="E2216" s="2"/>
      <c r="F2216" s="57"/>
      <c r="G2216" s="64" t="s">
        <v>10093</v>
      </c>
      <c r="H2216" s="59">
        <v>996</v>
      </c>
    </row>
    <row r="2217" spans="1:8" ht="112.5" customHeight="1" x14ac:dyDescent="0.15">
      <c r="A2217" s="54">
        <v>2338</v>
      </c>
      <c r="B2217" s="55" t="s">
        <v>3749</v>
      </c>
      <c r="C2217" s="55" t="s">
        <v>10094</v>
      </c>
      <c r="D2217" s="56" t="s">
        <v>10095</v>
      </c>
      <c r="E2217" s="2"/>
      <c r="F2217" s="57"/>
      <c r="G2217" s="63" t="s">
        <v>10096</v>
      </c>
      <c r="H2217" s="59">
        <v>1</v>
      </c>
    </row>
    <row r="2218" spans="1:8" ht="112.5" customHeight="1" x14ac:dyDescent="0.15">
      <c r="A2218" s="60">
        <v>2337</v>
      </c>
      <c r="B2218" s="30" t="s">
        <v>3502</v>
      </c>
      <c r="C2218" s="30" t="s">
        <v>10097</v>
      </c>
      <c r="D2218" s="61" t="s">
        <v>10098</v>
      </c>
      <c r="E2218" s="2"/>
      <c r="F2218" s="57"/>
      <c r="G2218" s="64" t="s">
        <v>10099</v>
      </c>
      <c r="H2218" s="59">
        <v>1</v>
      </c>
    </row>
    <row r="2219" spans="1:8" ht="112.5" customHeight="1" x14ac:dyDescent="0.15">
      <c r="A2219" s="54">
        <v>2336</v>
      </c>
      <c r="B2219" s="55" t="s">
        <v>3533</v>
      </c>
      <c r="C2219" s="55" t="s">
        <v>10100</v>
      </c>
      <c r="D2219" s="56" t="s">
        <v>10101</v>
      </c>
      <c r="E2219" s="2"/>
      <c r="F2219" s="57"/>
      <c r="G2219" s="63" t="s">
        <v>10102</v>
      </c>
      <c r="H2219" s="59">
        <v>997</v>
      </c>
    </row>
    <row r="2220" spans="1:8" ht="112.5" customHeight="1" x14ac:dyDescent="0.15">
      <c r="A2220" s="60">
        <v>2335</v>
      </c>
      <c r="B2220" s="30" t="s">
        <v>3513</v>
      </c>
      <c r="C2220" s="30" t="s">
        <v>10103</v>
      </c>
      <c r="D2220" s="61" t="s">
        <v>10104</v>
      </c>
      <c r="E2220" s="2"/>
      <c r="F2220" s="57"/>
      <c r="G2220" s="64" t="s">
        <v>10105</v>
      </c>
      <c r="H2220" s="59">
        <v>992</v>
      </c>
    </row>
    <row r="2221" spans="1:8" ht="112.5" customHeight="1" x14ac:dyDescent="0.15">
      <c r="A2221" s="54">
        <v>2334</v>
      </c>
      <c r="B2221" s="55" t="s">
        <v>3556</v>
      </c>
      <c r="C2221" s="55" t="s">
        <v>10106</v>
      </c>
      <c r="D2221" s="56" t="s">
        <v>10107</v>
      </c>
      <c r="E2221" s="2"/>
      <c r="F2221" s="57"/>
      <c r="G2221" s="63" t="s">
        <v>10108</v>
      </c>
      <c r="H2221" s="59">
        <v>999</v>
      </c>
    </row>
    <row r="2222" spans="1:8" ht="112.5" customHeight="1" x14ac:dyDescent="0.15">
      <c r="A2222" s="60">
        <v>2333</v>
      </c>
      <c r="B2222" s="30" t="s">
        <v>3556</v>
      </c>
      <c r="C2222" s="30" t="s">
        <v>10109</v>
      </c>
      <c r="D2222" s="61" t="s">
        <v>10110</v>
      </c>
      <c r="E2222" s="2"/>
      <c r="F2222" s="57"/>
      <c r="G2222" s="64" t="s">
        <v>10111</v>
      </c>
      <c r="H2222" s="59">
        <v>1</v>
      </c>
    </row>
    <row r="2223" spans="1:8" ht="112.5" customHeight="1" x14ac:dyDescent="0.15">
      <c r="A2223" s="54">
        <v>2332</v>
      </c>
      <c r="B2223" s="55" t="s">
        <v>3556</v>
      </c>
      <c r="C2223" s="55" t="s">
        <v>10112</v>
      </c>
      <c r="D2223" s="56" t="s">
        <v>10113</v>
      </c>
      <c r="E2223" s="2"/>
      <c r="F2223" s="57"/>
      <c r="G2223" s="63" t="s">
        <v>10114</v>
      </c>
      <c r="H2223" s="59">
        <v>1</v>
      </c>
    </row>
    <row r="2224" spans="1:8" ht="112.5" customHeight="1" x14ac:dyDescent="0.15">
      <c r="A2224" s="60">
        <v>2331</v>
      </c>
      <c r="B2224" s="30" t="s">
        <v>3670</v>
      </c>
      <c r="C2224" s="30" t="s">
        <v>10115</v>
      </c>
      <c r="D2224" s="61" t="s">
        <v>10116</v>
      </c>
      <c r="E2224" s="2"/>
      <c r="F2224" s="57"/>
      <c r="G2224" s="64" t="s">
        <v>10117</v>
      </c>
      <c r="H2224" s="59">
        <v>0</v>
      </c>
    </row>
    <row r="2225" spans="1:8" ht="112.5" customHeight="1" x14ac:dyDescent="0.15">
      <c r="A2225" s="54">
        <v>2330</v>
      </c>
      <c r="B2225" s="55" t="s">
        <v>3670</v>
      </c>
      <c r="C2225" s="55" t="s">
        <v>10118</v>
      </c>
      <c r="D2225" s="56" t="s">
        <v>10119</v>
      </c>
      <c r="E2225" s="2"/>
      <c r="F2225" s="57"/>
      <c r="G2225" s="63" t="s">
        <v>10120</v>
      </c>
      <c r="H2225" s="59">
        <v>995</v>
      </c>
    </row>
    <row r="2226" spans="1:8" ht="112.5" customHeight="1" x14ac:dyDescent="0.15">
      <c r="A2226" s="60">
        <v>2329</v>
      </c>
      <c r="B2226" s="30" t="s">
        <v>3670</v>
      </c>
      <c r="C2226" s="30" t="s">
        <v>10121</v>
      </c>
      <c r="D2226" s="61" t="s">
        <v>10122</v>
      </c>
      <c r="E2226" s="2"/>
      <c r="F2226" s="57"/>
      <c r="G2226" s="64" t="s">
        <v>10123</v>
      </c>
      <c r="H2226" s="59">
        <v>945</v>
      </c>
    </row>
    <row r="2227" spans="1:8" ht="112.5" customHeight="1" x14ac:dyDescent="0.15">
      <c r="A2227" s="54">
        <v>2328</v>
      </c>
      <c r="B2227" s="55" t="s">
        <v>3670</v>
      </c>
      <c r="C2227" s="55" t="s">
        <v>10124</v>
      </c>
      <c r="D2227" s="56" t="s">
        <v>10125</v>
      </c>
      <c r="E2227" s="2"/>
      <c r="F2227" s="57"/>
      <c r="G2227" s="63" t="s">
        <v>10126</v>
      </c>
      <c r="H2227" s="59">
        <v>1</v>
      </c>
    </row>
    <row r="2228" spans="1:8" ht="112.5" customHeight="1" x14ac:dyDescent="0.15">
      <c r="A2228" s="60">
        <v>2327</v>
      </c>
      <c r="B2228" s="30" t="s">
        <v>3670</v>
      </c>
      <c r="C2228" s="30" t="s">
        <v>10127</v>
      </c>
      <c r="D2228" s="61" t="s">
        <v>10128</v>
      </c>
      <c r="E2228" s="2"/>
      <c r="F2228" s="57"/>
      <c r="G2228" s="64" t="s">
        <v>10129</v>
      </c>
      <c r="H2228" s="59">
        <v>995</v>
      </c>
    </row>
    <row r="2229" spans="1:8" ht="112.5" customHeight="1" x14ac:dyDescent="0.15">
      <c r="A2229" s="54">
        <v>2326</v>
      </c>
      <c r="B2229" s="55" t="s">
        <v>3670</v>
      </c>
      <c r="C2229" s="55" t="s">
        <v>10130</v>
      </c>
      <c r="D2229" s="56" t="s">
        <v>10131</v>
      </c>
      <c r="E2229" s="2"/>
      <c r="F2229" s="57"/>
      <c r="G2229" s="63" t="s">
        <v>10132</v>
      </c>
      <c r="H2229" s="59">
        <v>993</v>
      </c>
    </row>
    <row r="2230" spans="1:8" ht="112.5" customHeight="1" x14ac:dyDescent="0.15">
      <c r="A2230" s="60">
        <v>2325</v>
      </c>
      <c r="B2230" s="30" t="s">
        <v>3670</v>
      </c>
      <c r="C2230" s="30" t="s">
        <v>10133</v>
      </c>
      <c r="D2230" s="61" t="s">
        <v>10134</v>
      </c>
      <c r="E2230" s="2"/>
      <c r="F2230" s="57"/>
      <c r="G2230" s="64" t="s">
        <v>10135</v>
      </c>
      <c r="H2230" s="59">
        <v>1</v>
      </c>
    </row>
    <row r="2231" spans="1:8" ht="112.5" customHeight="1" x14ac:dyDescent="0.15">
      <c r="A2231" s="54">
        <v>2324</v>
      </c>
      <c r="B2231" s="55" t="s">
        <v>3670</v>
      </c>
      <c r="C2231" s="55" t="s">
        <v>10136</v>
      </c>
      <c r="D2231" s="56" t="s">
        <v>10137</v>
      </c>
      <c r="E2231" s="2"/>
      <c r="F2231" s="57"/>
      <c r="G2231" s="63" t="s">
        <v>10138</v>
      </c>
      <c r="H2231" s="59">
        <v>1</v>
      </c>
    </row>
    <row r="2232" spans="1:8" ht="112.5" customHeight="1" x14ac:dyDescent="0.15">
      <c r="A2232" s="60">
        <v>2323</v>
      </c>
      <c r="B2232" s="30" t="s">
        <v>3670</v>
      </c>
      <c r="C2232" s="30" t="s">
        <v>10139</v>
      </c>
      <c r="D2232" s="61" t="s">
        <v>10140</v>
      </c>
      <c r="E2232" s="2"/>
      <c r="F2232" s="57"/>
      <c r="G2232" s="64" t="s">
        <v>10141</v>
      </c>
      <c r="H2232" s="59">
        <v>1</v>
      </c>
    </row>
    <row r="2233" spans="1:8" ht="112.5" customHeight="1" x14ac:dyDescent="0.15">
      <c r="A2233" s="54">
        <v>2322</v>
      </c>
      <c r="B2233" s="55" t="s">
        <v>3670</v>
      </c>
      <c r="C2233" s="55" t="s">
        <v>10142</v>
      </c>
      <c r="D2233" s="56" t="s">
        <v>10143</v>
      </c>
      <c r="E2233" s="2"/>
      <c r="F2233" s="57"/>
      <c r="G2233" s="63" t="s">
        <v>10144</v>
      </c>
      <c r="H2233" s="59">
        <v>866</v>
      </c>
    </row>
    <row r="2234" spans="1:8" ht="112.5" customHeight="1" x14ac:dyDescent="0.15">
      <c r="A2234" s="60">
        <v>2321</v>
      </c>
      <c r="B2234" s="30" t="s">
        <v>3670</v>
      </c>
      <c r="C2234" s="30" t="s">
        <v>10145</v>
      </c>
      <c r="D2234" s="61" t="s">
        <v>10146</v>
      </c>
      <c r="E2234" s="2"/>
      <c r="F2234" s="57"/>
      <c r="G2234" s="64" t="s">
        <v>10147</v>
      </c>
      <c r="H2234" s="59">
        <v>983</v>
      </c>
    </row>
    <row r="2235" spans="1:8" ht="112.5" customHeight="1" x14ac:dyDescent="0.15">
      <c r="A2235" s="54">
        <v>2320</v>
      </c>
      <c r="B2235" s="55" t="s">
        <v>3670</v>
      </c>
      <c r="C2235" s="55" t="s">
        <v>10148</v>
      </c>
      <c r="D2235" s="56" t="s">
        <v>10149</v>
      </c>
      <c r="E2235" s="2"/>
      <c r="F2235" s="57"/>
      <c r="G2235" s="63" t="s">
        <v>10150</v>
      </c>
      <c r="H2235" s="59">
        <v>0</v>
      </c>
    </row>
    <row r="2236" spans="1:8" ht="112.5" customHeight="1" x14ac:dyDescent="0.15">
      <c r="A2236" s="60">
        <v>2319</v>
      </c>
      <c r="B2236" s="30" t="s">
        <v>3630</v>
      </c>
      <c r="C2236" s="30" t="s">
        <v>10151</v>
      </c>
      <c r="D2236" s="61" t="s">
        <v>10152</v>
      </c>
      <c r="E2236" s="2"/>
      <c r="F2236" s="57"/>
      <c r="G2236" s="64" t="s">
        <v>10153</v>
      </c>
      <c r="H2236" s="59">
        <v>1</v>
      </c>
    </row>
    <row r="2237" spans="1:8" ht="112.5" customHeight="1" x14ac:dyDescent="0.15">
      <c r="A2237" s="54">
        <v>2258</v>
      </c>
      <c r="B2237" s="55" t="s">
        <v>3749</v>
      </c>
      <c r="C2237" s="55" t="s">
        <v>10154</v>
      </c>
      <c r="D2237" s="56" t="s">
        <v>10155</v>
      </c>
      <c r="E2237" s="2"/>
      <c r="F2237" s="57"/>
      <c r="G2237" s="63" t="s">
        <v>10156</v>
      </c>
      <c r="H2237" s="59">
        <v>965</v>
      </c>
    </row>
    <row r="2238" spans="1:8" ht="112.5" customHeight="1" x14ac:dyDescent="0.15">
      <c r="A2238" s="60">
        <v>2257</v>
      </c>
      <c r="B2238" s="30" t="s">
        <v>3749</v>
      </c>
      <c r="C2238" s="30" t="s">
        <v>10157</v>
      </c>
      <c r="D2238" s="61" t="s">
        <v>10158</v>
      </c>
      <c r="E2238" s="2"/>
      <c r="F2238" s="57"/>
      <c r="G2238" s="64" t="s">
        <v>10159</v>
      </c>
      <c r="H2238" s="59">
        <v>0</v>
      </c>
    </row>
    <row r="2239" spans="1:8" ht="112.5" customHeight="1" x14ac:dyDescent="0.15">
      <c r="A2239" s="54">
        <v>2256</v>
      </c>
      <c r="B2239" s="55" t="s">
        <v>3749</v>
      </c>
      <c r="C2239" s="55" t="s">
        <v>10160</v>
      </c>
      <c r="D2239" s="56" t="s">
        <v>10161</v>
      </c>
      <c r="E2239" s="2"/>
      <c r="F2239" s="57"/>
      <c r="G2239" s="63" t="s">
        <v>10162</v>
      </c>
      <c r="H2239" s="59">
        <v>996</v>
      </c>
    </row>
    <row r="2240" spans="1:8" ht="112.5" customHeight="1" x14ac:dyDescent="0.15">
      <c r="A2240" s="60">
        <v>2255</v>
      </c>
      <c r="B2240" s="30" t="s">
        <v>3749</v>
      </c>
      <c r="C2240" s="30" t="s">
        <v>10163</v>
      </c>
      <c r="D2240" s="61" t="s">
        <v>10164</v>
      </c>
      <c r="E2240" s="2"/>
      <c r="F2240" s="57"/>
      <c r="G2240" s="64" t="s">
        <v>10165</v>
      </c>
      <c r="H2240" s="59">
        <v>0</v>
      </c>
    </row>
    <row r="2241" spans="1:8" ht="112.5" customHeight="1" x14ac:dyDescent="0.15">
      <c r="A2241" s="54">
        <v>2254</v>
      </c>
      <c r="B2241" s="55" t="s">
        <v>3749</v>
      </c>
      <c r="C2241" s="55" t="s">
        <v>10166</v>
      </c>
      <c r="D2241" s="56" t="s">
        <v>10167</v>
      </c>
      <c r="E2241" s="2"/>
      <c r="F2241" s="57"/>
      <c r="G2241" s="63" t="s">
        <v>10168</v>
      </c>
      <c r="H2241" s="59">
        <v>1</v>
      </c>
    </row>
    <row r="2242" spans="1:8" ht="112.5" customHeight="1" x14ac:dyDescent="0.15">
      <c r="A2242" s="60">
        <v>2423</v>
      </c>
      <c r="B2242" s="30" t="s">
        <v>3670</v>
      </c>
      <c r="C2242" s="30" t="s">
        <v>10169</v>
      </c>
      <c r="D2242" s="61" t="s">
        <v>10170</v>
      </c>
      <c r="E2242" s="2"/>
      <c r="F2242" s="57"/>
      <c r="G2242" s="64" t="s">
        <v>10171</v>
      </c>
      <c r="H2242" s="59">
        <v>998</v>
      </c>
    </row>
    <row r="2243" spans="1:8" ht="112.5" customHeight="1" x14ac:dyDescent="0.15">
      <c r="A2243" s="54">
        <v>2422</v>
      </c>
      <c r="B2243" s="55" t="s">
        <v>3749</v>
      </c>
      <c r="C2243" s="55" t="s">
        <v>10172</v>
      </c>
      <c r="D2243" s="56" t="s">
        <v>10173</v>
      </c>
      <c r="E2243" s="2"/>
      <c r="F2243" s="57"/>
      <c r="G2243" s="63" t="s">
        <v>10174</v>
      </c>
      <c r="H2243" s="59">
        <v>1</v>
      </c>
    </row>
    <row r="2244" spans="1:8" ht="112.5" customHeight="1" x14ac:dyDescent="0.15">
      <c r="A2244" s="60">
        <v>2421</v>
      </c>
      <c r="B2244" s="30" t="s">
        <v>3749</v>
      </c>
      <c r="C2244" s="30" t="s">
        <v>10175</v>
      </c>
      <c r="D2244" s="61" t="s">
        <v>10176</v>
      </c>
      <c r="E2244" s="2"/>
      <c r="F2244" s="57"/>
      <c r="G2244" s="64" t="s">
        <v>10177</v>
      </c>
      <c r="H2244" s="59">
        <v>745</v>
      </c>
    </row>
    <row r="2245" spans="1:8" ht="112.5" customHeight="1" x14ac:dyDescent="0.15">
      <c r="A2245" s="54">
        <v>2420</v>
      </c>
      <c r="B2245" s="55" t="s">
        <v>3749</v>
      </c>
      <c r="C2245" s="55" t="s">
        <v>10178</v>
      </c>
      <c r="D2245" s="56" t="s">
        <v>10179</v>
      </c>
      <c r="E2245" s="2"/>
      <c r="F2245" s="57"/>
      <c r="G2245" s="63" t="s">
        <v>10180</v>
      </c>
      <c r="H2245" s="59">
        <v>0</v>
      </c>
    </row>
    <row r="2246" spans="1:8" ht="112.5" customHeight="1" x14ac:dyDescent="0.15">
      <c r="A2246" s="60">
        <v>2419</v>
      </c>
      <c r="B2246" s="30" t="s">
        <v>3749</v>
      </c>
      <c r="C2246" s="30" t="s">
        <v>10181</v>
      </c>
      <c r="D2246" s="61" t="s">
        <v>10182</v>
      </c>
      <c r="E2246" s="2"/>
      <c r="F2246" s="57"/>
      <c r="G2246" s="64" t="s">
        <v>10183</v>
      </c>
      <c r="H2246" s="59">
        <v>0</v>
      </c>
    </row>
    <row r="2247" spans="1:8" ht="112.5" customHeight="1" x14ac:dyDescent="0.15">
      <c r="A2247" s="54">
        <v>2418</v>
      </c>
      <c r="B2247" s="55" t="s">
        <v>3749</v>
      </c>
      <c r="C2247" s="55" t="s">
        <v>10184</v>
      </c>
      <c r="D2247" s="56" t="s">
        <v>10185</v>
      </c>
      <c r="E2247" s="2"/>
      <c r="F2247" s="57"/>
      <c r="G2247" s="63" t="s">
        <v>10186</v>
      </c>
      <c r="H2247" s="59">
        <v>998</v>
      </c>
    </row>
    <row r="2248" spans="1:8" ht="112.5" customHeight="1" x14ac:dyDescent="0.15">
      <c r="A2248" s="60">
        <v>2417</v>
      </c>
      <c r="B2248" s="30" t="s">
        <v>3749</v>
      </c>
      <c r="C2248" s="30" t="s">
        <v>10187</v>
      </c>
      <c r="D2248" s="61" t="s">
        <v>10188</v>
      </c>
      <c r="E2248" s="2"/>
      <c r="F2248" s="57"/>
      <c r="G2248" s="64" t="s">
        <v>10189</v>
      </c>
      <c r="H2248" s="59">
        <v>1</v>
      </c>
    </row>
    <row r="2249" spans="1:8" ht="112.5" customHeight="1" x14ac:dyDescent="0.15">
      <c r="A2249" s="54">
        <v>2416</v>
      </c>
      <c r="B2249" s="55" t="s">
        <v>3749</v>
      </c>
      <c r="C2249" s="55" t="s">
        <v>10190</v>
      </c>
      <c r="D2249" s="56" t="s">
        <v>10191</v>
      </c>
      <c r="E2249" s="2"/>
      <c r="F2249" s="57"/>
      <c r="G2249" s="63" t="s">
        <v>10192</v>
      </c>
      <c r="H2249" s="59">
        <v>995</v>
      </c>
    </row>
    <row r="2250" spans="1:8" ht="112.5" customHeight="1" x14ac:dyDescent="0.15">
      <c r="A2250" s="60">
        <v>2415</v>
      </c>
      <c r="B2250" s="30" t="s">
        <v>3513</v>
      </c>
      <c r="C2250" s="30" t="s">
        <v>10193</v>
      </c>
      <c r="D2250" s="61" t="s">
        <v>10194</v>
      </c>
      <c r="E2250" s="2"/>
      <c r="F2250" s="57"/>
      <c r="G2250" s="64" t="s">
        <v>10195</v>
      </c>
      <c r="H2250" s="59">
        <v>1</v>
      </c>
    </row>
    <row r="2251" spans="1:8" ht="112.5" customHeight="1" x14ac:dyDescent="0.15">
      <c r="A2251" s="54">
        <v>2414</v>
      </c>
      <c r="B2251" s="55" t="s">
        <v>3513</v>
      </c>
      <c r="C2251" s="55" t="s">
        <v>10196</v>
      </c>
      <c r="D2251" s="56" t="s">
        <v>10197</v>
      </c>
      <c r="E2251" s="2"/>
      <c r="F2251" s="57"/>
      <c r="G2251" s="63" t="s">
        <v>10198</v>
      </c>
      <c r="H2251" s="59">
        <v>997</v>
      </c>
    </row>
    <row r="2252" spans="1:8" ht="112.5" customHeight="1" x14ac:dyDescent="0.15">
      <c r="A2252" s="60">
        <v>2413</v>
      </c>
      <c r="B2252" s="30" t="s">
        <v>3556</v>
      </c>
      <c r="C2252" s="30" t="s">
        <v>10199</v>
      </c>
      <c r="D2252" s="61" t="s">
        <v>10200</v>
      </c>
      <c r="E2252" s="2"/>
      <c r="F2252" s="57"/>
      <c r="G2252" s="64" t="s">
        <v>10201</v>
      </c>
      <c r="H2252" s="59">
        <v>999</v>
      </c>
    </row>
    <row r="2253" spans="1:8" ht="112.5" customHeight="1" x14ac:dyDescent="0.15">
      <c r="A2253" s="54">
        <v>2412</v>
      </c>
      <c r="B2253" s="55" t="s">
        <v>3502</v>
      </c>
      <c r="C2253" s="55" t="s">
        <v>10202</v>
      </c>
      <c r="D2253" s="56" t="s">
        <v>10203</v>
      </c>
      <c r="E2253" s="2"/>
      <c r="F2253" s="57"/>
      <c r="G2253" s="63" t="s">
        <v>10204</v>
      </c>
      <c r="H2253" s="59">
        <v>999</v>
      </c>
    </row>
    <row r="2254" spans="1:8" ht="112.5" customHeight="1" x14ac:dyDescent="0.15">
      <c r="A2254" s="60">
        <v>2411</v>
      </c>
      <c r="B2254" s="30" t="s">
        <v>3502</v>
      </c>
      <c r="C2254" s="30" t="s">
        <v>10205</v>
      </c>
      <c r="D2254" s="61" t="s">
        <v>10206</v>
      </c>
      <c r="E2254" s="2"/>
      <c r="F2254" s="57"/>
      <c r="G2254" s="64" t="s">
        <v>10207</v>
      </c>
      <c r="H2254" s="59">
        <v>994</v>
      </c>
    </row>
    <row r="2255" spans="1:8" ht="112.5" customHeight="1" x14ac:dyDescent="0.15">
      <c r="A2255" s="54">
        <v>2410</v>
      </c>
      <c r="B2255" s="55" t="s">
        <v>3502</v>
      </c>
      <c r="C2255" s="55" t="s">
        <v>10208</v>
      </c>
      <c r="D2255" s="56" t="s">
        <v>10209</v>
      </c>
      <c r="E2255" s="2"/>
      <c r="F2255" s="57"/>
      <c r="G2255" s="63" t="s">
        <v>10210</v>
      </c>
      <c r="H2255" s="59">
        <v>1</v>
      </c>
    </row>
    <row r="2256" spans="1:8" ht="112.5" customHeight="1" x14ac:dyDescent="0.15">
      <c r="A2256" s="60">
        <v>2409</v>
      </c>
      <c r="B2256" s="30" t="s">
        <v>3502</v>
      </c>
      <c r="C2256" s="30" t="s">
        <v>10211</v>
      </c>
      <c r="D2256" s="61" t="s">
        <v>10212</v>
      </c>
      <c r="E2256" s="2"/>
      <c r="F2256" s="57"/>
      <c r="G2256" s="64" t="s">
        <v>10213</v>
      </c>
      <c r="H2256" s="59">
        <v>980</v>
      </c>
    </row>
    <row r="2257" spans="1:13" ht="112.5" customHeight="1" x14ac:dyDescent="0.15">
      <c r="A2257" s="54">
        <v>2408</v>
      </c>
      <c r="B2257" s="55" t="s">
        <v>3502</v>
      </c>
      <c r="C2257" s="55" t="s">
        <v>10214</v>
      </c>
      <c r="D2257" s="56" t="s">
        <v>10215</v>
      </c>
      <c r="E2257" s="2"/>
      <c r="F2257" s="57"/>
      <c r="G2257" s="63" t="s">
        <v>10216</v>
      </c>
      <c r="H2257" s="59">
        <v>986</v>
      </c>
    </row>
    <row r="2258" spans="1:13" ht="112.5" customHeight="1" x14ac:dyDescent="0.15">
      <c r="A2258" s="54">
        <v>3600</v>
      </c>
      <c r="B2258" s="55" t="s">
        <v>3801</v>
      </c>
      <c r="C2258" s="55" t="s">
        <v>10217</v>
      </c>
      <c r="D2258" s="56" t="s">
        <v>10218</v>
      </c>
      <c r="E2258" s="2"/>
      <c r="F2258" s="57"/>
      <c r="G2258" s="64" t="s">
        <v>10219</v>
      </c>
      <c r="H2258" s="59">
        <v>991</v>
      </c>
    </row>
    <row r="2259" spans="1:13" ht="112.5" customHeight="1" x14ac:dyDescent="0.15">
      <c r="A2259" s="60">
        <v>2407</v>
      </c>
      <c r="B2259" s="30" t="s">
        <v>3502</v>
      </c>
      <c r="C2259" s="30" t="s">
        <v>10220</v>
      </c>
      <c r="D2259" s="61" t="s">
        <v>10221</v>
      </c>
      <c r="E2259" s="2"/>
      <c r="F2259" s="57"/>
      <c r="G2259" s="63" t="s">
        <v>10222</v>
      </c>
      <c r="H2259" s="59">
        <v>998</v>
      </c>
    </row>
    <row r="2260" spans="1:13" ht="112.5" customHeight="1" x14ac:dyDescent="0.15">
      <c r="A2260" s="54">
        <v>2406</v>
      </c>
      <c r="B2260" s="55" t="s">
        <v>3814</v>
      </c>
      <c r="C2260" s="55" t="s">
        <v>10223</v>
      </c>
      <c r="D2260" s="56" t="s">
        <v>10224</v>
      </c>
      <c r="E2260" s="2"/>
      <c r="F2260" s="57"/>
      <c r="G2260" s="64" t="s">
        <v>10225</v>
      </c>
      <c r="H2260" s="59">
        <v>1</v>
      </c>
    </row>
    <row r="2261" spans="1:13" ht="112.5" customHeight="1" x14ac:dyDescent="0.15">
      <c r="A2261" s="60">
        <v>2405</v>
      </c>
      <c r="B2261" s="30" t="s">
        <v>3822</v>
      </c>
      <c r="C2261" s="30" t="s">
        <v>10226</v>
      </c>
      <c r="D2261" s="61" t="s">
        <v>10227</v>
      </c>
      <c r="E2261" s="2"/>
      <c r="F2261" s="57"/>
      <c r="G2261" s="63" t="s">
        <v>10228</v>
      </c>
      <c r="H2261" s="59">
        <v>1</v>
      </c>
    </row>
    <row r="2262" spans="1:13" ht="112.5" customHeight="1" x14ac:dyDescent="0.15">
      <c r="A2262" s="54">
        <v>2404</v>
      </c>
      <c r="B2262" s="55" t="s">
        <v>3533</v>
      </c>
      <c r="C2262" s="55" t="s">
        <v>10229</v>
      </c>
      <c r="D2262" s="56" t="s">
        <v>10230</v>
      </c>
      <c r="E2262" s="2"/>
      <c r="F2262" s="57"/>
      <c r="G2262" s="64" t="s">
        <v>10231</v>
      </c>
      <c r="H2262" s="59">
        <v>1</v>
      </c>
    </row>
    <row r="2263" spans="1:13" ht="112.5" customHeight="1" x14ac:dyDescent="0.15">
      <c r="A2263" s="60">
        <v>2403</v>
      </c>
      <c r="B2263" s="30" t="s">
        <v>3533</v>
      </c>
      <c r="C2263" s="30" t="s">
        <v>10232</v>
      </c>
      <c r="D2263" s="61" t="s">
        <v>10233</v>
      </c>
      <c r="E2263" s="2"/>
      <c r="F2263" s="57"/>
      <c r="G2263" s="63" t="s">
        <v>10234</v>
      </c>
      <c r="H2263" s="59">
        <v>993</v>
      </c>
    </row>
    <row r="2264" spans="1:13" ht="112.5" customHeight="1" x14ac:dyDescent="0.15">
      <c r="A2264" s="54">
        <v>2402</v>
      </c>
      <c r="B2264" s="55" t="s">
        <v>3513</v>
      </c>
      <c r="C2264" s="55" t="s">
        <v>10235</v>
      </c>
      <c r="D2264" s="56" t="s">
        <v>10236</v>
      </c>
      <c r="E2264" s="2"/>
      <c r="F2264" s="57"/>
      <c r="G2264" s="64" t="s">
        <v>10237</v>
      </c>
      <c r="H2264" s="59">
        <v>992</v>
      </c>
    </row>
    <row r="2265" spans="1:13" ht="112.5" customHeight="1" x14ac:dyDescent="0.15">
      <c r="A2265" s="60">
        <v>2401</v>
      </c>
      <c r="B2265" s="30" t="s">
        <v>3513</v>
      </c>
      <c r="C2265" s="30" t="s">
        <v>10238</v>
      </c>
      <c r="D2265" s="61" t="s">
        <v>10239</v>
      </c>
      <c r="E2265" s="2"/>
      <c r="F2265" s="57"/>
      <c r="G2265" s="63" t="s">
        <v>10240</v>
      </c>
      <c r="H2265" s="59">
        <v>998</v>
      </c>
    </row>
    <row r="2266" spans="1:13" ht="112.5" customHeight="1" x14ac:dyDescent="0.15">
      <c r="A2266" s="54">
        <v>2400</v>
      </c>
      <c r="B2266" s="55" t="s">
        <v>3876</v>
      </c>
      <c r="C2266" s="55" t="s">
        <v>10241</v>
      </c>
      <c r="D2266" s="56" t="s">
        <v>10242</v>
      </c>
      <c r="E2266" s="2"/>
      <c r="F2266" s="57"/>
      <c r="G2266" s="64" t="s">
        <v>10243</v>
      </c>
      <c r="H2266" s="59">
        <v>1</v>
      </c>
    </row>
    <row r="2267" spans="1:13" ht="112.5" customHeight="1" x14ac:dyDescent="0.15">
      <c r="A2267" s="60">
        <v>2399</v>
      </c>
      <c r="B2267" s="30" t="s">
        <v>3509</v>
      </c>
      <c r="C2267" s="30" t="s">
        <v>10244</v>
      </c>
      <c r="D2267" s="61" t="s">
        <v>10245</v>
      </c>
      <c r="E2267" s="2"/>
      <c r="F2267" s="57"/>
      <c r="G2267" s="63" t="s">
        <v>4794</v>
      </c>
      <c r="H2267" s="59">
        <v>928</v>
      </c>
    </row>
    <row r="2268" spans="1:13" ht="112.5" customHeight="1" x14ac:dyDescent="0.15">
      <c r="A2268" s="54">
        <v>2398</v>
      </c>
      <c r="B2268" s="55" t="s">
        <v>3556</v>
      </c>
      <c r="C2268" s="55" t="s">
        <v>10246</v>
      </c>
      <c r="D2268" s="56" t="s">
        <v>10247</v>
      </c>
      <c r="E2268" s="2"/>
      <c r="F2268" s="57"/>
      <c r="G2268" s="64" t="s">
        <v>10248</v>
      </c>
      <c r="H2268" s="59">
        <v>1</v>
      </c>
    </row>
    <row r="2269" spans="1:13" ht="112.5" customHeight="1" x14ac:dyDescent="0.15">
      <c r="A2269" s="60">
        <v>2397</v>
      </c>
      <c r="B2269" s="30" t="s">
        <v>3556</v>
      </c>
      <c r="C2269" s="30" t="s">
        <v>10249</v>
      </c>
      <c r="D2269" s="61" t="s">
        <v>10250</v>
      </c>
      <c r="E2269" s="2"/>
      <c r="F2269" s="57"/>
      <c r="G2269" s="62" t="s">
        <v>10251</v>
      </c>
      <c r="H2269" s="59">
        <v>0</v>
      </c>
      <c r="I2269" s="29"/>
      <c r="J2269" s="29"/>
      <c r="K2269" s="29"/>
      <c r="L2269" s="29"/>
      <c r="M2269" s="29"/>
    </row>
    <row r="2270" spans="1:13" ht="112.5" customHeight="1" x14ac:dyDescent="0.15">
      <c r="A2270" s="54">
        <v>2396</v>
      </c>
      <c r="B2270" s="55" t="s">
        <v>3556</v>
      </c>
      <c r="C2270" s="55" t="s">
        <v>10252</v>
      </c>
      <c r="D2270" s="56" t="s">
        <v>10253</v>
      </c>
      <c r="E2270" s="2"/>
      <c r="F2270" s="57"/>
      <c r="G2270" s="64" t="s">
        <v>10254</v>
      </c>
      <c r="H2270" s="59">
        <v>1</v>
      </c>
    </row>
    <row r="2271" spans="1:13" ht="112.5" customHeight="1" x14ac:dyDescent="0.15">
      <c r="A2271" s="60">
        <v>2395</v>
      </c>
      <c r="B2271" s="30" t="s">
        <v>3556</v>
      </c>
      <c r="C2271" s="30" t="s">
        <v>10255</v>
      </c>
      <c r="D2271" s="61" t="s">
        <v>10256</v>
      </c>
      <c r="E2271" s="2"/>
      <c r="F2271" s="57"/>
      <c r="G2271" s="63" t="s">
        <v>10257</v>
      </c>
      <c r="H2271" s="59">
        <v>0</v>
      </c>
    </row>
    <row r="2272" spans="1:13" ht="112.5" customHeight="1" x14ac:dyDescent="0.15">
      <c r="A2272" s="54">
        <v>2394</v>
      </c>
      <c r="B2272" s="55" t="s">
        <v>3556</v>
      </c>
      <c r="C2272" s="55" t="s">
        <v>10258</v>
      </c>
      <c r="D2272" s="56" t="s">
        <v>10259</v>
      </c>
      <c r="E2272" s="2"/>
      <c r="F2272" s="57"/>
      <c r="G2272" s="64" t="s">
        <v>4505</v>
      </c>
      <c r="H2272" s="59">
        <v>0</v>
      </c>
    </row>
    <row r="2273" spans="1:8" ht="112.5" customHeight="1" x14ac:dyDescent="0.15">
      <c r="A2273" s="60">
        <v>2393</v>
      </c>
      <c r="B2273" s="30" t="s">
        <v>3556</v>
      </c>
      <c r="C2273" s="30" t="s">
        <v>10260</v>
      </c>
      <c r="D2273" s="61" t="s">
        <v>10261</v>
      </c>
      <c r="E2273" s="2"/>
      <c r="F2273" s="57"/>
      <c r="G2273" s="63" t="s">
        <v>10262</v>
      </c>
      <c r="H2273" s="59">
        <v>1</v>
      </c>
    </row>
    <row r="2274" spans="1:8" ht="112.5" customHeight="1" x14ac:dyDescent="0.15">
      <c r="A2274" s="54">
        <v>2392</v>
      </c>
      <c r="B2274" s="55" t="s">
        <v>3556</v>
      </c>
      <c r="C2274" s="55" t="s">
        <v>10263</v>
      </c>
      <c r="D2274" s="56" t="s">
        <v>10264</v>
      </c>
      <c r="E2274" s="2"/>
      <c r="F2274" s="57"/>
      <c r="G2274" s="64" t="s">
        <v>10265</v>
      </c>
      <c r="H2274" s="59">
        <v>1</v>
      </c>
    </row>
    <row r="2275" spans="1:8" ht="112.5" customHeight="1" x14ac:dyDescent="0.15">
      <c r="A2275" s="60">
        <v>2391</v>
      </c>
      <c r="B2275" s="30" t="s">
        <v>3556</v>
      </c>
      <c r="C2275" s="30" t="s">
        <v>10266</v>
      </c>
      <c r="D2275" s="61" t="s">
        <v>10267</v>
      </c>
      <c r="E2275" s="2"/>
      <c r="F2275" s="57"/>
      <c r="G2275" s="63" t="s">
        <v>10268</v>
      </c>
      <c r="H2275" s="59">
        <v>1</v>
      </c>
    </row>
    <row r="2276" spans="1:8" ht="112.5" customHeight="1" x14ac:dyDescent="0.15">
      <c r="A2276" s="54">
        <v>2390</v>
      </c>
      <c r="B2276" s="55" t="s">
        <v>3556</v>
      </c>
      <c r="C2276" s="55" t="s">
        <v>10269</v>
      </c>
      <c r="D2276" s="56" t="s">
        <v>10270</v>
      </c>
      <c r="E2276" s="2"/>
      <c r="F2276" s="57"/>
      <c r="G2276" s="64" t="s">
        <v>10271</v>
      </c>
      <c r="H2276" s="59">
        <v>991</v>
      </c>
    </row>
    <row r="2277" spans="1:8" ht="112.5" customHeight="1" x14ac:dyDescent="0.15">
      <c r="A2277" s="60">
        <v>2389</v>
      </c>
      <c r="B2277" s="30" t="s">
        <v>3533</v>
      </c>
      <c r="C2277" s="30" t="s">
        <v>10272</v>
      </c>
      <c r="D2277" s="61" t="s">
        <v>10273</v>
      </c>
      <c r="E2277" s="2"/>
      <c r="F2277" s="57"/>
      <c r="G2277" s="63" t="s">
        <v>10274</v>
      </c>
      <c r="H2277" s="59">
        <v>970</v>
      </c>
    </row>
    <row r="2278" spans="1:8" ht="112.5" customHeight="1" x14ac:dyDescent="0.15">
      <c r="A2278" s="54">
        <v>2388</v>
      </c>
      <c r="B2278" s="55" t="s">
        <v>3533</v>
      </c>
      <c r="C2278" s="55" t="s">
        <v>10275</v>
      </c>
      <c r="D2278" s="56" t="s">
        <v>10276</v>
      </c>
      <c r="E2278" s="2"/>
      <c r="F2278" s="57"/>
      <c r="G2278" s="64" t="s">
        <v>10277</v>
      </c>
      <c r="H2278" s="59">
        <v>1</v>
      </c>
    </row>
    <row r="2279" spans="1:8" ht="112.5" customHeight="1" x14ac:dyDescent="0.15">
      <c r="A2279" s="60">
        <v>2387</v>
      </c>
      <c r="B2279" s="30" t="s">
        <v>3599</v>
      </c>
      <c r="C2279" s="30" t="s">
        <v>10278</v>
      </c>
      <c r="D2279" s="61" t="s">
        <v>10279</v>
      </c>
      <c r="E2279" s="2"/>
      <c r="F2279" s="57"/>
      <c r="G2279" s="63" t="s">
        <v>10280</v>
      </c>
      <c r="H2279" s="59">
        <v>991</v>
      </c>
    </row>
    <row r="2280" spans="1:8" ht="112.5" customHeight="1" x14ac:dyDescent="0.15">
      <c r="A2280" s="54">
        <v>2386</v>
      </c>
      <c r="B2280" s="55" t="s">
        <v>3749</v>
      </c>
      <c r="C2280" s="55" t="s">
        <v>10281</v>
      </c>
      <c r="D2280" s="56" t="s">
        <v>10282</v>
      </c>
      <c r="E2280" s="2"/>
      <c r="F2280" s="57"/>
      <c r="G2280" s="64" t="s">
        <v>10283</v>
      </c>
      <c r="H2280" s="59">
        <v>1</v>
      </c>
    </row>
    <row r="2281" spans="1:8" ht="112.5" customHeight="1" x14ac:dyDescent="0.15">
      <c r="A2281" s="60">
        <v>2385</v>
      </c>
      <c r="B2281" s="30" t="s">
        <v>3496</v>
      </c>
      <c r="C2281" s="30" t="s">
        <v>10284</v>
      </c>
      <c r="D2281" s="61" t="s">
        <v>10285</v>
      </c>
      <c r="E2281" s="2"/>
      <c r="F2281" s="57"/>
      <c r="G2281" s="63" t="s">
        <v>10286</v>
      </c>
      <c r="H2281" s="59">
        <v>1</v>
      </c>
    </row>
    <row r="2282" spans="1:8" ht="112.5" customHeight="1" x14ac:dyDescent="0.15">
      <c r="A2282" s="54">
        <v>2384</v>
      </c>
      <c r="B2282" s="55" t="s">
        <v>3492</v>
      </c>
      <c r="C2282" s="55" t="s">
        <v>10287</v>
      </c>
      <c r="D2282" s="56" t="s">
        <v>10288</v>
      </c>
      <c r="E2282" s="2"/>
      <c r="F2282" s="57"/>
      <c r="G2282" s="64" t="s">
        <v>10289</v>
      </c>
      <c r="H2282" s="59">
        <v>1</v>
      </c>
    </row>
    <row r="2283" spans="1:8" ht="112.5" customHeight="1" x14ac:dyDescent="0.15">
      <c r="A2283" s="54">
        <v>2318</v>
      </c>
      <c r="B2283" s="55" t="s">
        <v>3670</v>
      </c>
      <c r="C2283" s="55" t="s">
        <v>10290</v>
      </c>
      <c r="D2283" s="56" t="s">
        <v>10291</v>
      </c>
      <c r="E2283" s="2"/>
      <c r="F2283" s="57"/>
      <c r="G2283" s="63" t="s">
        <v>10292</v>
      </c>
      <c r="H2283" s="59">
        <v>990</v>
      </c>
    </row>
    <row r="2284" spans="1:8" ht="112.5" customHeight="1" x14ac:dyDescent="0.15">
      <c r="A2284" s="54">
        <v>3084</v>
      </c>
      <c r="B2284" s="55" t="s">
        <v>3556</v>
      </c>
      <c r="C2284" s="55" t="s">
        <v>10293</v>
      </c>
      <c r="D2284" s="56" t="s">
        <v>10294</v>
      </c>
      <c r="E2284" s="2"/>
      <c r="F2284" s="57"/>
      <c r="G2284" s="64" t="s">
        <v>10295</v>
      </c>
      <c r="H2284" s="59">
        <v>967</v>
      </c>
    </row>
    <row r="2285" spans="1:8" ht="112.5" customHeight="1" x14ac:dyDescent="0.15">
      <c r="A2285" s="60">
        <v>3083</v>
      </c>
      <c r="B2285" s="30" t="s">
        <v>3556</v>
      </c>
      <c r="C2285" s="30" t="s">
        <v>10296</v>
      </c>
      <c r="D2285" s="61" t="s">
        <v>10297</v>
      </c>
      <c r="E2285" s="2"/>
      <c r="F2285" s="57"/>
      <c r="G2285" s="63" t="s">
        <v>10298</v>
      </c>
      <c r="H2285" s="59">
        <v>947</v>
      </c>
    </row>
    <row r="2286" spans="1:8" ht="112.5" customHeight="1" x14ac:dyDescent="0.15">
      <c r="A2286" s="60">
        <v>2317</v>
      </c>
      <c r="B2286" s="30" t="s">
        <v>3749</v>
      </c>
      <c r="C2286" s="30" t="s">
        <v>10299</v>
      </c>
      <c r="D2286" s="61" t="s">
        <v>10300</v>
      </c>
      <c r="E2286" s="2"/>
      <c r="F2286" s="57"/>
      <c r="G2286" s="64" t="s">
        <v>10301</v>
      </c>
      <c r="H2286" s="59">
        <v>1</v>
      </c>
    </row>
    <row r="2287" spans="1:8" ht="112.5" customHeight="1" x14ac:dyDescent="0.15">
      <c r="A2287" s="54">
        <v>2316</v>
      </c>
      <c r="B2287" s="55" t="s">
        <v>3749</v>
      </c>
      <c r="C2287" s="55" t="s">
        <v>10302</v>
      </c>
      <c r="D2287" s="56" t="s">
        <v>10303</v>
      </c>
      <c r="E2287" s="2"/>
      <c r="F2287" s="57"/>
      <c r="G2287" s="63" t="s">
        <v>10304</v>
      </c>
      <c r="H2287" s="59">
        <v>1</v>
      </c>
    </row>
    <row r="2288" spans="1:8" ht="112.5" customHeight="1" x14ac:dyDescent="0.15">
      <c r="A2288" s="60">
        <v>2315</v>
      </c>
      <c r="B2288" s="30" t="s">
        <v>3749</v>
      </c>
      <c r="C2288" s="30" t="s">
        <v>10305</v>
      </c>
      <c r="D2288" s="61" t="s">
        <v>10306</v>
      </c>
      <c r="E2288" s="2"/>
      <c r="F2288" s="57"/>
      <c r="G2288" s="64" t="s">
        <v>10307</v>
      </c>
      <c r="H2288" s="59">
        <v>985</v>
      </c>
    </row>
    <row r="2289" spans="1:8" ht="112.5" customHeight="1" x14ac:dyDescent="0.15">
      <c r="A2289" s="54">
        <v>2314</v>
      </c>
      <c r="B2289" s="55" t="s">
        <v>3749</v>
      </c>
      <c r="C2289" s="55" t="s">
        <v>10308</v>
      </c>
      <c r="D2289" s="56" t="s">
        <v>10309</v>
      </c>
      <c r="E2289" s="2"/>
      <c r="F2289" s="57"/>
      <c r="G2289" s="63" t="s">
        <v>10310</v>
      </c>
      <c r="H2289" s="59">
        <v>991</v>
      </c>
    </row>
    <row r="2290" spans="1:8" ht="112.5" customHeight="1" x14ac:dyDescent="0.15">
      <c r="A2290" s="60">
        <v>2313</v>
      </c>
      <c r="B2290" s="30" t="s">
        <v>3749</v>
      </c>
      <c r="C2290" s="30" t="s">
        <v>10311</v>
      </c>
      <c r="D2290" s="61" t="s">
        <v>10312</v>
      </c>
      <c r="E2290" s="2"/>
      <c r="F2290" s="57"/>
      <c r="G2290" s="64" t="s">
        <v>10313</v>
      </c>
      <c r="H2290" s="59">
        <v>0</v>
      </c>
    </row>
    <row r="2291" spans="1:8" ht="112.5" customHeight="1" x14ac:dyDescent="0.15">
      <c r="A2291" s="54">
        <v>3118</v>
      </c>
      <c r="B2291" s="55" t="s">
        <v>3749</v>
      </c>
      <c r="C2291" s="55" t="s">
        <v>10314</v>
      </c>
      <c r="D2291" s="56" t="s">
        <v>10315</v>
      </c>
      <c r="E2291" s="2"/>
      <c r="F2291" s="57"/>
      <c r="G2291" s="63" t="s">
        <v>10316</v>
      </c>
      <c r="H2291" s="59">
        <v>0</v>
      </c>
    </row>
    <row r="2292" spans="1:8" ht="112.5" customHeight="1" x14ac:dyDescent="0.15">
      <c r="A2292" s="60">
        <v>3117</v>
      </c>
      <c r="B2292" s="30" t="s">
        <v>3749</v>
      </c>
      <c r="C2292" s="30" t="s">
        <v>10317</v>
      </c>
      <c r="D2292" s="61" t="s">
        <v>10318</v>
      </c>
      <c r="E2292" s="2"/>
      <c r="F2292" s="57"/>
      <c r="G2292" s="64" t="s">
        <v>10319</v>
      </c>
      <c r="H2292" s="59">
        <v>985</v>
      </c>
    </row>
    <row r="2293" spans="1:8" ht="112.5" customHeight="1" x14ac:dyDescent="0.15">
      <c r="A2293" s="54">
        <v>2312</v>
      </c>
      <c r="B2293" s="55" t="s">
        <v>3749</v>
      </c>
      <c r="C2293" s="55" t="s">
        <v>10320</v>
      </c>
      <c r="D2293" s="56" t="s">
        <v>10321</v>
      </c>
      <c r="E2293" s="2"/>
      <c r="F2293" s="57"/>
      <c r="G2293" s="63" t="s">
        <v>10322</v>
      </c>
      <c r="H2293" s="59">
        <v>975</v>
      </c>
    </row>
    <row r="2294" spans="1:8" ht="112.5" customHeight="1" x14ac:dyDescent="0.15">
      <c r="A2294" s="60">
        <v>2311</v>
      </c>
      <c r="B2294" s="30" t="s">
        <v>3749</v>
      </c>
      <c r="C2294" s="30" t="s">
        <v>10323</v>
      </c>
      <c r="D2294" s="61" t="s">
        <v>10324</v>
      </c>
      <c r="E2294" s="2"/>
      <c r="F2294" s="57"/>
      <c r="G2294" s="64" t="s">
        <v>10325</v>
      </c>
      <c r="H2294" s="59">
        <v>994</v>
      </c>
    </row>
    <row r="2295" spans="1:8" ht="112.5" customHeight="1" x14ac:dyDescent="0.15">
      <c r="A2295" s="54">
        <v>2310</v>
      </c>
      <c r="B2295" s="55" t="s">
        <v>3749</v>
      </c>
      <c r="C2295" s="55" t="s">
        <v>10326</v>
      </c>
      <c r="D2295" s="56" t="s">
        <v>10327</v>
      </c>
      <c r="E2295" s="2"/>
      <c r="F2295" s="57"/>
      <c r="G2295" s="63" t="s">
        <v>10328</v>
      </c>
      <c r="H2295" s="59">
        <v>990</v>
      </c>
    </row>
    <row r="2296" spans="1:8" ht="112.5" customHeight="1" x14ac:dyDescent="0.15">
      <c r="A2296" s="60">
        <v>2309</v>
      </c>
      <c r="B2296" s="30" t="s">
        <v>3749</v>
      </c>
      <c r="C2296" s="30" t="s">
        <v>10329</v>
      </c>
      <c r="D2296" s="61" t="s">
        <v>10330</v>
      </c>
      <c r="E2296" s="2"/>
      <c r="F2296" s="57"/>
      <c r="G2296" s="64" t="s">
        <v>10331</v>
      </c>
      <c r="H2296" s="59">
        <v>878</v>
      </c>
    </row>
    <row r="2297" spans="1:8" ht="112.5" customHeight="1" x14ac:dyDescent="0.15">
      <c r="A2297" s="60">
        <v>2265</v>
      </c>
      <c r="B2297" s="30" t="s">
        <v>3749</v>
      </c>
      <c r="C2297" s="30" t="s">
        <v>10332</v>
      </c>
      <c r="D2297" s="61" t="s">
        <v>10333</v>
      </c>
      <c r="E2297" s="2"/>
      <c r="F2297" s="57"/>
      <c r="G2297" s="63" t="s">
        <v>10334</v>
      </c>
      <c r="H2297" s="59">
        <v>992</v>
      </c>
    </row>
    <row r="2298" spans="1:8" ht="112.5" customHeight="1" x14ac:dyDescent="0.15">
      <c r="A2298" s="54">
        <v>2264</v>
      </c>
      <c r="B2298" s="55" t="s">
        <v>3749</v>
      </c>
      <c r="C2298" s="55" t="s">
        <v>10335</v>
      </c>
      <c r="D2298" s="56" t="s">
        <v>10336</v>
      </c>
      <c r="E2298" s="2"/>
      <c r="F2298" s="57"/>
      <c r="G2298" s="64" t="s">
        <v>10337</v>
      </c>
      <c r="H2298" s="59">
        <v>992</v>
      </c>
    </row>
    <row r="2299" spans="1:8" ht="112.5" customHeight="1" x14ac:dyDescent="0.15">
      <c r="A2299" s="60">
        <v>2263</v>
      </c>
      <c r="B2299" s="30" t="s">
        <v>3749</v>
      </c>
      <c r="C2299" s="30" t="s">
        <v>10338</v>
      </c>
      <c r="D2299" s="61" t="s">
        <v>10339</v>
      </c>
      <c r="E2299" s="2"/>
      <c r="F2299" s="57"/>
      <c r="G2299" s="63" t="s">
        <v>10340</v>
      </c>
      <c r="H2299" s="59">
        <v>1</v>
      </c>
    </row>
    <row r="2300" spans="1:8" ht="112.5" customHeight="1" x14ac:dyDescent="0.15">
      <c r="A2300" s="54">
        <v>2262</v>
      </c>
      <c r="B2300" s="55" t="s">
        <v>3749</v>
      </c>
      <c r="C2300" s="55" t="s">
        <v>10341</v>
      </c>
      <c r="D2300" s="56" t="s">
        <v>10342</v>
      </c>
      <c r="E2300" s="2"/>
      <c r="F2300" s="57"/>
      <c r="G2300" s="64" t="s">
        <v>10343</v>
      </c>
      <c r="H2300" s="59">
        <v>0</v>
      </c>
    </row>
    <row r="2301" spans="1:8" ht="112.5" customHeight="1" x14ac:dyDescent="0.15">
      <c r="A2301" s="60">
        <v>3089</v>
      </c>
      <c r="B2301" s="30" t="s">
        <v>3749</v>
      </c>
      <c r="C2301" s="30" t="s">
        <v>10344</v>
      </c>
      <c r="D2301" s="61" t="s">
        <v>10345</v>
      </c>
      <c r="E2301" s="2"/>
      <c r="F2301" s="57"/>
      <c r="G2301" s="63" t="s">
        <v>10346</v>
      </c>
      <c r="H2301" s="59">
        <v>951</v>
      </c>
    </row>
    <row r="2302" spans="1:8" ht="112.5" customHeight="1" x14ac:dyDescent="0.15">
      <c r="A2302" s="60">
        <v>2261</v>
      </c>
      <c r="B2302" s="30" t="s">
        <v>3749</v>
      </c>
      <c r="C2302" s="30" t="s">
        <v>10347</v>
      </c>
      <c r="D2302" s="61" t="s">
        <v>10348</v>
      </c>
      <c r="E2302" s="2"/>
      <c r="F2302" s="57"/>
      <c r="G2302" s="64" t="s">
        <v>10349</v>
      </c>
      <c r="H2302" s="59">
        <v>999</v>
      </c>
    </row>
    <row r="2303" spans="1:8" ht="112.5" customHeight="1" x14ac:dyDescent="0.15">
      <c r="A2303" s="54">
        <v>3500</v>
      </c>
      <c r="B2303" s="55" t="s">
        <v>3749</v>
      </c>
      <c r="C2303" s="55" t="s">
        <v>10350</v>
      </c>
      <c r="D2303" s="56" t="s">
        <v>10351</v>
      </c>
      <c r="E2303" s="2"/>
      <c r="F2303" s="57"/>
      <c r="G2303" s="63" t="s">
        <v>10352</v>
      </c>
      <c r="H2303" s="59">
        <v>1</v>
      </c>
    </row>
    <row r="2304" spans="1:8" ht="112.5" customHeight="1" x14ac:dyDescent="0.15">
      <c r="A2304" s="60">
        <v>3091</v>
      </c>
      <c r="B2304" s="30" t="s">
        <v>3749</v>
      </c>
      <c r="C2304" s="30" t="s">
        <v>10353</v>
      </c>
      <c r="D2304" s="61" t="s">
        <v>10354</v>
      </c>
      <c r="E2304" s="2"/>
      <c r="F2304" s="57"/>
      <c r="G2304" s="64" t="s">
        <v>10355</v>
      </c>
      <c r="H2304" s="59">
        <v>1</v>
      </c>
    </row>
    <row r="2305" spans="1:8" ht="112.5" customHeight="1" x14ac:dyDescent="0.15">
      <c r="A2305" s="54">
        <v>2260</v>
      </c>
      <c r="B2305" s="55" t="s">
        <v>3749</v>
      </c>
      <c r="C2305" s="55" t="s">
        <v>10356</v>
      </c>
      <c r="D2305" s="56" t="s">
        <v>10357</v>
      </c>
      <c r="E2305" s="2"/>
      <c r="F2305" s="57"/>
      <c r="G2305" s="63" t="s">
        <v>10358</v>
      </c>
      <c r="H2305" s="59">
        <v>1</v>
      </c>
    </row>
    <row r="2306" spans="1:8" ht="112.5" customHeight="1" x14ac:dyDescent="0.15">
      <c r="A2306" s="60">
        <v>2259</v>
      </c>
      <c r="B2306" s="30" t="s">
        <v>3749</v>
      </c>
      <c r="C2306" s="30" t="s">
        <v>10359</v>
      </c>
      <c r="D2306" s="61" t="s">
        <v>10360</v>
      </c>
      <c r="E2306" s="2"/>
      <c r="F2306" s="57"/>
      <c r="G2306" s="64" t="s">
        <v>10361</v>
      </c>
      <c r="H2306" s="59">
        <v>994</v>
      </c>
    </row>
    <row r="2307" spans="1:8" ht="112.5" customHeight="1" x14ac:dyDescent="0.15">
      <c r="A2307" s="60">
        <v>2383</v>
      </c>
      <c r="B2307" s="30" t="s">
        <v>3599</v>
      </c>
      <c r="C2307" s="30" t="s">
        <v>10362</v>
      </c>
      <c r="D2307" s="61" t="s">
        <v>10363</v>
      </c>
      <c r="E2307" s="2"/>
      <c r="F2307" s="57"/>
      <c r="G2307" s="63" t="s">
        <v>10364</v>
      </c>
      <c r="H2307" s="59">
        <v>0</v>
      </c>
    </row>
    <row r="2308" spans="1:8" ht="112.5" customHeight="1" x14ac:dyDescent="0.15">
      <c r="A2308" s="54">
        <v>2382</v>
      </c>
      <c r="B2308" s="55" t="s">
        <v>3513</v>
      </c>
      <c r="C2308" s="55" t="s">
        <v>10365</v>
      </c>
      <c r="D2308" s="56" t="s">
        <v>10366</v>
      </c>
      <c r="E2308" s="2"/>
      <c r="F2308" s="57"/>
      <c r="G2308" s="64" t="s">
        <v>10367</v>
      </c>
      <c r="H2308" s="59">
        <v>1</v>
      </c>
    </row>
    <row r="2309" spans="1:8" ht="112.5" customHeight="1" x14ac:dyDescent="0.15">
      <c r="A2309" s="60">
        <v>2381</v>
      </c>
      <c r="B2309" s="30" t="s">
        <v>3513</v>
      </c>
      <c r="C2309" s="30" t="s">
        <v>10368</v>
      </c>
      <c r="D2309" s="61" t="s">
        <v>10369</v>
      </c>
      <c r="E2309" s="2"/>
      <c r="F2309" s="57"/>
      <c r="G2309" s="63" t="s">
        <v>4502</v>
      </c>
      <c r="H2309" s="59">
        <v>987</v>
      </c>
    </row>
    <row r="2310" spans="1:8" ht="112.5" customHeight="1" x14ac:dyDescent="0.15">
      <c r="A2310" s="54">
        <v>2380</v>
      </c>
      <c r="B2310" s="55" t="s">
        <v>3533</v>
      </c>
      <c r="C2310" s="55" t="s">
        <v>10370</v>
      </c>
      <c r="D2310" s="56" t="s">
        <v>10371</v>
      </c>
      <c r="E2310" s="2"/>
      <c r="F2310" s="57"/>
      <c r="G2310" s="64" t="s">
        <v>10372</v>
      </c>
      <c r="H2310" s="59">
        <v>997</v>
      </c>
    </row>
    <row r="2311" spans="1:8" ht="112.5" customHeight="1" x14ac:dyDescent="0.15">
      <c r="A2311" s="60">
        <v>2379</v>
      </c>
      <c r="B2311" s="30" t="s">
        <v>3533</v>
      </c>
      <c r="C2311" s="30" t="s">
        <v>10373</v>
      </c>
      <c r="D2311" s="61" t="s">
        <v>10374</v>
      </c>
      <c r="E2311" s="2"/>
      <c r="F2311" s="57"/>
      <c r="G2311" s="63" t="s">
        <v>10375</v>
      </c>
      <c r="H2311" s="59">
        <v>987</v>
      </c>
    </row>
    <row r="2312" spans="1:8" ht="112.5" customHeight="1" x14ac:dyDescent="0.15">
      <c r="A2312" s="54">
        <v>2378</v>
      </c>
      <c r="B2312" s="55" t="s">
        <v>3549</v>
      </c>
      <c r="C2312" s="55" t="s">
        <v>10376</v>
      </c>
      <c r="D2312" s="56" t="s">
        <v>10377</v>
      </c>
      <c r="E2312" s="2"/>
      <c r="F2312" s="57"/>
      <c r="G2312" s="64" t="s">
        <v>10378</v>
      </c>
      <c r="H2312" s="59">
        <v>1</v>
      </c>
    </row>
    <row r="2313" spans="1:8" ht="112.5" customHeight="1" x14ac:dyDescent="0.15">
      <c r="A2313" s="60">
        <v>2377</v>
      </c>
      <c r="B2313" s="30" t="s">
        <v>3549</v>
      </c>
      <c r="C2313" s="30" t="s">
        <v>10379</v>
      </c>
      <c r="D2313" s="61" t="s">
        <v>10380</v>
      </c>
      <c r="E2313" s="2"/>
      <c r="F2313" s="57"/>
      <c r="G2313" s="63" t="s">
        <v>10381</v>
      </c>
      <c r="H2313" s="59">
        <v>998</v>
      </c>
    </row>
    <row r="2314" spans="1:8" ht="112.5" customHeight="1" x14ac:dyDescent="0.15">
      <c r="A2314" s="54">
        <v>2376</v>
      </c>
      <c r="B2314" s="55" t="s">
        <v>3549</v>
      </c>
      <c r="C2314" s="55" t="s">
        <v>10382</v>
      </c>
      <c r="D2314" s="56" t="s">
        <v>10383</v>
      </c>
      <c r="E2314" s="2"/>
      <c r="F2314" s="57"/>
      <c r="G2314" s="64" t="s">
        <v>10384</v>
      </c>
      <c r="H2314" s="59">
        <v>984</v>
      </c>
    </row>
    <row r="2315" spans="1:8" ht="112.5" customHeight="1" x14ac:dyDescent="0.15">
      <c r="A2315" s="60">
        <v>2375</v>
      </c>
      <c r="B2315" s="30" t="s">
        <v>3513</v>
      </c>
      <c r="C2315" s="30" t="s">
        <v>10385</v>
      </c>
      <c r="D2315" s="61" t="s">
        <v>10386</v>
      </c>
      <c r="E2315" s="2"/>
      <c r="F2315" s="57"/>
      <c r="G2315" s="63" t="s">
        <v>10387</v>
      </c>
      <c r="H2315" s="59">
        <v>996</v>
      </c>
    </row>
    <row r="2316" spans="1:8" ht="112.5" customHeight="1" x14ac:dyDescent="0.15">
      <c r="A2316" s="54">
        <v>2374</v>
      </c>
      <c r="B2316" s="55" t="s">
        <v>3822</v>
      </c>
      <c r="C2316" s="55" t="s">
        <v>10388</v>
      </c>
      <c r="D2316" s="56" t="s">
        <v>10389</v>
      </c>
      <c r="E2316" s="2"/>
      <c r="F2316" s="57"/>
      <c r="G2316" s="64" t="s">
        <v>10390</v>
      </c>
      <c r="H2316" s="59">
        <v>986</v>
      </c>
    </row>
    <row r="2317" spans="1:8" ht="112.5" customHeight="1" x14ac:dyDescent="0.15">
      <c r="A2317" s="60">
        <v>2373</v>
      </c>
      <c r="B2317" s="30" t="s">
        <v>3822</v>
      </c>
      <c r="C2317" s="30" t="s">
        <v>10391</v>
      </c>
      <c r="D2317" s="61" t="s">
        <v>10392</v>
      </c>
      <c r="E2317" s="2"/>
      <c r="F2317" s="57"/>
      <c r="G2317" s="63" t="s">
        <v>10393</v>
      </c>
      <c r="H2317" s="59">
        <v>1</v>
      </c>
    </row>
    <row r="2318" spans="1:8" ht="112.5" customHeight="1" x14ac:dyDescent="0.15">
      <c r="A2318" s="54">
        <v>2372</v>
      </c>
      <c r="B2318" s="55" t="s">
        <v>3814</v>
      </c>
      <c r="C2318" s="55" t="s">
        <v>10394</v>
      </c>
      <c r="D2318" s="56" t="s">
        <v>10395</v>
      </c>
      <c r="E2318" s="2"/>
      <c r="F2318" s="57"/>
      <c r="G2318" s="64" t="s">
        <v>10396</v>
      </c>
      <c r="H2318" s="59">
        <v>1</v>
      </c>
    </row>
    <row r="2319" spans="1:8" ht="112.5" customHeight="1" x14ac:dyDescent="0.15">
      <c r="A2319" s="60">
        <v>2371</v>
      </c>
      <c r="B2319" s="30" t="s">
        <v>3814</v>
      </c>
      <c r="C2319" s="30" t="s">
        <v>10397</v>
      </c>
      <c r="D2319" s="61" t="s">
        <v>10398</v>
      </c>
      <c r="E2319" s="2"/>
      <c r="F2319" s="57"/>
      <c r="G2319" s="63" t="s">
        <v>10399</v>
      </c>
      <c r="H2319" s="59">
        <v>960</v>
      </c>
    </row>
    <row r="2320" spans="1:8" ht="112.5" customHeight="1" x14ac:dyDescent="0.15">
      <c r="A2320" s="54">
        <v>2370</v>
      </c>
      <c r="B2320" s="55" t="s">
        <v>3822</v>
      </c>
      <c r="C2320" s="55" t="s">
        <v>10400</v>
      </c>
      <c r="D2320" s="56" t="s">
        <v>10401</v>
      </c>
      <c r="E2320" s="2"/>
      <c r="F2320" s="57"/>
      <c r="G2320" s="64" t="s">
        <v>10402</v>
      </c>
      <c r="H2320" s="59">
        <v>7</v>
      </c>
    </row>
    <row r="2321" spans="1:8" ht="112.5" customHeight="1" x14ac:dyDescent="0.15">
      <c r="A2321" s="60">
        <v>2369</v>
      </c>
      <c r="B2321" s="30" t="s">
        <v>3513</v>
      </c>
      <c r="C2321" s="30" t="s">
        <v>10403</v>
      </c>
      <c r="D2321" s="61" t="s">
        <v>10404</v>
      </c>
      <c r="E2321" s="2"/>
      <c r="F2321" s="57"/>
      <c r="G2321" s="63" t="s">
        <v>10405</v>
      </c>
      <c r="H2321" s="59">
        <v>999</v>
      </c>
    </row>
    <row r="2322" spans="1:8" ht="112.5" customHeight="1" x14ac:dyDescent="0.15">
      <c r="A2322" s="54">
        <v>2476</v>
      </c>
      <c r="B2322" s="55" t="s">
        <v>3630</v>
      </c>
      <c r="C2322" s="55" t="s">
        <v>10406</v>
      </c>
      <c r="D2322" s="56" t="s">
        <v>10407</v>
      </c>
      <c r="E2322" s="2"/>
      <c r="F2322" s="57"/>
      <c r="G2322" s="64" t="s">
        <v>10408</v>
      </c>
      <c r="H2322" s="59">
        <v>99</v>
      </c>
    </row>
    <row r="2323" spans="1:8" ht="112.5" customHeight="1" x14ac:dyDescent="0.15">
      <c r="A2323" s="60">
        <v>2475</v>
      </c>
      <c r="B2323" s="30" t="s">
        <v>3630</v>
      </c>
      <c r="C2323" s="30" t="s">
        <v>10409</v>
      </c>
      <c r="D2323" s="61" t="s">
        <v>10410</v>
      </c>
      <c r="E2323" s="2"/>
      <c r="F2323" s="57"/>
      <c r="G2323" s="63" t="s">
        <v>10411</v>
      </c>
      <c r="H2323" s="59">
        <v>99.834999999999994</v>
      </c>
    </row>
    <row r="2324" spans="1:8" ht="112.5" customHeight="1" x14ac:dyDescent="0.15">
      <c r="A2324" s="54">
        <v>2474</v>
      </c>
      <c r="B2324" s="55" t="s">
        <v>3630</v>
      </c>
      <c r="C2324" s="55" t="s">
        <v>10412</v>
      </c>
      <c r="D2324" s="56" t="s">
        <v>10413</v>
      </c>
      <c r="E2324" s="2"/>
      <c r="F2324" s="57"/>
      <c r="G2324" s="64" t="s">
        <v>10414</v>
      </c>
      <c r="H2324" s="59">
        <v>959</v>
      </c>
    </row>
    <row r="2325" spans="1:8" ht="112.5" customHeight="1" x14ac:dyDescent="0.15">
      <c r="A2325" s="60">
        <v>2473</v>
      </c>
      <c r="B2325" s="30" t="s">
        <v>3513</v>
      </c>
      <c r="C2325" s="30" t="s">
        <v>10415</v>
      </c>
      <c r="D2325" s="61" t="s">
        <v>10416</v>
      </c>
      <c r="E2325" s="2"/>
      <c r="F2325" s="57"/>
      <c r="G2325" s="63" t="s">
        <v>10417</v>
      </c>
      <c r="H2325" s="59">
        <v>956</v>
      </c>
    </row>
    <row r="2326" spans="1:8" ht="112.5" customHeight="1" x14ac:dyDescent="0.15">
      <c r="A2326" s="54">
        <v>2472</v>
      </c>
      <c r="B2326" s="55" t="s">
        <v>3509</v>
      </c>
      <c r="C2326" s="55" t="s">
        <v>10418</v>
      </c>
      <c r="D2326" s="56" t="s">
        <v>10419</v>
      </c>
      <c r="E2326" s="2"/>
      <c r="F2326" s="57"/>
      <c r="G2326" s="64" t="s">
        <v>10420</v>
      </c>
      <c r="H2326" s="59">
        <v>1</v>
      </c>
    </row>
    <row r="2327" spans="1:8" ht="112.5" customHeight="1" x14ac:dyDescent="0.15">
      <c r="A2327" s="54">
        <v>2470</v>
      </c>
      <c r="B2327" s="55" t="s">
        <v>3599</v>
      </c>
      <c r="C2327" s="55" t="s">
        <v>10421</v>
      </c>
      <c r="D2327" s="56" t="s">
        <v>10422</v>
      </c>
      <c r="E2327" s="2"/>
      <c r="F2327" s="57"/>
      <c r="G2327" s="63" t="s">
        <v>10423</v>
      </c>
      <c r="H2327" s="59">
        <v>988</v>
      </c>
    </row>
    <row r="2328" spans="1:8" ht="112.5" customHeight="1" x14ac:dyDescent="0.15">
      <c r="A2328" s="54">
        <v>2266</v>
      </c>
      <c r="B2328" s="55" t="s">
        <v>3533</v>
      </c>
      <c r="C2328" s="55" t="s">
        <v>10424</v>
      </c>
      <c r="D2328" s="56" t="s">
        <v>10425</v>
      </c>
      <c r="E2328" s="2"/>
      <c r="F2328" s="57"/>
      <c r="G2328" s="64" t="s">
        <v>10426</v>
      </c>
      <c r="H2328" s="59">
        <v>1</v>
      </c>
    </row>
    <row r="2329" spans="1:8" ht="112.5" customHeight="1" x14ac:dyDescent="0.15">
      <c r="A2329" s="60">
        <v>2469</v>
      </c>
      <c r="B2329" s="30" t="s">
        <v>3496</v>
      </c>
      <c r="C2329" s="30" t="s">
        <v>10427</v>
      </c>
      <c r="D2329" s="61" t="s">
        <v>10428</v>
      </c>
      <c r="E2329" s="2"/>
      <c r="F2329" s="57"/>
      <c r="G2329" s="63" t="s">
        <v>10429</v>
      </c>
      <c r="H2329" s="59">
        <v>0</v>
      </c>
    </row>
    <row r="2330" spans="1:8" ht="112.5" customHeight="1" x14ac:dyDescent="0.15">
      <c r="A2330" s="54">
        <v>2468</v>
      </c>
      <c r="B2330" s="55" t="s">
        <v>3513</v>
      </c>
      <c r="C2330" s="55" t="s">
        <v>10430</v>
      </c>
      <c r="D2330" s="56" t="s">
        <v>10431</v>
      </c>
      <c r="E2330" s="2"/>
      <c r="F2330" s="57"/>
      <c r="G2330" s="64" t="s">
        <v>10432</v>
      </c>
      <c r="H2330" s="59">
        <v>999</v>
      </c>
    </row>
    <row r="2331" spans="1:8" ht="112.5" customHeight="1" x14ac:dyDescent="0.15">
      <c r="A2331" s="60">
        <v>2467</v>
      </c>
      <c r="B2331" s="30" t="s">
        <v>3898</v>
      </c>
      <c r="C2331" s="30" t="s">
        <v>10433</v>
      </c>
      <c r="D2331" s="61" t="s">
        <v>10434</v>
      </c>
      <c r="E2331" s="2"/>
      <c r="F2331" s="57"/>
      <c r="G2331" s="63" t="s">
        <v>10435</v>
      </c>
      <c r="H2331" s="59">
        <v>989</v>
      </c>
    </row>
    <row r="2332" spans="1:8" ht="112.5" customHeight="1" x14ac:dyDescent="0.15">
      <c r="A2332" s="54">
        <v>2466</v>
      </c>
      <c r="B2332" s="55" t="s">
        <v>3898</v>
      </c>
      <c r="C2332" s="55" t="s">
        <v>10436</v>
      </c>
      <c r="D2332" s="56" t="s">
        <v>10437</v>
      </c>
      <c r="E2332" s="2"/>
      <c r="F2332" s="57"/>
      <c r="G2332" s="64" t="s">
        <v>10438</v>
      </c>
      <c r="H2332" s="59">
        <v>1</v>
      </c>
    </row>
    <row r="2333" spans="1:8" ht="112.5" customHeight="1" x14ac:dyDescent="0.15">
      <c r="A2333" s="60">
        <v>2465</v>
      </c>
      <c r="B2333" s="30" t="s">
        <v>3898</v>
      </c>
      <c r="C2333" s="30" t="s">
        <v>10439</v>
      </c>
      <c r="D2333" s="61" t="s">
        <v>10440</v>
      </c>
      <c r="E2333" s="2"/>
      <c r="F2333" s="57"/>
      <c r="G2333" s="63" t="s">
        <v>10441</v>
      </c>
      <c r="H2333" s="59">
        <v>996</v>
      </c>
    </row>
    <row r="2334" spans="1:8" ht="112.5" customHeight="1" x14ac:dyDescent="0.15">
      <c r="A2334" s="54">
        <v>2464</v>
      </c>
      <c r="B2334" s="55" t="s">
        <v>3898</v>
      </c>
      <c r="C2334" s="55" t="s">
        <v>10442</v>
      </c>
      <c r="D2334" s="56" t="s">
        <v>10443</v>
      </c>
      <c r="E2334" s="2"/>
      <c r="F2334" s="57"/>
      <c r="G2334" s="64" t="s">
        <v>10444</v>
      </c>
      <c r="H2334" s="59">
        <v>993</v>
      </c>
    </row>
    <row r="2335" spans="1:8" ht="112.5" customHeight="1" x14ac:dyDescent="0.15">
      <c r="A2335" s="60">
        <v>2463</v>
      </c>
      <c r="B2335" s="30" t="s">
        <v>3898</v>
      </c>
      <c r="C2335" s="30" t="s">
        <v>10445</v>
      </c>
      <c r="D2335" s="61" t="s">
        <v>10446</v>
      </c>
      <c r="E2335" s="2"/>
      <c r="F2335" s="57"/>
      <c r="G2335" s="63" t="s">
        <v>10447</v>
      </c>
      <c r="H2335" s="59">
        <v>0</v>
      </c>
    </row>
    <row r="2336" spans="1:8" ht="112.5" customHeight="1" x14ac:dyDescent="0.15">
      <c r="A2336" s="54">
        <v>2462</v>
      </c>
      <c r="B2336" s="55" t="s">
        <v>3898</v>
      </c>
      <c r="C2336" s="55" t="s">
        <v>10448</v>
      </c>
      <c r="D2336" s="56" t="s">
        <v>10449</v>
      </c>
      <c r="E2336" s="2"/>
      <c r="F2336" s="57"/>
      <c r="G2336" s="64" t="s">
        <v>10450</v>
      </c>
      <c r="H2336" s="59">
        <v>96</v>
      </c>
    </row>
    <row r="2337" spans="1:8" ht="112.5" customHeight="1" x14ac:dyDescent="0.15">
      <c r="A2337" s="60">
        <v>2461</v>
      </c>
      <c r="B2337" s="30" t="s">
        <v>3898</v>
      </c>
      <c r="C2337" s="30" t="s">
        <v>10451</v>
      </c>
      <c r="D2337" s="61" t="s">
        <v>10452</v>
      </c>
      <c r="E2337" s="2"/>
      <c r="F2337" s="57"/>
      <c r="G2337" s="63" t="s">
        <v>10453</v>
      </c>
      <c r="H2337" s="59">
        <v>992</v>
      </c>
    </row>
    <row r="2338" spans="1:8" ht="112.5" customHeight="1" x14ac:dyDescent="0.15">
      <c r="A2338" s="54">
        <v>2460</v>
      </c>
      <c r="B2338" s="55" t="s">
        <v>3898</v>
      </c>
      <c r="C2338" s="55" t="s">
        <v>10454</v>
      </c>
      <c r="D2338" s="56" t="s">
        <v>10455</v>
      </c>
      <c r="E2338" s="2"/>
      <c r="F2338" s="57"/>
      <c r="G2338" s="64" t="s">
        <v>10456</v>
      </c>
      <c r="H2338" s="59">
        <v>1</v>
      </c>
    </row>
    <row r="2339" spans="1:8" ht="112.5" customHeight="1" x14ac:dyDescent="0.15">
      <c r="A2339" s="60">
        <v>2459</v>
      </c>
      <c r="B2339" s="30" t="s">
        <v>3822</v>
      </c>
      <c r="C2339" s="30" t="s">
        <v>10457</v>
      </c>
      <c r="D2339" s="61" t="s">
        <v>10458</v>
      </c>
      <c r="E2339" s="2"/>
      <c r="F2339" s="57"/>
      <c r="G2339" s="63" t="s">
        <v>10459</v>
      </c>
      <c r="H2339" s="59">
        <v>1</v>
      </c>
    </row>
    <row r="2340" spans="1:8" ht="112.5" customHeight="1" x14ac:dyDescent="0.15">
      <c r="A2340" s="54">
        <v>2458</v>
      </c>
      <c r="B2340" s="55" t="s">
        <v>3822</v>
      </c>
      <c r="C2340" s="55" t="s">
        <v>10460</v>
      </c>
      <c r="D2340" s="56" t="s">
        <v>10461</v>
      </c>
      <c r="E2340" s="2"/>
      <c r="F2340" s="57"/>
      <c r="G2340" s="64" t="s">
        <v>10462</v>
      </c>
      <c r="H2340" s="59">
        <v>1</v>
      </c>
    </row>
    <row r="2341" spans="1:8" ht="112.5" customHeight="1" x14ac:dyDescent="0.15">
      <c r="A2341" s="60">
        <v>2457</v>
      </c>
      <c r="B2341" s="30" t="s">
        <v>3556</v>
      </c>
      <c r="C2341" s="30" t="s">
        <v>10463</v>
      </c>
      <c r="D2341" s="61" t="s">
        <v>10464</v>
      </c>
      <c r="E2341" s="2"/>
      <c r="F2341" s="57"/>
      <c r="G2341" s="63" t="s">
        <v>10465</v>
      </c>
      <c r="H2341" s="59">
        <v>999</v>
      </c>
    </row>
    <row r="2342" spans="1:8" ht="112.5" customHeight="1" x14ac:dyDescent="0.15">
      <c r="A2342" s="54">
        <v>3374</v>
      </c>
      <c r="B2342" s="55" t="s">
        <v>3502</v>
      </c>
      <c r="C2342" s="55" t="s">
        <v>10466</v>
      </c>
      <c r="D2342" s="56" t="s">
        <v>10467</v>
      </c>
      <c r="E2342" s="2"/>
      <c r="F2342" s="57"/>
      <c r="G2342" s="64" t="s">
        <v>10468</v>
      </c>
      <c r="H2342" s="59">
        <v>1</v>
      </c>
    </row>
    <row r="2343" spans="1:8" ht="112.5" customHeight="1" x14ac:dyDescent="0.15">
      <c r="A2343" s="54">
        <v>3294</v>
      </c>
      <c r="B2343" s="55" t="s">
        <v>3749</v>
      </c>
      <c r="C2343" s="55" t="s">
        <v>10469</v>
      </c>
      <c r="D2343" s="56" t="s">
        <v>10470</v>
      </c>
      <c r="E2343" s="2"/>
      <c r="F2343" s="57"/>
      <c r="G2343" s="63" t="s">
        <v>10471</v>
      </c>
      <c r="H2343" s="59">
        <v>1</v>
      </c>
    </row>
    <row r="2344" spans="1:8" ht="112.5" customHeight="1" x14ac:dyDescent="0.15">
      <c r="A2344" s="54">
        <v>2368</v>
      </c>
      <c r="B2344" s="55" t="s">
        <v>3749</v>
      </c>
      <c r="C2344" s="55" t="s">
        <v>10472</v>
      </c>
      <c r="D2344" s="56" t="s">
        <v>10473</v>
      </c>
      <c r="E2344" s="2"/>
      <c r="F2344" s="57"/>
      <c r="G2344" s="64" t="s">
        <v>10474</v>
      </c>
      <c r="H2344" s="59">
        <v>999</v>
      </c>
    </row>
    <row r="2345" spans="1:8" ht="112.5" customHeight="1" x14ac:dyDescent="0.15">
      <c r="A2345" s="60">
        <v>2479</v>
      </c>
      <c r="B2345" s="30" t="s">
        <v>3749</v>
      </c>
      <c r="C2345" s="30" t="s">
        <v>10475</v>
      </c>
      <c r="D2345" s="61" t="s">
        <v>10476</v>
      </c>
      <c r="E2345" s="2"/>
      <c r="F2345" s="57"/>
      <c r="G2345" s="63" t="s">
        <v>10477</v>
      </c>
      <c r="H2345" s="59">
        <v>986</v>
      </c>
    </row>
    <row r="2346" spans="1:8" ht="112.5" customHeight="1" x14ac:dyDescent="0.15">
      <c r="A2346" s="60">
        <v>3093</v>
      </c>
      <c r="B2346" s="30" t="s">
        <v>3502</v>
      </c>
      <c r="C2346" s="30" t="s">
        <v>10478</v>
      </c>
      <c r="D2346" s="61" t="s">
        <v>10479</v>
      </c>
      <c r="E2346" s="2"/>
      <c r="F2346" s="57"/>
      <c r="G2346" s="64" t="s">
        <v>10480</v>
      </c>
      <c r="H2346" s="59">
        <v>995</v>
      </c>
    </row>
    <row r="2347" spans="1:8" ht="112.5" customHeight="1" x14ac:dyDescent="0.15">
      <c r="A2347" s="54">
        <v>2478</v>
      </c>
      <c r="B2347" s="55" t="s">
        <v>3749</v>
      </c>
      <c r="C2347" s="55" t="s">
        <v>10481</v>
      </c>
      <c r="D2347" s="56" t="s">
        <v>10482</v>
      </c>
      <c r="E2347" s="2"/>
      <c r="F2347" s="57"/>
      <c r="G2347" s="63" t="s">
        <v>10483</v>
      </c>
      <c r="H2347" s="59">
        <v>1</v>
      </c>
    </row>
    <row r="2348" spans="1:8" ht="112.5" customHeight="1" x14ac:dyDescent="0.15">
      <c r="A2348" s="60">
        <v>2477</v>
      </c>
      <c r="B2348" s="30" t="s">
        <v>3749</v>
      </c>
      <c r="C2348" s="30" t="s">
        <v>10484</v>
      </c>
      <c r="D2348" s="61" t="s">
        <v>10485</v>
      </c>
      <c r="E2348" s="2"/>
      <c r="F2348" s="57"/>
      <c r="G2348" s="64" t="s">
        <v>10486</v>
      </c>
      <c r="H2348" s="59">
        <v>1</v>
      </c>
    </row>
    <row r="2349" spans="1:8" ht="112.5" customHeight="1" x14ac:dyDescent="0.15">
      <c r="A2349" s="60">
        <v>2471</v>
      </c>
      <c r="B2349" s="30" t="s">
        <v>3502</v>
      </c>
      <c r="C2349" s="30" t="s">
        <v>10487</v>
      </c>
      <c r="D2349" s="61" t="s">
        <v>10488</v>
      </c>
      <c r="E2349" s="2"/>
      <c r="F2349" s="57"/>
      <c r="G2349" s="63" t="s">
        <v>10489</v>
      </c>
      <c r="H2349" s="59">
        <v>1</v>
      </c>
    </row>
    <row r="2350" spans="1:8" ht="112.5" customHeight="1" x14ac:dyDescent="0.15">
      <c r="A2350" s="54">
        <v>2456</v>
      </c>
      <c r="B2350" s="55" t="s">
        <v>3509</v>
      </c>
      <c r="C2350" s="55" t="s">
        <v>10490</v>
      </c>
      <c r="D2350" s="56" t="s">
        <v>10491</v>
      </c>
      <c r="E2350" s="2"/>
      <c r="F2350" s="57"/>
      <c r="G2350" s="64" t="s">
        <v>10492</v>
      </c>
      <c r="H2350" s="59">
        <v>979</v>
      </c>
    </row>
    <row r="2351" spans="1:8" ht="112.5" customHeight="1" x14ac:dyDescent="0.15">
      <c r="A2351" s="54">
        <v>2454</v>
      </c>
      <c r="B2351" s="55" t="s">
        <v>3496</v>
      </c>
      <c r="C2351" s="55" t="s">
        <v>10493</v>
      </c>
      <c r="D2351" s="56" t="s">
        <v>10494</v>
      </c>
      <c r="E2351" s="2"/>
      <c r="F2351" s="57"/>
      <c r="G2351" s="63" t="s">
        <v>10495</v>
      </c>
      <c r="H2351" s="59">
        <v>1</v>
      </c>
    </row>
    <row r="2352" spans="1:8" ht="112.5" customHeight="1" x14ac:dyDescent="0.15">
      <c r="A2352" s="60">
        <v>2453</v>
      </c>
      <c r="B2352" s="30" t="s">
        <v>3549</v>
      </c>
      <c r="C2352" s="30" t="s">
        <v>10496</v>
      </c>
      <c r="D2352" s="61" t="s">
        <v>10497</v>
      </c>
      <c r="E2352" s="2"/>
      <c r="F2352" s="57"/>
      <c r="G2352" s="64" t="s">
        <v>10498</v>
      </c>
      <c r="H2352" s="59">
        <v>999</v>
      </c>
    </row>
    <row r="2353" spans="1:8" ht="112.5" customHeight="1" x14ac:dyDescent="0.15">
      <c r="A2353" s="54">
        <v>2452</v>
      </c>
      <c r="B2353" s="55" t="s">
        <v>3496</v>
      </c>
      <c r="C2353" s="55" t="s">
        <v>10499</v>
      </c>
      <c r="D2353" s="56" t="s">
        <v>10500</v>
      </c>
      <c r="E2353" s="2"/>
      <c r="F2353" s="57"/>
      <c r="G2353" s="63" t="s">
        <v>10501</v>
      </c>
      <c r="H2353" s="59">
        <v>993</v>
      </c>
    </row>
    <row r="2354" spans="1:8" ht="112.5" customHeight="1" x14ac:dyDescent="0.15">
      <c r="A2354" s="60">
        <v>2451</v>
      </c>
      <c r="B2354" s="30" t="s">
        <v>3599</v>
      </c>
      <c r="C2354" s="30" t="s">
        <v>10502</v>
      </c>
      <c r="D2354" s="61" t="s">
        <v>10503</v>
      </c>
      <c r="E2354" s="2"/>
      <c r="F2354" s="57"/>
      <c r="G2354" s="64" t="s">
        <v>10504</v>
      </c>
      <c r="H2354" s="59">
        <v>998</v>
      </c>
    </row>
    <row r="2355" spans="1:8" ht="112.5" customHeight="1" x14ac:dyDescent="0.15">
      <c r="A2355" s="54">
        <v>2450</v>
      </c>
      <c r="B2355" s="55" t="s">
        <v>3822</v>
      </c>
      <c r="C2355" s="55" t="s">
        <v>10505</v>
      </c>
      <c r="D2355" s="56" t="s">
        <v>10506</v>
      </c>
      <c r="E2355" s="2"/>
      <c r="F2355" s="57"/>
      <c r="G2355" s="63" t="s">
        <v>10507</v>
      </c>
      <c r="H2355" s="59">
        <v>968</v>
      </c>
    </row>
    <row r="2356" spans="1:8" ht="112.5" customHeight="1" x14ac:dyDescent="0.15">
      <c r="A2356" s="60">
        <v>2449</v>
      </c>
      <c r="B2356" s="30" t="s">
        <v>3749</v>
      </c>
      <c r="C2356" s="30" t="s">
        <v>10508</v>
      </c>
      <c r="D2356" s="61" t="s">
        <v>10509</v>
      </c>
      <c r="E2356" s="2"/>
      <c r="F2356" s="57"/>
      <c r="G2356" s="64" t="s">
        <v>10510</v>
      </c>
      <c r="H2356" s="59">
        <v>986</v>
      </c>
    </row>
    <row r="2357" spans="1:8" ht="112.5" customHeight="1" x14ac:dyDescent="0.15">
      <c r="A2357" s="54">
        <v>2448</v>
      </c>
      <c r="B2357" s="55" t="s">
        <v>3822</v>
      </c>
      <c r="C2357" s="55" t="s">
        <v>10511</v>
      </c>
      <c r="D2357" s="56" t="s">
        <v>10512</v>
      </c>
      <c r="E2357" s="2"/>
      <c r="F2357" s="57"/>
      <c r="G2357" s="63" t="s">
        <v>10513</v>
      </c>
      <c r="H2357" s="59">
        <v>980</v>
      </c>
    </row>
    <row r="2358" spans="1:8" ht="112.5" customHeight="1" x14ac:dyDescent="0.15">
      <c r="A2358" s="60">
        <v>2447</v>
      </c>
      <c r="B2358" s="30" t="s">
        <v>3509</v>
      </c>
      <c r="C2358" s="30" t="s">
        <v>10514</v>
      </c>
      <c r="D2358" s="61" t="s">
        <v>10515</v>
      </c>
      <c r="E2358" s="2"/>
      <c r="F2358" s="57"/>
      <c r="G2358" s="64" t="s">
        <v>10516</v>
      </c>
      <c r="H2358" s="59">
        <v>994</v>
      </c>
    </row>
    <row r="2359" spans="1:8" ht="112.5" customHeight="1" x14ac:dyDescent="0.15">
      <c r="A2359" s="54">
        <v>2446</v>
      </c>
      <c r="B2359" s="55" t="s">
        <v>3496</v>
      </c>
      <c r="C2359" s="55" t="s">
        <v>10517</v>
      </c>
      <c r="D2359" s="56" t="s">
        <v>10518</v>
      </c>
      <c r="E2359" s="2"/>
      <c r="F2359" s="57"/>
      <c r="G2359" s="63" t="s">
        <v>10519</v>
      </c>
      <c r="H2359" s="59">
        <v>1</v>
      </c>
    </row>
    <row r="2360" spans="1:8" ht="112.5" customHeight="1" x14ac:dyDescent="0.15">
      <c r="A2360" s="60">
        <v>2445</v>
      </c>
      <c r="B2360" s="30" t="s">
        <v>3630</v>
      </c>
      <c r="C2360" s="30" t="s">
        <v>10520</v>
      </c>
      <c r="D2360" s="61" t="s">
        <v>10521</v>
      </c>
      <c r="E2360" s="2"/>
      <c r="F2360" s="57"/>
      <c r="G2360" s="64" t="s">
        <v>10522</v>
      </c>
      <c r="H2360" s="59">
        <v>1</v>
      </c>
    </row>
    <row r="2361" spans="1:8" ht="112.5" customHeight="1" x14ac:dyDescent="0.15">
      <c r="A2361" s="54">
        <v>2444</v>
      </c>
      <c r="B2361" s="55" t="s">
        <v>3630</v>
      </c>
      <c r="C2361" s="55" t="s">
        <v>10523</v>
      </c>
      <c r="D2361" s="56" t="s">
        <v>10524</v>
      </c>
      <c r="E2361" s="2"/>
      <c r="F2361" s="57"/>
      <c r="G2361" s="63" t="s">
        <v>10525</v>
      </c>
      <c r="H2361" s="59">
        <v>1</v>
      </c>
    </row>
    <row r="2362" spans="1:8" ht="112.5" customHeight="1" x14ac:dyDescent="0.15">
      <c r="A2362" s="60">
        <v>2443</v>
      </c>
      <c r="B2362" s="30" t="s">
        <v>3630</v>
      </c>
      <c r="C2362" s="30" t="s">
        <v>10526</v>
      </c>
      <c r="D2362" s="61" t="s">
        <v>10527</v>
      </c>
      <c r="E2362" s="2"/>
      <c r="F2362" s="57"/>
      <c r="G2362" s="64" t="s">
        <v>10528</v>
      </c>
      <c r="H2362" s="59">
        <v>0</v>
      </c>
    </row>
    <row r="2363" spans="1:8" ht="112.5" customHeight="1" x14ac:dyDescent="0.15">
      <c r="A2363" s="54">
        <v>2442</v>
      </c>
      <c r="B2363" s="55" t="s">
        <v>3630</v>
      </c>
      <c r="C2363" s="55" t="s">
        <v>10529</v>
      </c>
      <c r="D2363" s="56" t="s">
        <v>10530</v>
      </c>
      <c r="E2363" s="2"/>
      <c r="F2363" s="57"/>
      <c r="G2363" s="63" t="s">
        <v>10531</v>
      </c>
      <c r="H2363" s="59">
        <v>9.9979999999999993</v>
      </c>
    </row>
    <row r="2364" spans="1:8" ht="112.5" customHeight="1" x14ac:dyDescent="0.15">
      <c r="A2364" s="60">
        <v>2441</v>
      </c>
      <c r="B2364" s="30" t="s">
        <v>3630</v>
      </c>
      <c r="C2364" s="30" t="s">
        <v>10532</v>
      </c>
      <c r="D2364" s="61" t="s">
        <v>10533</v>
      </c>
      <c r="E2364" s="2"/>
      <c r="F2364" s="57"/>
      <c r="G2364" s="64" t="s">
        <v>10534</v>
      </c>
      <c r="H2364" s="59">
        <v>961</v>
      </c>
    </row>
    <row r="2365" spans="1:8" ht="112.5" customHeight="1" x14ac:dyDescent="0.15">
      <c r="A2365" s="54">
        <v>2440</v>
      </c>
      <c r="B2365" s="55" t="s">
        <v>3509</v>
      </c>
      <c r="C2365" s="55" t="s">
        <v>10535</v>
      </c>
      <c r="D2365" s="56" t="s">
        <v>10536</v>
      </c>
      <c r="E2365" s="2"/>
      <c r="F2365" s="57"/>
      <c r="G2365" s="63" t="s">
        <v>10537</v>
      </c>
      <c r="H2365" s="59">
        <v>999</v>
      </c>
    </row>
    <row r="2366" spans="1:8" ht="112.5" customHeight="1" x14ac:dyDescent="0.15">
      <c r="A2366" s="60">
        <v>2439</v>
      </c>
      <c r="B2366" s="30" t="s">
        <v>3814</v>
      </c>
      <c r="C2366" s="30" t="s">
        <v>10538</v>
      </c>
      <c r="D2366" s="61" t="s">
        <v>10539</v>
      </c>
      <c r="E2366" s="2"/>
      <c r="F2366" s="57"/>
      <c r="G2366" s="64" t="s">
        <v>10540</v>
      </c>
      <c r="H2366" s="59">
        <v>1</v>
      </c>
    </row>
    <row r="2367" spans="1:8" ht="112.5" customHeight="1" x14ac:dyDescent="0.15">
      <c r="A2367" s="54">
        <v>2438</v>
      </c>
      <c r="B2367" s="55" t="s">
        <v>3526</v>
      </c>
      <c r="C2367" s="55" t="s">
        <v>10541</v>
      </c>
      <c r="D2367" s="56" t="s">
        <v>10542</v>
      </c>
      <c r="E2367" s="2"/>
      <c r="F2367" s="57"/>
      <c r="G2367" s="63" t="s">
        <v>10543</v>
      </c>
      <c r="H2367" s="59">
        <v>0</v>
      </c>
    </row>
    <row r="2368" spans="1:8" ht="112.5" customHeight="1" x14ac:dyDescent="0.15">
      <c r="A2368" s="60">
        <v>2437</v>
      </c>
      <c r="B2368" s="30" t="s">
        <v>3496</v>
      </c>
      <c r="C2368" s="30" t="s">
        <v>10544</v>
      </c>
      <c r="D2368" s="61" t="s">
        <v>10545</v>
      </c>
      <c r="E2368" s="2"/>
      <c r="F2368" s="57"/>
      <c r="G2368" s="64" t="s">
        <v>10546</v>
      </c>
      <c r="H2368" s="59">
        <v>998</v>
      </c>
    </row>
    <row r="2369" spans="1:8" ht="112.5" customHeight="1" x14ac:dyDescent="0.15">
      <c r="A2369" s="54">
        <v>2436</v>
      </c>
      <c r="B2369" s="55" t="s">
        <v>3749</v>
      </c>
      <c r="C2369" s="55" t="s">
        <v>10547</v>
      </c>
      <c r="D2369" s="56" t="s">
        <v>10548</v>
      </c>
      <c r="E2369" s="2"/>
      <c r="F2369" s="57"/>
      <c r="G2369" s="63" t="s">
        <v>10549</v>
      </c>
      <c r="H2369" s="59">
        <v>968</v>
      </c>
    </row>
    <row r="2370" spans="1:8" ht="112.5" customHeight="1" x14ac:dyDescent="0.15">
      <c r="A2370" s="60">
        <v>2435</v>
      </c>
      <c r="B2370" s="30" t="s">
        <v>3749</v>
      </c>
      <c r="C2370" s="30" t="s">
        <v>10550</v>
      </c>
      <c r="D2370" s="61" t="s">
        <v>10551</v>
      </c>
      <c r="E2370" s="2"/>
      <c r="F2370" s="57"/>
      <c r="G2370" s="64" t="s">
        <v>10552</v>
      </c>
      <c r="H2370" s="59">
        <v>1</v>
      </c>
    </row>
    <row r="2371" spans="1:8" ht="112.5" customHeight="1" x14ac:dyDescent="0.15">
      <c r="A2371" s="54">
        <v>2434</v>
      </c>
      <c r="B2371" s="55" t="s">
        <v>3509</v>
      </c>
      <c r="C2371" s="55" t="s">
        <v>10553</v>
      </c>
      <c r="D2371" s="56" t="s">
        <v>10554</v>
      </c>
      <c r="E2371" s="2"/>
      <c r="F2371" s="57"/>
      <c r="G2371" s="63" t="s">
        <v>10555</v>
      </c>
      <c r="H2371" s="59">
        <v>0</v>
      </c>
    </row>
    <row r="2372" spans="1:8" ht="112.5" customHeight="1" x14ac:dyDescent="0.15">
      <c r="A2372" s="60">
        <v>2433</v>
      </c>
      <c r="B2372" s="30" t="s">
        <v>3822</v>
      </c>
      <c r="C2372" s="30" t="s">
        <v>10556</v>
      </c>
      <c r="D2372" s="61" t="s">
        <v>10557</v>
      </c>
      <c r="E2372" s="2"/>
      <c r="F2372" s="57"/>
      <c r="G2372" s="64" t="s">
        <v>10558</v>
      </c>
      <c r="H2372" s="59">
        <v>1</v>
      </c>
    </row>
    <row r="2373" spans="1:8" ht="112.5" customHeight="1" x14ac:dyDescent="0.15">
      <c r="A2373" s="54">
        <v>2432</v>
      </c>
      <c r="B2373" s="55" t="s">
        <v>3822</v>
      </c>
      <c r="C2373" s="55" t="s">
        <v>10559</v>
      </c>
      <c r="D2373" s="56" t="s">
        <v>10560</v>
      </c>
      <c r="E2373" s="2"/>
      <c r="F2373" s="57"/>
      <c r="G2373" s="63" t="s">
        <v>10561</v>
      </c>
      <c r="H2373" s="59">
        <v>1</v>
      </c>
    </row>
    <row r="2374" spans="1:8" ht="112.5" customHeight="1" x14ac:dyDescent="0.15">
      <c r="A2374" s="60">
        <v>2431</v>
      </c>
      <c r="B2374" s="30" t="s">
        <v>3822</v>
      </c>
      <c r="C2374" s="30" t="s">
        <v>10562</v>
      </c>
      <c r="D2374" s="61" t="s">
        <v>10563</v>
      </c>
      <c r="E2374" s="2"/>
      <c r="F2374" s="57"/>
      <c r="G2374" s="64" t="s">
        <v>10564</v>
      </c>
      <c r="H2374" s="59">
        <v>947</v>
      </c>
    </row>
    <row r="2375" spans="1:8" ht="112.5" customHeight="1" x14ac:dyDescent="0.15">
      <c r="A2375" s="54">
        <v>2430</v>
      </c>
      <c r="B2375" s="55" t="s">
        <v>3818</v>
      </c>
      <c r="C2375" s="55" t="s">
        <v>10565</v>
      </c>
      <c r="D2375" s="56" t="s">
        <v>10566</v>
      </c>
      <c r="E2375" s="2"/>
      <c r="F2375" s="57"/>
      <c r="G2375" s="63" t="s">
        <v>10567</v>
      </c>
      <c r="H2375" s="59">
        <v>1</v>
      </c>
    </row>
    <row r="2376" spans="1:8" ht="112.5" customHeight="1" x14ac:dyDescent="0.15">
      <c r="A2376" s="60">
        <v>2429</v>
      </c>
      <c r="B2376" s="30" t="s">
        <v>3822</v>
      </c>
      <c r="C2376" s="30" t="s">
        <v>10568</v>
      </c>
      <c r="D2376" s="61" t="s">
        <v>10569</v>
      </c>
      <c r="E2376" s="2"/>
      <c r="F2376" s="57"/>
      <c r="G2376" s="64" t="s">
        <v>10570</v>
      </c>
      <c r="H2376" s="59">
        <v>981</v>
      </c>
    </row>
    <row r="2377" spans="1:8" ht="112.5" customHeight="1" x14ac:dyDescent="0.15">
      <c r="A2377" s="54">
        <v>2428</v>
      </c>
      <c r="B2377" s="55" t="s">
        <v>3670</v>
      </c>
      <c r="C2377" s="55" t="s">
        <v>10571</v>
      </c>
      <c r="D2377" s="56" t="s">
        <v>10572</v>
      </c>
      <c r="E2377" s="2"/>
      <c r="F2377" s="57"/>
      <c r="G2377" s="63" t="s">
        <v>10573</v>
      </c>
      <c r="H2377" s="59">
        <v>1</v>
      </c>
    </row>
    <row r="2378" spans="1:8" ht="112.5" customHeight="1" x14ac:dyDescent="0.15">
      <c r="A2378" s="60">
        <v>2427</v>
      </c>
      <c r="B2378" s="30" t="s">
        <v>3670</v>
      </c>
      <c r="C2378" s="30" t="s">
        <v>10574</v>
      </c>
      <c r="D2378" s="61" t="s">
        <v>10575</v>
      </c>
      <c r="E2378" s="2"/>
      <c r="F2378" s="57"/>
      <c r="G2378" s="64" t="s">
        <v>10576</v>
      </c>
      <c r="H2378" s="59">
        <v>1</v>
      </c>
    </row>
    <row r="2379" spans="1:8" ht="112.5" customHeight="1" x14ac:dyDescent="0.15">
      <c r="A2379" s="54">
        <v>2426</v>
      </c>
      <c r="B2379" s="55" t="s">
        <v>3556</v>
      </c>
      <c r="C2379" s="55" t="s">
        <v>10577</v>
      </c>
      <c r="D2379" s="56" t="s">
        <v>10578</v>
      </c>
      <c r="E2379" s="2"/>
      <c r="F2379" s="57"/>
      <c r="G2379" s="63" t="s">
        <v>10579</v>
      </c>
      <c r="H2379" s="59">
        <v>980</v>
      </c>
    </row>
    <row r="2380" spans="1:8" ht="112.5" customHeight="1" x14ac:dyDescent="0.15">
      <c r="A2380" s="60">
        <v>2425</v>
      </c>
      <c r="B2380" s="30" t="s">
        <v>3556</v>
      </c>
      <c r="C2380" s="30" t="s">
        <v>10580</v>
      </c>
      <c r="D2380" s="61" t="s">
        <v>10581</v>
      </c>
      <c r="E2380" s="2"/>
      <c r="F2380" s="57"/>
      <c r="G2380" s="64" t="s">
        <v>10582</v>
      </c>
      <c r="H2380" s="59">
        <v>0</v>
      </c>
    </row>
    <row r="2381" spans="1:8" ht="112.5" customHeight="1" x14ac:dyDescent="0.15">
      <c r="A2381" s="54">
        <v>2424</v>
      </c>
      <c r="B2381" s="55" t="s">
        <v>3556</v>
      </c>
      <c r="C2381" s="55" t="s">
        <v>10583</v>
      </c>
      <c r="D2381" s="56" t="s">
        <v>10584</v>
      </c>
      <c r="E2381" s="2"/>
      <c r="F2381" s="57"/>
      <c r="G2381" s="63" t="s">
        <v>10585</v>
      </c>
      <c r="H2381" s="59">
        <v>1</v>
      </c>
    </row>
    <row r="2382" spans="1:8" ht="112.5" customHeight="1" x14ac:dyDescent="0.15">
      <c r="A2382" s="54">
        <v>2504</v>
      </c>
      <c r="B2382" s="55" t="s">
        <v>3670</v>
      </c>
      <c r="C2382" s="55" t="s">
        <v>10586</v>
      </c>
      <c r="D2382" s="56" t="s">
        <v>10587</v>
      </c>
      <c r="E2382" s="2"/>
      <c r="F2382" s="57"/>
      <c r="G2382" s="64" t="s">
        <v>10588</v>
      </c>
      <c r="H2382" s="59">
        <v>1</v>
      </c>
    </row>
    <row r="2383" spans="1:8" ht="112.5" customHeight="1" x14ac:dyDescent="0.15">
      <c r="A2383" s="60">
        <v>2503</v>
      </c>
      <c r="B2383" s="30" t="s">
        <v>3670</v>
      </c>
      <c r="C2383" s="30" t="s">
        <v>10589</v>
      </c>
      <c r="D2383" s="61" t="s">
        <v>10590</v>
      </c>
      <c r="E2383" s="2"/>
      <c r="F2383" s="57"/>
      <c r="G2383" s="63" t="s">
        <v>10591</v>
      </c>
      <c r="H2383" s="59">
        <v>1</v>
      </c>
    </row>
    <row r="2384" spans="1:8" ht="112.5" customHeight="1" x14ac:dyDescent="0.15">
      <c r="A2384" s="54">
        <v>2502</v>
      </c>
      <c r="B2384" s="55" t="s">
        <v>3670</v>
      </c>
      <c r="C2384" s="55" t="s">
        <v>10592</v>
      </c>
      <c r="D2384" s="56" t="s">
        <v>10593</v>
      </c>
      <c r="E2384" s="2"/>
      <c r="F2384" s="57"/>
      <c r="G2384" s="64" t="s">
        <v>10594</v>
      </c>
      <c r="H2384" s="59">
        <v>1</v>
      </c>
    </row>
    <row r="2385" spans="1:8" ht="112.5" customHeight="1" x14ac:dyDescent="0.15">
      <c r="A2385" s="54">
        <v>2500</v>
      </c>
      <c r="B2385" s="55" t="s">
        <v>3670</v>
      </c>
      <c r="C2385" s="55" t="s">
        <v>10595</v>
      </c>
      <c r="D2385" s="56" t="s">
        <v>10596</v>
      </c>
      <c r="E2385" s="2"/>
      <c r="F2385" s="57"/>
      <c r="G2385" s="63" t="s">
        <v>10597</v>
      </c>
      <c r="H2385" s="59">
        <v>1</v>
      </c>
    </row>
    <row r="2386" spans="1:8" ht="112.5" customHeight="1" x14ac:dyDescent="0.15">
      <c r="A2386" s="60">
        <v>2501</v>
      </c>
      <c r="B2386" s="30" t="s">
        <v>3670</v>
      </c>
      <c r="C2386" s="30" t="s">
        <v>10598</v>
      </c>
      <c r="D2386" s="61" t="s">
        <v>10599</v>
      </c>
      <c r="E2386" s="2"/>
      <c r="F2386" s="57"/>
      <c r="G2386" s="64" t="s">
        <v>10600</v>
      </c>
      <c r="H2386" s="59">
        <v>986</v>
      </c>
    </row>
    <row r="2387" spans="1:8" ht="112.5" customHeight="1" x14ac:dyDescent="0.15">
      <c r="A2387" s="60">
        <v>2499</v>
      </c>
      <c r="B2387" s="30" t="s">
        <v>3526</v>
      </c>
      <c r="C2387" s="30" t="s">
        <v>10601</v>
      </c>
      <c r="D2387" s="61" t="s">
        <v>10602</v>
      </c>
      <c r="E2387" s="2"/>
      <c r="F2387" s="57"/>
      <c r="G2387" s="63" t="s">
        <v>4499</v>
      </c>
      <c r="H2387" s="59">
        <v>992</v>
      </c>
    </row>
    <row r="2388" spans="1:8" ht="112.5" customHeight="1" x14ac:dyDescent="0.15">
      <c r="A2388" s="54">
        <v>2498</v>
      </c>
      <c r="B2388" s="55" t="s">
        <v>3556</v>
      </c>
      <c r="C2388" s="55" t="s">
        <v>10603</v>
      </c>
      <c r="D2388" s="56" t="s">
        <v>10604</v>
      </c>
      <c r="E2388" s="2"/>
      <c r="F2388" s="57"/>
      <c r="G2388" s="64" t="s">
        <v>10605</v>
      </c>
      <c r="H2388" s="59">
        <v>998</v>
      </c>
    </row>
    <row r="2389" spans="1:8" ht="112.5" customHeight="1" x14ac:dyDescent="0.15">
      <c r="A2389" s="60">
        <v>2497</v>
      </c>
      <c r="B2389" s="30" t="s">
        <v>3822</v>
      </c>
      <c r="C2389" s="30" t="s">
        <v>10606</v>
      </c>
      <c r="D2389" s="61" t="s">
        <v>10607</v>
      </c>
      <c r="E2389" s="2"/>
      <c r="F2389" s="57"/>
      <c r="G2389" s="63" t="s">
        <v>10608</v>
      </c>
      <c r="H2389" s="59">
        <v>0</v>
      </c>
    </row>
    <row r="2390" spans="1:8" ht="112.5" customHeight="1" x14ac:dyDescent="0.15">
      <c r="A2390" s="60">
        <v>2495</v>
      </c>
      <c r="B2390" s="30" t="s">
        <v>3822</v>
      </c>
      <c r="C2390" s="30" t="s">
        <v>10609</v>
      </c>
      <c r="D2390" s="61" t="s">
        <v>10610</v>
      </c>
      <c r="E2390" s="2"/>
      <c r="F2390" s="57"/>
      <c r="G2390" s="64" t="s">
        <v>10611</v>
      </c>
      <c r="H2390" s="59">
        <v>0</v>
      </c>
    </row>
    <row r="2391" spans="1:8" ht="112.5" customHeight="1" x14ac:dyDescent="0.15">
      <c r="A2391" s="54">
        <v>2496</v>
      </c>
      <c r="B2391" s="55" t="s">
        <v>3822</v>
      </c>
      <c r="C2391" s="55" t="s">
        <v>10612</v>
      </c>
      <c r="D2391" s="56" t="s">
        <v>10613</v>
      </c>
      <c r="E2391" s="2"/>
      <c r="F2391" s="57"/>
      <c r="G2391" s="63" t="s">
        <v>10614</v>
      </c>
      <c r="H2391" s="59">
        <v>1</v>
      </c>
    </row>
    <row r="2392" spans="1:8" ht="112.5" customHeight="1" x14ac:dyDescent="0.15">
      <c r="A2392" s="54">
        <v>2494</v>
      </c>
      <c r="B2392" s="55" t="s">
        <v>3822</v>
      </c>
      <c r="C2392" s="55" t="s">
        <v>10615</v>
      </c>
      <c r="D2392" s="56" t="s">
        <v>10616</v>
      </c>
      <c r="E2392" s="2"/>
      <c r="F2392" s="57"/>
      <c r="G2392" s="64" t="s">
        <v>10617</v>
      </c>
      <c r="H2392" s="59">
        <v>999</v>
      </c>
    </row>
    <row r="2393" spans="1:8" ht="112.5" customHeight="1" x14ac:dyDescent="0.15">
      <c r="A2393" s="60">
        <v>2493</v>
      </c>
      <c r="B2393" s="30" t="s">
        <v>3822</v>
      </c>
      <c r="C2393" s="30" t="s">
        <v>10618</v>
      </c>
      <c r="D2393" s="61" t="s">
        <v>10619</v>
      </c>
      <c r="E2393" s="2"/>
      <c r="F2393" s="57"/>
      <c r="G2393" s="63" t="s">
        <v>10620</v>
      </c>
      <c r="H2393" s="59">
        <v>996</v>
      </c>
    </row>
    <row r="2394" spans="1:8" ht="112.5" customHeight="1" x14ac:dyDescent="0.15">
      <c r="A2394" s="54">
        <v>2492</v>
      </c>
      <c r="B2394" s="55" t="s">
        <v>3822</v>
      </c>
      <c r="C2394" s="55" t="s">
        <v>10621</v>
      </c>
      <c r="D2394" s="56" t="s">
        <v>10622</v>
      </c>
      <c r="E2394" s="2"/>
      <c r="F2394" s="57"/>
      <c r="G2394" s="64" t="s">
        <v>10623</v>
      </c>
      <c r="H2394" s="59">
        <v>999</v>
      </c>
    </row>
    <row r="2395" spans="1:8" ht="112.5" customHeight="1" x14ac:dyDescent="0.15">
      <c r="A2395" s="60">
        <v>3595</v>
      </c>
      <c r="B2395" s="30" t="s">
        <v>3556</v>
      </c>
      <c r="C2395" s="30" t="s">
        <v>10624</v>
      </c>
      <c r="D2395" s="61" t="s">
        <v>10625</v>
      </c>
      <c r="E2395" s="2"/>
      <c r="F2395" s="57"/>
      <c r="G2395" s="63" t="s">
        <v>10626</v>
      </c>
      <c r="H2395" s="59">
        <v>1</v>
      </c>
    </row>
    <row r="2396" spans="1:8" ht="112.5" customHeight="1" x14ac:dyDescent="0.15">
      <c r="A2396" s="60">
        <v>2491</v>
      </c>
      <c r="B2396" s="30" t="s">
        <v>3556</v>
      </c>
      <c r="C2396" s="30" t="s">
        <v>10627</v>
      </c>
      <c r="D2396" s="61" t="s">
        <v>10628</v>
      </c>
      <c r="E2396" s="2"/>
      <c r="F2396" s="57"/>
      <c r="G2396" s="64" t="s">
        <v>10629</v>
      </c>
      <c r="H2396" s="59">
        <v>1</v>
      </c>
    </row>
    <row r="2397" spans="1:8" ht="112.5" customHeight="1" x14ac:dyDescent="0.15">
      <c r="A2397" s="60">
        <v>2455</v>
      </c>
      <c r="B2397" s="30" t="s">
        <v>3496</v>
      </c>
      <c r="C2397" s="30" t="s">
        <v>10630</v>
      </c>
      <c r="D2397" s="61" t="s">
        <v>10631</v>
      </c>
      <c r="E2397" s="2"/>
      <c r="F2397" s="57"/>
      <c r="G2397" s="63" t="s">
        <v>10632</v>
      </c>
      <c r="H2397" s="59">
        <v>998</v>
      </c>
    </row>
    <row r="2398" spans="1:8" ht="112.5" customHeight="1" x14ac:dyDescent="0.15">
      <c r="A2398" s="54">
        <v>2490</v>
      </c>
      <c r="B2398" s="55" t="s">
        <v>3549</v>
      </c>
      <c r="C2398" s="55" t="s">
        <v>10633</v>
      </c>
      <c r="D2398" s="56" t="s">
        <v>10634</v>
      </c>
      <c r="E2398" s="2"/>
      <c r="F2398" s="57"/>
      <c r="G2398" s="64" t="s">
        <v>10635</v>
      </c>
      <c r="H2398" s="59">
        <v>997</v>
      </c>
    </row>
    <row r="2399" spans="1:8" ht="112.5" customHeight="1" x14ac:dyDescent="0.15">
      <c r="A2399" s="54">
        <v>3260</v>
      </c>
      <c r="B2399" s="55" t="s">
        <v>3496</v>
      </c>
      <c r="C2399" s="55" t="s">
        <v>10636</v>
      </c>
      <c r="D2399" s="56" t="s">
        <v>10637</v>
      </c>
      <c r="E2399" s="2"/>
      <c r="F2399" s="57"/>
      <c r="G2399" s="63" t="s">
        <v>10638</v>
      </c>
      <c r="H2399" s="59">
        <v>1</v>
      </c>
    </row>
    <row r="2400" spans="1:8" ht="112.5" customHeight="1" x14ac:dyDescent="0.15">
      <c r="A2400" s="60">
        <v>2551</v>
      </c>
      <c r="B2400" s="30" t="s">
        <v>3509</v>
      </c>
      <c r="C2400" s="30" t="s">
        <v>10639</v>
      </c>
      <c r="D2400" s="61" t="s">
        <v>10640</v>
      </c>
      <c r="E2400" s="2"/>
      <c r="F2400" s="57"/>
      <c r="G2400" s="64" t="s">
        <v>10641</v>
      </c>
      <c r="H2400" s="59">
        <v>1</v>
      </c>
    </row>
    <row r="2401" spans="1:8" ht="112.5" customHeight="1" x14ac:dyDescent="0.15">
      <c r="A2401" s="54">
        <v>2550</v>
      </c>
      <c r="B2401" s="55" t="s">
        <v>3513</v>
      </c>
      <c r="C2401" s="55" t="s">
        <v>10642</v>
      </c>
      <c r="D2401" s="56" t="s">
        <v>10643</v>
      </c>
      <c r="E2401" s="2"/>
      <c r="F2401" s="57"/>
      <c r="G2401" s="63" t="s">
        <v>10644</v>
      </c>
      <c r="H2401" s="59">
        <v>1</v>
      </c>
    </row>
    <row r="2402" spans="1:8" ht="112.5" customHeight="1" x14ac:dyDescent="0.15">
      <c r="A2402" s="60">
        <v>2489</v>
      </c>
      <c r="B2402" s="30" t="s">
        <v>3814</v>
      </c>
      <c r="C2402" s="30" t="s">
        <v>10645</v>
      </c>
      <c r="D2402" s="61" t="s">
        <v>10646</v>
      </c>
      <c r="E2402" s="2"/>
      <c r="F2402" s="57"/>
      <c r="G2402" s="64" t="s">
        <v>10647</v>
      </c>
      <c r="H2402" s="59">
        <v>1</v>
      </c>
    </row>
    <row r="2403" spans="1:8" ht="112.5" customHeight="1" x14ac:dyDescent="0.15">
      <c r="A2403" s="54">
        <v>2552</v>
      </c>
      <c r="B2403" s="55" t="s">
        <v>3814</v>
      </c>
      <c r="C2403" s="55" t="s">
        <v>10648</v>
      </c>
      <c r="D2403" s="56" t="s">
        <v>10646</v>
      </c>
      <c r="E2403" s="2"/>
      <c r="F2403" s="57"/>
      <c r="G2403" s="63" t="s">
        <v>10649</v>
      </c>
      <c r="H2403" s="59">
        <v>1</v>
      </c>
    </row>
    <row r="2404" spans="1:8" ht="112.5" customHeight="1" x14ac:dyDescent="0.15">
      <c r="A2404" s="60">
        <v>2549</v>
      </c>
      <c r="B2404" s="30" t="s">
        <v>3502</v>
      </c>
      <c r="C2404" s="30" t="s">
        <v>10650</v>
      </c>
      <c r="D2404" s="61" t="s">
        <v>10651</v>
      </c>
      <c r="E2404" s="2"/>
      <c r="F2404" s="57"/>
      <c r="G2404" s="64" t="s">
        <v>10652</v>
      </c>
      <c r="H2404" s="59">
        <v>999</v>
      </c>
    </row>
    <row r="2405" spans="1:8" ht="112.5" customHeight="1" x14ac:dyDescent="0.15">
      <c r="A2405" s="54">
        <v>2548</v>
      </c>
      <c r="B2405" s="55" t="s">
        <v>3502</v>
      </c>
      <c r="C2405" s="55" t="s">
        <v>10653</v>
      </c>
      <c r="D2405" s="56" t="s">
        <v>10654</v>
      </c>
      <c r="E2405" s="2"/>
      <c r="F2405" s="57"/>
      <c r="G2405" s="63" t="s">
        <v>10655</v>
      </c>
      <c r="H2405" s="59">
        <v>1</v>
      </c>
    </row>
    <row r="2406" spans="1:8" ht="112.5" customHeight="1" x14ac:dyDescent="0.15">
      <c r="A2406" s="54">
        <v>2546</v>
      </c>
      <c r="B2406" s="55" t="s">
        <v>3502</v>
      </c>
      <c r="C2406" s="55" t="s">
        <v>10656</v>
      </c>
      <c r="D2406" s="56" t="s">
        <v>10657</v>
      </c>
      <c r="E2406" s="2"/>
      <c r="F2406" s="57"/>
      <c r="G2406" s="64" t="s">
        <v>10658</v>
      </c>
      <c r="H2406" s="59">
        <v>945</v>
      </c>
    </row>
    <row r="2407" spans="1:8" ht="112.5" customHeight="1" x14ac:dyDescent="0.15">
      <c r="A2407" s="60">
        <v>2547</v>
      </c>
      <c r="B2407" s="30" t="s">
        <v>3502</v>
      </c>
      <c r="C2407" s="30" t="s">
        <v>10659</v>
      </c>
      <c r="D2407" s="61" t="s">
        <v>10660</v>
      </c>
      <c r="E2407" s="2"/>
      <c r="F2407" s="57"/>
      <c r="G2407" s="63" t="s">
        <v>10661</v>
      </c>
      <c r="H2407" s="59">
        <v>0</v>
      </c>
    </row>
    <row r="2408" spans="1:8" ht="112.5" customHeight="1" x14ac:dyDescent="0.15">
      <c r="A2408" s="54">
        <v>2544</v>
      </c>
      <c r="B2408" s="55" t="s">
        <v>3549</v>
      </c>
      <c r="C2408" s="55" t="s">
        <v>10662</v>
      </c>
      <c r="D2408" s="56" t="s">
        <v>10663</v>
      </c>
      <c r="E2408" s="2"/>
      <c r="F2408" s="57"/>
      <c r="G2408" s="64" t="s">
        <v>4496</v>
      </c>
      <c r="H2408" s="59">
        <v>942</v>
      </c>
    </row>
    <row r="2409" spans="1:8" ht="112.5" customHeight="1" x14ac:dyDescent="0.15">
      <c r="A2409" s="60">
        <v>2545</v>
      </c>
      <c r="B2409" s="30" t="s">
        <v>3549</v>
      </c>
      <c r="C2409" s="30" t="s">
        <v>10664</v>
      </c>
      <c r="D2409" s="61" t="s">
        <v>10665</v>
      </c>
      <c r="E2409" s="2"/>
      <c r="F2409" s="57"/>
      <c r="G2409" s="63" t="s">
        <v>4493</v>
      </c>
      <c r="H2409" s="59">
        <v>0</v>
      </c>
    </row>
    <row r="2410" spans="1:8" ht="112.5" customHeight="1" x14ac:dyDescent="0.15">
      <c r="A2410" s="60">
        <v>2543</v>
      </c>
      <c r="B2410" s="30" t="s">
        <v>3630</v>
      </c>
      <c r="C2410" s="30" t="s">
        <v>10666</v>
      </c>
      <c r="D2410" s="61" t="s">
        <v>10667</v>
      </c>
      <c r="E2410" s="2"/>
      <c r="F2410" s="57"/>
      <c r="G2410" s="64" t="s">
        <v>4490</v>
      </c>
      <c r="H2410" s="59">
        <v>973</v>
      </c>
    </row>
    <row r="2411" spans="1:8" ht="112.5" customHeight="1" x14ac:dyDescent="0.15">
      <c r="A2411" s="54">
        <v>2542</v>
      </c>
      <c r="B2411" s="55" t="s">
        <v>3630</v>
      </c>
      <c r="C2411" s="55" t="s">
        <v>10668</v>
      </c>
      <c r="D2411" s="56" t="s">
        <v>10669</v>
      </c>
      <c r="E2411" s="2"/>
      <c r="F2411" s="57"/>
      <c r="G2411" s="63" t="s">
        <v>4487</v>
      </c>
      <c r="H2411" s="59">
        <v>974</v>
      </c>
    </row>
    <row r="2412" spans="1:8" ht="112.5" customHeight="1" x14ac:dyDescent="0.15">
      <c r="A2412" s="60">
        <v>2541</v>
      </c>
      <c r="B2412" s="30" t="s">
        <v>3630</v>
      </c>
      <c r="C2412" s="30" t="s">
        <v>10670</v>
      </c>
      <c r="D2412" s="61" t="s">
        <v>10671</v>
      </c>
      <c r="E2412" s="2"/>
      <c r="F2412" s="57"/>
      <c r="G2412" s="64" t="s">
        <v>4484</v>
      </c>
      <c r="H2412" s="59">
        <v>92</v>
      </c>
    </row>
    <row r="2413" spans="1:8" ht="112.5" customHeight="1" x14ac:dyDescent="0.15">
      <c r="A2413" s="60">
        <v>3593</v>
      </c>
      <c r="B2413" s="30" t="s">
        <v>3496</v>
      </c>
      <c r="C2413" s="30" t="s">
        <v>10672</v>
      </c>
      <c r="D2413" s="61" t="s">
        <v>10673</v>
      </c>
      <c r="E2413" s="2"/>
      <c r="F2413" s="57"/>
      <c r="G2413" s="63" t="s">
        <v>10674</v>
      </c>
      <c r="H2413" s="59">
        <v>643</v>
      </c>
    </row>
    <row r="2414" spans="1:8" ht="112.5" customHeight="1" x14ac:dyDescent="0.15">
      <c r="A2414" s="54">
        <v>2540</v>
      </c>
      <c r="B2414" s="55" t="s">
        <v>3670</v>
      </c>
      <c r="C2414" s="55" t="s">
        <v>10675</v>
      </c>
      <c r="D2414" s="56" t="s">
        <v>10676</v>
      </c>
      <c r="E2414" s="2"/>
      <c r="F2414" s="57"/>
      <c r="G2414" s="64" t="s">
        <v>10677</v>
      </c>
      <c r="H2414" s="59">
        <v>999</v>
      </c>
    </row>
    <row r="2415" spans="1:8" ht="112.5" customHeight="1" x14ac:dyDescent="0.15">
      <c r="A2415" s="60">
        <v>2539</v>
      </c>
      <c r="B2415" s="30" t="s">
        <v>4330</v>
      </c>
      <c r="C2415" s="30" t="s">
        <v>10678</v>
      </c>
      <c r="D2415" s="61" t="s">
        <v>10679</v>
      </c>
      <c r="E2415" s="2"/>
      <c r="F2415" s="57"/>
      <c r="G2415" s="63" t="s">
        <v>10680</v>
      </c>
      <c r="H2415" s="59">
        <v>1</v>
      </c>
    </row>
    <row r="2416" spans="1:8" ht="112.5" customHeight="1" x14ac:dyDescent="0.15">
      <c r="A2416" s="54">
        <v>2538</v>
      </c>
      <c r="B2416" s="55" t="s">
        <v>3502</v>
      </c>
      <c r="C2416" s="55" t="s">
        <v>10681</v>
      </c>
      <c r="D2416" s="56" t="s">
        <v>10682</v>
      </c>
      <c r="E2416" s="2"/>
      <c r="F2416" s="57"/>
      <c r="G2416" s="64" t="s">
        <v>10683</v>
      </c>
      <c r="H2416" s="59">
        <v>1</v>
      </c>
    </row>
    <row r="2417" spans="1:8" ht="112.5" customHeight="1" x14ac:dyDescent="0.15">
      <c r="A2417" s="54">
        <v>2536</v>
      </c>
      <c r="B2417" s="55" t="s">
        <v>3556</v>
      </c>
      <c r="C2417" s="55" t="s">
        <v>10684</v>
      </c>
      <c r="D2417" s="56" t="s">
        <v>10685</v>
      </c>
      <c r="E2417" s="2"/>
      <c r="F2417" s="57"/>
      <c r="G2417" s="63" t="s">
        <v>10686</v>
      </c>
      <c r="H2417" s="59">
        <v>982</v>
      </c>
    </row>
    <row r="2418" spans="1:8" ht="112.5" customHeight="1" x14ac:dyDescent="0.15">
      <c r="A2418" s="60">
        <v>2537</v>
      </c>
      <c r="B2418" s="30" t="s">
        <v>3509</v>
      </c>
      <c r="C2418" s="30" t="s">
        <v>10687</v>
      </c>
      <c r="D2418" s="61" t="s">
        <v>10688</v>
      </c>
      <c r="E2418" s="2"/>
      <c r="F2418" s="57"/>
      <c r="G2418" s="64" t="s">
        <v>10689</v>
      </c>
      <c r="H2418" s="59">
        <v>1</v>
      </c>
    </row>
    <row r="2419" spans="1:8" ht="112.5" customHeight="1" x14ac:dyDescent="0.15">
      <c r="A2419" s="60">
        <v>3301</v>
      </c>
      <c r="B2419" s="30" t="s">
        <v>3496</v>
      </c>
      <c r="C2419" s="30" t="s">
        <v>10690</v>
      </c>
      <c r="D2419" s="61" t="s">
        <v>10691</v>
      </c>
      <c r="E2419" s="2"/>
      <c r="F2419" s="57"/>
      <c r="G2419" s="63" t="s">
        <v>10692</v>
      </c>
      <c r="H2419" s="59">
        <v>987</v>
      </c>
    </row>
    <row r="2420" spans="1:8" ht="112.5" customHeight="1" x14ac:dyDescent="0.15">
      <c r="A2420" s="60">
        <v>3451</v>
      </c>
      <c r="B2420" s="30" t="s">
        <v>3822</v>
      </c>
      <c r="C2420" s="30" t="s">
        <v>10693</v>
      </c>
      <c r="D2420" s="61" t="s">
        <v>10694</v>
      </c>
      <c r="E2420" s="2"/>
      <c r="F2420" s="57"/>
      <c r="G2420" s="64" t="s">
        <v>10695</v>
      </c>
      <c r="H2420" s="59">
        <v>982</v>
      </c>
    </row>
    <row r="2421" spans="1:8" ht="112.5" customHeight="1" x14ac:dyDescent="0.15">
      <c r="A2421" s="54">
        <v>3452</v>
      </c>
      <c r="B2421" s="55" t="s">
        <v>3822</v>
      </c>
      <c r="C2421" s="55" t="s">
        <v>10696</v>
      </c>
      <c r="D2421" s="56" t="s">
        <v>10697</v>
      </c>
      <c r="E2421" s="2"/>
      <c r="F2421" s="57"/>
      <c r="G2421" s="63" t="s">
        <v>10698</v>
      </c>
      <c r="H2421" s="59">
        <v>990</v>
      </c>
    </row>
    <row r="2422" spans="1:8" ht="112.5" customHeight="1" x14ac:dyDescent="0.15">
      <c r="A2422" s="54">
        <v>3224</v>
      </c>
      <c r="B2422" s="55" t="s">
        <v>3496</v>
      </c>
      <c r="C2422" s="55" t="s">
        <v>10699</v>
      </c>
      <c r="D2422" s="56" t="s">
        <v>10700</v>
      </c>
      <c r="E2422" s="2"/>
      <c r="F2422" s="57"/>
      <c r="G2422" s="64" t="s">
        <v>10701</v>
      </c>
      <c r="H2422" s="59">
        <v>950</v>
      </c>
    </row>
    <row r="2423" spans="1:8" ht="112.5" customHeight="1" x14ac:dyDescent="0.15">
      <c r="A2423" s="54">
        <v>3216</v>
      </c>
      <c r="B2423" s="55" t="s">
        <v>3496</v>
      </c>
      <c r="C2423" s="55" t="s">
        <v>10702</v>
      </c>
      <c r="D2423" s="56" t="s">
        <v>10703</v>
      </c>
      <c r="E2423" s="2"/>
      <c r="F2423" s="57"/>
      <c r="G2423" s="63" t="s">
        <v>10704</v>
      </c>
      <c r="H2423" s="59">
        <v>998</v>
      </c>
    </row>
    <row r="2424" spans="1:8" ht="112.5" customHeight="1" x14ac:dyDescent="0.15">
      <c r="A2424" s="60">
        <v>3405</v>
      </c>
      <c r="B2424" s="30" t="s">
        <v>3496</v>
      </c>
      <c r="C2424" s="30" t="s">
        <v>10705</v>
      </c>
      <c r="D2424" s="61" t="s">
        <v>10706</v>
      </c>
      <c r="E2424" s="2"/>
      <c r="F2424" s="57"/>
      <c r="G2424" s="64" t="s">
        <v>10707</v>
      </c>
      <c r="H2424" s="59">
        <v>1</v>
      </c>
    </row>
    <row r="2425" spans="1:8" ht="112.5" customHeight="1" x14ac:dyDescent="0.15">
      <c r="A2425" s="60">
        <v>3453</v>
      </c>
      <c r="B2425" s="30" t="s">
        <v>3496</v>
      </c>
      <c r="C2425" s="30" t="s">
        <v>10708</v>
      </c>
      <c r="D2425" s="61" t="s">
        <v>10709</v>
      </c>
      <c r="E2425" s="2"/>
      <c r="F2425" s="57"/>
      <c r="G2425" s="63" t="s">
        <v>10710</v>
      </c>
      <c r="H2425" s="59">
        <v>886</v>
      </c>
    </row>
    <row r="2426" spans="1:8" ht="112.5" customHeight="1" x14ac:dyDescent="0.15">
      <c r="A2426" s="60">
        <v>3435</v>
      </c>
      <c r="B2426" s="30" t="s">
        <v>3496</v>
      </c>
      <c r="C2426" s="30" t="s">
        <v>10711</v>
      </c>
      <c r="D2426" s="61" t="s">
        <v>10712</v>
      </c>
      <c r="E2426" s="2"/>
      <c r="F2426" s="57"/>
      <c r="G2426" s="64" t="s">
        <v>10713</v>
      </c>
      <c r="H2426" s="59">
        <v>1</v>
      </c>
    </row>
    <row r="2427" spans="1:8" ht="112.5" customHeight="1" x14ac:dyDescent="0.15">
      <c r="A2427" s="60">
        <v>2535</v>
      </c>
      <c r="B2427" s="30" t="s">
        <v>3670</v>
      </c>
      <c r="C2427" s="30" t="s">
        <v>10714</v>
      </c>
      <c r="D2427" s="61" t="s">
        <v>10715</v>
      </c>
      <c r="E2427" s="2"/>
      <c r="F2427" s="57"/>
      <c r="G2427" s="63" t="s">
        <v>10716</v>
      </c>
      <c r="H2427" s="59">
        <v>0</v>
      </c>
    </row>
    <row r="2428" spans="1:8" ht="112.5" customHeight="1" x14ac:dyDescent="0.15">
      <c r="A2428" s="60">
        <v>3217</v>
      </c>
      <c r="B2428" s="30" t="s">
        <v>3549</v>
      </c>
      <c r="C2428" s="30" t="s">
        <v>10717</v>
      </c>
      <c r="D2428" s="61" t="s">
        <v>10718</v>
      </c>
      <c r="E2428" s="2"/>
      <c r="F2428" s="57"/>
      <c r="G2428" s="64" t="s">
        <v>10719</v>
      </c>
      <c r="H2428" s="59">
        <v>0</v>
      </c>
    </row>
    <row r="2429" spans="1:8" ht="112.5" customHeight="1" x14ac:dyDescent="0.15">
      <c r="A2429" s="60">
        <v>3463</v>
      </c>
      <c r="B2429" s="30" t="s">
        <v>3549</v>
      </c>
      <c r="C2429" s="30" t="s">
        <v>10720</v>
      </c>
      <c r="D2429" s="61" t="s">
        <v>10721</v>
      </c>
      <c r="E2429" s="2"/>
      <c r="F2429" s="57"/>
      <c r="G2429" s="63" t="s">
        <v>10722</v>
      </c>
      <c r="H2429" s="59">
        <v>993</v>
      </c>
    </row>
    <row r="2430" spans="1:8" ht="112.5" customHeight="1" x14ac:dyDescent="0.15">
      <c r="A2430" s="60">
        <v>3367</v>
      </c>
      <c r="B2430" s="30" t="s">
        <v>3549</v>
      </c>
      <c r="C2430" s="30" t="s">
        <v>10723</v>
      </c>
      <c r="D2430" s="61" t="s">
        <v>10724</v>
      </c>
      <c r="E2430" s="2"/>
      <c r="F2430" s="57"/>
      <c r="G2430" s="64" t="s">
        <v>10725</v>
      </c>
      <c r="H2430" s="59">
        <v>1</v>
      </c>
    </row>
    <row r="2431" spans="1:8" ht="112.5" customHeight="1" x14ac:dyDescent="0.15">
      <c r="A2431" s="54">
        <v>3202</v>
      </c>
      <c r="B2431" s="55" t="s">
        <v>3549</v>
      </c>
      <c r="C2431" s="55" t="s">
        <v>10726</v>
      </c>
      <c r="D2431" s="56" t="s">
        <v>10727</v>
      </c>
      <c r="E2431" s="2"/>
      <c r="F2431" s="57"/>
      <c r="G2431" s="63" t="s">
        <v>10728</v>
      </c>
      <c r="H2431" s="59">
        <v>0</v>
      </c>
    </row>
    <row r="2432" spans="1:8" ht="112.5" customHeight="1" x14ac:dyDescent="0.15">
      <c r="A2432" s="54">
        <v>3204</v>
      </c>
      <c r="B2432" s="55" t="s">
        <v>3549</v>
      </c>
      <c r="C2432" s="55" t="s">
        <v>10729</v>
      </c>
      <c r="D2432" s="56" t="s">
        <v>10730</v>
      </c>
      <c r="E2432" s="2"/>
      <c r="F2432" s="57"/>
      <c r="G2432" s="64" t="s">
        <v>10731</v>
      </c>
      <c r="H2432" s="59">
        <v>1</v>
      </c>
    </row>
    <row r="2433" spans="1:8" ht="112.5" customHeight="1" x14ac:dyDescent="0.15">
      <c r="A2433" s="60">
        <v>3203</v>
      </c>
      <c r="B2433" s="30" t="s">
        <v>3549</v>
      </c>
      <c r="C2433" s="30" t="s">
        <v>10732</v>
      </c>
      <c r="D2433" s="61" t="s">
        <v>10733</v>
      </c>
      <c r="E2433" s="2"/>
      <c r="F2433" s="57"/>
      <c r="G2433" s="63" t="s">
        <v>10734</v>
      </c>
      <c r="H2433" s="59">
        <v>1</v>
      </c>
    </row>
    <row r="2434" spans="1:8" ht="112.5" customHeight="1" x14ac:dyDescent="0.15">
      <c r="A2434" s="54">
        <v>3444</v>
      </c>
      <c r="B2434" s="55" t="s">
        <v>3549</v>
      </c>
      <c r="C2434" s="55" t="s">
        <v>10735</v>
      </c>
      <c r="D2434" s="56" t="s">
        <v>10736</v>
      </c>
      <c r="E2434" s="2"/>
      <c r="F2434" s="57"/>
      <c r="G2434" s="64" t="s">
        <v>10737</v>
      </c>
      <c r="H2434" s="59">
        <v>991</v>
      </c>
    </row>
    <row r="2435" spans="1:8" ht="112.5" customHeight="1" x14ac:dyDescent="0.15">
      <c r="A2435" s="54">
        <v>3232</v>
      </c>
      <c r="B2435" s="55" t="s">
        <v>3549</v>
      </c>
      <c r="C2435" s="55" t="s">
        <v>10738</v>
      </c>
      <c r="D2435" s="56" t="s">
        <v>10739</v>
      </c>
      <c r="E2435" s="2"/>
      <c r="F2435" s="57"/>
      <c r="G2435" s="63" t="s">
        <v>10740</v>
      </c>
      <c r="H2435" s="59">
        <v>995</v>
      </c>
    </row>
    <row r="2436" spans="1:8" ht="112.5" customHeight="1" x14ac:dyDescent="0.15">
      <c r="A2436" s="54">
        <v>3366</v>
      </c>
      <c r="B2436" s="55" t="s">
        <v>3549</v>
      </c>
      <c r="C2436" s="55" t="s">
        <v>10741</v>
      </c>
      <c r="D2436" s="56" t="s">
        <v>10742</v>
      </c>
      <c r="E2436" s="2"/>
      <c r="F2436" s="57"/>
      <c r="G2436" s="64" t="s">
        <v>10743</v>
      </c>
      <c r="H2436" s="59">
        <v>1</v>
      </c>
    </row>
    <row r="2437" spans="1:8" ht="112.5" customHeight="1" x14ac:dyDescent="0.15">
      <c r="A2437" s="60">
        <v>3393</v>
      </c>
      <c r="B2437" s="30" t="s">
        <v>3549</v>
      </c>
      <c r="C2437" s="30" t="s">
        <v>10744</v>
      </c>
      <c r="D2437" s="61" t="s">
        <v>10745</v>
      </c>
      <c r="E2437" s="2"/>
      <c r="F2437" s="57"/>
      <c r="G2437" s="63" t="s">
        <v>10746</v>
      </c>
      <c r="H2437" s="59">
        <v>1</v>
      </c>
    </row>
    <row r="2438" spans="1:8" ht="112.5" customHeight="1" x14ac:dyDescent="0.15">
      <c r="A2438" s="60">
        <v>3443</v>
      </c>
      <c r="B2438" s="30" t="s">
        <v>3549</v>
      </c>
      <c r="C2438" s="30" t="s">
        <v>10747</v>
      </c>
      <c r="D2438" s="61" t="s">
        <v>10748</v>
      </c>
      <c r="E2438" s="2"/>
      <c r="F2438" s="57"/>
      <c r="G2438" s="64" t="s">
        <v>10749</v>
      </c>
      <c r="H2438" s="59">
        <v>1</v>
      </c>
    </row>
    <row r="2439" spans="1:8" ht="112.5" customHeight="1" x14ac:dyDescent="0.15">
      <c r="A2439" s="60">
        <v>3365</v>
      </c>
      <c r="B2439" s="30" t="s">
        <v>3549</v>
      </c>
      <c r="C2439" s="30" t="s">
        <v>10750</v>
      </c>
      <c r="D2439" s="61" t="s">
        <v>10751</v>
      </c>
      <c r="E2439" s="2"/>
      <c r="F2439" s="57"/>
      <c r="G2439" s="63" t="s">
        <v>10752</v>
      </c>
      <c r="H2439" s="59">
        <v>990</v>
      </c>
    </row>
    <row r="2440" spans="1:8" ht="112.5" customHeight="1" x14ac:dyDescent="0.15">
      <c r="A2440" s="54">
        <v>3442</v>
      </c>
      <c r="B2440" s="55" t="s">
        <v>3549</v>
      </c>
      <c r="C2440" s="55" t="s">
        <v>10753</v>
      </c>
      <c r="D2440" s="56" t="s">
        <v>10754</v>
      </c>
      <c r="E2440" s="2"/>
      <c r="F2440" s="57"/>
      <c r="G2440" s="64" t="s">
        <v>10755</v>
      </c>
      <c r="H2440" s="59">
        <v>1</v>
      </c>
    </row>
    <row r="2441" spans="1:8" ht="112.5" customHeight="1" x14ac:dyDescent="0.15">
      <c r="A2441" s="60">
        <v>3121</v>
      </c>
      <c r="B2441" s="30" t="s">
        <v>3549</v>
      </c>
      <c r="C2441" s="30" t="s">
        <v>10756</v>
      </c>
      <c r="D2441" s="61" t="s">
        <v>10757</v>
      </c>
      <c r="E2441" s="2"/>
      <c r="F2441" s="57"/>
      <c r="G2441" s="63" t="s">
        <v>10758</v>
      </c>
      <c r="H2441" s="59">
        <v>976</v>
      </c>
    </row>
    <row r="2442" spans="1:8" ht="112.5" customHeight="1" x14ac:dyDescent="0.15">
      <c r="A2442" s="60">
        <v>3399</v>
      </c>
      <c r="B2442" s="30" t="s">
        <v>3549</v>
      </c>
      <c r="C2442" s="30" t="s">
        <v>10759</v>
      </c>
      <c r="D2442" s="61" t="s">
        <v>10760</v>
      </c>
      <c r="E2442" s="2"/>
      <c r="F2442" s="57"/>
      <c r="G2442" s="64" t="s">
        <v>10761</v>
      </c>
      <c r="H2442" s="59">
        <v>993</v>
      </c>
    </row>
    <row r="2443" spans="1:8" ht="112.5" customHeight="1" x14ac:dyDescent="0.15">
      <c r="A2443" s="60">
        <v>3215</v>
      </c>
      <c r="B2443" s="30" t="s">
        <v>3549</v>
      </c>
      <c r="C2443" s="30" t="s">
        <v>10762</v>
      </c>
      <c r="D2443" s="61" t="s">
        <v>10763</v>
      </c>
      <c r="E2443" s="2"/>
      <c r="F2443" s="57"/>
      <c r="G2443" s="63" t="s">
        <v>10764</v>
      </c>
      <c r="H2443" s="59">
        <v>977</v>
      </c>
    </row>
    <row r="2444" spans="1:8" ht="112.5" customHeight="1" x14ac:dyDescent="0.15">
      <c r="A2444" s="54">
        <v>3338</v>
      </c>
      <c r="B2444" s="55" t="s">
        <v>3496</v>
      </c>
      <c r="C2444" s="55" t="s">
        <v>10765</v>
      </c>
      <c r="D2444" s="56" t="s">
        <v>10766</v>
      </c>
      <c r="E2444" s="2"/>
      <c r="F2444" s="57"/>
      <c r="G2444" s="64" t="s">
        <v>10767</v>
      </c>
      <c r="H2444" s="59">
        <v>985</v>
      </c>
    </row>
    <row r="2445" spans="1:8" ht="112.5" customHeight="1" x14ac:dyDescent="0.15">
      <c r="A2445" s="54">
        <v>3434</v>
      </c>
      <c r="B2445" s="55" t="s">
        <v>3496</v>
      </c>
      <c r="C2445" s="55" t="s">
        <v>10768</v>
      </c>
      <c r="D2445" s="56" t="s">
        <v>10769</v>
      </c>
      <c r="E2445" s="2"/>
      <c r="F2445" s="57"/>
      <c r="G2445" s="63" t="s">
        <v>10770</v>
      </c>
      <c r="H2445" s="59">
        <v>996</v>
      </c>
    </row>
    <row r="2446" spans="1:8" ht="112.5" customHeight="1" x14ac:dyDescent="0.15">
      <c r="A2446" s="54">
        <v>2534</v>
      </c>
      <c r="B2446" s="55" t="s">
        <v>3670</v>
      </c>
      <c r="C2446" s="55" t="s">
        <v>10771</v>
      </c>
      <c r="D2446" s="56" t="s">
        <v>10772</v>
      </c>
      <c r="E2446" s="2"/>
      <c r="F2446" s="57"/>
      <c r="G2446" s="64" t="s">
        <v>10773</v>
      </c>
      <c r="H2446" s="59">
        <v>1</v>
      </c>
    </row>
    <row r="2447" spans="1:8" ht="112.5" customHeight="1" x14ac:dyDescent="0.15">
      <c r="A2447" s="60">
        <v>3381</v>
      </c>
      <c r="B2447" s="30" t="s">
        <v>3496</v>
      </c>
      <c r="C2447" s="30" t="s">
        <v>10774</v>
      </c>
      <c r="D2447" s="61" t="s">
        <v>10775</v>
      </c>
      <c r="E2447" s="2"/>
      <c r="F2447" s="57"/>
      <c r="G2447" s="63" t="s">
        <v>10776</v>
      </c>
      <c r="H2447" s="59">
        <v>0</v>
      </c>
    </row>
    <row r="2448" spans="1:8" ht="112.5" customHeight="1" x14ac:dyDescent="0.15">
      <c r="A2448" s="60">
        <v>3379</v>
      </c>
      <c r="B2448" s="30" t="s">
        <v>3496</v>
      </c>
      <c r="C2448" s="30" t="s">
        <v>10777</v>
      </c>
      <c r="D2448" s="61" t="s">
        <v>10778</v>
      </c>
      <c r="E2448" s="2"/>
      <c r="F2448" s="57"/>
      <c r="G2448" s="64" t="s">
        <v>10779</v>
      </c>
      <c r="H2448" s="59">
        <v>1</v>
      </c>
    </row>
    <row r="2449" spans="1:8" ht="112.5" customHeight="1" x14ac:dyDescent="0.15">
      <c r="A2449" s="60">
        <v>3369</v>
      </c>
      <c r="B2449" s="30" t="s">
        <v>3749</v>
      </c>
      <c r="C2449" s="30" t="s">
        <v>10780</v>
      </c>
      <c r="D2449" s="61" t="s">
        <v>10781</v>
      </c>
      <c r="E2449" s="2"/>
      <c r="F2449" s="57"/>
      <c r="G2449" s="63" t="s">
        <v>10782</v>
      </c>
      <c r="H2449" s="59">
        <v>981</v>
      </c>
    </row>
    <row r="2450" spans="1:8" ht="112.5" customHeight="1" x14ac:dyDescent="0.15">
      <c r="A2450" s="60">
        <v>2533</v>
      </c>
      <c r="B2450" s="30" t="s">
        <v>3492</v>
      </c>
      <c r="C2450" s="30" t="s">
        <v>10783</v>
      </c>
      <c r="D2450" s="61" t="s">
        <v>10784</v>
      </c>
      <c r="E2450" s="2"/>
      <c r="F2450" s="57"/>
      <c r="G2450" s="64" t="s">
        <v>10785</v>
      </c>
      <c r="H2450" s="59">
        <v>990</v>
      </c>
    </row>
    <row r="2451" spans="1:8" ht="112.5" customHeight="1" x14ac:dyDescent="0.15">
      <c r="A2451" s="54">
        <v>3388</v>
      </c>
      <c r="B2451" s="55" t="s">
        <v>3513</v>
      </c>
      <c r="C2451" s="55" t="s">
        <v>10786</v>
      </c>
      <c r="D2451" s="56" t="s">
        <v>10787</v>
      </c>
      <c r="E2451" s="2"/>
      <c r="F2451" s="57"/>
      <c r="G2451" s="63" t="s">
        <v>10788</v>
      </c>
      <c r="H2451" s="59">
        <v>993</v>
      </c>
    </row>
    <row r="2452" spans="1:8" ht="112.5" customHeight="1" x14ac:dyDescent="0.15">
      <c r="A2452" s="54">
        <v>3464</v>
      </c>
      <c r="B2452" s="55" t="s">
        <v>3513</v>
      </c>
      <c r="C2452" s="55" t="s">
        <v>10789</v>
      </c>
      <c r="D2452" s="56" t="s">
        <v>10790</v>
      </c>
      <c r="E2452" s="2"/>
      <c r="F2452" s="57"/>
      <c r="G2452" s="64" t="s">
        <v>10791</v>
      </c>
      <c r="H2452" s="59">
        <v>1</v>
      </c>
    </row>
    <row r="2453" spans="1:8" ht="112.5" customHeight="1" x14ac:dyDescent="0.15">
      <c r="A2453" s="60">
        <v>3273</v>
      </c>
      <c r="B2453" s="30" t="s">
        <v>3818</v>
      </c>
      <c r="C2453" s="30" t="s">
        <v>10792</v>
      </c>
      <c r="D2453" s="61" t="s">
        <v>10793</v>
      </c>
      <c r="E2453" s="2"/>
      <c r="F2453" s="57"/>
      <c r="G2453" s="63" t="s">
        <v>10794</v>
      </c>
      <c r="H2453" s="59">
        <v>1</v>
      </c>
    </row>
    <row r="2454" spans="1:8" ht="112.5" customHeight="1" x14ac:dyDescent="0.15">
      <c r="A2454" s="60">
        <v>3413</v>
      </c>
      <c r="B2454" s="30" t="s">
        <v>3818</v>
      </c>
      <c r="C2454" s="30" t="s">
        <v>10795</v>
      </c>
      <c r="D2454" s="61" t="s">
        <v>10796</v>
      </c>
      <c r="E2454" s="2"/>
      <c r="F2454" s="57"/>
      <c r="G2454" s="64" t="s">
        <v>10797</v>
      </c>
      <c r="H2454" s="59">
        <v>0</v>
      </c>
    </row>
    <row r="2455" spans="1:8" ht="112.5" customHeight="1" x14ac:dyDescent="0.15">
      <c r="A2455" s="60">
        <v>3465</v>
      </c>
      <c r="B2455" s="30" t="s">
        <v>3496</v>
      </c>
      <c r="C2455" s="30" t="s">
        <v>10798</v>
      </c>
      <c r="D2455" s="61" t="s">
        <v>10799</v>
      </c>
      <c r="E2455" s="2"/>
      <c r="F2455" s="57"/>
      <c r="G2455" s="63" t="s">
        <v>10800</v>
      </c>
      <c r="H2455" s="59">
        <v>1</v>
      </c>
    </row>
    <row r="2456" spans="1:8" ht="112.5" customHeight="1" x14ac:dyDescent="0.15">
      <c r="A2456" s="54">
        <v>3370</v>
      </c>
      <c r="B2456" s="55" t="s">
        <v>3496</v>
      </c>
      <c r="C2456" s="55" t="s">
        <v>10801</v>
      </c>
      <c r="D2456" s="56" t="s">
        <v>10802</v>
      </c>
      <c r="E2456" s="2"/>
      <c r="F2456" s="57"/>
      <c r="G2456" s="64" t="s">
        <v>10803</v>
      </c>
      <c r="H2456" s="59">
        <v>1</v>
      </c>
    </row>
    <row r="2457" spans="1:8" ht="112.5" customHeight="1" x14ac:dyDescent="0.15">
      <c r="A2457" s="54">
        <v>3422</v>
      </c>
      <c r="B2457" s="55" t="s">
        <v>3492</v>
      </c>
      <c r="C2457" s="55" t="s">
        <v>10804</v>
      </c>
      <c r="D2457" s="56" t="s">
        <v>10805</v>
      </c>
      <c r="E2457" s="2"/>
      <c r="F2457" s="57"/>
      <c r="G2457" s="63" t="s">
        <v>10806</v>
      </c>
      <c r="H2457" s="59">
        <v>1</v>
      </c>
    </row>
    <row r="2458" spans="1:8" ht="112.5" customHeight="1" x14ac:dyDescent="0.15">
      <c r="A2458" s="60">
        <v>3425</v>
      </c>
      <c r="B2458" s="30" t="s">
        <v>3496</v>
      </c>
      <c r="C2458" s="30" t="s">
        <v>10807</v>
      </c>
      <c r="D2458" s="61" t="s">
        <v>10808</v>
      </c>
      <c r="E2458" s="2"/>
      <c r="F2458" s="57"/>
      <c r="G2458" s="64" t="s">
        <v>10809</v>
      </c>
      <c r="H2458" s="59">
        <v>0</v>
      </c>
    </row>
    <row r="2459" spans="1:8" ht="112.5" customHeight="1" x14ac:dyDescent="0.15">
      <c r="A2459" s="54">
        <v>3140</v>
      </c>
      <c r="B2459" s="55" t="s">
        <v>3549</v>
      </c>
      <c r="C2459" s="55" t="s">
        <v>10810</v>
      </c>
      <c r="D2459" s="56" t="s">
        <v>10811</v>
      </c>
      <c r="E2459" s="2"/>
      <c r="F2459" s="57"/>
      <c r="G2459" s="63" t="s">
        <v>10812</v>
      </c>
      <c r="H2459" s="59">
        <v>0</v>
      </c>
    </row>
    <row r="2460" spans="1:8" ht="112.5" customHeight="1" x14ac:dyDescent="0.15">
      <c r="A2460" s="60">
        <v>3139</v>
      </c>
      <c r="B2460" s="30" t="s">
        <v>3549</v>
      </c>
      <c r="C2460" s="30" t="s">
        <v>10813</v>
      </c>
      <c r="D2460" s="61" t="s">
        <v>10814</v>
      </c>
      <c r="E2460" s="2"/>
      <c r="F2460" s="57"/>
      <c r="G2460" s="64" t="s">
        <v>10815</v>
      </c>
      <c r="H2460" s="59">
        <v>0</v>
      </c>
    </row>
    <row r="2461" spans="1:8" ht="112.5" customHeight="1" x14ac:dyDescent="0.15">
      <c r="A2461" s="54">
        <v>3466</v>
      </c>
      <c r="B2461" s="55" t="s">
        <v>3549</v>
      </c>
      <c r="C2461" s="55" t="s">
        <v>10816</v>
      </c>
      <c r="D2461" s="56" t="s">
        <v>10817</v>
      </c>
      <c r="E2461" s="2"/>
      <c r="F2461" s="57"/>
      <c r="G2461" s="63" t="s">
        <v>10818</v>
      </c>
      <c r="H2461" s="59">
        <v>1</v>
      </c>
    </row>
    <row r="2462" spans="1:8" ht="112.5" customHeight="1" x14ac:dyDescent="0.15">
      <c r="A2462" s="54">
        <v>2532</v>
      </c>
      <c r="B2462" s="55" t="s">
        <v>3549</v>
      </c>
      <c r="C2462" s="55" t="s">
        <v>10819</v>
      </c>
      <c r="D2462" s="56" t="s">
        <v>10820</v>
      </c>
      <c r="E2462" s="2"/>
      <c r="F2462" s="57"/>
      <c r="G2462" s="64" t="s">
        <v>10821</v>
      </c>
      <c r="H2462" s="59">
        <v>1</v>
      </c>
    </row>
    <row r="2463" spans="1:8" ht="112.5" customHeight="1" x14ac:dyDescent="0.15">
      <c r="A2463" s="54">
        <v>3302</v>
      </c>
      <c r="B2463" s="55" t="s">
        <v>3549</v>
      </c>
      <c r="C2463" s="55" t="s">
        <v>10822</v>
      </c>
      <c r="D2463" s="56" t="s">
        <v>10823</v>
      </c>
      <c r="E2463" s="2"/>
      <c r="F2463" s="57"/>
      <c r="G2463" s="63" t="s">
        <v>10824</v>
      </c>
      <c r="H2463" s="59">
        <v>994</v>
      </c>
    </row>
    <row r="2464" spans="1:8" ht="112.5" customHeight="1" x14ac:dyDescent="0.15">
      <c r="A2464" s="54">
        <v>3300</v>
      </c>
      <c r="B2464" s="55" t="s">
        <v>3496</v>
      </c>
      <c r="C2464" s="55" t="s">
        <v>10825</v>
      </c>
      <c r="D2464" s="56" t="s">
        <v>10826</v>
      </c>
      <c r="E2464" s="2"/>
      <c r="F2464" s="57"/>
      <c r="G2464" s="64" t="s">
        <v>10827</v>
      </c>
      <c r="H2464" s="59">
        <v>995</v>
      </c>
    </row>
    <row r="2465" spans="1:8" ht="112.5" customHeight="1" x14ac:dyDescent="0.15">
      <c r="A2465" s="54">
        <v>3258</v>
      </c>
      <c r="B2465" s="55" t="s">
        <v>3502</v>
      </c>
      <c r="C2465" s="55" t="s">
        <v>10828</v>
      </c>
      <c r="D2465" s="56" t="s">
        <v>10829</v>
      </c>
      <c r="E2465" s="2"/>
      <c r="F2465" s="57"/>
      <c r="G2465" s="63" t="s">
        <v>10830</v>
      </c>
      <c r="H2465" s="59">
        <v>998</v>
      </c>
    </row>
    <row r="2466" spans="1:8" ht="112.5" customHeight="1" x14ac:dyDescent="0.15">
      <c r="A2466" s="54">
        <v>3380</v>
      </c>
      <c r="B2466" s="55" t="s">
        <v>3496</v>
      </c>
      <c r="C2466" s="55" t="s">
        <v>10831</v>
      </c>
      <c r="D2466" s="56" t="s">
        <v>10832</v>
      </c>
      <c r="E2466" s="2"/>
      <c r="F2466" s="57"/>
      <c r="G2466" s="64" t="s">
        <v>10833</v>
      </c>
      <c r="H2466" s="59">
        <v>1</v>
      </c>
    </row>
    <row r="2467" spans="1:8" ht="112.5" customHeight="1" x14ac:dyDescent="0.15">
      <c r="A2467" s="60">
        <v>2531</v>
      </c>
      <c r="B2467" s="30" t="s">
        <v>3526</v>
      </c>
      <c r="C2467" s="30" t="s">
        <v>10834</v>
      </c>
      <c r="D2467" s="61" t="s">
        <v>10835</v>
      </c>
      <c r="E2467" s="2"/>
      <c r="F2467" s="57"/>
      <c r="G2467" s="63" t="s">
        <v>10836</v>
      </c>
      <c r="H2467" s="59">
        <v>973</v>
      </c>
    </row>
    <row r="2468" spans="1:8" ht="112.5" customHeight="1" x14ac:dyDescent="0.15">
      <c r="A2468" s="54">
        <v>2530</v>
      </c>
      <c r="B2468" s="55" t="s">
        <v>3670</v>
      </c>
      <c r="C2468" s="55" t="s">
        <v>10837</v>
      </c>
      <c r="D2468" s="56" t="s">
        <v>10838</v>
      </c>
      <c r="E2468" s="2"/>
      <c r="F2468" s="57"/>
      <c r="G2468" s="64" t="s">
        <v>10839</v>
      </c>
      <c r="H2468" s="59">
        <v>1</v>
      </c>
    </row>
    <row r="2469" spans="1:8" ht="112.5" customHeight="1" x14ac:dyDescent="0.15">
      <c r="A2469" s="60">
        <v>2529</v>
      </c>
      <c r="B2469" s="30" t="s">
        <v>3502</v>
      </c>
      <c r="C2469" s="30" t="s">
        <v>10840</v>
      </c>
      <c r="D2469" s="61" t="s">
        <v>10841</v>
      </c>
      <c r="E2469" s="2"/>
      <c r="F2469" s="57"/>
      <c r="G2469" s="63" t="s">
        <v>10842</v>
      </c>
      <c r="H2469" s="59">
        <v>0</v>
      </c>
    </row>
    <row r="2470" spans="1:8" ht="112.5" customHeight="1" x14ac:dyDescent="0.15">
      <c r="A2470" s="54">
        <v>2528</v>
      </c>
      <c r="B2470" s="55" t="s">
        <v>3502</v>
      </c>
      <c r="C2470" s="55" t="s">
        <v>10843</v>
      </c>
      <c r="D2470" s="56" t="s">
        <v>10844</v>
      </c>
      <c r="E2470" s="2"/>
      <c r="F2470" s="57"/>
      <c r="G2470" s="64" t="s">
        <v>10845</v>
      </c>
      <c r="H2470" s="59">
        <v>993</v>
      </c>
    </row>
    <row r="2471" spans="1:8" ht="112.5" customHeight="1" x14ac:dyDescent="0.15">
      <c r="A2471" s="60">
        <v>2527</v>
      </c>
      <c r="B2471" s="30" t="s">
        <v>3502</v>
      </c>
      <c r="C2471" s="30" t="s">
        <v>10846</v>
      </c>
      <c r="D2471" s="61" t="s">
        <v>10847</v>
      </c>
      <c r="E2471" s="2"/>
      <c r="F2471" s="57"/>
      <c r="G2471" s="63" t="s">
        <v>10848</v>
      </c>
      <c r="H2471" s="59">
        <v>966</v>
      </c>
    </row>
    <row r="2472" spans="1:8" ht="112.5" customHeight="1" x14ac:dyDescent="0.15">
      <c r="A2472" s="54">
        <v>2526</v>
      </c>
      <c r="B2472" s="55" t="s">
        <v>3502</v>
      </c>
      <c r="C2472" s="55" t="s">
        <v>10849</v>
      </c>
      <c r="D2472" s="56" t="s">
        <v>10850</v>
      </c>
      <c r="E2472" s="2"/>
      <c r="F2472" s="57"/>
      <c r="G2472" s="64" t="s">
        <v>4478</v>
      </c>
      <c r="H2472" s="59">
        <v>978</v>
      </c>
    </row>
    <row r="2473" spans="1:8" ht="112.5" customHeight="1" x14ac:dyDescent="0.15">
      <c r="A2473" s="60">
        <v>2525</v>
      </c>
      <c r="B2473" s="30" t="s">
        <v>3502</v>
      </c>
      <c r="C2473" s="30" t="s">
        <v>10851</v>
      </c>
      <c r="D2473" s="61" t="s">
        <v>10852</v>
      </c>
      <c r="E2473" s="2"/>
      <c r="F2473" s="57"/>
      <c r="G2473" s="63" t="s">
        <v>10853</v>
      </c>
      <c r="H2473" s="59">
        <v>1</v>
      </c>
    </row>
    <row r="2474" spans="1:8" ht="112.5" customHeight="1" x14ac:dyDescent="0.15">
      <c r="A2474" s="54">
        <v>2524</v>
      </c>
      <c r="B2474" s="55" t="s">
        <v>3502</v>
      </c>
      <c r="C2474" s="55" t="s">
        <v>10854</v>
      </c>
      <c r="D2474" s="56" t="s">
        <v>10855</v>
      </c>
      <c r="E2474" s="2"/>
      <c r="F2474" s="57"/>
      <c r="G2474" s="64" t="s">
        <v>10856</v>
      </c>
      <c r="H2474" s="59">
        <v>992</v>
      </c>
    </row>
    <row r="2475" spans="1:8" ht="112.5" customHeight="1" x14ac:dyDescent="0.15">
      <c r="A2475" s="54">
        <v>2488</v>
      </c>
      <c r="B2475" s="55" t="s">
        <v>3556</v>
      </c>
      <c r="C2475" s="55" t="s">
        <v>10857</v>
      </c>
      <c r="D2475" s="56" t="s">
        <v>10858</v>
      </c>
      <c r="E2475" s="2"/>
      <c r="F2475" s="57"/>
      <c r="G2475" s="63" t="s">
        <v>10859</v>
      </c>
      <c r="H2475" s="59">
        <v>998</v>
      </c>
    </row>
    <row r="2476" spans="1:8" ht="112.5" customHeight="1" x14ac:dyDescent="0.15">
      <c r="A2476" s="60">
        <v>2487</v>
      </c>
      <c r="B2476" s="30" t="s">
        <v>3549</v>
      </c>
      <c r="C2476" s="30" t="s">
        <v>10860</v>
      </c>
      <c r="D2476" s="61" t="s">
        <v>10861</v>
      </c>
      <c r="E2476" s="2"/>
      <c r="F2476" s="57"/>
      <c r="G2476" s="64" t="s">
        <v>10862</v>
      </c>
      <c r="H2476" s="59">
        <v>1</v>
      </c>
    </row>
    <row r="2477" spans="1:8" ht="112.5" customHeight="1" x14ac:dyDescent="0.15">
      <c r="A2477" s="54">
        <v>2486</v>
      </c>
      <c r="B2477" s="55" t="s">
        <v>3509</v>
      </c>
      <c r="C2477" s="55" t="s">
        <v>10863</v>
      </c>
      <c r="D2477" s="56" t="s">
        <v>10864</v>
      </c>
      <c r="E2477" s="2"/>
      <c r="F2477" s="57"/>
      <c r="G2477" s="63" t="s">
        <v>10865</v>
      </c>
      <c r="H2477" s="59">
        <v>1</v>
      </c>
    </row>
    <row r="2478" spans="1:8" ht="112.5" customHeight="1" x14ac:dyDescent="0.15">
      <c r="A2478" s="60">
        <v>2485</v>
      </c>
      <c r="B2478" s="30" t="s">
        <v>3822</v>
      </c>
      <c r="C2478" s="30" t="s">
        <v>10866</v>
      </c>
      <c r="D2478" s="61" t="s">
        <v>10867</v>
      </c>
      <c r="E2478" s="2"/>
      <c r="F2478" s="57"/>
      <c r="G2478" s="64" t="s">
        <v>10868</v>
      </c>
      <c r="H2478" s="59">
        <v>0</v>
      </c>
    </row>
    <row r="2479" spans="1:8" ht="112.5" customHeight="1" x14ac:dyDescent="0.15">
      <c r="A2479" s="60">
        <v>2483</v>
      </c>
      <c r="B2479" s="30" t="s">
        <v>3502</v>
      </c>
      <c r="C2479" s="30" t="s">
        <v>10869</v>
      </c>
      <c r="D2479" s="61" t="s">
        <v>10870</v>
      </c>
      <c r="E2479" s="2"/>
      <c r="F2479" s="57"/>
      <c r="G2479" s="63" t="s">
        <v>10871</v>
      </c>
      <c r="H2479" s="59">
        <v>0</v>
      </c>
    </row>
    <row r="2480" spans="1:8" ht="112.5" customHeight="1" x14ac:dyDescent="0.15">
      <c r="A2480" s="54">
        <v>2482</v>
      </c>
      <c r="B2480" s="55" t="s">
        <v>3814</v>
      </c>
      <c r="C2480" s="55" t="s">
        <v>10872</v>
      </c>
      <c r="D2480" s="56" t="s">
        <v>10873</v>
      </c>
      <c r="E2480" s="2"/>
      <c r="F2480" s="57"/>
      <c r="G2480" s="64" t="s">
        <v>10874</v>
      </c>
      <c r="H2480" s="59">
        <v>995</v>
      </c>
    </row>
    <row r="2481" spans="1:8" ht="112.5" customHeight="1" x14ac:dyDescent="0.15">
      <c r="A2481" s="60">
        <v>2481</v>
      </c>
      <c r="B2481" s="30" t="s">
        <v>3670</v>
      </c>
      <c r="C2481" s="30" t="s">
        <v>10875</v>
      </c>
      <c r="D2481" s="61" t="s">
        <v>10876</v>
      </c>
      <c r="E2481" s="2"/>
      <c r="F2481" s="57"/>
      <c r="G2481" s="63" t="s">
        <v>10877</v>
      </c>
      <c r="H2481" s="59">
        <v>989</v>
      </c>
    </row>
    <row r="2482" spans="1:8" ht="112.5" customHeight="1" x14ac:dyDescent="0.15">
      <c r="A2482" s="54">
        <v>2480</v>
      </c>
      <c r="B2482" s="55" t="s">
        <v>3556</v>
      </c>
      <c r="C2482" s="55" t="s">
        <v>10878</v>
      </c>
      <c r="D2482" s="56" t="s">
        <v>10879</v>
      </c>
      <c r="E2482" s="2"/>
      <c r="F2482" s="57"/>
      <c r="G2482" s="64" t="s">
        <v>10880</v>
      </c>
      <c r="H2482" s="59">
        <v>993</v>
      </c>
    </row>
    <row r="2483" spans="1:8" ht="112.5" customHeight="1" x14ac:dyDescent="0.15">
      <c r="A2483" s="54">
        <v>2518</v>
      </c>
      <c r="B2483" s="55" t="s">
        <v>3670</v>
      </c>
      <c r="C2483" s="55" t="s">
        <v>10881</v>
      </c>
      <c r="D2483" s="56" t="s">
        <v>10882</v>
      </c>
      <c r="E2483" s="2"/>
      <c r="F2483" s="57"/>
      <c r="G2483" s="63" t="s">
        <v>10883</v>
      </c>
      <c r="H2483" s="59">
        <v>1</v>
      </c>
    </row>
    <row r="2484" spans="1:8" ht="112.5" customHeight="1" x14ac:dyDescent="0.15">
      <c r="A2484" s="60">
        <v>2517</v>
      </c>
      <c r="B2484" s="30" t="s">
        <v>3496</v>
      </c>
      <c r="C2484" s="30" t="s">
        <v>10884</v>
      </c>
      <c r="D2484" s="61" t="s">
        <v>10885</v>
      </c>
      <c r="E2484" s="2"/>
      <c r="F2484" s="57"/>
      <c r="G2484" s="64" t="s">
        <v>10886</v>
      </c>
      <c r="H2484" s="59">
        <v>1</v>
      </c>
    </row>
    <row r="2485" spans="1:8" ht="112.5" customHeight="1" x14ac:dyDescent="0.15">
      <c r="A2485" s="54">
        <v>2516</v>
      </c>
      <c r="B2485" s="55" t="s">
        <v>3670</v>
      </c>
      <c r="C2485" s="55" t="s">
        <v>10887</v>
      </c>
      <c r="D2485" s="56" t="s">
        <v>10888</v>
      </c>
      <c r="E2485" s="2"/>
      <c r="F2485" s="57"/>
      <c r="G2485" s="63" t="s">
        <v>10889</v>
      </c>
      <c r="H2485" s="59">
        <v>980</v>
      </c>
    </row>
    <row r="2486" spans="1:8" ht="112.5" customHeight="1" x14ac:dyDescent="0.15">
      <c r="A2486" s="60">
        <v>2515</v>
      </c>
      <c r="B2486" s="30" t="s">
        <v>3549</v>
      </c>
      <c r="C2486" s="30" t="s">
        <v>10890</v>
      </c>
      <c r="D2486" s="61" t="s">
        <v>10891</v>
      </c>
      <c r="E2486" s="2"/>
      <c r="F2486" s="57"/>
      <c r="G2486" s="64" t="s">
        <v>10892</v>
      </c>
      <c r="H2486" s="59">
        <v>941</v>
      </c>
    </row>
    <row r="2487" spans="1:8" ht="112.5" customHeight="1" x14ac:dyDescent="0.15">
      <c r="A2487" s="54">
        <v>2514</v>
      </c>
      <c r="B2487" s="55" t="s">
        <v>3492</v>
      </c>
      <c r="C2487" s="55" t="s">
        <v>10893</v>
      </c>
      <c r="D2487" s="56" t="s">
        <v>10894</v>
      </c>
      <c r="E2487" s="2"/>
      <c r="F2487" s="57"/>
      <c r="G2487" s="63" t="s">
        <v>10895</v>
      </c>
      <c r="H2487" s="59">
        <v>1</v>
      </c>
    </row>
    <row r="2488" spans="1:8" ht="112.5" customHeight="1" x14ac:dyDescent="0.15">
      <c r="A2488" s="60">
        <v>2513</v>
      </c>
      <c r="B2488" s="30" t="s">
        <v>3876</v>
      </c>
      <c r="C2488" s="30" t="s">
        <v>10896</v>
      </c>
      <c r="D2488" s="61" t="s">
        <v>10897</v>
      </c>
      <c r="E2488" s="2"/>
      <c r="F2488" s="57"/>
      <c r="G2488" s="64" t="s">
        <v>4475</v>
      </c>
      <c r="H2488" s="59">
        <v>92</v>
      </c>
    </row>
    <row r="2489" spans="1:8" ht="112.5" customHeight="1" x14ac:dyDescent="0.15">
      <c r="A2489" s="54">
        <v>2512</v>
      </c>
      <c r="B2489" s="55" t="s">
        <v>3549</v>
      </c>
      <c r="C2489" s="55" t="s">
        <v>10898</v>
      </c>
      <c r="D2489" s="56" t="s">
        <v>10899</v>
      </c>
      <c r="E2489" s="2"/>
      <c r="F2489" s="57"/>
      <c r="G2489" s="63" t="s">
        <v>4472</v>
      </c>
      <c r="H2489" s="59">
        <v>998</v>
      </c>
    </row>
    <row r="2490" spans="1:8" ht="112.5" customHeight="1" x14ac:dyDescent="0.15">
      <c r="A2490" s="60">
        <v>2511</v>
      </c>
      <c r="B2490" s="30" t="s">
        <v>3513</v>
      </c>
      <c r="C2490" s="30" t="s">
        <v>10900</v>
      </c>
      <c r="D2490" s="61" t="s">
        <v>10901</v>
      </c>
      <c r="E2490" s="2"/>
      <c r="F2490" s="57"/>
      <c r="G2490" s="64" t="s">
        <v>10902</v>
      </c>
      <c r="H2490" s="59">
        <v>1</v>
      </c>
    </row>
    <row r="2491" spans="1:8" ht="112.5" customHeight="1" x14ac:dyDescent="0.15">
      <c r="A2491" s="54">
        <v>2510</v>
      </c>
      <c r="B2491" s="55" t="s">
        <v>3496</v>
      </c>
      <c r="C2491" s="55" t="s">
        <v>10903</v>
      </c>
      <c r="D2491" s="56" t="s">
        <v>10904</v>
      </c>
      <c r="E2491" s="2"/>
      <c r="F2491" s="57"/>
      <c r="G2491" s="63" t="s">
        <v>10905</v>
      </c>
      <c r="H2491" s="59">
        <v>1</v>
      </c>
    </row>
    <row r="2492" spans="1:8" ht="112.5" customHeight="1" x14ac:dyDescent="0.15">
      <c r="A2492" s="60">
        <v>2509</v>
      </c>
      <c r="B2492" s="30" t="s">
        <v>3749</v>
      </c>
      <c r="C2492" s="30" t="s">
        <v>10906</v>
      </c>
      <c r="D2492" s="61" t="s">
        <v>10907</v>
      </c>
      <c r="E2492" s="2"/>
      <c r="F2492" s="57"/>
      <c r="G2492" s="64" t="s">
        <v>4469</v>
      </c>
      <c r="H2492" s="59">
        <v>1</v>
      </c>
    </row>
    <row r="2493" spans="1:8" ht="112.5" customHeight="1" x14ac:dyDescent="0.15">
      <c r="A2493" s="54">
        <v>454</v>
      </c>
      <c r="B2493" s="55" t="s">
        <v>3502</v>
      </c>
      <c r="C2493" s="55" t="s">
        <v>10908</v>
      </c>
      <c r="D2493" s="56" t="s">
        <v>10909</v>
      </c>
      <c r="E2493" s="2"/>
      <c r="F2493" s="57"/>
      <c r="G2493" s="63" t="s">
        <v>10910</v>
      </c>
      <c r="H2493" s="59">
        <v>965</v>
      </c>
    </row>
    <row r="2494" spans="1:8" ht="112.5" customHeight="1" x14ac:dyDescent="0.15">
      <c r="A2494" s="54">
        <v>2508</v>
      </c>
      <c r="B2494" s="55" t="s">
        <v>3749</v>
      </c>
      <c r="C2494" s="55" t="s">
        <v>10911</v>
      </c>
      <c r="D2494" s="56" t="s">
        <v>10912</v>
      </c>
      <c r="E2494" s="2"/>
      <c r="F2494" s="57"/>
      <c r="G2494" s="64" t="s">
        <v>10913</v>
      </c>
      <c r="H2494" s="59">
        <v>0</v>
      </c>
    </row>
    <row r="2495" spans="1:8" ht="112.5" customHeight="1" x14ac:dyDescent="0.15">
      <c r="A2495" s="60">
        <v>2507</v>
      </c>
      <c r="B2495" s="30" t="s">
        <v>3749</v>
      </c>
      <c r="C2495" s="30" t="s">
        <v>10914</v>
      </c>
      <c r="D2495" s="61" t="s">
        <v>10915</v>
      </c>
      <c r="E2495" s="2"/>
      <c r="F2495" s="57"/>
      <c r="G2495" s="63" t="s">
        <v>10916</v>
      </c>
      <c r="H2495" s="59">
        <v>0</v>
      </c>
    </row>
    <row r="2496" spans="1:8" ht="112.5" customHeight="1" x14ac:dyDescent="0.15">
      <c r="A2496" s="54">
        <v>2506</v>
      </c>
      <c r="B2496" s="55" t="s">
        <v>3749</v>
      </c>
      <c r="C2496" s="55" t="s">
        <v>10917</v>
      </c>
      <c r="D2496" s="56" t="s">
        <v>10918</v>
      </c>
      <c r="E2496" s="2"/>
      <c r="F2496" s="57"/>
      <c r="G2496" s="64" t="s">
        <v>10919</v>
      </c>
      <c r="H2496" s="59">
        <v>0</v>
      </c>
    </row>
    <row r="2497" spans="1:8" ht="112.5" customHeight="1" x14ac:dyDescent="0.15">
      <c r="A2497" s="54">
        <v>2602</v>
      </c>
      <c r="B2497" s="55" t="s">
        <v>3749</v>
      </c>
      <c r="C2497" s="55" t="s">
        <v>10920</v>
      </c>
      <c r="D2497" s="56" t="s">
        <v>10921</v>
      </c>
      <c r="E2497" s="2"/>
      <c r="F2497" s="57"/>
      <c r="G2497" s="63" t="s">
        <v>10922</v>
      </c>
      <c r="H2497" s="59">
        <v>955</v>
      </c>
    </row>
    <row r="2498" spans="1:8" ht="112.5" customHeight="1" x14ac:dyDescent="0.15">
      <c r="A2498" s="60">
        <v>3357</v>
      </c>
      <c r="B2498" s="30" t="s">
        <v>3749</v>
      </c>
      <c r="C2498" s="30" t="s">
        <v>10923</v>
      </c>
      <c r="D2498" s="61" t="s">
        <v>10924</v>
      </c>
      <c r="E2498" s="2"/>
      <c r="F2498" s="57"/>
      <c r="G2498" s="64" t="s">
        <v>10925</v>
      </c>
      <c r="H2498" s="59">
        <v>906</v>
      </c>
    </row>
    <row r="2499" spans="1:8" ht="112.5" customHeight="1" x14ac:dyDescent="0.15">
      <c r="A2499" s="60">
        <v>2601</v>
      </c>
      <c r="B2499" s="30" t="s">
        <v>3749</v>
      </c>
      <c r="C2499" s="30" t="s">
        <v>10926</v>
      </c>
      <c r="D2499" s="61" t="s">
        <v>10927</v>
      </c>
      <c r="E2499" s="2"/>
      <c r="F2499" s="57"/>
      <c r="G2499" s="63" t="s">
        <v>4466</v>
      </c>
      <c r="H2499" s="59">
        <v>993</v>
      </c>
    </row>
    <row r="2500" spans="1:8" ht="112.5" customHeight="1" x14ac:dyDescent="0.15">
      <c r="A2500" s="54">
        <v>2600</v>
      </c>
      <c r="B2500" s="55" t="s">
        <v>3749</v>
      </c>
      <c r="C2500" s="55" t="s">
        <v>10928</v>
      </c>
      <c r="D2500" s="56" t="s">
        <v>10929</v>
      </c>
      <c r="E2500" s="2"/>
      <c r="F2500" s="57"/>
      <c r="G2500" s="64" t="s">
        <v>10930</v>
      </c>
      <c r="H2500" s="59">
        <v>1</v>
      </c>
    </row>
    <row r="2501" spans="1:8" ht="112.5" customHeight="1" x14ac:dyDescent="0.15">
      <c r="A2501" s="60">
        <v>2599</v>
      </c>
      <c r="B2501" s="30" t="s">
        <v>3749</v>
      </c>
      <c r="C2501" s="30" t="s">
        <v>10931</v>
      </c>
      <c r="D2501" s="61" t="s">
        <v>10932</v>
      </c>
      <c r="E2501" s="2"/>
      <c r="F2501" s="57"/>
      <c r="G2501" s="63" t="s">
        <v>10933</v>
      </c>
      <c r="H2501" s="59">
        <v>934</v>
      </c>
    </row>
    <row r="2502" spans="1:8" ht="112.5" customHeight="1" x14ac:dyDescent="0.15">
      <c r="A2502" s="54">
        <v>2598</v>
      </c>
      <c r="B2502" s="55" t="s">
        <v>3822</v>
      </c>
      <c r="C2502" s="55" t="s">
        <v>10934</v>
      </c>
      <c r="D2502" s="56" t="s">
        <v>10935</v>
      </c>
      <c r="E2502" s="2"/>
      <c r="F2502" s="57"/>
      <c r="G2502" s="64" t="s">
        <v>10936</v>
      </c>
      <c r="H2502" s="59">
        <v>857</v>
      </c>
    </row>
    <row r="2503" spans="1:8" ht="112.5" customHeight="1" x14ac:dyDescent="0.15">
      <c r="A2503" s="60">
        <v>2597</v>
      </c>
      <c r="B2503" s="30" t="s">
        <v>3533</v>
      </c>
      <c r="C2503" s="30" t="s">
        <v>10937</v>
      </c>
      <c r="D2503" s="61" t="s">
        <v>10938</v>
      </c>
      <c r="E2503" s="2"/>
      <c r="F2503" s="57"/>
      <c r="G2503" s="63" t="s">
        <v>10939</v>
      </c>
      <c r="H2503" s="59">
        <v>880</v>
      </c>
    </row>
    <row r="2504" spans="1:8" ht="112.5" customHeight="1" x14ac:dyDescent="0.15">
      <c r="A2504" s="60">
        <v>2595</v>
      </c>
      <c r="B2504" s="30" t="s">
        <v>3549</v>
      </c>
      <c r="C2504" s="30" t="s">
        <v>10940</v>
      </c>
      <c r="D2504" s="61" t="s">
        <v>10941</v>
      </c>
      <c r="E2504" s="2"/>
      <c r="F2504" s="57"/>
      <c r="G2504" s="64" t="s">
        <v>10942</v>
      </c>
      <c r="H2504" s="59">
        <v>731</v>
      </c>
    </row>
    <row r="2505" spans="1:8" ht="112.5" customHeight="1" x14ac:dyDescent="0.15">
      <c r="A2505" s="54">
        <v>2594</v>
      </c>
      <c r="B2505" s="55" t="s">
        <v>3670</v>
      </c>
      <c r="C2505" s="55" t="s">
        <v>10943</v>
      </c>
      <c r="D2505" s="56" t="s">
        <v>10944</v>
      </c>
      <c r="E2505" s="2"/>
      <c r="F2505" s="57"/>
      <c r="G2505" s="63" t="s">
        <v>10945</v>
      </c>
      <c r="H2505" s="59">
        <v>9.9570000000000007</v>
      </c>
    </row>
    <row r="2506" spans="1:8" ht="112.5" customHeight="1" x14ac:dyDescent="0.15">
      <c r="A2506" s="60">
        <v>2593</v>
      </c>
      <c r="B2506" s="30" t="s">
        <v>3670</v>
      </c>
      <c r="C2506" s="30" t="s">
        <v>10946</v>
      </c>
      <c r="D2506" s="61" t="s">
        <v>10947</v>
      </c>
      <c r="E2506" s="2"/>
      <c r="F2506" s="57"/>
      <c r="G2506" s="64" t="s">
        <v>10948</v>
      </c>
      <c r="H2506" s="59">
        <v>1</v>
      </c>
    </row>
    <row r="2507" spans="1:8" ht="112.5" customHeight="1" x14ac:dyDescent="0.15">
      <c r="A2507" s="54">
        <v>2592</v>
      </c>
      <c r="B2507" s="55" t="s">
        <v>3814</v>
      </c>
      <c r="C2507" s="55" t="s">
        <v>10949</v>
      </c>
      <c r="D2507" s="56" t="s">
        <v>10950</v>
      </c>
      <c r="E2507" s="2"/>
      <c r="F2507" s="57"/>
      <c r="G2507" s="63" t="s">
        <v>10951</v>
      </c>
      <c r="H2507" s="59">
        <v>1</v>
      </c>
    </row>
    <row r="2508" spans="1:8" ht="112.5" customHeight="1" x14ac:dyDescent="0.15">
      <c r="A2508" s="60">
        <v>2505</v>
      </c>
      <c r="B2508" s="30" t="s">
        <v>3496</v>
      </c>
      <c r="C2508" s="30" t="s">
        <v>10952</v>
      </c>
      <c r="D2508" s="61" t="s">
        <v>10953</v>
      </c>
      <c r="E2508" s="2"/>
      <c r="F2508" s="57"/>
      <c r="G2508" s="64" t="s">
        <v>10954</v>
      </c>
      <c r="H2508" s="59">
        <v>0</v>
      </c>
    </row>
    <row r="2509" spans="1:8" ht="112.5" customHeight="1" x14ac:dyDescent="0.15">
      <c r="A2509" s="60">
        <v>2591</v>
      </c>
      <c r="B2509" s="30" t="s">
        <v>3876</v>
      </c>
      <c r="C2509" s="30" t="s">
        <v>10955</v>
      </c>
      <c r="D2509" s="61" t="s">
        <v>10956</v>
      </c>
      <c r="E2509" s="2"/>
      <c r="F2509" s="57"/>
      <c r="G2509" s="63" t="s">
        <v>10957</v>
      </c>
      <c r="H2509" s="59">
        <v>1</v>
      </c>
    </row>
    <row r="2510" spans="1:8" ht="112.5" customHeight="1" x14ac:dyDescent="0.15">
      <c r="A2510" s="54">
        <v>2590</v>
      </c>
      <c r="B2510" s="55" t="s">
        <v>3670</v>
      </c>
      <c r="C2510" s="55" t="s">
        <v>10958</v>
      </c>
      <c r="D2510" s="56" t="s">
        <v>10959</v>
      </c>
      <c r="E2510" s="2"/>
      <c r="F2510" s="57"/>
      <c r="G2510" s="64" t="s">
        <v>10960</v>
      </c>
      <c r="H2510" s="59">
        <v>0</v>
      </c>
    </row>
    <row r="2511" spans="1:8" ht="112.5" customHeight="1" x14ac:dyDescent="0.15">
      <c r="A2511" s="60">
        <v>2589</v>
      </c>
      <c r="B2511" s="30" t="s">
        <v>3513</v>
      </c>
      <c r="C2511" s="30" t="s">
        <v>10961</v>
      </c>
      <c r="D2511" s="61" t="s">
        <v>10962</v>
      </c>
      <c r="E2511" s="2"/>
      <c r="F2511" s="57"/>
      <c r="G2511" s="63" t="s">
        <v>10963</v>
      </c>
      <c r="H2511" s="59">
        <v>998</v>
      </c>
    </row>
    <row r="2512" spans="1:8" ht="112.5" customHeight="1" x14ac:dyDescent="0.15">
      <c r="A2512" s="54">
        <v>2588</v>
      </c>
      <c r="B2512" s="55" t="s">
        <v>3599</v>
      </c>
      <c r="C2512" s="55" t="s">
        <v>10964</v>
      </c>
      <c r="D2512" s="56" t="s">
        <v>10965</v>
      </c>
      <c r="E2512" s="2"/>
      <c r="F2512" s="57"/>
      <c r="G2512" s="64" t="s">
        <v>10966</v>
      </c>
      <c r="H2512" s="59">
        <v>0</v>
      </c>
    </row>
    <row r="2513" spans="1:13" ht="112.5" customHeight="1" x14ac:dyDescent="0.15">
      <c r="A2513" s="60">
        <v>2587</v>
      </c>
      <c r="B2513" s="30" t="s">
        <v>3533</v>
      </c>
      <c r="C2513" s="30" t="s">
        <v>10967</v>
      </c>
      <c r="D2513" s="61" t="s">
        <v>10968</v>
      </c>
      <c r="E2513" s="2"/>
      <c r="F2513" s="57"/>
      <c r="G2513" s="63" t="s">
        <v>10969</v>
      </c>
      <c r="H2513" s="59">
        <v>0</v>
      </c>
    </row>
    <row r="2514" spans="1:13" ht="112.5" customHeight="1" x14ac:dyDescent="0.15">
      <c r="A2514" s="54">
        <v>3582</v>
      </c>
      <c r="B2514" s="55" t="s">
        <v>3556</v>
      </c>
      <c r="C2514" s="55" t="s">
        <v>10970</v>
      </c>
      <c r="D2514" s="56" t="s">
        <v>10971</v>
      </c>
      <c r="E2514" s="2"/>
      <c r="F2514" s="57"/>
      <c r="G2514" s="64" t="s">
        <v>10972</v>
      </c>
      <c r="H2514" s="59">
        <v>998</v>
      </c>
    </row>
    <row r="2515" spans="1:13" ht="112.5" customHeight="1" x14ac:dyDescent="0.15">
      <c r="A2515" s="54">
        <v>2586</v>
      </c>
      <c r="B2515" s="55" t="s">
        <v>3549</v>
      </c>
      <c r="C2515" s="55" t="s">
        <v>10973</v>
      </c>
      <c r="D2515" s="56" t="s">
        <v>10974</v>
      </c>
      <c r="E2515" s="2"/>
      <c r="F2515" s="57"/>
      <c r="G2515" s="63" t="s">
        <v>10975</v>
      </c>
      <c r="H2515" s="59">
        <v>1</v>
      </c>
    </row>
    <row r="2516" spans="1:13" ht="112.5" customHeight="1" x14ac:dyDescent="0.15">
      <c r="A2516" s="60">
        <v>2585</v>
      </c>
      <c r="B2516" s="30" t="s">
        <v>3549</v>
      </c>
      <c r="C2516" s="30" t="s">
        <v>10976</v>
      </c>
      <c r="D2516" s="61" t="s">
        <v>10977</v>
      </c>
      <c r="E2516" s="2"/>
      <c r="F2516" s="57"/>
      <c r="G2516" s="64" t="s">
        <v>10978</v>
      </c>
      <c r="H2516" s="59">
        <v>1</v>
      </c>
    </row>
    <row r="2517" spans="1:13" ht="112.5" customHeight="1" x14ac:dyDescent="0.15">
      <c r="A2517" s="54">
        <v>2584</v>
      </c>
      <c r="B2517" s="55" t="s">
        <v>3876</v>
      </c>
      <c r="C2517" s="55" t="s">
        <v>10979</v>
      </c>
      <c r="D2517" s="56" t="s">
        <v>10980</v>
      </c>
      <c r="E2517" s="2"/>
      <c r="F2517" s="57"/>
      <c r="G2517" s="63" t="s">
        <v>10981</v>
      </c>
      <c r="H2517" s="59">
        <v>1</v>
      </c>
    </row>
    <row r="2518" spans="1:13" ht="112.5" customHeight="1" x14ac:dyDescent="0.15">
      <c r="A2518" s="60">
        <v>2583</v>
      </c>
      <c r="B2518" s="30" t="s">
        <v>3670</v>
      </c>
      <c r="C2518" s="30" t="s">
        <v>10982</v>
      </c>
      <c r="D2518" s="61" t="s">
        <v>10983</v>
      </c>
      <c r="E2518" s="2"/>
      <c r="F2518" s="57"/>
      <c r="G2518" s="64" t="s">
        <v>10984</v>
      </c>
      <c r="H2518" s="59">
        <v>1</v>
      </c>
    </row>
    <row r="2519" spans="1:13" ht="112.5" customHeight="1" x14ac:dyDescent="0.15">
      <c r="A2519" s="54">
        <v>2582</v>
      </c>
      <c r="B2519" s="55" t="s">
        <v>3876</v>
      </c>
      <c r="C2519" s="55" t="s">
        <v>10985</v>
      </c>
      <c r="D2519" s="56" t="s">
        <v>10986</v>
      </c>
      <c r="E2519" s="2"/>
      <c r="F2519" s="57"/>
      <c r="G2519" s="63" t="s">
        <v>10987</v>
      </c>
      <c r="H2519" s="59">
        <v>993</v>
      </c>
    </row>
    <row r="2520" spans="1:13" ht="112.5" customHeight="1" x14ac:dyDescent="0.15">
      <c r="A2520" s="60">
        <v>2581</v>
      </c>
      <c r="B2520" s="30" t="s">
        <v>3513</v>
      </c>
      <c r="C2520" s="30" t="s">
        <v>10988</v>
      </c>
      <c r="D2520" s="61" t="s">
        <v>10989</v>
      </c>
      <c r="E2520" s="2"/>
      <c r="F2520" s="57"/>
      <c r="G2520" s="64" t="s">
        <v>10990</v>
      </c>
      <c r="H2520" s="59">
        <v>1</v>
      </c>
    </row>
    <row r="2521" spans="1:13" ht="112.5" customHeight="1" x14ac:dyDescent="0.15">
      <c r="A2521" s="54">
        <v>2596</v>
      </c>
      <c r="B2521" s="55" t="s">
        <v>3492</v>
      </c>
      <c r="C2521" s="55" t="s">
        <v>10991</v>
      </c>
      <c r="D2521" s="56" t="s">
        <v>10992</v>
      </c>
      <c r="E2521" s="2"/>
      <c r="F2521" s="57"/>
      <c r="G2521" s="63" t="s">
        <v>10993</v>
      </c>
      <c r="H2521" s="59">
        <v>1</v>
      </c>
    </row>
    <row r="2522" spans="1:13" ht="112.5" customHeight="1" x14ac:dyDescent="0.15">
      <c r="A2522" s="54">
        <v>2580</v>
      </c>
      <c r="B2522" s="55" t="s">
        <v>3599</v>
      </c>
      <c r="C2522" s="55" t="s">
        <v>10994</v>
      </c>
      <c r="D2522" s="56" t="s">
        <v>10995</v>
      </c>
      <c r="E2522" s="2"/>
      <c r="F2522" s="57"/>
      <c r="G2522" s="64" t="s">
        <v>10996</v>
      </c>
      <c r="H2522" s="59">
        <v>0</v>
      </c>
    </row>
    <row r="2523" spans="1:13" ht="112.5" customHeight="1" x14ac:dyDescent="0.15">
      <c r="A2523" s="60">
        <v>2579</v>
      </c>
      <c r="B2523" s="30" t="s">
        <v>3749</v>
      </c>
      <c r="C2523" s="30" t="s">
        <v>10997</v>
      </c>
      <c r="D2523" s="61" t="s">
        <v>10998</v>
      </c>
      <c r="E2523" s="2"/>
      <c r="F2523" s="57"/>
      <c r="G2523" s="62" t="s">
        <v>10999</v>
      </c>
      <c r="H2523" s="59">
        <v>0</v>
      </c>
      <c r="I2523" s="29"/>
      <c r="J2523" s="29"/>
      <c r="K2523" s="29"/>
      <c r="L2523" s="29"/>
      <c r="M2523" s="29"/>
    </row>
    <row r="2524" spans="1:13" ht="112.5" customHeight="1" x14ac:dyDescent="0.15">
      <c r="A2524" s="54">
        <v>2578</v>
      </c>
      <c r="B2524" s="55" t="s">
        <v>3749</v>
      </c>
      <c r="C2524" s="55" t="s">
        <v>11000</v>
      </c>
      <c r="D2524" s="56" t="s">
        <v>11001</v>
      </c>
      <c r="E2524" s="2"/>
      <c r="F2524" s="57"/>
      <c r="G2524" s="58" t="s">
        <v>11002</v>
      </c>
      <c r="H2524" s="59">
        <v>0</v>
      </c>
      <c r="I2524" s="29"/>
      <c r="J2524" s="29"/>
      <c r="K2524" s="29"/>
      <c r="L2524" s="29"/>
      <c r="M2524" s="29"/>
    </row>
    <row r="2525" spans="1:13" ht="112.5" customHeight="1" x14ac:dyDescent="0.15">
      <c r="A2525" s="60">
        <v>2577</v>
      </c>
      <c r="B2525" s="30" t="s">
        <v>3749</v>
      </c>
      <c r="C2525" s="30" t="s">
        <v>11003</v>
      </c>
      <c r="D2525" s="61" t="s">
        <v>11004</v>
      </c>
      <c r="E2525" s="2"/>
      <c r="F2525" s="57"/>
      <c r="G2525" s="63" t="s">
        <v>11005</v>
      </c>
      <c r="H2525" s="59">
        <v>0</v>
      </c>
    </row>
    <row r="2526" spans="1:13" ht="112.5" customHeight="1" x14ac:dyDescent="0.15">
      <c r="A2526" s="54">
        <v>2576</v>
      </c>
      <c r="B2526" s="55" t="s">
        <v>3599</v>
      </c>
      <c r="C2526" s="55" t="s">
        <v>11006</v>
      </c>
      <c r="D2526" s="56" t="s">
        <v>11007</v>
      </c>
      <c r="E2526" s="2"/>
      <c r="F2526" s="57"/>
      <c r="G2526" s="64" t="s">
        <v>11008</v>
      </c>
      <c r="H2526" s="59">
        <v>10</v>
      </c>
    </row>
    <row r="2527" spans="1:13" ht="112.5" customHeight="1" x14ac:dyDescent="0.15">
      <c r="A2527" s="60">
        <v>2575</v>
      </c>
      <c r="B2527" s="30" t="s">
        <v>3749</v>
      </c>
      <c r="C2527" s="30" t="s">
        <v>11009</v>
      </c>
      <c r="D2527" s="61" t="s">
        <v>11010</v>
      </c>
      <c r="E2527" s="2"/>
      <c r="F2527" s="57"/>
      <c r="G2527" s="63" t="s">
        <v>11011</v>
      </c>
      <c r="H2527" s="59">
        <v>9.86</v>
      </c>
    </row>
    <row r="2528" spans="1:13" ht="112.5" customHeight="1" x14ac:dyDescent="0.15">
      <c r="A2528" s="54">
        <v>2574</v>
      </c>
      <c r="B2528" s="55" t="s">
        <v>3749</v>
      </c>
      <c r="C2528" s="55" t="s">
        <v>11012</v>
      </c>
      <c r="D2528" s="56" t="s">
        <v>11013</v>
      </c>
      <c r="E2528" s="2"/>
      <c r="F2528" s="57"/>
      <c r="G2528" s="64" t="s">
        <v>11014</v>
      </c>
      <c r="H2528" s="59">
        <v>10</v>
      </c>
    </row>
    <row r="2529" spans="1:8" ht="112.5" customHeight="1" x14ac:dyDescent="0.15">
      <c r="A2529" s="60">
        <v>2573</v>
      </c>
      <c r="B2529" s="30" t="s">
        <v>3749</v>
      </c>
      <c r="C2529" s="30" t="s">
        <v>11015</v>
      </c>
      <c r="D2529" s="61" t="s">
        <v>11016</v>
      </c>
      <c r="E2529" s="2"/>
      <c r="F2529" s="57"/>
      <c r="G2529" s="63" t="s">
        <v>11017</v>
      </c>
      <c r="H2529" s="59">
        <v>10</v>
      </c>
    </row>
    <row r="2530" spans="1:8" ht="112.5" customHeight="1" x14ac:dyDescent="0.15">
      <c r="A2530" s="54">
        <v>2572</v>
      </c>
      <c r="B2530" s="55" t="s">
        <v>3749</v>
      </c>
      <c r="C2530" s="55" t="s">
        <v>11018</v>
      </c>
      <c r="D2530" s="56" t="s">
        <v>11019</v>
      </c>
      <c r="E2530" s="2"/>
      <c r="F2530" s="57"/>
      <c r="G2530" s="64" t="s">
        <v>11020</v>
      </c>
      <c r="H2530" s="59">
        <v>0</v>
      </c>
    </row>
    <row r="2531" spans="1:8" ht="112.5" customHeight="1" x14ac:dyDescent="0.15">
      <c r="A2531" s="54">
        <v>3306</v>
      </c>
      <c r="B2531" s="55" t="s">
        <v>3496</v>
      </c>
      <c r="C2531" s="55" t="s">
        <v>11021</v>
      </c>
      <c r="D2531" s="56" t="s">
        <v>11022</v>
      </c>
      <c r="E2531" s="2"/>
      <c r="F2531" s="57"/>
      <c r="G2531" s="63" t="s">
        <v>11023</v>
      </c>
      <c r="H2531" s="59">
        <v>9.9749999999999996</v>
      </c>
    </row>
    <row r="2532" spans="1:8" ht="112.5" customHeight="1" x14ac:dyDescent="0.15">
      <c r="A2532" s="60">
        <v>2571</v>
      </c>
      <c r="B2532" s="30" t="s">
        <v>3749</v>
      </c>
      <c r="C2532" s="30" t="s">
        <v>11024</v>
      </c>
      <c r="D2532" s="61" t="s">
        <v>11025</v>
      </c>
      <c r="E2532" s="2"/>
      <c r="F2532" s="57"/>
      <c r="G2532" s="64" t="s">
        <v>11026</v>
      </c>
      <c r="H2532" s="59">
        <v>10</v>
      </c>
    </row>
    <row r="2533" spans="1:8" ht="112.5" customHeight="1" x14ac:dyDescent="0.15">
      <c r="A2533" s="60">
        <v>3113</v>
      </c>
      <c r="B2533" s="30" t="s">
        <v>3502</v>
      </c>
      <c r="C2533" s="30" t="s">
        <v>11027</v>
      </c>
      <c r="D2533" s="61" t="s">
        <v>11028</v>
      </c>
      <c r="E2533" s="2"/>
      <c r="F2533" s="57"/>
      <c r="G2533" s="63" t="s">
        <v>11029</v>
      </c>
      <c r="H2533" s="59">
        <v>9.9979999999999993</v>
      </c>
    </row>
    <row r="2534" spans="1:8" ht="112.5" customHeight="1" x14ac:dyDescent="0.15">
      <c r="A2534" s="54">
        <v>2570</v>
      </c>
      <c r="B2534" s="55" t="s">
        <v>3749</v>
      </c>
      <c r="C2534" s="55" t="s">
        <v>11030</v>
      </c>
      <c r="D2534" s="56" t="s">
        <v>11031</v>
      </c>
      <c r="E2534" s="2"/>
      <c r="F2534" s="57"/>
      <c r="G2534" s="64" t="s">
        <v>11032</v>
      </c>
      <c r="H2534" s="59">
        <v>10</v>
      </c>
    </row>
    <row r="2535" spans="1:8" ht="112.5" customHeight="1" x14ac:dyDescent="0.15">
      <c r="A2535" s="54">
        <v>2568</v>
      </c>
      <c r="B2535" s="55" t="s">
        <v>3749</v>
      </c>
      <c r="C2535" s="55" t="s">
        <v>11033</v>
      </c>
      <c r="D2535" s="56" t="s">
        <v>11034</v>
      </c>
      <c r="E2535" s="2"/>
      <c r="F2535" s="57"/>
      <c r="G2535" s="63" t="s">
        <v>11035</v>
      </c>
      <c r="H2535" s="59">
        <v>9.9990000000000006</v>
      </c>
    </row>
    <row r="2536" spans="1:8" ht="112.5" customHeight="1" x14ac:dyDescent="0.15">
      <c r="A2536" s="60">
        <v>2569</v>
      </c>
      <c r="B2536" s="30" t="s">
        <v>3749</v>
      </c>
      <c r="C2536" s="30" t="s">
        <v>11036</v>
      </c>
      <c r="D2536" s="61" t="s">
        <v>11037</v>
      </c>
      <c r="E2536" s="2"/>
      <c r="F2536" s="57"/>
      <c r="G2536" s="64" t="s">
        <v>11038</v>
      </c>
      <c r="H2536" s="59">
        <v>10</v>
      </c>
    </row>
    <row r="2537" spans="1:8" ht="112.5" customHeight="1" x14ac:dyDescent="0.15">
      <c r="A2537" s="60">
        <v>2567</v>
      </c>
      <c r="B2537" s="30" t="s">
        <v>3749</v>
      </c>
      <c r="C2537" s="30" t="s">
        <v>11039</v>
      </c>
      <c r="D2537" s="61" t="s">
        <v>11040</v>
      </c>
      <c r="E2537" s="2"/>
      <c r="F2537" s="57"/>
      <c r="G2537" s="63" t="s">
        <v>11041</v>
      </c>
      <c r="H2537" s="59">
        <v>10</v>
      </c>
    </row>
    <row r="2538" spans="1:8" ht="112.5" customHeight="1" x14ac:dyDescent="0.15">
      <c r="A2538" s="54">
        <v>2566</v>
      </c>
      <c r="B2538" s="55" t="s">
        <v>3749</v>
      </c>
      <c r="C2538" s="55" t="s">
        <v>11042</v>
      </c>
      <c r="D2538" s="56" t="s">
        <v>11043</v>
      </c>
      <c r="E2538" s="2"/>
      <c r="F2538" s="57"/>
      <c r="G2538" s="64" t="s">
        <v>11044</v>
      </c>
      <c r="H2538" s="59">
        <v>10</v>
      </c>
    </row>
    <row r="2539" spans="1:8" ht="112.5" customHeight="1" x14ac:dyDescent="0.15">
      <c r="A2539" s="60">
        <v>2565</v>
      </c>
      <c r="B2539" s="30" t="s">
        <v>3749</v>
      </c>
      <c r="C2539" s="30" t="s">
        <v>11045</v>
      </c>
      <c r="D2539" s="61" t="s">
        <v>11046</v>
      </c>
      <c r="E2539" s="2"/>
      <c r="F2539" s="57"/>
      <c r="G2539" s="63" t="s">
        <v>11047</v>
      </c>
      <c r="H2539" s="59">
        <v>10</v>
      </c>
    </row>
    <row r="2540" spans="1:8" ht="112.5" customHeight="1" x14ac:dyDescent="0.15">
      <c r="A2540" s="54">
        <v>3114</v>
      </c>
      <c r="B2540" s="55" t="s">
        <v>3502</v>
      </c>
      <c r="C2540" s="55" t="s">
        <v>11048</v>
      </c>
      <c r="D2540" s="56" t="s">
        <v>11049</v>
      </c>
      <c r="E2540" s="2"/>
      <c r="F2540" s="57"/>
      <c r="G2540" s="64" t="s">
        <v>11050</v>
      </c>
      <c r="H2540" s="59">
        <v>9.9960000000000004</v>
      </c>
    </row>
    <row r="2541" spans="1:8" ht="112.5" customHeight="1" x14ac:dyDescent="0.15">
      <c r="A2541" s="54">
        <v>2564</v>
      </c>
      <c r="B2541" s="55" t="s">
        <v>3749</v>
      </c>
      <c r="C2541" s="55" t="s">
        <v>11051</v>
      </c>
      <c r="D2541" s="56" t="s">
        <v>11052</v>
      </c>
      <c r="E2541" s="2"/>
      <c r="F2541" s="57"/>
      <c r="G2541" s="63" t="s">
        <v>11053</v>
      </c>
      <c r="H2541" s="59">
        <v>0</v>
      </c>
    </row>
    <row r="2542" spans="1:8" ht="112.5" customHeight="1" x14ac:dyDescent="0.15">
      <c r="A2542" s="60">
        <v>2563</v>
      </c>
      <c r="B2542" s="30" t="s">
        <v>3749</v>
      </c>
      <c r="C2542" s="30" t="s">
        <v>11054</v>
      </c>
      <c r="D2542" s="61" t="s">
        <v>11055</v>
      </c>
      <c r="E2542" s="2"/>
      <c r="F2542" s="57"/>
      <c r="G2542" s="64" t="s">
        <v>11056</v>
      </c>
      <c r="H2542" s="59">
        <v>9.9009999999999998</v>
      </c>
    </row>
    <row r="2543" spans="1:8" ht="112.5" customHeight="1" x14ac:dyDescent="0.15">
      <c r="A2543" s="54">
        <v>2562</v>
      </c>
      <c r="B2543" s="55" t="s">
        <v>3749</v>
      </c>
      <c r="C2543" s="55" t="s">
        <v>11057</v>
      </c>
      <c r="D2543" s="56" t="s">
        <v>11058</v>
      </c>
      <c r="E2543" s="2"/>
      <c r="F2543" s="57"/>
      <c r="G2543" s="63" t="s">
        <v>11059</v>
      </c>
      <c r="H2543" s="59">
        <v>10</v>
      </c>
    </row>
    <row r="2544" spans="1:8" ht="112.5" customHeight="1" x14ac:dyDescent="0.15">
      <c r="A2544" s="60">
        <v>2561</v>
      </c>
      <c r="B2544" s="30" t="s">
        <v>3749</v>
      </c>
      <c r="C2544" s="30" t="s">
        <v>11060</v>
      </c>
      <c r="D2544" s="61" t="s">
        <v>11061</v>
      </c>
      <c r="E2544" s="2"/>
      <c r="F2544" s="57"/>
      <c r="G2544" s="64" t="s">
        <v>11062</v>
      </c>
      <c r="H2544" s="59">
        <v>10</v>
      </c>
    </row>
    <row r="2545" spans="1:8" ht="112.5" customHeight="1" x14ac:dyDescent="0.15">
      <c r="A2545" s="54">
        <v>2560</v>
      </c>
      <c r="B2545" s="55" t="s">
        <v>3749</v>
      </c>
      <c r="C2545" s="55" t="s">
        <v>11063</v>
      </c>
      <c r="D2545" s="56" t="s">
        <v>11064</v>
      </c>
      <c r="E2545" s="2"/>
      <c r="F2545" s="57"/>
      <c r="G2545" s="63" t="s">
        <v>4463</v>
      </c>
      <c r="H2545" s="59">
        <v>9.9979999999999993</v>
      </c>
    </row>
    <row r="2546" spans="1:8" ht="112.5" customHeight="1" x14ac:dyDescent="0.15">
      <c r="A2546" s="54">
        <v>3398</v>
      </c>
      <c r="B2546" s="55" t="s">
        <v>3502</v>
      </c>
      <c r="C2546" s="55" t="s">
        <v>11065</v>
      </c>
      <c r="D2546" s="56" t="s">
        <v>11066</v>
      </c>
      <c r="E2546" s="2"/>
      <c r="F2546" s="57"/>
      <c r="G2546" s="64" t="s">
        <v>4460</v>
      </c>
      <c r="H2546" s="59">
        <v>0</v>
      </c>
    </row>
    <row r="2547" spans="1:8" ht="112.5" customHeight="1" x14ac:dyDescent="0.15">
      <c r="A2547" s="60">
        <v>2559</v>
      </c>
      <c r="B2547" s="30" t="s">
        <v>3749</v>
      </c>
      <c r="C2547" s="30" t="s">
        <v>11067</v>
      </c>
      <c r="D2547" s="61" t="s">
        <v>11068</v>
      </c>
      <c r="E2547" s="2"/>
      <c r="F2547" s="57"/>
      <c r="G2547" s="63" t="s">
        <v>11069</v>
      </c>
      <c r="H2547" s="59">
        <v>10</v>
      </c>
    </row>
    <row r="2548" spans="1:8" ht="112.5" customHeight="1" x14ac:dyDescent="0.15">
      <c r="A2548" s="60">
        <v>3289</v>
      </c>
      <c r="B2548" s="30" t="s">
        <v>3502</v>
      </c>
      <c r="C2548" s="30" t="s">
        <v>11070</v>
      </c>
      <c r="D2548" s="61" t="s">
        <v>11071</v>
      </c>
      <c r="E2548" s="2"/>
      <c r="F2548" s="57"/>
      <c r="G2548" s="64" t="s">
        <v>11072</v>
      </c>
      <c r="H2548" s="59">
        <v>9.9920000000000009</v>
      </c>
    </row>
    <row r="2549" spans="1:8" ht="112.5" customHeight="1" x14ac:dyDescent="0.15">
      <c r="A2549" s="54">
        <v>3312</v>
      </c>
      <c r="B2549" s="55" t="s">
        <v>3496</v>
      </c>
      <c r="C2549" s="55" t="s">
        <v>11073</v>
      </c>
      <c r="D2549" s="56" t="s">
        <v>11074</v>
      </c>
      <c r="E2549" s="2"/>
      <c r="F2549" s="57"/>
      <c r="G2549" s="63" t="s">
        <v>11075</v>
      </c>
      <c r="H2549" s="59">
        <v>10</v>
      </c>
    </row>
    <row r="2550" spans="1:8" ht="112.5" customHeight="1" x14ac:dyDescent="0.15">
      <c r="A2550" s="54">
        <v>2558</v>
      </c>
      <c r="B2550" s="55" t="s">
        <v>3749</v>
      </c>
      <c r="C2550" s="55" t="s">
        <v>11076</v>
      </c>
      <c r="D2550" s="56" t="s">
        <v>11077</v>
      </c>
      <c r="E2550" s="2"/>
      <c r="F2550" s="57"/>
      <c r="G2550" s="64" t="s">
        <v>11078</v>
      </c>
      <c r="H2550" s="59">
        <v>10</v>
      </c>
    </row>
    <row r="2551" spans="1:8" ht="112.5" customHeight="1" x14ac:dyDescent="0.15">
      <c r="A2551" s="60">
        <v>2557</v>
      </c>
      <c r="B2551" s="30" t="s">
        <v>3749</v>
      </c>
      <c r="C2551" s="30" t="s">
        <v>11079</v>
      </c>
      <c r="D2551" s="61" t="s">
        <v>11080</v>
      </c>
      <c r="E2551" s="2"/>
      <c r="F2551" s="57"/>
      <c r="G2551" s="63" t="s">
        <v>11081</v>
      </c>
      <c r="H2551" s="59">
        <v>9.9949999999999992</v>
      </c>
    </row>
    <row r="2552" spans="1:8" ht="112.5" customHeight="1" x14ac:dyDescent="0.15">
      <c r="A2552" s="54">
        <v>2556</v>
      </c>
      <c r="B2552" s="55" t="s">
        <v>3749</v>
      </c>
      <c r="C2552" s="55" t="s">
        <v>11082</v>
      </c>
      <c r="D2552" s="56" t="s">
        <v>11083</v>
      </c>
      <c r="E2552" s="2"/>
      <c r="F2552" s="57"/>
      <c r="G2552" s="64" t="s">
        <v>11084</v>
      </c>
      <c r="H2552" s="59">
        <v>9.9860000000000007</v>
      </c>
    </row>
    <row r="2553" spans="1:8" ht="112.5" customHeight="1" x14ac:dyDescent="0.15">
      <c r="A2553" s="60">
        <v>2555</v>
      </c>
      <c r="B2553" s="30" t="s">
        <v>3513</v>
      </c>
      <c r="C2553" s="30" t="s">
        <v>11085</v>
      </c>
      <c r="D2553" s="61" t="s">
        <v>11086</v>
      </c>
      <c r="E2553" s="2"/>
      <c r="F2553" s="57"/>
      <c r="G2553" s="63" t="s">
        <v>11087</v>
      </c>
      <c r="H2553" s="59">
        <v>10</v>
      </c>
    </row>
    <row r="2554" spans="1:8" ht="112.5" customHeight="1" x14ac:dyDescent="0.15">
      <c r="A2554" s="54">
        <v>2554</v>
      </c>
      <c r="B2554" s="55" t="s">
        <v>3814</v>
      </c>
      <c r="C2554" s="55" t="s">
        <v>11088</v>
      </c>
      <c r="D2554" s="56" t="s">
        <v>11089</v>
      </c>
      <c r="E2554" s="2"/>
      <c r="F2554" s="57"/>
      <c r="G2554" s="64" t="s">
        <v>11090</v>
      </c>
      <c r="H2554" s="59">
        <v>0</v>
      </c>
    </row>
    <row r="2555" spans="1:8" ht="112.5" customHeight="1" x14ac:dyDescent="0.15">
      <c r="A2555" s="60">
        <v>2553</v>
      </c>
      <c r="B2555" s="30" t="s">
        <v>3814</v>
      </c>
      <c r="C2555" s="30" t="s">
        <v>11091</v>
      </c>
      <c r="D2555" s="61" t="s">
        <v>11092</v>
      </c>
      <c r="E2555" s="2"/>
      <c r="F2555" s="57"/>
      <c r="G2555" s="63" t="s">
        <v>11093</v>
      </c>
      <c r="H2555" s="59">
        <v>0</v>
      </c>
    </row>
    <row r="2556" spans="1:8" ht="112.5" customHeight="1" x14ac:dyDescent="0.15">
      <c r="A2556" s="54">
        <v>2614</v>
      </c>
      <c r="B2556" s="55" t="s">
        <v>5887</v>
      </c>
      <c r="C2556" s="55" t="s">
        <v>11094</v>
      </c>
      <c r="D2556" s="56" t="s">
        <v>11095</v>
      </c>
      <c r="E2556" s="2"/>
      <c r="F2556" s="57"/>
      <c r="G2556" s="64" t="s">
        <v>11096</v>
      </c>
      <c r="H2556" s="59">
        <v>0</v>
      </c>
    </row>
    <row r="2557" spans="1:8" ht="112.5" customHeight="1" x14ac:dyDescent="0.15">
      <c r="A2557" s="60">
        <v>2613</v>
      </c>
      <c r="B2557" s="30" t="s">
        <v>3814</v>
      </c>
      <c r="C2557" s="30" t="s">
        <v>11097</v>
      </c>
      <c r="D2557" s="61" t="s">
        <v>11098</v>
      </c>
      <c r="E2557" s="2"/>
      <c r="F2557" s="57"/>
      <c r="G2557" s="63" t="s">
        <v>11099</v>
      </c>
      <c r="H2557" s="59">
        <v>9.9960000000000004</v>
      </c>
    </row>
    <row r="2558" spans="1:8" ht="112.5" customHeight="1" x14ac:dyDescent="0.15">
      <c r="A2558" s="54">
        <v>2612</v>
      </c>
      <c r="B2558" s="55" t="s">
        <v>3492</v>
      </c>
      <c r="C2558" s="55" t="s">
        <v>11100</v>
      </c>
      <c r="D2558" s="56" t="s">
        <v>11101</v>
      </c>
      <c r="E2558" s="2"/>
      <c r="F2558" s="57"/>
      <c r="G2558" s="64" t="s">
        <v>11102</v>
      </c>
      <c r="H2558" s="59">
        <v>9.9949999999999992</v>
      </c>
    </row>
    <row r="2559" spans="1:8" ht="112.5" customHeight="1" x14ac:dyDescent="0.15">
      <c r="A2559" s="60">
        <v>2611</v>
      </c>
      <c r="B2559" s="30" t="s">
        <v>3670</v>
      </c>
      <c r="C2559" s="30" t="s">
        <v>11103</v>
      </c>
      <c r="D2559" s="61" t="s">
        <v>11104</v>
      </c>
      <c r="E2559" s="2"/>
      <c r="F2559" s="57"/>
      <c r="G2559" s="63" t="s">
        <v>11105</v>
      </c>
      <c r="H2559" s="59">
        <v>9.9979999999999993</v>
      </c>
    </row>
    <row r="2560" spans="1:8" ht="112.5" customHeight="1" x14ac:dyDescent="0.15">
      <c r="A2560" s="60">
        <v>2663</v>
      </c>
      <c r="B2560" s="30" t="s">
        <v>3533</v>
      </c>
      <c r="C2560" s="30" t="s">
        <v>11106</v>
      </c>
      <c r="D2560" s="61" t="s">
        <v>11107</v>
      </c>
      <c r="E2560" s="2"/>
      <c r="F2560" s="57"/>
      <c r="G2560" s="64" t="s">
        <v>11108</v>
      </c>
      <c r="H2560" s="59">
        <v>10</v>
      </c>
    </row>
    <row r="2561" spans="1:8" ht="112.5" customHeight="1" x14ac:dyDescent="0.15">
      <c r="A2561" s="60">
        <v>2661</v>
      </c>
      <c r="B2561" s="30" t="s">
        <v>3513</v>
      </c>
      <c r="C2561" s="30" t="s">
        <v>11109</v>
      </c>
      <c r="D2561" s="61" t="s">
        <v>11110</v>
      </c>
      <c r="E2561" s="2"/>
      <c r="F2561" s="57"/>
      <c r="G2561" s="63" t="s">
        <v>11111</v>
      </c>
      <c r="H2561" s="59">
        <v>0</v>
      </c>
    </row>
    <row r="2562" spans="1:8" ht="112.5" customHeight="1" x14ac:dyDescent="0.15">
      <c r="A2562" s="54">
        <v>2660</v>
      </c>
      <c r="B2562" s="55" t="s">
        <v>3513</v>
      </c>
      <c r="C2562" s="55" t="s">
        <v>11112</v>
      </c>
      <c r="D2562" s="56" t="s">
        <v>11113</v>
      </c>
      <c r="E2562" s="2"/>
      <c r="F2562" s="57"/>
      <c r="G2562" s="64" t="s">
        <v>11114</v>
      </c>
      <c r="H2562" s="59">
        <v>9.9969999999999999</v>
      </c>
    </row>
    <row r="2563" spans="1:8" ht="112.5" customHeight="1" x14ac:dyDescent="0.15">
      <c r="A2563" s="54">
        <v>2662</v>
      </c>
      <c r="B2563" s="55" t="s">
        <v>3513</v>
      </c>
      <c r="C2563" s="55" t="s">
        <v>11115</v>
      </c>
      <c r="D2563" s="56" t="s">
        <v>11116</v>
      </c>
      <c r="E2563" s="2"/>
      <c r="F2563" s="57"/>
      <c r="G2563" s="63" t="s">
        <v>11117</v>
      </c>
      <c r="H2563" s="59">
        <v>9.9350000000000005</v>
      </c>
    </row>
    <row r="2564" spans="1:8" ht="112.5" customHeight="1" x14ac:dyDescent="0.15">
      <c r="A2564" s="60">
        <v>2659</v>
      </c>
      <c r="B2564" s="30" t="s">
        <v>3513</v>
      </c>
      <c r="C2564" s="30" t="s">
        <v>11118</v>
      </c>
      <c r="D2564" s="61" t="s">
        <v>11119</v>
      </c>
      <c r="E2564" s="2"/>
      <c r="F2564" s="57"/>
      <c r="G2564" s="64" t="s">
        <v>11120</v>
      </c>
      <c r="H2564" s="59">
        <v>10</v>
      </c>
    </row>
    <row r="2565" spans="1:8" ht="112.5" customHeight="1" x14ac:dyDescent="0.15">
      <c r="A2565" s="54">
        <v>2658</v>
      </c>
      <c r="B2565" s="55" t="s">
        <v>3556</v>
      </c>
      <c r="C2565" s="55" t="s">
        <v>11121</v>
      </c>
      <c r="D2565" s="56" t="s">
        <v>11122</v>
      </c>
      <c r="E2565" s="2"/>
      <c r="F2565" s="57"/>
      <c r="G2565" s="63" t="s">
        <v>11123</v>
      </c>
      <c r="H2565" s="59">
        <v>9.8179999999999996</v>
      </c>
    </row>
    <row r="2566" spans="1:8" ht="112.5" customHeight="1" x14ac:dyDescent="0.15">
      <c r="A2566" s="60">
        <v>2657</v>
      </c>
      <c r="B2566" s="30" t="s">
        <v>3492</v>
      </c>
      <c r="C2566" s="30" t="s">
        <v>11124</v>
      </c>
      <c r="D2566" s="61" t="s">
        <v>11125</v>
      </c>
      <c r="E2566" s="2"/>
      <c r="F2566" s="57"/>
      <c r="G2566" s="64" t="s">
        <v>11126</v>
      </c>
      <c r="H2566" s="59">
        <v>10</v>
      </c>
    </row>
    <row r="2567" spans="1:8" ht="112.5" customHeight="1" x14ac:dyDescent="0.15">
      <c r="A2567" s="60">
        <v>2655</v>
      </c>
      <c r="B2567" s="30" t="s">
        <v>3513</v>
      </c>
      <c r="C2567" s="30" t="s">
        <v>11127</v>
      </c>
      <c r="D2567" s="61" t="s">
        <v>11128</v>
      </c>
      <c r="E2567" s="2"/>
      <c r="F2567" s="57"/>
      <c r="G2567" s="63" t="s">
        <v>11129</v>
      </c>
      <c r="H2567" s="59">
        <v>10</v>
      </c>
    </row>
    <row r="2568" spans="1:8" ht="112.5" customHeight="1" x14ac:dyDescent="0.15">
      <c r="A2568" s="54">
        <v>2656</v>
      </c>
      <c r="B2568" s="55" t="s">
        <v>3818</v>
      </c>
      <c r="C2568" s="55" t="s">
        <v>11130</v>
      </c>
      <c r="D2568" s="56" t="s">
        <v>11131</v>
      </c>
      <c r="E2568" s="2"/>
      <c r="F2568" s="57"/>
      <c r="G2568" s="64" t="s">
        <v>11132</v>
      </c>
      <c r="H2568" s="59">
        <v>10</v>
      </c>
    </row>
    <row r="2569" spans="1:8" ht="112.5" customHeight="1" x14ac:dyDescent="0.15">
      <c r="A2569" s="54">
        <v>2654</v>
      </c>
      <c r="B2569" s="55" t="s">
        <v>3513</v>
      </c>
      <c r="C2569" s="55" t="s">
        <v>11133</v>
      </c>
      <c r="D2569" s="56" t="s">
        <v>11134</v>
      </c>
      <c r="E2569" s="2"/>
      <c r="F2569" s="57"/>
      <c r="G2569" s="63" t="s">
        <v>11135</v>
      </c>
      <c r="H2569" s="59">
        <v>99.998000000000005</v>
      </c>
    </row>
    <row r="2570" spans="1:8" ht="112.5" customHeight="1" x14ac:dyDescent="0.15">
      <c r="A2570" s="60">
        <v>2653</v>
      </c>
      <c r="B2570" s="30" t="s">
        <v>3533</v>
      </c>
      <c r="C2570" s="30" t="s">
        <v>11136</v>
      </c>
      <c r="D2570" s="61" t="s">
        <v>11137</v>
      </c>
      <c r="E2570" s="2"/>
      <c r="F2570" s="57"/>
      <c r="G2570" s="64" t="s">
        <v>11138</v>
      </c>
      <c r="H2570" s="59">
        <v>9.9819999999999993</v>
      </c>
    </row>
    <row r="2571" spans="1:8" ht="112.5" customHeight="1" x14ac:dyDescent="0.15">
      <c r="A2571" s="54">
        <v>2652</v>
      </c>
      <c r="B2571" s="55" t="s">
        <v>3556</v>
      </c>
      <c r="C2571" s="55" t="s">
        <v>11139</v>
      </c>
      <c r="D2571" s="56" t="s">
        <v>11140</v>
      </c>
      <c r="E2571" s="2"/>
      <c r="F2571" s="57"/>
      <c r="G2571" s="63" t="s">
        <v>11141</v>
      </c>
      <c r="H2571" s="59">
        <v>9.9649999999999999</v>
      </c>
    </row>
    <row r="2572" spans="1:8" ht="112.5" customHeight="1" x14ac:dyDescent="0.15">
      <c r="A2572" s="60">
        <v>2651</v>
      </c>
      <c r="B2572" s="30" t="s">
        <v>3549</v>
      </c>
      <c r="C2572" s="30" t="s">
        <v>11142</v>
      </c>
      <c r="D2572" s="61" t="s">
        <v>11143</v>
      </c>
      <c r="E2572" s="2"/>
      <c r="F2572" s="57"/>
      <c r="G2572" s="64" t="s">
        <v>11144</v>
      </c>
      <c r="H2572" s="59">
        <v>9.9969999999999999</v>
      </c>
    </row>
    <row r="2573" spans="1:8" ht="112.5" customHeight="1" x14ac:dyDescent="0.15">
      <c r="A2573" s="54">
        <v>2650</v>
      </c>
      <c r="B2573" s="55" t="s">
        <v>3801</v>
      </c>
      <c r="C2573" s="55" t="s">
        <v>11145</v>
      </c>
      <c r="D2573" s="56" t="s">
        <v>11146</v>
      </c>
      <c r="E2573" s="2"/>
      <c r="F2573" s="57"/>
      <c r="G2573" s="63" t="s">
        <v>11147</v>
      </c>
      <c r="H2573" s="59">
        <v>10</v>
      </c>
    </row>
    <row r="2574" spans="1:8" ht="112.5" customHeight="1" x14ac:dyDescent="0.15">
      <c r="A2574" s="60">
        <v>2649</v>
      </c>
      <c r="B2574" s="30" t="s">
        <v>3801</v>
      </c>
      <c r="C2574" s="30" t="s">
        <v>11148</v>
      </c>
      <c r="D2574" s="61" t="s">
        <v>11149</v>
      </c>
      <c r="E2574" s="2"/>
      <c r="F2574" s="57"/>
      <c r="G2574" s="64" t="s">
        <v>11150</v>
      </c>
      <c r="H2574" s="59">
        <v>0</v>
      </c>
    </row>
    <row r="2575" spans="1:8" ht="112.5" customHeight="1" x14ac:dyDescent="0.15">
      <c r="A2575" s="54">
        <v>2648</v>
      </c>
      <c r="B2575" s="55" t="s">
        <v>3818</v>
      </c>
      <c r="C2575" s="55" t="s">
        <v>11151</v>
      </c>
      <c r="D2575" s="56" t="s">
        <v>11152</v>
      </c>
      <c r="E2575" s="2"/>
      <c r="F2575" s="57"/>
      <c r="G2575" s="63" t="s">
        <v>11153</v>
      </c>
      <c r="H2575" s="59">
        <v>9.99</v>
      </c>
    </row>
    <row r="2576" spans="1:8" ht="112.5" customHeight="1" x14ac:dyDescent="0.15">
      <c r="A2576" s="54">
        <v>2646</v>
      </c>
      <c r="B2576" s="55" t="s">
        <v>3822</v>
      </c>
      <c r="C2576" s="55" t="s">
        <v>11154</v>
      </c>
      <c r="D2576" s="56" t="s">
        <v>11155</v>
      </c>
      <c r="E2576" s="2"/>
      <c r="F2576" s="57"/>
      <c r="G2576" s="64" t="s">
        <v>11156</v>
      </c>
      <c r="H2576" s="59">
        <v>9.9849999999999994</v>
      </c>
    </row>
    <row r="2577" spans="1:8" ht="112.5" customHeight="1" x14ac:dyDescent="0.15">
      <c r="A2577" s="54">
        <v>2644</v>
      </c>
      <c r="B2577" s="55" t="s">
        <v>3513</v>
      </c>
      <c r="C2577" s="55" t="s">
        <v>11157</v>
      </c>
      <c r="D2577" s="56" t="s">
        <v>11158</v>
      </c>
      <c r="E2577" s="2"/>
      <c r="F2577" s="57"/>
      <c r="G2577" s="63" t="s">
        <v>11159</v>
      </c>
      <c r="H2577" s="59">
        <v>9.9949999999999992</v>
      </c>
    </row>
    <row r="2578" spans="1:8" ht="112.5" customHeight="1" x14ac:dyDescent="0.15">
      <c r="A2578" s="60">
        <v>2643</v>
      </c>
      <c r="B2578" s="30" t="s">
        <v>3533</v>
      </c>
      <c r="C2578" s="30" t="s">
        <v>11160</v>
      </c>
      <c r="D2578" s="61" t="s">
        <v>11161</v>
      </c>
      <c r="E2578" s="2"/>
      <c r="F2578" s="57"/>
      <c r="G2578" s="64" t="s">
        <v>11162</v>
      </c>
      <c r="H2578" s="59">
        <v>10</v>
      </c>
    </row>
    <row r="2579" spans="1:8" ht="112.5" customHeight="1" x14ac:dyDescent="0.15">
      <c r="A2579" s="54">
        <v>2642</v>
      </c>
      <c r="B2579" s="55" t="s">
        <v>3533</v>
      </c>
      <c r="C2579" s="55" t="s">
        <v>11163</v>
      </c>
      <c r="D2579" s="56" t="s">
        <v>11164</v>
      </c>
      <c r="E2579" s="2"/>
      <c r="F2579" s="57"/>
      <c r="G2579" s="63" t="s">
        <v>11165</v>
      </c>
      <c r="H2579" s="59">
        <v>10</v>
      </c>
    </row>
    <row r="2580" spans="1:8" ht="112.5" customHeight="1" x14ac:dyDescent="0.15">
      <c r="A2580" s="60">
        <v>2641</v>
      </c>
      <c r="B2580" s="30" t="s">
        <v>3513</v>
      </c>
      <c r="C2580" s="30" t="s">
        <v>11166</v>
      </c>
      <c r="D2580" s="61" t="s">
        <v>11167</v>
      </c>
      <c r="E2580" s="2"/>
      <c r="F2580" s="57"/>
      <c r="G2580" s="64" t="s">
        <v>11168</v>
      </c>
      <c r="H2580" s="59">
        <v>10</v>
      </c>
    </row>
    <row r="2581" spans="1:8" ht="112.5" customHeight="1" x14ac:dyDescent="0.15">
      <c r="A2581" s="54">
        <v>2640</v>
      </c>
      <c r="B2581" s="55" t="s">
        <v>3513</v>
      </c>
      <c r="C2581" s="55" t="s">
        <v>11169</v>
      </c>
      <c r="D2581" s="56" t="s">
        <v>11170</v>
      </c>
      <c r="E2581" s="2"/>
      <c r="F2581" s="57"/>
      <c r="G2581" s="63" t="s">
        <v>11171</v>
      </c>
      <c r="H2581" s="59">
        <v>9.9960000000000004</v>
      </c>
    </row>
    <row r="2582" spans="1:8" ht="112.5" customHeight="1" x14ac:dyDescent="0.15">
      <c r="A2582" s="60">
        <v>2639</v>
      </c>
      <c r="B2582" s="30" t="s">
        <v>3513</v>
      </c>
      <c r="C2582" s="30" t="s">
        <v>11172</v>
      </c>
      <c r="D2582" s="61" t="s">
        <v>11173</v>
      </c>
      <c r="E2582" s="2"/>
      <c r="F2582" s="57"/>
      <c r="G2582" s="64" t="s">
        <v>11174</v>
      </c>
      <c r="H2582" s="59">
        <v>9.98</v>
      </c>
    </row>
    <row r="2583" spans="1:8" ht="112.5" customHeight="1" x14ac:dyDescent="0.15">
      <c r="A2583" s="54">
        <v>2638</v>
      </c>
      <c r="B2583" s="55" t="s">
        <v>3513</v>
      </c>
      <c r="C2583" s="55" t="s">
        <v>11175</v>
      </c>
      <c r="D2583" s="56" t="s">
        <v>11176</v>
      </c>
      <c r="E2583" s="2"/>
      <c r="F2583" s="57"/>
      <c r="G2583" s="63" t="s">
        <v>11177</v>
      </c>
      <c r="H2583" s="59">
        <v>10</v>
      </c>
    </row>
    <row r="2584" spans="1:8" ht="112.5" customHeight="1" x14ac:dyDescent="0.15">
      <c r="A2584" s="54">
        <v>2520</v>
      </c>
      <c r="B2584" s="55" t="s">
        <v>3509</v>
      </c>
      <c r="C2584" s="55" t="s">
        <v>11178</v>
      </c>
      <c r="D2584" s="56" t="s">
        <v>11179</v>
      </c>
      <c r="E2584" s="2"/>
      <c r="F2584" s="57"/>
      <c r="G2584" s="64" t="s">
        <v>11180</v>
      </c>
      <c r="H2584" s="59">
        <v>9.9849999999999994</v>
      </c>
    </row>
    <row r="2585" spans="1:8" ht="112.5" customHeight="1" x14ac:dyDescent="0.15">
      <c r="A2585" s="60">
        <v>2637</v>
      </c>
      <c r="B2585" s="30" t="s">
        <v>3509</v>
      </c>
      <c r="C2585" s="30" t="s">
        <v>11181</v>
      </c>
      <c r="D2585" s="61" t="s">
        <v>11179</v>
      </c>
      <c r="E2585" s="2"/>
      <c r="F2585" s="57"/>
      <c r="G2585" s="63" t="s">
        <v>11182</v>
      </c>
      <c r="H2585" s="59">
        <v>10</v>
      </c>
    </row>
    <row r="2586" spans="1:8" ht="112.5" customHeight="1" x14ac:dyDescent="0.15">
      <c r="A2586" s="54">
        <v>2636</v>
      </c>
      <c r="B2586" s="55" t="s">
        <v>3509</v>
      </c>
      <c r="C2586" s="55" t="s">
        <v>11183</v>
      </c>
      <c r="D2586" s="56" t="s">
        <v>11184</v>
      </c>
      <c r="E2586" s="2"/>
      <c r="F2586" s="57"/>
      <c r="G2586" s="64" t="s">
        <v>4457</v>
      </c>
      <c r="H2586" s="59">
        <v>9.9979999999999993</v>
      </c>
    </row>
    <row r="2587" spans="1:8" ht="112.5" customHeight="1" x14ac:dyDescent="0.15">
      <c r="A2587" s="54">
        <v>2634</v>
      </c>
      <c r="B2587" s="55" t="s">
        <v>3492</v>
      </c>
      <c r="C2587" s="55" t="s">
        <v>11185</v>
      </c>
      <c r="D2587" s="56" t="s">
        <v>11186</v>
      </c>
      <c r="E2587" s="2"/>
      <c r="F2587" s="57"/>
      <c r="G2587" s="63" t="s">
        <v>11187</v>
      </c>
      <c r="H2587" s="59">
        <v>0</v>
      </c>
    </row>
    <row r="2588" spans="1:8" ht="112.5" customHeight="1" x14ac:dyDescent="0.15">
      <c r="A2588" s="60">
        <v>2633</v>
      </c>
      <c r="B2588" s="30" t="s">
        <v>3492</v>
      </c>
      <c r="C2588" s="30" t="s">
        <v>11188</v>
      </c>
      <c r="D2588" s="61" t="s">
        <v>11189</v>
      </c>
      <c r="E2588" s="2"/>
      <c r="F2588" s="57"/>
      <c r="G2588" s="64" t="s">
        <v>11190</v>
      </c>
      <c r="H2588" s="59">
        <v>10</v>
      </c>
    </row>
    <row r="2589" spans="1:8" ht="112.5" customHeight="1" x14ac:dyDescent="0.15">
      <c r="A2589" s="60">
        <v>2635</v>
      </c>
      <c r="B2589" s="30" t="s">
        <v>3492</v>
      </c>
      <c r="C2589" s="30" t="s">
        <v>11191</v>
      </c>
      <c r="D2589" s="61" t="s">
        <v>11192</v>
      </c>
      <c r="E2589" s="2"/>
      <c r="F2589" s="57"/>
      <c r="G2589" s="63" t="s">
        <v>11193</v>
      </c>
      <c r="H2589" s="59">
        <v>10</v>
      </c>
    </row>
    <row r="2590" spans="1:8" ht="112.5" customHeight="1" x14ac:dyDescent="0.15">
      <c r="A2590" s="60">
        <v>2519</v>
      </c>
      <c r="B2590" s="30" t="s">
        <v>3509</v>
      </c>
      <c r="C2590" s="30" t="s">
        <v>11194</v>
      </c>
      <c r="D2590" s="61" t="s">
        <v>11195</v>
      </c>
      <c r="E2590" s="2"/>
      <c r="F2590" s="57"/>
      <c r="G2590" s="64" t="s">
        <v>11196</v>
      </c>
      <c r="H2590" s="59">
        <v>9.9979999999999993</v>
      </c>
    </row>
    <row r="2591" spans="1:8" ht="112.5" customHeight="1" x14ac:dyDescent="0.15">
      <c r="A2591" s="54">
        <v>2632</v>
      </c>
      <c r="B2591" s="55" t="s">
        <v>3801</v>
      </c>
      <c r="C2591" s="55" t="s">
        <v>11197</v>
      </c>
      <c r="D2591" s="56" t="s">
        <v>11198</v>
      </c>
      <c r="E2591" s="2"/>
      <c r="F2591" s="57"/>
      <c r="G2591" s="63" t="s">
        <v>11199</v>
      </c>
      <c r="H2591" s="59">
        <v>9.9730000000000008</v>
      </c>
    </row>
    <row r="2592" spans="1:8" ht="112.5" customHeight="1" x14ac:dyDescent="0.15">
      <c r="A2592" s="60">
        <v>2631</v>
      </c>
      <c r="B2592" s="30" t="s">
        <v>3801</v>
      </c>
      <c r="C2592" s="30" t="s">
        <v>11200</v>
      </c>
      <c r="D2592" s="61" t="s">
        <v>11201</v>
      </c>
      <c r="E2592" s="2"/>
      <c r="F2592" s="57"/>
      <c r="G2592" s="64" t="s">
        <v>11202</v>
      </c>
      <c r="H2592" s="59">
        <v>10</v>
      </c>
    </row>
    <row r="2593" spans="1:8" ht="112.5" customHeight="1" x14ac:dyDescent="0.15">
      <c r="A2593" s="54">
        <v>2630</v>
      </c>
      <c r="B2593" s="55" t="s">
        <v>3801</v>
      </c>
      <c r="C2593" s="55" t="s">
        <v>11203</v>
      </c>
      <c r="D2593" s="56" t="s">
        <v>11204</v>
      </c>
      <c r="E2593" s="2"/>
      <c r="F2593" s="57"/>
      <c r="G2593" s="63" t="s">
        <v>11205</v>
      </c>
      <c r="H2593" s="59">
        <v>10</v>
      </c>
    </row>
    <row r="2594" spans="1:8" ht="112.5" customHeight="1" x14ac:dyDescent="0.15">
      <c r="A2594" s="60">
        <v>2629</v>
      </c>
      <c r="B2594" s="30" t="s">
        <v>3801</v>
      </c>
      <c r="C2594" s="30" t="s">
        <v>11206</v>
      </c>
      <c r="D2594" s="61" t="s">
        <v>11207</v>
      </c>
      <c r="E2594" s="2"/>
      <c r="F2594" s="57"/>
      <c r="G2594" s="64" t="s">
        <v>11208</v>
      </c>
      <c r="H2594" s="59">
        <v>10</v>
      </c>
    </row>
    <row r="2595" spans="1:8" ht="112.5" customHeight="1" x14ac:dyDescent="0.15">
      <c r="A2595" s="54">
        <v>2628</v>
      </c>
      <c r="B2595" s="55" t="s">
        <v>3502</v>
      </c>
      <c r="C2595" s="55" t="s">
        <v>11209</v>
      </c>
      <c r="D2595" s="56" t="s">
        <v>11210</v>
      </c>
      <c r="E2595" s="2"/>
      <c r="F2595" s="57"/>
      <c r="G2595" s="63" t="s">
        <v>11211</v>
      </c>
      <c r="H2595" s="59">
        <v>9.6620000000000008</v>
      </c>
    </row>
    <row r="2596" spans="1:8" ht="112.5" customHeight="1" x14ac:dyDescent="0.15">
      <c r="A2596" s="54">
        <v>3108</v>
      </c>
      <c r="B2596" s="55" t="s">
        <v>3502</v>
      </c>
      <c r="C2596" s="55" t="s">
        <v>11212</v>
      </c>
      <c r="D2596" s="56" t="s">
        <v>11213</v>
      </c>
      <c r="E2596" s="2"/>
      <c r="F2596" s="57"/>
      <c r="G2596" s="64" t="s">
        <v>4454</v>
      </c>
      <c r="H2596" s="59">
        <v>0</v>
      </c>
    </row>
    <row r="2597" spans="1:8" ht="112.5" customHeight="1" x14ac:dyDescent="0.15">
      <c r="A2597" s="60">
        <v>3391</v>
      </c>
      <c r="B2597" s="30" t="s">
        <v>3502</v>
      </c>
      <c r="C2597" s="30" t="s">
        <v>11214</v>
      </c>
      <c r="D2597" s="61" t="s">
        <v>11215</v>
      </c>
      <c r="E2597" s="2"/>
      <c r="F2597" s="57"/>
      <c r="G2597" s="63" t="s">
        <v>11216</v>
      </c>
      <c r="H2597" s="59">
        <v>10</v>
      </c>
    </row>
    <row r="2598" spans="1:8" ht="112.5" customHeight="1" x14ac:dyDescent="0.15">
      <c r="A2598" s="54">
        <v>2626</v>
      </c>
      <c r="B2598" s="55" t="s">
        <v>3670</v>
      </c>
      <c r="C2598" s="55" t="s">
        <v>11217</v>
      </c>
      <c r="D2598" s="56" t="s">
        <v>11218</v>
      </c>
      <c r="E2598" s="2"/>
      <c r="F2598" s="57"/>
      <c r="G2598" s="64" t="s">
        <v>11219</v>
      </c>
      <c r="H2598" s="59">
        <v>10</v>
      </c>
    </row>
    <row r="2599" spans="1:8" ht="112.5" customHeight="1" x14ac:dyDescent="0.15">
      <c r="A2599" s="60">
        <v>3313</v>
      </c>
      <c r="B2599" s="30" t="s">
        <v>3502</v>
      </c>
      <c r="C2599" s="30" t="s">
        <v>11220</v>
      </c>
      <c r="D2599" s="61" t="s">
        <v>11221</v>
      </c>
      <c r="E2599" s="2"/>
      <c r="F2599" s="57"/>
      <c r="G2599" s="63" t="s">
        <v>11222</v>
      </c>
      <c r="H2599" s="59">
        <v>10</v>
      </c>
    </row>
    <row r="2600" spans="1:8" ht="112.5" customHeight="1" x14ac:dyDescent="0.15">
      <c r="A2600" s="60">
        <v>2625</v>
      </c>
      <c r="B2600" s="30" t="s">
        <v>3749</v>
      </c>
      <c r="C2600" s="30" t="s">
        <v>11223</v>
      </c>
      <c r="D2600" s="61" t="s">
        <v>11224</v>
      </c>
      <c r="E2600" s="2"/>
      <c r="F2600" s="57"/>
      <c r="G2600" s="64" t="s">
        <v>11225</v>
      </c>
      <c r="H2600" s="59">
        <v>9.9480000000000004</v>
      </c>
    </row>
    <row r="2601" spans="1:8" ht="112.5" customHeight="1" x14ac:dyDescent="0.15">
      <c r="A2601" s="60">
        <v>2623</v>
      </c>
      <c r="B2601" s="30" t="s">
        <v>3749</v>
      </c>
      <c r="C2601" s="30" t="s">
        <v>11226</v>
      </c>
      <c r="D2601" s="61" t="s">
        <v>11227</v>
      </c>
      <c r="E2601" s="2"/>
      <c r="F2601" s="57"/>
      <c r="G2601" s="63" t="s">
        <v>11228</v>
      </c>
      <c r="H2601" s="59">
        <v>9.9610000000000003</v>
      </c>
    </row>
    <row r="2602" spans="1:8" ht="112.5" customHeight="1" x14ac:dyDescent="0.15">
      <c r="A2602" s="54">
        <v>2624</v>
      </c>
      <c r="B2602" s="55" t="s">
        <v>3749</v>
      </c>
      <c r="C2602" s="55" t="s">
        <v>11229</v>
      </c>
      <c r="D2602" s="56" t="s">
        <v>11230</v>
      </c>
      <c r="E2602" s="2"/>
      <c r="F2602" s="57"/>
      <c r="G2602" s="64" t="s">
        <v>11231</v>
      </c>
      <c r="H2602" s="59">
        <v>0</v>
      </c>
    </row>
    <row r="2603" spans="1:8" ht="112.5" customHeight="1" x14ac:dyDescent="0.15">
      <c r="A2603" s="54">
        <v>2622</v>
      </c>
      <c r="B2603" s="55" t="s">
        <v>3749</v>
      </c>
      <c r="C2603" s="55" t="s">
        <v>11232</v>
      </c>
      <c r="D2603" s="56" t="s">
        <v>11233</v>
      </c>
      <c r="E2603" s="2"/>
      <c r="F2603" s="57"/>
      <c r="G2603" s="63" t="s">
        <v>11234</v>
      </c>
      <c r="H2603" s="59">
        <v>9.99</v>
      </c>
    </row>
    <row r="2604" spans="1:8" ht="112.5" customHeight="1" x14ac:dyDescent="0.15">
      <c r="A2604" s="60">
        <v>2621</v>
      </c>
      <c r="B2604" s="30" t="s">
        <v>3513</v>
      </c>
      <c r="C2604" s="30" t="s">
        <v>11235</v>
      </c>
      <c r="D2604" s="61" t="s">
        <v>11236</v>
      </c>
      <c r="E2604" s="2"/>
      <c r="F2604" s="57"/>
      <c r="G2604" s="64" t="s">
        <v>11237</v>
      </c>
      <c r="H2604" s="59">
        <v>9.9830000000000005</v>
      </c>
    </row>
    <row r="2605" spans="1:8" ht="112.5" customHeight="1" x14ac:dyDescent="0.15">
      <c r="A2605" s="54">
        <v>2610</v>
      </c>
      <c r="B2605" s="55" t="s">
        <v>3670</v>
      </c>
      <c r="C2605" s="55" t="s">
        <v>11238</v>
      </c>
      <c r="D2605" s="56" t="s">
        <v>11239</v>
      </c>
      <c r="E2605" s="2"/>
      <c r="F2605" s="57"/>
      <c r="G2605" s="63" t="s">
        <v>11240</v>
      </c>
      <c r="H2605" s="59">
        <v>9.9960000000000004</v>
      </c>
    </row>
    <row r="2606" spans="1:8" ht="112.5" customHeight="1" x14ac:dyDescent="0.15">
      <c r="A2606" s="54">
        <v>3376</v>
      </c>
      <c r="B2606" s="55" t="s">
        <v>3556</v>
      </c>
      <c r="C2606" s="55" t="s">
        <v>11241</v>
      </c>
      <c r="D2606" s="56" t="s">
        <v>11242</v>
      </c>
      <c r="E2606" s="2"/>
      <c r="F2606" s="57"/>
      <c r="G2606" s="64" t="s">
        <v>11243</v>
      </c>
      <c r="H2606" s="59">
        <v>9.99</v>
      </c>
    </row>
    <row r="2607" spans="1:8" ht="112.5" customHeight="1" x14ac:dyDescent="0.15">
      <c r="A2607" s="54">
        <v>3430</v>
      </c>
      <c r="B2607" s="55" t="s">
        <v>3556</v>
      </c>
      <c r="C2607" s="55" t="s">
        <v>11244</v>
      </c>
      <c r="D2607" s="56" t="s">
        <v>11245</v>
      </c>
      <c r="E2607" s="2"/>
      <c r="F2607" s="57"/>
      <c r="G2607" s="63" t="s">
        <v>11246</v>
      </c>
      <c r="H2607" s="59">
        <v>9.9990000000000006</v>
      </c>
    </row>
    <row r="2608" spans="1:8" ht="112.5" customHeight="1" x14ac:dyDescent="0.15">
      <c r="A2608" s="60">
        <v>3429</v>
      </c>
      <c r="B2608" s="30" t="s">
        <v>3556</v>
      </c>
      <c r="C2608" s="30" t="s">
        <v>11247</v>
      </c>
      <c r="D2608" s="61" t="s">
        <v>11248</v>
      </c>
      <c r="E2608" s="2"/>
      <c r="F2608" s="57"/>
      <c r="G2608" s="64" t="s">
        <v>11249</v>
      </c>
      <c r="H2608" s="59">
        <v>9.9969999999999999</v>
      </c>
    </row>
    <row r="2609" spans="1:8" ht="112.5" customHeight="1" x14ac:dyDescent="0.15">
      <c r="A2609" s="60">
        <v>2609</v>
      </c>
      <c r="B2609" s="30" t="s">
        <v>3556</v>
      </c>
      <c r="C2609" s="30" t="s">
        <v>11250</v>
      </c>
      <c r="D2609" s="61" t="s">
        <v>11251</v>
      </c>
      <c r="E2609" s="2"/>
      <c r="F2609" s="57"/>
      <c r="G2609" s="63" t="s">
        <v>11252</v>
      </c>
      <c r="H2609" s="59">
        <v>10</v>
      </c>
    </row>
    <row r="2610" spans="1:8" ht="112.5" customHeight="1" x14ac:dyDescent="0.15">
      <c r="A2610" s="60">
        <v>3421</v>
      </c>
      <c r="B2610" s="30" t="s">
        <v>3556</v>
      </c>
      <c r="C2610" s="30" t="s">
        <v>11253</v>
      </c>
      <c r="D2610" s="61" t="s">
        <v>11254</v>
      </c>
      <c r="E2610" s="2"/>
      <c r="F2610" s="57"/>
      <c r="G2610" s="64" t="s">
        <v>11255</v>
      </c>
      <c r="H2610" s="59">
        <v>0</v>
      </c>
    </row>
    <row r="2611" spans="1:8" ht="112.5" customHeight="1" x14ac:dyDescent="0.15">
      <c r="A2611" s="60">
        <v>3423</v>
      </c>
      <c r="B2611" s="30" t="s">
        <v>3556</v>
      </c>
      <c r="C2611" s="30" t="s">
        <v>11256</v>
      </c>
      <c r="D2611" s="61" t="s">
        <v>11257</v>
      </c>
      <c r="E2611" s="2"/>
      <c r="F2611" s="57"/>
      <c r="G2611" s="63" t="s">
        <v>11258</v>
      </c>
      <c r="H2611" s="59">
        <v>10</v>
      </c>
    </row>
    <row r="2612" spans="1:8" ht="112.5" customHeight="1" x14ac:dyDescent="0.15">
      <c r="A2612" s="54">
        <v>3446</v>
      </c>
      <c r="B2612" s="55" t="s">
        <v>3556</v>
      </c>
      <c r="C2612" s="55" t="s">
        <v>11259</v>
      </c>
      <c r="D2612" s="56" t="s">
        <v>11260</v>
      </c>
      <c r="E2612" s="2"/>
      <c r="F2612" s="57"/>
      <c r="G2612" s="64" t="s">
        <v>11261</v>
      </c>
      <c r="H2612" s="59">
        <v>9.9979999999999993</v>
      </c>
    </row>
    <row r="2613" spans="1:8" ht="112.5" customHeight="1" x14ac:dyDescent="0.15">
      <c r="A2613" s="54">
        <v>3414</v>
      </c>
      <c r="B2613" s="55" t="s">
        <v>3556</v>
      </c>
      <c r="C2613" s="55" t="s">
        <v>11262</v>
      </c>
      <c r="D2613" s="56" t="s">
        <v>11263</v>
      </c>
      <c r="E2613" s="2"/>
      <c r="F2613" s="57"/>
      <c r="G2613" s="63" t="s">
        <v>11264</v>
      </c>
      <c r="H2613" s="59">
        <v>0</v>
      </c>
    </row>
    <row r="2614" spans="1:8" ht="112.5" customHeight="1" x14ac:dyDescent="0.15">
      <c r="A2614" s="54">
        <v>2608</v>
      </c>
      <c r="B2614" s="55" t="s">
        <v>3876</v>
      </c>
      <c r="C2614" s="55" t="s">
        <v>11265</v>
      </c>
      <c r="D2614" s="56" t="s">
        <v>11266</v>
      </c>
      <c r="E2614" s="2"/>
      <c r="F2614" s="57"/>
      <c r="G2614" s="64" t="s">
        <v>11267</v>
      </c>
      <c r="H2614" s="59">
        <v>0</v>
      </c>
    </row>
    <row r="2615" spans="1:8" ht="112.5" customHeight="1" x14ac:dyDescent="0.15">
      <c r="A2615" s="60">
        <v>2607</v>
      </c>
      <c r="B2615" s="30" t="s">
        <v>3801</v>
      </c>
      <c r="C2615" s="30" t="s">
        <v>11268</v>
      </c>
      <c r="D2615" s="61" t="s">
        <v>11269</v>
      </c>
      <c r="E2615" s="2"/>
      <c r="F2615" s="57"/>
      <c r="G2615" s="63" t="s">
        <v>11270</v>
      </c>
      <c r="H2615" s="59">
        <v>0</v>
      </c>
    </row>
    <row r="2616" spans="1:8" ht="112.5" customHeight="1" x14ac:dyDescent="0.15">
      <c r="A2616" s="54">
        <v>2606</v>
      </c>
      <c r="B2616" s="55" t="s">
        <v>3801</v>
      </c>
      <c r="C2616" s="55" t="s">
        <v>11271</v>
      </c>
      <c r="D2616" s="56" t="s">
        <v>11272</v>
      </c>
      <c r="E2616" s="2"/>
      <c r="F2616" s="57"/>
      <c r="G2616" s="64" t="s">
        <v>11273</v>
      </c>
      <c r="H2616" s="59">
        <v>10</v>
      </c>
    </row>
    <row r="2617" spans="1:8" ht="112.5" customHeight="1" x14ac:dyDescent="0.15">
      <c r="A2617" s="60">
        <v>2605</v>
      </c>
      <c r="B2617" s="30" t="s">
        <v>3801</v>
      </c>
      <c r="C2617" s="30" t="s">
        <v>11274</v>
      </c>
      <c r="D2617" s="61" t="s">
        <v>11275</v>
      </c>
      <c r="E2617" s="2"/>
      <c r="F2617" s="57"/>
      <c r="G2617" s="63" t="s">
        <v>4451</v>
      </c>
      <c r="H2617" s="59">
        <v>9.9849999999999994</v>
      </c>
    </row>
    <row r="2618" spans="1:8" ht="112.5" customHeight="1" x14ac:dyDescent="0.15">
      <c r="A2618" s="54">
        <v>2604</v>
      </c>
      <c r="B2618" s="55" t="s">
        <v>3556</v>
      </c>
      <c r="C2618" s="55" t="s">
        <v>11276</v>
      </c>
      <c r="D2618" s="56" t="s">
        <v>11277</v>
      </c>
      <c r="E2618" s="2"/>
      <c r="F2618" s="57"/>
      <c r="G2618" s="64" t="s">
        <v>4448</v>
      </c>
      <c r="H2618" s="59">
        <v>9.9930000000000003</v>
      </c>
    </row>
    <row r="2619" spans="1:8" ht="112.5" customHeight="1" x14ac:dyDescent="0.15">
      <c r="A2619" s="60">
        <v>2603</v>
      </c>
      <c r="B2619" s="30" t="s">
        <v>3670</v>
      </c>
      <c r="C2619" s="30" t="s">
        <v>11278</v>
      </c>
      <c r="D2619" s="61" t="s">
        <v>11279</v>
      </c>
      <c r="E2619" s="2"/>
      <c r="F2619" s="57"/>
      <c r="G2619" s="63" t="s">
        <v>11280</v>
      </c>
      <c r="H2619" s="59">
        <v>10</v>
      </c>
    </row>
    <row r="2620" spans="1:8" ht="112.5" customHeight="1" x14ac:dyDescent="0.15">
      <c r="A2620" s="54">
        <v>2618</v>
      </c>
      <c r="B2620" s="55" t="s">
        <v>3814</v>
      </c>
      <c r="C2620" s="55" t="s">
        <v>11281</v>
      </c>
      <c r="D2620" s="56" t="s">
        <v>11282</v>
      </c>
      <c r="E2620" s="2"/>
      <c r="F2620" s="57"/>
      <c r="G2620" s="64" t="s">
        <v>11283</v>
      </c>
      <c r="H2620" s="59">
        <v>10</v>
      </c>
    </row>
    <row r="2621" spans="1:8" ht="112.5" customHeight="1" x14ac:dyDescent="0.15">
      <c r="A2621" s="60">
        <v>2619</v>
      </c>
      <c r="B2621" s="30" t="s">
        <v>3526</v>
      </c>
      <c r="C2621" s="30" t="s">
        <v>11284</v>
      </c>
      <c r="D2621" s="61" t="s">
        <v>11285</v>
      </c>
      <c r="E2621" s="2"/>
      <c r="F2621" s="57"/>
      <c r="G2621" s="63" t="s">
        <v>11286</v>
      </c>
      <c r="H2621" s="59">
        <v>10</v>
      </c>
    </row>
    <row r="2622" spans="1:8" ht="112.5" customHeight="1" x14ac:dyDescent="0.15">
      <c r="A2622" s="54">
        <v>2620</v>
      </c>
      <c r="B2622" s="55" t="s">
        <v>3599</v>
      </c>
      <c r="C2622" s="55" t="s">
        <v>11287</v>
      </c>
      <c r="D2622" s="56" t="s">
        <v>11288</v>
      </c>
      <c r="E2622" s="2"/>
      <c r="F2622" s="57"/>
      <c r="G2622" s="64" t="s">
        <v>11289</v>
      </c>
      <c r="H2622" s="59">
        <v>10</v>
      </c>
    </row>
    <row r="2623" spans="1:8" ht="112.5" customHeight="1" x14ac:dyDescent="0.15">
      <c r="A2623" s="60">
        <v>2617</v>
      </c>
      <c r="B2623" s="30" t="s">
        <v>4334</v>
      </c>
      <c r="C2623" s="30" t="s">
        <v>11290</v>
      </c>
      <c r="D2623" s="61" t="s">
        <v>11291</v>
      </c>
      <c r="E2623" s="2"/>
      <c r="F2623" s="57"/>
      <c r="G2623" s="63" t="s">
        <v>11292</v>
      </c>
      <c r="H2623" s="59">
        <v>9.9990000000000006</v>
      </c>
    </row>
    <row r="2624" spans="1:8" ht="112.5" customHeight="1" x14ac:dyDescent="0.15">
      <c r="A2624" s="54">
        <v>2616</v>
      </c>
      <c r="B2624" s="55" t="s">
        <v>4334</v>
      </c>
      <c r="C2624" s="55" t="s">
        <v>11293</v>
      </c>
      <c r="D2624" s="56" t="s">
        <v>11294</v>
      </c>
      <c r="E2624" s="2"/>
      <c r="F2624" s="57"/>
      <c r="G2624" s="64" t="s">
        <v>11295</v>
      </c>
      <c r="H2624" s="59">
        <v>10</v>
      </c>
    </row>
    <row r="2625" spans="1:8" ht="112.5" customHeight="1" x14ac:dyDescent="0.15">
      <c r="A2625" s="60">
        <v>2615</v>
      </c>
      <c r="B2625" s="30" t="s">
        <v>3533</v>
      </c>
      <c r="C2625" s="30" t="s">
        <v>11296</v>
      </c>
      <c r="D2625" s="61" t="s">
        <v>11297</v>
      </c>
      <c r="E2625" s="2"/>
      <c r="F2625" s="57"/>
      <c r="G2625" s="63" t="s">
        <v>11298</v>
      </c>
      <c r="H2625" s="59">
        <v>9.9979999999999993</v>
      </c>
    </row>
    <row r="2626" spans="1:8" ht="112.5" customHeight="1" x14ac:dyDescent="0.15">
      <c r="A2626" s="54">
        <v>2730</v>
      </c>
      <c r="B2626" s="55" t="s">
        <v>3801</v>
      </c>
      <c r="C2626" s="55" t="s">
        <v>11299</v>
      </c>
      <c r="D2626" s="56" t="s">
        <v>11300</v>
      </c>
      <c r="E2626" s="2"/>
      <c r="F2626" s="57"/>
      <c r="G2626" s="64" t="s">
        <v>11301</v>
      </c>
      <c r="H2626" s="59">
        <v>9.9979999999999993</v>
      </c>
    </row>
    <row r="2627" spans="1:8" ht="112.5" customHeight="1" x14ac:dyDescent="0.15">
      <c r="A2627" s="60">
        <v>2729</v>
      </c>
      <c r="B2627" s="30" t="s">
        <v>3502</v>
      </c>
      <c r="C2627" s="30" t="s">
        <v>11302</v>
      </c>
      <c r="D2627" s="61" t="s">
        <v>11303</v>
      </c>
      <c r="E2627" s="2"/>
      <c r="F2627" s="57"/>
      <c r="G2627" s="63" t="s">
        <v>11304</v>
      </c>
      <c r="H2627" s="59">
        <v>9.9760000000000009</v>
      </c>
    </row>
    <row r="2628" spans="1:8" ht="112.5" customHeight="1" x14ac:dyDescent="0.15">
      <c r="A2628" s="54">
        <v>2728</v>
      </c>
      <c r="B2628" s="55" t="s">
        <v>3549</v>
      </c>
      <c r="C2628" s="55" t="s">
        <v>11305</v>
      </c>
      <c r="D2628" s="56" t="s">
        <v>11306</v>
      </c>
      <c r="E2628" s="2"/>
      <c r="F2628" s="57"/>
      <c r="G2628" s="64" t="s">
        <v>11307</v>
      </c>
      <c r="H2628" s="59">
        <v>999.99800000000005</v>
      </c>
    </row>
    <row r="2629" spans="1:8" ht="112.5" customHeight="1" x14ac:dyDescent="0.15">
      <c r="A2629" s="60">
        <v>2727</v>
      </c>
      <c r="B2629" s="30" t="s">
        <v>3502</v>
      </c>
      <c r="C2629" s="30" t="s">
        <v>11308</v>
      </c>
      <c r="D2629" s="61" t="s">
        <v>11309</v>
      </c>
      <c r="E2629" s="2"/>
      <c r="F2629" s="57"/>
      <c r="G2629" s="63" t="s">
        <v>11310</v>
      </c>
      <c r="H2629" s="59">
        <v>9.8520000000000003</v>
      </c>
    </row>
    <row r="2630" spans="1:8" ht="112.5" customHeight="1" x14ac:dyDescent="0.15">
      <c r="A2630" s="54">
        <v>2726</v>
      </c>
      <c r="B2630" s="55" t="s">
        <v>3549</v>
      </c>
      <c r="C2630" s="55" t="s">
        <v>11311</v>
      </c>
      <c r="D2630" s="56" t="s">
        <v>11312</v>
      </c>
      <c r="E2630" s="2"/>
      <c r="F2630" s="57"/>
      <c r="G2630" s="64" t="s">
        <v>11313</v>
      </c>
      <c r="H2630" s="59">
        <v>9.9979999999999993</v>
      </c>
    </row>
    <row r="2631" spans="1:8" ht="112.5" customHeight="1" x14ac:dyDescent="0.15">
      <c r="A2631" s="60">
        <v>2725</v>
      </c>
      <c r="B2631" s="30" t="s">
        <v>3509</v>
      </c>
      <c r="C2631" s="30" t="s">
        <v>11314</v>
      </c>
      <c r="D2631" s="61" t="s">
        <v>11315</v>
      </c>
      <c r="E2631" s="2"/>
      <c r="F2631" s="57"/>
      <c r="G2631" s="63" t="s">
        <v>11316</v>
      </c>
      <c r="H2631" s="59">
        <v>9.9860000000000007</v>
      </c>
    </row>
    <row r="2632" spans="1:8" ht="112.5" customHeight="1" x14ac:dyDescent="0.15">
      <c r="A2632" s="54">
        <v>2724</v>
      </c>
      <c r="B2632" s="55" t="s">
        <v>3509</v>
      </c>
      <c r="C2632" s="55" t="s">
        <v>11317</v>
      </c>
      <c r="D2632" s="56" t="s">
        <v>11318</v>
      </c>
      <c r="E2632" s="2"/>
      <c r="F2632" s="57"/>
      <c r="G2632" s="64" t="s">
        <v>11319</v>
      </c>
      <c r="H2632" s="59">
        <v>10</v>
      </c>
    </row>
    <row r="2633" spans="1:8" ht="112.5" customHeight="1" x14ac:dyDescent="0.15">
      <c r="A2633" s="60">
        <v>2723</v>
      </c>
      <c r="B2633" s="30" t="s">
        <v>3509</v>
      </c>
      <c r="C2633" s="30" t="s">
        <v>11320</v>
      </c>
      <c r="D2633" s="61" t="s">
        <v>11321</v>
      </c>
      <c r="E2633" s="2"/>
      <c r="F2633" s="57"/>
      <c r="G2633" s="63" t="s">
        <v>11322</v>
      </c>
      <c r="H2633" s="59">
        <v>10</v>
      </c>
    </row>
    <row r="2634" spans="1:8" ht="112.5" customHeight="1" x14ac:dyDescent="0.15">
      <c r="A2634" s="54">
        <v>2722</v>
      </c>
      <c r="B2634" s="55" t="s">
        <v>3670</v>
      </c>
      <c r="C2634" s="55" t="s">
        <v>11323</v>
      </c>
      <c r="D2634" s="56" t="s">
        <v>11324</v>
      </c>
      <c r="E2634" s="2"/>
      <c r="F2634" s="57"/>
      <c r="G2634" s="64" t="s">
        <v>11325</v>
      </c>
      <c r="H2634" s="59">
        <v>9.9079999999999995</v>
      </c>
    </row>
    <row r="2635" spans="1:8" ht="112.5" customHeight="1" x14ac:dyDescent="0.15">
      <c r="A2635" s="60">
        <v>2721</v>
      </c>
      <c r="B2635" s="30" t="s">
        <v>3502</v>
      </c>
      <c r="C2635" s="30" t="s">
        <v>11326</v>
      </c>
      <c r="D2635" s="61" t="s">
        <v>11327</v>
      </c>
      <c r="E2635" s="2"/>
      <c r="F2635" s="57"/>
      <c r="G2635" s="63" t="s">
        <v>11328</v>
      </c>
      <c r="H2635" s="59">
        <v>0</v>
      </c>
    </row>
    <row r="2636" spans="1:8" ht="112.5" customHeight="1" x14ac:dyDescent="0.15">
      <c r="A2636" s="54">
        <v>2720</v>
      </c>
      <c r="B2636" s="55" t="s">
        <v>3492</v>
      </c>
      <c r="C2636" s="55" t="s">
        <v>11329</v>
      </c>
      <c r="D2636" s="56" t="s">
        <v>11330</v>
      </c>
      <c r="E2636" s="2"/>
      <c r="F2636" s="57"/>
      <c r="G2636" s="64" t="s">
        <v>11331</v>
      </c>
      <c r="H2636" s="59">
        <v>9.9960000000000004</v>
      </c>
    </row>
    <row r="2637" spans="1:8" ht="112.5" customHeight="1" x14ac:dyDescent="0.15">
      <c r="A2637" s="60">
        <v>2719</v>
      </c>
      <c r="B2637" s="30" t="s">
        <v>4334</v>
      </c>
      <c r="C2637" s="30" t="s">
        <v>11332</v>
      </c>
      <c r="D2637" s="61" t="s">
        <v>11333</v>
      </c>
      <c r="E2637" s="2"/>
      <c r="F2637" s="57"/>
      <c r="G2637" s="63" t="s">
        <v>11334</v>
      </c>
      <c r="H2637" s="59">
        <v>10</v>
      </c>
    </row>
    <row r="2638" spans="1:8" ht="112.5" customHeight="1" x14ac:dyDescent="0.15">
      <c r="A2638" s="54">
        <v>2718</v>
      </c>
      <c r="B2638" s="55" t="s">
        <v>4334</v>
      </c>
      <c r="C2638" s="55" t="s">
        <v>11335</v>
      </c>
      <c r="D2638" s="56" t="s">
        <v>11336</v>
      </c>
      <c r="E2638" s="2"/>
      <c r="F2638" s="57"/>
      <c r="G2638" s="64" t="s">
        <v>11337</v>
      </c>
      <c r="H2638" s="59">
        <v>10</v>
      </c>
    </row>
    <row r="2639" spans="1:8" ht="112.5" customHeight="1" x14ac:dyDescent="0.15">
      <c r="A2639" s="60">
        <v>2717</v>
      </c>
      <c r="B2639" s="30" t="s">
        <v>4334</v>
      </c>
      <c r="C2639" s="30" t="s">
        <v>11338</v>
      </c>
      <c r="D2639" s="61" t="s">
        <v>11339</v>
      </c>
      <c r="E2639" s="2"/>
      <c r="F2639" s="57"/>
      <c r="G2639" s="63" t="s">
        <v>11340</v>
      </c>
      <c r="H2639" s="59">
        <v>108.821</v>
      </c>
    </row>
    <row r="2640" spans="1:8" ht="112.5" customHeight="1" x14ac:dyDescent="0.15">
      <c r="A2640" s="54">
        <v>2716</v>
      </c>
      <c r="B2640" s="55" t="s">
        <v>4334</v>
      </c>
      <c r="C2640" s="55" t="s">
        <v>11341</v>
      </c>
      <c r="D2640" s="56" t="s">
        <v>11342</v>
      </c>
      <c r="E2640" s="2"/>
      <c r="F2640" s="57"/>
      <c r="G2640" s="64" t="s">
        <v>11343</v>
      </c>
      <c r="H2640" s="59">
        <v>10</v>
      </c>
    </row>
    <row r="2641" spans="1:8" ht="112.5" customHeight="1" x14ac:dyDescent="0.15">
      <c r="A2641" s="60">
        <v>2715</v>
      </c>
      <c r="B2641" s="30" t="s">
        <v>4334</v>
      </c>
      <c r="C2641" s="30" t="s">
        <v>11344</v>
      </c>
      <c r="D2641" s="61" t="s">
        <v>11345</v>
      </c>
      <c r="E2641" s="2"/>
      <c r="F2641" s="57"/>
      <c r="G2641" s="63" t="s">
        <v>11346</v>
      </c>
      <c r="H2641" s="59">
        <v>9.9909999999999997</v>
      </c>
    </row>
    <row r="2642" spans="1:8" ht="112.5" customHeight="1" x14ac:dyDescent="0.15">
      <c r="A2642" s="54">
        <v>2714</v>
      </c>
      <c r="B2642" s="55" t="s">
        <v>4334</v>
      </c>
      <c r="C2642" s="55" t="s">
        <v>11347</v>
      </c>
      <c r="D2642" s="56" t="s">
        <v>11348</v>
      </c>
      <c r="E2642" s="2"/>
      <c r="F2642" s="57"/>
      <c r="G2642" s="64" t="s">
        <v>11349</v>
      </c>
      <c r="H2642" s="59">
        <v>9.9990000000000006</v>
      </c>
    </row>
    <row r="2643" spans="1:8" ht="112.5" customHeight="1" x14ac:dyDescent="0.15">
      <c r="A2643" s="60">
        <v>2713</v>
      </c>
      <c r="B2643" s="30" t="s">
        <v>4334</v>
      </c>
      <c r="C2643" s="30" t="s">
        <v>11350</v>
      </c>
      <c r="D2643" s="61" t="s">
        <v>11351</v>
      </c>
      <c r="E2643" s="2"/>
      <c r="F2643" s="57"/>
      <c r="G2643" s="63" t="s">
        <v>11352</v>
      </c>
      <c r="H2643" s="59">
        <v>10</v>
      </c>
    </row>
    <row r="2644" spans="1:8" ht="112.5" customHeight="1" x14ac:dyDescent="0.15">
      <c r="A2644" s="54">
        <v>2712</v>
      </c>
      <c r="B2644" s="55" t="s">
        <v>4334</v>
      </c>
      <c r="C2644" s="55" t="s">
        <v>11353</v>
      </c>
      <c r="D2644" s="56" t="s">
        <v>11354</v>
      </c>
      <c r="E2644" s="2"/>
      <c r="F2644" s="57"/>
      <c r="G2644" s="64" t="s">
        <v>11355</v>
      </c>
      <c r="H2644" s="59">
        <v>10</v>
      </c>
    </row>
    <row r="2645" spans="1:8" ht="112.5" customHeight="1" x14ac:dyDescent="0.15">
      <c r="A2645" s="60">
        <v>2711</v>
      </c>
      <c r="B2645" s="30" t="s">
        <v>4334</v>
      </c>
      <c r="C2645" s="30" t="s">
        <v>11356</v>
      </c>
      <c r="D2645" s="61" t="s">
        <v>11357</v>
      </c>
      <c r="E2645" s="2"/>
      <c r="F2645" s="57"/>
      <c r="G2645" s="63" t="s">
        <v>11358</v>
      </c>
      <c r="H2645" s="59">
        <v>10</v>
      </c>
    </row>
    <row r="2646" spans="1:8" ht="112.5" customHeight="1" x14ac:dyDescent="0.15">
      <c r="A2646" s="60">
        <v>2705</v>
      </c>
      <c r="B2646" s="30" t="s">
        <v>3492</v>
      </c>
      <c r="C2646" s="30" t="s">
        <v>11359</v>
      </c>
      <c r="D2646" s="61" t="s">
        <v>11360</v>
      </c>
      <c r="E2646" s="2"/>
      <c r="F2646" s="57"/>
      <c r="G2646" s="64" t="s">
        <v>11361</v>
      </c>
      <c r="H2646" s="59">
        <v>10</v>
      </c>
    </row>
    <row r="2647" spans="1:8" ht="112.5" customHeight="1" x14ac:dyDescent="0.15">
      <c r="A2647" s="54">
        <v>2704</v>
      </c>
      <c r="B2647" s="55" t="s">
        <v>3509</v>
      </c>
      <c r="C2647" s="55" t="s">
        <v>11362</v>
      </c>
      <c r="D2647" s="56" t="s">
        <v>11363</v>
      </c>
      <c r="E2647" s="2"/>
      <c r="F2647" s="57"/>
      <c r="G2647" s="63" t="s">
        <v>11364</v>
      </c>
      <c r="H2647" s="59">
        <v>0</v>
      </c>
    </row>
    <row r="2648" spans="1:8" ht="112.5" customHeight="1" x14ac:dyDescent="0.15">
      <c r="A2648" s="60">
        <v>2703</v>
      </c>
      <c r="B2648" s="30" t="s">
        <v>3599</v>
      </c>
      <c r="C2648" s="30" t="s">
        <v>11365</v>
      </c>
      <c r="D2648" s="61" t="s">
        <v>11366</v>
      </c>
      <c r="E2648" s="2"/>
      <c r="F2648" s="57"/>
      <c r="G2648" s="64" t="s">
        <v>4791</v>
      </c>
      <c r="H2648" s="59">
        <v>0</v>
      </c>
    </row>
    <row r="2649" spans="1:8" ht="112.5" customHeight="1" x14ac:dyDescent="0.15">
      <c r="A2649" s="54">
        <v>2702</v>
      </c>
      <c r="B2649" s="55" t="s">
        <v>3599</v>
      </c>
      <c r="C2649" s="55" t="s">
        <v>11367</v>
      </c>
      <c r="D2649" s="56" t="s">
        <v>11368</v>
      </c>
      <c r="E2649" s="2"/>
      <c r="F2649" s="57"/>
      <c r="G2649" s="63" t="s">
        <v>11369</v>
      </c>
      <c r="H2649" s="59">
        <v>9.9920000000000009</v>
      </c>
    </row>
    <row r="2650" spans="1:8" ht="112.5" customHeight="1" x14ac:dyDescent="0.15">
      <c r="A2650" s="60">
        <v>2701</v>
      </c>
      <c r="B2650" s="30" t="s">
        <v>3502</v>
      </c>
      <c r="C2650" s="30" t="s">
        <v>11370</v>
      </c>
      <c r="D2650" s="61" t="s">
        <v>11371</v>
      </c>
      <c r="E2650" s="2"/>
      <c r="F2650" s="57"/>
      <c r="G2650" s="64" t="s">
        <v>11372</v>
      </c>
      <c r="H2650" s="59">
        <v>9.9960000000000004</v>
      </c>
    </row>
    <row r="2651" spans="1:8" ht="112.5" customHeight="1" x14ac:dyDescent="0.15">
      <c r="A2651" s="54">
        <v>2700</v>
      </c>
      <c r="B2651" s="55" t="s">
        <v>3822</v>
      </c>
      <c r="C2651" s="55" t="s">
        <v>11373</v>
      </c>
      <c r="D2651" s="56" t="s">
        <v>11374</v>
      </c>
      <c r="E2651" s="2"/>
      <c r="F2651" s="57"/>
      <c r="G2651" s="63" t="s">
        <v>11375</v>
      </c>
      <c r="H2651" s="59">
        <v>9.9339999999999993</v>
      </c>
    </row>
    <row r="2652" spans="1:8" ht="112.5" customHeight="1" x14ac:dyDescent="0.15">
      <c r="A2652" s="60">
        <v>2699</v>
      </c>
      <c r="B2652" s="30" t="s">
        <v>3513</v>
      </c>
      <c r="C2652" s="30" t="s">
        <v>11376</v>
      </c>
      <c r="D2652" s="61" t="s">
        <v>11377</v>
      </c>
      <c r="E2652" s="2"/>
      <c r="F2652" s="57"/>
      <c r="G2652" s="64" t="s">
        <v>11378</v>
      </c>
      <c r="H2652" s="59">
        <v>10</v>
      </c>
    </row>
    <row r="2653" spans="1:8" ht="112.5" customHeight="1" x14ac:dyDescent="0.15">
      <c r="A2653" s="54">
        <v>2698</v>
      </c>
      <c r="B2653" s="55" t="s">
        <v>3898</v>
      </c>
      <c r="C2653" s="55" t="s">
        <v>11379</v>
      </c>
      <c r="D2653" s="56" t="s">
        <v>11380</v>
      </c>
      <c r="E2653" s="2"/>
      <c r="F2653" s="57"/>
      <c r="G2653" s="63" t="s">
        <v>11381</v>
      </c>
      <c r="H2653" s="59">
        <v>9.99</v>
      </c>
    </row>
    <row r="2654" spans="1:8" ht="112.5" customHeight="1" x14ac:dyDescent="0.15">
      <c r="A2654" s="60">
        <v>2697</v>
      </c>
      <c r="B2654" s="30" t="s">
        <v>3492</v>
      </c>
      <c r="C2654" s="30" t="s">
        <v>11382</v>
      </c>
      <c r="D2654" s="61" t="s">
        <v>11383</v>
      </c>
      <c r="E2654" s="2"/>
      <c r="F2654" s="57"/>
      <c r="G2654" s="64" t="s">
        <v>11384</v>
      </c>
      <c r="H2654" s="59">
        <v>10</v>
      </c>
    </row>
    <row r="2655" spans="1:8" ht="112.5" customHeight="1" x14ac:dyDescent="0.15">
      <c r="A2655" s="54">
        <v>2696</v>
      </c>
      <c r="B2655" s="55" t="s">
        <v>3492</v>
      </c>
      <c r="C2655" s="55" t="s">
        <v>11385</v>
      </c>
      <c r="D2655" s="56" t="s">
        <v>11386</v>
      </c>
      <c r="E2655" s="2"/>
      <c r="F2655" s="57"/>
      <c r="G2655" s="63" t="s">
        <v>11387</v>
      </c>
      <c r="H2655" s="59">
        <v>9.9990000000000006</v>
      </c>
    </row>
    <row r="2656" spans="1:8" ht="112.5" customHeight="1" x14ac:dyDescent="0.15">
      <c r="A2656" s="60">
        <v>2695</v>
      </c>
      <c r="B2656" s="30" t="s">
        <v>3526</v>
      </c>
      <c r="C2656" s="30" t="s">
        <v>11388</v>
      </c>
      <c r="D2656" s="61" t="s">
        <v>11389</v>
      </c>
      <c r="E2656" s="2"/>
      <c r="F2656" s="57"/>
      <c r="G2656" s="64" t="s">
        <v>11390</v>
      </c>
      <c r="H2656" s="59">
        <v>10</v>
      </c>
    </row>
    <row r="2657" spans="1:8" ht="112.5" customHeight="1" x14ac:dyDescent="0.15">
      <c r="A2657" s="54">
        <v>2694</v>
      </c>
      <c r="B2657" s="55" t="s">
        <v>3630</v>
      </c>
      <c r="C2657" s="55" t="s">
        <v>11391</v>
      </c>
      <c r="D2657" s="56" t="s">
        <v>11392</v>
      </c>
      <c r="E2657" s="2"/>
      <c r="F2657" s="57"/>
      <c r="G2657" s="63" t="s">
        <v>11393</v>
      </c>
      <c r="H2657" s="59">
        <v>9.9930000000000003</v>
      </c>
    </row>
    <row r="2658" spans="1:8" ht="112.5" customHeight="1" x14ac:dyDescent="0.15">
      <c r="A2658" s="60">
        <v>2693</v>
      </c>
      <c r="B2658" s="30" t="s">
        <v>3513</v>
      </c>
      <c r="C2658" s="30" t="s">
        <v>11394</v>
      </c>
      <c r="D2658" s="61" t="s">
        <v>11395</v>
      </c>
      <c r="E2658" s="2"/>
      <c r="F2658" s="57"/>
      <c r="G2658" s="64" t="s">
        <v>11396</v>
      </c>
      <c r="H2658" s="59">
        <v>10</v>
      </c>
    </row>
    <row r="2659" spans="1:8" ht="112.5" customHeight="1" x14ac:dyDescent="0.15">
      <c r="A2659" s="54">
        <v>2692</v>
      </c>
      <c r="B2659" s="55" t="s">
        <v>3670</v>
      </c>
      <c r="C2659" s="55" t="s">
        <v>11397</v>
      </c>
      <c r="D2659" s="56" t="s">
        <v>11398</v>
      </c>
      <c r="E2659" s="2"/>
      <c r="F2659" s="57"/>
      <c r="G2659" s="63" t="s">
        <v>4788</v>
      </c>
      <c r="H2659" s="59">
        <v>9.9789999999999992</v>
      </c>
    </row>
    <row r="2660" spans="1:8" ht="112.5" customHeight="1" x14ac:dyDescent="0.15">
      <c r="A2660" s="60">
        <v>2691</v>
      </c>
      <c r="B2660" s="30" t="s">
        <v>3670</v>
      </c>
      <c r="C2660" s="30" t="s">
        <v>11399</v>
      </c>
      <c r="D2660" s="61" t="s">
        <v>11400</v>
      </c>
      <c r="E2660" s="2"/>
      <c r="F2660" s="57"/>
      <c r="G2660" s="64" t="s">
        <v>4785</v>
      </c>
      <c r="H2660" s="59">
        <v>9.9870000000000001</v>
      </c>
    </row>
    <row r="2661" spans="1:8" ht="112.5" customHeight="1" x14ac:dyDescent="0.15">
      <c r="A2661" s="54">
        <v>2690</v>
      </c>
      <c r="B2661" s="55" t="s">
        <v>3801</v>
      </c>
      <c r="C2661" s="55" t="s">
        <v>11401</v>
      </c>
      <c r="D2661" s="56" t="s">
        <v>11402</v>
      </c>
      <c r="E2661" s="2"/>
      <c r="F2661" s="57"/>
      <c r="G2661" s="63" t="s">
        <v>11403</v>
      </c>
      <c r="H2661" s="59">
        <v>10</v>
      </c>
    </row>
    <row r="2662" spans="1:8" ht="112.5" customHeight="1" x14ac:dyDescent="0.15">
      <c r="A2662" s="60">
        <v>2689</v>
      </c>
      <c r="B2662" s="30" t="s">
        <v>3801</v>
      </c>
      <c r="C2662" s="30" t="s">
        <v>11404</v>
      </c>
      <c r="D2662" s="61" t="s">
        <v>11405</v>
      </c>
      <c r="E2662" s="2"/>
      <c r="F2662" s="57"/>
      <c r="G2662" s="64" t="s">
        <v>11406</v>
      </c>
      <c r="H2662" s="59">
        <v>9.9990000000000006</v>
      </c>
    </row>
    <row r="2663" spans="1:8" ht="112.5" customHeight="1" x14ac:dyDescent="0.15">
      <c r="A2663" s="54">
        <v>2688</v>
      </c>
      <c r="B2663" s="55" t="s">
        <v>3801</v>
      </c>
      <c r="C2663" s="55" t="s">
        <v>11407</v>
      </c>
      <c r="D2663" s="56" t="s">
        <v>11408</v>
      </c>
      <c r="E2663" s="2"/>
      <c r="F2663" s="57"/>
      <c r="G2663" s="63" t="s">
        <v>11409</v>
      </c>
      <c r="H2663" s="59">
        <v>10</v>
      </c>
    </row>
    <row r="2664" spans="1:8" ht="112.5" customHeight="1" x14ac:dyDescent="0.15">
      <c r="A2664" s="60">
        <v>2687</v>
      </c>
      <c r="B2664" s="30" t="s">
        <v>3801</v>
      </c>
      <c r="C2664" s="30" t="s">
        <v>11410</v>
      </c>
      <c r="D2664" s="61" t="s">
        <v>11411</v>
      </c>
      <c r="E2664" s="2"/>
      <c r="F2664" s="57"/>
      <c r="G2664" s="64" t="s">
        <v>11412</v>
      </c>
      <c r="H2664" s="59">
        <v>0</v>
      </c>
    </row>
    <row r="2665" spans="1:8" ht="112.5" customHeight="1" x14ac:dyDescent="0.15">
      <c r="A2665" s="54">
        <v>2686</v>
      </c>
      <c r="B2665" s="55" t="s">
        <v>3801</v>
      </c>
      <c r="C2665" s="55" t="s">
        <v>11413</v>
      </c>
      <c r="D2665" s="56" t="s">
        <v>11414</v>
      </c>
      <c r="E2665" s="2"/>
      <c r="F2665" s="57"/>
      <c r="G2665" s="63" t="s">
        <v>11415</v>
      </c>
      <c r="H2665" s="59">
        <v>10</v>
      </c>
    </row>
    <row r="2666" spans="1:8" ht="112.5" customHeight="1" x14ac:dyDescent="0.15">
      <c r="A2666" s="60">
        <v>2685</v>
      </c>
      <c r="B2666" s="30" t="s">
        <v>3801</v>
      </c>
      <c r="C2666" s="30" t="s">
        <v>11416</v>
      </c>
      <c r="D2666" s="61" t="s">
        <v>11417</v>
      </c>
      <c r="E2666" s="2"/>
      <c r="F2666" s="57"/>
      <c r="G2666" s="64" t="s">
        <v>11418</v>
      </c>
      <c r="H2666" s="59">
        <v>10</v>
      </c>
    </row>
    <row r="2667" spans="1:8" ht="112.5" customHeight="1" x14ac:dyDescent="0.15">
      <c r="A2667" s="54">
        <v>2684</v>
      </c>
      <c r="B2667" s="55" t="s">
        <v>3492</v>
      </c>
      <c r="C2667" s="55" t="s">
        <v>11419</v>
      </c>
      <c r="D2667" s="56" t="s">
        <v>11420</v>
      </c>
      <c r="E2667" s="2"/>
      <c r="F2667" s="57"/>
      <c r="G2667" s="63" t="s">
        <v>11421</v>
      </c>
      <c r="H2667" s="59">
        <v>9.9969999999999999</v>
      </c>
    </row>
    <row r="2668" spans="1:8" ht="112.5" customHeight="1" x14ac:dyDescent="0.15">
      <c r="A2668" s="60">
        <v>2683</v>
      </c>
      <c r="B2668" s="30" t="s">
        <v>3492</v>
      </c>
      <c r="C2668" s="30" t="s">
        <v>11422</v>
      </c>
      <c r="D2668" s="61" t="s">
        <v>11423</v>
      </c>
      <c r="E2668" s="2"/>
      <c r="F2668" s="57"/>
      <c r="G2668" s="64" t="s">
        <v>11424</v>
      </c>
      <c r="H2668" s="59">
        <v>0</v>
      </c>
    </row>
    <row r="2669" spans="1:8" ht="112.5" customHeight="1" x14ac:dyDescent="0.15">
      <c r="A2669" s="54">
        <v>2682</v>
      </c>
      <c r="B2669" s="55" t="s">
        <v>3492</v>
      </c>
      <c r="C2669" s="55" t="s">
        <v>11425</v>
      </c>
      <c r="D2669" s="56" t="s">
        <v>11426</v>
      </c>
      <c r="E2669" s="2"/>
      <c r="F2669" s="57"/>
      <c r="G2669" s="63" t="s">
        <v>11427</v>
      </c>
      <c r="H2669" s="59">
        <v>9.9350000000000005</v>
      </c>
    </row>
    <row r="2670" spans="1:8" ht="112.5" customHeight="1" x14ac:dyDescent="0.15">
      <c r="A2670" s="60">
        <v>2681</v>
      </c>
      <c r="B2670" s="30" t="s">
        <v>3492</v>
      </c>
      <c r="C2670" s="30" t="s">
        <v>11428</v>
      </c>
      <c r="D2670" s="61" t="s">
        <v>11429</v>
      </c>
      <c r="E2670" s="2"/>
      <c r="F2670" s="57"/>
      <c r="G2670" s="64" t="s">
        <v>11430</v>
      </c>
      <c r="H2670" s="59">
        <v>10</v>
      </c>
    </row>
    <row r="2671" spans="1:8" ht="112.5" customHeight="1" x14ac:dyDescent="0.15">
      <c r="A2671" s="54">
        <v>2680</v>
      </c>
      <c r="B2671" s="55" t="s">
        <v>3496</v>
      </c>
      <c r="C2671" s="55" t="s">
        <v>11431</v>
      </c>
      <c r="D2671" s="56" t="s">
        <v>11432</v>
      </c>
      <c r="E2671" s="2"/>
      <c r="F2671" s="57"/>
      <c r="G2671" s="63" t="s">
        <v>11433</v>
      </c>
      <c r="H2671" s="59">
        <v>0</v>
      </c>
    </row>
    <row r="2672" spans="1:8" ht="112.5" customHeight="1" x14ac:dyDescent="0.15">
      <c r="A2672" s="60">
        <v>2679</v>
      </c>
      <c r="B2672" s="30" t="s">
        <v>3556</v>
      </c>
      <c r="C2672" s="30" t="s">
        <v>11434</v>
      </c>
      <c r="D2672" s="61" t="s">
        <v>11435</v>
      </c>
      <c r="E2672" s="2"/>
      <c r="F2672" s="57"/>
      <c r="G2672" s="64" t="s">
        <v>11436</v>
      </c>
      <c r="H2672" s="59">
        <v>9.9649999999999999</v>
      </c>
    </row>
    <row r="2673" spans="1:8" ht="112.5" customHeight="1" x14ac:dyDescent="0.15">
      <c r="A2673" s="54">
        <v>2678</v>
      </c>
      <c r="B2673" s="55" t="s">
        <v>3556</v>
      </c>
      <c r="C2673" s="55" t="s">
        <v>11437</v>
      </c>
      <c r="D2673" s="56" t="s">
        <v>11438</v>
      </c>
      <c r="E2673" s="2"/>
      <c r="F2673" s="57"/>
      <c r="G2673" s="63" t="s">
        <v>11439</v>
      </c>
      <c r="H2673" s="59">
        <v>9.9819999999999993</v>
      </c>
    </row>
    <row r="2674" spans="1:8" ht="112.5" customHeight="1" x14ac:dyDescent="0.15">
      <c r="A2674" s="60">
        <v>2677</v>
      </c>
      <c r="B2674" s="30" t="s">
        <v>3556</v>
      </c>
      <c r="C2674" s="30" t="s">
        <v>11440</v>
      </c>
      <c r="D2674" s="61" t="s">
        <v>11441</v>
      </c>
      <c r="E2674" s="2"/>
      <c r="F2674" s="57"/>
      <c r="G2674" s="64" t="s">
        <v>11442</v>
      </c>
      <c r="H2674" s="59">
        <v>9.8260000000000005</v>
      </c>
    </row>
    <row r="2675" spans="1:8" ht="112.5" customHeight="1" x14ac:dyDescent="0.15">
      <c r="A2675" s="54">
        <v>2676</v>
      </c>
      <c r="B2675" s="55" t="s">
        <v>3492</v>
      </c>
      <c r="C2675" s="55" t="s">
        <v>11443</v>
      </c>
      <c r="D2675" s="56" t="s">
        <v>11444</v>
      </c>
      <c r="E2675" s="2"/>
      <c r="F2675" s="57"/>
      <c r="G2675" s="63" t="s">
        <v>11445</v>
      </c>
      <c r="H2675" s="59">
        <v>10</v>
      </c>
    </row>
    <row r="2676" spans="1:8" ht="112.5" customHeight="1" x14ac:dyDescent="0.15">
      <c r="A2676" s="60">
        <v>2675</v>
      </c>
      <c r="B2676" s="30" t="s">
        <v>3509</v>
      </c>
      <c r="C2676" s="30" t="s">
        <v>11446</v>
      </c>
      <c r="D2676" s="61" t="s">
        <v>11447</v>
      </c>
      <c r="E2676" s="2"/>
      <c r="F2676" s="57"/>
      <c r="G2676" s="64" t="s">
        <v>11448</v>
      </c>
      <c r="H2676" s="59">
        <v>10</v>
      </c>
    </row>
    <row r="2677" spans="1:8" ht="112.5" customHeight="1" x14ac:dyDescent="0.15">
      <c r="A2677" s="54">
        <v>2674</v>
      </c>
      <c r="B2677" s="55" t="s">
        <v>3509</v>
      </c>
      <c r="C2677" s="55" t="s">
        <v>11449</v>
      </c>
      <c r="D2677" s="56" t="s">
        <v>11450</v>
      </c>
      <c r="E2677" s="2"/>
      <c r="F2677" s="57"/>
      <c r="G2677" s="63" t="s">
        <v>11451</v>
      </c>
      <c r="H2677" s="59">
        <v>10</v>
      </c>
    </row>
    <row r="2678" spans="1:8" ht="112.5" customHeight="1" x14ac:dyDescent="0.15">
      <c r="A2678" s="60">
        <v>2673</v>
      </c>
      <c r="B2678" s="30" t="s">
        <v>3492</v>
      </c>
      <c r="C2678" s="30" t="s">
        <v>11452</v>
      </c>
      <c r="D2678" s="61" t="s">
        <v>11453</v>
      </c>
      <c r="E2678" s="2"/>
      <c r="F2678" s="57"/>
      <c r="G2678" s="64" t="s">
        <v>11454</v>
      </c>
      <c r="H2678" s="59">
        <v>10</v>
      </c>
    </row>
    <row r="2679" spans="1:8" ht="112.5" customHeight="1" x14ac:dyDescent="0.15">
      <c r="A2679" s="54">
        <v>2672</v>
      </c>
      <c r="B2679" s="55" t="s">
        <v>3513</v>
      </c>
      <c r="C2679" s="55" t="s">
        <v>11455</v>
      </c>
      <c r="D2679" s="56" t="s">
        <v>11456</v>
      </c>
      <c r="E2679" s="2"/>
      <c r="F2679" s="57"/>
      <c r="G2679" s="63" t="s">
        <v>11457</v>
      </c>
      <c r="H2679" s="59">
        <v>9.9719999999999995</v>
      </c>
    </row>
    <row r="2680" spans="1:8" ht="112.5" customHeight="1" x14ac:dyDescent="0.15">
      <c r="A2680" s="60">
        <v>2671</v>
      </c>
      <c r="B2680" s="30" t="s">
        <v>3556</v>
      </c>
      <c r="C2680" s="30" t="s">
        <v>11458</v>
      </c>
      <c r="D2680" s="61" t="s">
        <v>11459</v>
      </c>
      <c r="E2680" s="2"/>
      <c r="F2680" s="57"/>
      <c r="G2680" s="64" t="s">
        <v>11460</v>
      </c>
      <c r="H2680" s="59">
        <v>10</v>
      </c>
    </row>
    <row r="2681" spans="1:8" ht="112.5" customHeight="1" x14ac:dyDescent="0.15">
      <c r="A2681" s="54">
        <v>2670</v>
      </c>
      <c r="B2681" s="55" t="s">
        <v>3556</v>
      </c>
      <c r="C2681" s="55" t="s">
        <v>11461</v>
      </c>
      <c r="D2681" s="56" t="s">
        <v>11462</v>
      </c>
      <c r="E2681" s="2"/>
      <c r="F2681" s="57"/>
      <c r="G2681" s="63" t="s">
        <v>11463</v>
      </c>
      <c r="H2681" s="59">
        <v>10</v>
      </c>
    </row>
    <row r="2682" spans="1:8" ht="112.5" customHeight="1" x14ac:dyDescent="0.15">
      <c r="A2682" s="60">
        <v>2669</v>
      </c>
      <c r="B2682" s="30" t="s">
        <v>3556</v>
      </c>
      <c r="C2682" s="30" t="s">
        <v>11464</v>
      </c>
      <c r="D2682" s="61" t="s">
        <v>11465</v>
      </c>
      <c r="E2682" s="2"/>
      <c r="F2682" s="57"/>
      <c r="G2682" s="64" t="s">
        <v>11466</v>
      </c>
      <c r="H2682" s="59">
        <v>10</v>
      </c>
    </row>
    <row r="2683" spans="1:8" ht="112.5" customHeight="1" x14ac:dyDescent="0.15">
      <c r="A2683" s="60">
        <v>2667</v>
      </c>
      <c r="B2683" s="30" t="s">
        <v>3556</v>
      </c>
      <c r="C2683" s="30" t="s">
        <v>11467</v>
      </c>
      <c r="D2683" s="61" t="s">
        <v>11468</v>
      </c>
      <c r="E2683" s="2"/>
      <c r="F2683" s="57"/>
      <c r="G2683" s="63" t="s">
        <v>11469</v>
      </c>
      <c r="H2683" s="59">
        <v>10</v>
      </c>
    </row>
    <row r="2684" spans="1:8" ht="112.5" customHeight="1" x14ac:dyDescent="0.15">
      <c r="A2684" s="60">
        <v>2665</v>
      </c>
      <c r="B2684" s="30" t="s">
        <v>3496</v>
      </c>
      <c r="C2684" s="30" t="s">
        <v>11470</v>
      </c>
      <c r="D2684" s="61" t="s">
        <v>11471</v>
      </c>
      <c r="E2684" s="2"/>
      <c r="F2684" s="57"/>
      <c r="G2684" s="64" t="s">
        <v>11472</v>
      </c>
      <c r="H2684" s="59">
        <v>9.8369999999999997</v>
      </c>
    </row>
    <row r="2685" spans="1:8" ht="112.5" customHeight="1" x14ac:dyDescent="0.15">
      <c r="A2685" s="54">
        <v>2664</v>
      </c>
      <c r="B2685" s="55" t="s">
        <v>3509</v>
      </c>
      <c r="C2685" s="55" t="s">
        <v>11473</v>
      </c>
      <c r="D2685" s="56" t="s">
        <v>11474</v>
      </c>
      <c r="E2685" s="2"/>
      <c r="F2685" s="57"/>
      <c r="G2685" s="63" t="s">
        <v>11475</v>
      </c>
      <c r="H2685" s="59">
        <v>9.9499999999999993</v>
      </c>
    </row>
    <row r="2686" spans="1:8" ht="112.5" customHeight="1" x14ac:dyDescent="0.15">
      <c r="A2686" s="54">
        <v>2708</v>
      </c>
      <c r="B2686" s="55" t="s">
        <v>3509</v>
      </c>
      <c r="C2686" s="55" t="s">
        <v>11476</v>
      </c>
      <c r="D2686" s="56" t="s">
        <v>11477</v>
      </c>
      <c r="E2686" s="2"/>
      <c r="F2686" s="57"/>
      <c r="G2686" s="64" t="s">
        <v>11478</v>
      </c>
      <c r="H2686" s="59">
        <v>9.9990000000000006</v>
      </c>
    </row>
    <row r="2687" spans="1:8" ht="112.5" customHeight="1" x14ac:dyDescent="0.15">
      <c r="A2687" s="60">
        <v>2707</v>
      </c>
      <c r="B2687" s="30" t="s">
        <v>3670</v>
      </c>
      <c r="C2687" s="30" t="s">
        <v>11479</v>
      </c>
      <c r="D2687" s="61" t="s">
        <v>11480</v>
      </c>
      <c r="E2687" s="2"/>
      <c r="F2687" s="57"/>
      <c r="G2687" s="63" t="s">
        <v>11481</v>
      </c>
      <c r="H2687" s="59">
        <v>9.9550000000000001</v>
      </c>
    </row>
    <row r="2688" spans="1:8" ht="112.5" customHeight="1" x14ac:dyDescent="0.15">
      <c r="A2688" s="60">
        <v>3101</v>
      </c>
      <c r="B2688" s="30" t="s">
        <v>3496</v>
      </c>
      <c r="C2688" s="30" t="s">
        <v>11482</v>
      </c>
      <c r="D2688" s="61" t="s">
        <v>11483</v>
      </c>
      <c r="E2688" s="2"/>
      <c r="F2688" s="57"/>
      <c r="G2688" s="64" t="s">
        <v>11484</v>
      </c>
      <c r="H2688" s="59">
        <v>10</v>
      </c>
    </row>
    <row r="2689" spans="1:8" ht="112.5" customHeight="1" x14ac:dyDescent="0.15">
      <c r="A2689" s="54">
        <v>2754</v>
      </c>
      <c r="B2689" s="55" t="s">
        <v>3496</v>
      </c>
      <c r="C2689" s="55" t="s">
        <v>11485</v>
      </c>
      <c r="D2689" s="56" t="s">
        <v>11486</v>
      </c>
      <c r="E2689" s="2"/>
      <c r="F2689" s="57"/>
      <c r="G2689" s="63" t="s">
        <v>11487</v>
      </c>
      <c r="H2689" s="59">
        <v>9.9990000000000006</v>
      </c>
    </row>
    <row r="2690" spans="1:8" ht="112.5" customHeight="1" x14ac:dyDescent="0.15">
      <c r="A2690" s="60">
        <v>2753</v>
      </c>
      <c r="B2690" s="30" t="s">
        <v>3496</v>
      </c>
      <c r="C2690" s="30" t="s">
        <v>11488</v>
      </c>
      <c r="D2690" s="61" t="s">
        <v>11489</v>
      </c>
      <c r="E2690" s="2"/>
      <c r="F2690" s="57"/>
      <c r="G2690" s="64" t="s">
        <v>11490</v>
      </c>
      <c r="H2690" s="59">
        <v>9.9849999999999994</v>
      </c>
    </row>
    <row r="2691" spans="1:8" ht="112.5" customHeight="1" x14ac:dyDescent="0.15">
      <c r="A2691" s="54">
        <v>2752</v>
      </c>
      <c r="B2691" s="55" t="s">
        <v>3496</v>
      </c>
      <c r="C2691" s="55" t="s">
        <v>11491</v>
      </c>
      <c r="D2691" s="56" t="s">
        <v>11492</v>
      </c>
      <c r="E2691" s="2"/>
      <c r="F2691" s="57"/>
      <c r="G2691" s="63" t="s">
        <v>11493</v>
      </c>
      <c r="H2691" s="59">
        <v>9.9979999999999993</v>
      </c>
    </row>
    <row r="2692" spans="1:8" ht="112.5" customHeight="1" x14ac:dyDescent="0.15">
      <c r="A2692" s="54">
        <v>2796</v>
      </c>
      <c r="B2692" s="55" t="s">
        <v>3492</v>
      </c>
      <c r="C2692" s="55" t="s">
        <v>11494</v>
      </c>
      <c r="D2692" s="56" t="s">
        <v>11495</v>
      </c>
      <c r="E2692" s="2"/>
      <c r="F2692" s="57"/>
      <c r="G2692" s="64" t="s">
        <v>11496</v>
      </c>
      <c r="H2692" s="59">
        <v>9.9960000000000004</v>
      </c>
    </row>
    <row r="2693" spans="1:8" ht="112.5" customHeight="1" x14ac:dyDescent="0.15">
      <c r="A2693" s="60">
        <v>2795</v>
      </c>
      <c r="B2693" s="30" t="s">
        <v>3556</v>
      </c>
      <c r="C2693" s="30" t="s">
        <v>11497</v>
      </c>
      <c r="D2693" s="61" t="s">
        <v>11498</v>
      </c>
      <c r="E2693" s="2"/>
      <c r="F2693" s="57"/>
      <c r="G2693" s="63" t="s">
        <v>11499</v>
      </c>
      <c r="H2693" s="59">
        <v>9.9779999999999998</v>
      </c>
    </row>
    <row r="2694" spans="1:8" ht="112.5" customHeight="1" x14ac:dyDescent="0.15">
      <c r="A2694" s="60">
        <v>2793</v>
      </c>
      <c r="B2694" s="30" t="s">
        <v>3556</v>
      </c>
      <c r="C2694" s="30" t="s">
        <v>11500</v>
      </c>
      <c r="D2694" s="61" t="s">
        <v>11501</v>
      </c>
      <c r="E2694" s="2"/>
      <c r="F2694" s="57"/>
      <c r="G2694" s="64" t="s">
        <v>11502</v>
      </c>
      <c r="H2694" s="59">
        <v>9.9979999999999993</v>
      </c>
    </row>
    <row r="2695" spans="1:8" ht="112.5" customHeight="1" x14ac:dyDescent="0.15">
      <c r="A2695" s="54">
        <v>2794</v>
      </c>
      <c r="B2695" s="55" t="s">
        <v>3502</v>
      </c>
      <c r="C2695" s="55" t="s">
        <v>11503</v>
      </c>
      <c r="D2695" s="56" t="s">
        <v>11504</v>
      </c>
      <c r="E2695" s="2"/>
      <c r="F2695" s="57"/>
      <c r="G2695" s="63" t="s">
        <v>11505</v>
      </c>
      <c r="H2695" s="59">
        <v>9.9990000000000006</v>
      </c>
    </row>
    <row r="2696" spans="1:8" ht="112.5" customHeight="1" x14ac:dyDescent="0.15">
      <c r="A2696" s="54">
        <v>2792</v>
      </c>
      <c r="B2696" s="55" t="s">
        <v>3496</v>
      </c>
      <c r="C2696" s="55" t="s">
        <v>11506</v>
      </c>
      <c r="D2696" s="56" t="s">
        <v>11507</v>
      </c>
      <c r="E2696" s="2"/>
      <c r="F2696" s="57"/>
      <c r="G2696" s="64" t="s">
        <v>11508</v>
      </c>
      <c r="H2696" s="59">
        <v>10</v>
      </c>
    </row>
    <row r="2697" spans="1:8" ht="112.5" customHeight="1" x14ac:dyDescent="0.15">
      <c r="A2697" s="60">
        <v>2791</v>
      </c>
      <c r="B2697" s="30" t="s">
        <v>3533</v>
      </c>
      <c r="C2697" s="30" t="s">
        <v>11509</v>
      </c>
      <c r="D2697" s="61" t="s">
        <v>11510</v>
      </c>
      <c r="E2697" s="2"/>
      <c r="F2697" s="57"/>
      <c r="G2697" s="63" t="s">
        <v>11511</v>
      </c>
      <c r="H2697" s="59">
        <v>9.9949999999999992</v>
      </c>
    </row>
    <row r="2698" spans="1:8" ht="112.5" customHeight="1" x14ac:dyDescent="0.15">
      <c r="A2698" s="54">
        <v>2790</v>
      </c>
      <c r="B2698" s="55" t="s">
        <v>3496</v>
      </c>
      <c r="C2698" s="55" t="s">
        <v>11512</v>
      </c>
      <c r="D2698" s="56" t="s">
        <v>11513</v>
      </c>
      <c r="E2698" s="2"/>
      <c r="F2698" s="57"/>
      <c r="G2698" s="64" t="s">
        <v>11514</v>
      </c>
      <c r="H2698" s="59">
        <v>10</v>
      </c>
    </row>
    <row r="2699" spans="1:8" ht="112.5" customHeight="1" x14ac:dyDescent="0.15">
      <c r="A2699" s="54">
        <v>3200</v>
      </c>
      <c r="B2699" s="55" t="s">
        <v>3496</v>
      </c>
      <c r="C2699" s="55" t="s">
        <v>11515</v>
      </c>
      <c r="D2699" s="56" t="s">
        <v>11516</v>
      </c>
      <c r="E2699" s="2"/>
      <c r="F2699" s="57"/>
      <c r="G2699" s="63" t="s">
        <v>11517</v>
      </c>
      <c r="H2699" s="59">
        <v>9.9670000000000005</v>
      </c>
    </row>
    <row r="2700" spans="1:8" ht="112.5" customHeight="1" x14ac:dyDescent="0.15">
      <c r="A2700" s="54">
        <v>3334</v>
      </c>
      <c r="B2700" s="55" t="s">
        <v>3496</v>
      </c>
      <c r="C2700" s="55" t="s">
        <v>11518</v>
      </c>
      <c r="D2700" s="56" t="s">
        <v>11519</v>
      </c>
      <c r="E2700" s="2"/>
      <c r="F2700" s="57"/>
      <c r="G2700" s="64" t="s">
        <v>11520</v>
      </c>
      <c r="H2700" s="59">
        <v>9.9090000000000007</v>
      </c>
    </row>
    <row r="2701" spans="1:8" ht="112.5" customHeight="1" x14ac:dyDescent="0.15">
      <c r="A2701" s="60">
        <v>2789</v>
      </c>
      <c r="B2701" s="30" t="s">
        <v>3509</v>
      </c>
      <c r="C2701" s="30" t="s">
        <v>11521</v>
      </c>
      <c r="D2701" s="61" t="s">
        <v>11522</v>
      </c>
      <c r="E2701" s="2"/>
      <c r="F2701" s="57"/>
      <c r="G2701" s="63" t="s">
        <v>11523</v>
      </c>
      <c r="H2701" s="59">
        <v>9.9749999999999996</v>
      </c>
    </row>
    <row r="2702" spans="1:8" ht="112.5" customHeight="1" x14ac:dyDescent="0.15">
      <c r="A2702" s="54">
        <v>2788</v>
      </c>
      <c r="B2702" s="55" t="s">
        <v>3509</v>
      </c>
      <c r="C2702" s="55" t="s">
        <v>11524</v>
      </c>
      <c r="D2702" s="56" t="s">
        <v>11525</v>
      </c>
      <c r="E2702" s="2"/>
      <c r="F2702" s="57"/>
      <c r="G2702" s="64" t="s">
        <v>11526</v>
      </c>
      <c r="H2702" s="59">
        <v>9.9939999999999998</v>
      </c>
    </row>
    <row r="2703" spans="1:8" ht="112.5" customHeight="1" x14ac:dyDescent="0.15">
      <c r="A2703" s="60">
        <v>2787</v>
      </c>
      <c r="B2703" s="30" t="s">
        <v>3556</v>
      </c>
      <c r="C2703" s="30" t="s">
        <v>11527</v>
      </c>
      <c r="D2703" s="61" t="s">
        <v>11528</v>
      </c>
      <c r="E2703" s="2"/>
      <c r="F2703" s="57"/>
      <c r="G2703" s="63" t="s">
        <v>11529</v>
      </c>
      <c r="H2703" s="59">
        <v>9.9990000000000006</v>
      </c>
    </row>
    <row r="2704" spans="1:8" ht="112.5" customHeight="1" x14ac:dyDescent="0.15">
      <c r="A2704" s="54">
        <v>2786</v>
      </c>
      <c r="B2704" s="55" t="s">
        <v>3814</v>
      </c>
      <c r="C2704" s="55" t="s">
        <v>11530</v>
      </c>
      <c r="D2704" s="56" t="s">
        <v>11531</v>
      </c>
      <c r="E2704" s="2"/>
      <c r="F2704" s="57"/>
      <c r="G2704" s="64" t="s">
        <v>11532</v>
      </c>
      <c r="H2704" s="59">
        <v>10</v>
      </c>
    </row>
    <row r="2705" spans="1:8" ht="112.5" customHeight="1" x14ac:dyDescent="0.15">
      <c r="A2705" s="54">
        <v>3360</v>
      </c>
      <c r="B2705" s="55" t="s">
        <v>3492</v>
      </c>
      <c r="C2705" s="55" t="s">
        <v>11533</v>
      </c>
      <c r="D2705" s="56" t="s">
        <v>11534</v>
      </c>
      <c r="E2705" s="2"/>
      <c r="F2705" s="57"/>
      <c r="G2705" s="63" t="s">
        <v>11535</v>
      </c>
      <c r="H2705" s="59">
        <v>10</v>
      </c>
    </row>
    <row r="2706" spans="1:8" ht="112.5" customHeight="1" x14ac:dyDescent="0.15">
      <c r="A2706" s="60">
        <v>2785</v>
      </c>
      <c r="B2706" s="30" t="s">
        <v>3599</v>
      </c>
      <c r="C2706" s="30" t="s">
        <v>11536</v>
      </c>
      <c r="D2706" s="61" t="s">
        <v>11537</v>
      </c>
      <c r="E2706" s="2"/>
      <c r="F2706" s="57"/>
      <c r="G2706" s="64" t="s">
        <v>11538</v>
      </c>
      <c r="H2706" s="59">
        <v>10</v>
      </c>
    </row>
    <row r="2707" spans="1:8" ht="112.5" customHeight="1" x14ac:dyDescent="0.15">
      <c r="A2707" s="54">
        <v>2784</v>
      </c>
      <c r="B2707" s="55" t="s">
        <v>3670</v>
      </c>
      <c r="C2707" s="55" t="s">
        <v>11539</v>
      </c>
      <c r="D2707" s="56" t="s">
        <v>11540</v>
      </c>
      <c r="E2707" s="2"/>
      <c r="F2707" s="57"/>
      <c r="G2707" s="63" t="s">
        <v>11541</v>
      </c>
      <c r="H2707" s="59">
        <v>9.9960000000000004</v>
      </c>
    </row>
    <row r="2708" spans="1:8" ht="112.5" customHeight="1" x14ac:dyDescent="0.15">
      <c r="A2708" s="60">
        <v>2783</v>
      </c>
      <c r="B2708" s="30" t="s">
        <v>3509</v>
      </c>
      <c r="C2708" s="30" t="s">
        <v>11542</v>
      </c>
      <c r="D2708" s="61" t="s">
        <v>11543</v>
      </c>
      <c r="E2708" s="2"/>
      <c r="F2708" s="57"/>
      <c r="G2708" s="64" t="s">
        <v>11544</v>
      </c>
      <c r="H2708" s="59">
        <v>9.9909999999999997</v>
      </c>
    </row>
    <row r="2709" spans="1:8" ht="112.5" customHeight="1" x14ac:dyDescent="0.15">
      <c r="A2709" s="54">
        <v>2782</v>
      </c>
      <c r="B2709" s="55" t="s">
        <v>3509</v>
      </c>
      <c r="C2709" s="55" t="s">
        <v>11545</v>
      </c>
      <c r="D2709" s="56" t="s">
        <v>11546</v>
      </c>
      <c r="E2709" s="2"/>
      <c r="F2709" s="57"/>
      <c r="G2709" s="63" t="s">
        <v>11547</v>
      </c>
      <c r="H2709" s="59">
        <v>9.9949999999999992</v>
      </c>
    </row>
    <row r="2710" spans="1:8" ht="112.5" customHeight="1" x14ac:dyDescent="0.15">
      <c r="A2710" s="60">
        <v>2781</v>
      </c>
      <c r="B2710" s="30" t="s">
        <v>3814</v>
      </c>
      <c r="C2710" s="30" t="s">
        <v>11548</v>
      </c>
      <c r="D2710" s="61" t="s">
        <v>11549</v>
      </c>
      <c r="E2710" s="2"/>
      <c r="F2710" s="57"/>
      <c r="G2710" s="64" t="s">
        <v>11550</v>
      </c>
      <c r="H2710" s="59">
        <v>10</v>
      </c>
    </row>
    <row r="2711" spans="1:8" ht="112.5" customHeight="1" x14ac:dyDescent="0.15">
      <c r="A2711" s="60">
        <v>2779</v>
      </c>
      <c r="B2711" s="30" t="s">
        <v>3814</v>
      </c>
      <c r="C2711" s="30" t="s">
        <v>11551</v>
      </c>
      <c r="D2711" s="61" t="s">
        <v>11552</v>
      </c>
      <c r="E2711" s="2"/>
      <c r="F2711" s="57"/>
      <c r="G2711" s="63" t="s">
        <v>11553</v>
      </c>
      <c r="H2711" s="59">
        <v>839</v>
      </c>
    </row>
    <row r="2712" spans="1:8" ht="112.5" customHeight="1" x14ac:dyDescent="0.15">
      <c r="A2712" s="54">
        <v>2780</v>
      </c>
      <c r="B2712" s="55" t="s">
        <v>3814</v>
      </c>
      <c r="C2712" s="55" t="s">
        <v>11554</v>
      </c>
      <c r="D2712" s="56" t="s">
        <v>11555</v>
      </c>
      <c r="E2712" s="2"/>
      <c r="F2712" s="57"/>
      <c r="G2712" s="64" t="s">
        <v>11556</v>
      </c>
      <c r="H2712" s="59">
        <v>10</v>
      </c>
    </row>
    <row r="2713" spans="1:8" ht="112.5" customHeight="1" x14ac:dyDescent="0.15">
      <c r="A2713" s="54">
        <v>2778</v>
      </c>
      <c r="B2713" s="55" t="s">
        <v>3876</v>
      </c>
      <c r="C2713" s="55" t="s">
        <v>11557</v>
      </c>
      <c r="D2713" s="56" t="s">
        <v>11558</v>
      </c>
      <c r="E2713" s="2"/>
      <c r="F2713" s="57"/>
      <c r="G2713" s="63" t="s">
        <v>11559</v>
      </c>
      <c r="H2713" s="59">
        <v>9.9960000000000004</v>
      </c>
    </row>
    <row r="2714" spans="1:8" ht="112.5" customHeight="1" x14ac:dyDescent="0.15">
      <c r="A2714" s="60">
        <v>2777</v>
      </c>
      <c r="B2714" s="30" t="s">
        <v>3876</v>
      </c>
      <c r="C2714" s="30" t="s">
        <v>11560</v>
      </c>
      <c r="D2714" s="61" t="s">
        <v>11561</v>
      </c>
      <c r="E2714" s="2"/>
      <c r="F2714" s="57"/>
      <c r="G2714" s="64" t="s">
        <v>11562</v>
      </c>
      <c r="H2714" s="59">
        <v>10</v>
      </c>
    </row>
    <row r="2715" spans="1:8" ht="112.5" customHeight="1" x14ac:dyDescent="0.15">
      <c r="A2715" s="54">
        <v>2776</v>
      </c>
      <c r="B2715" s="55" t="s">
        <v>3670</v>
      </c>
      <c r="C2715" s="55" t="s">
        <v>11563</v>
      </c>
      <c r="D2715" s="56" t="s">
        <v>11564</v>
      </c>
      <c r="E2715" s="2"/>
      <c r="F2715" s="57"/>
      <c r="G2715" s="63" t="s">
        <v>11565</v>
      </c>
      <c r="H2715" s="59">
        <v>9.9990000000000006</v>
      </c>
    </row>
    <row r="2716" spans="1:8" ht="112.5" customHeight="1" x14ac:dyDescent="0.15">
      <c r="A2716" s="60">
        <v>2773</v>
      </c>
      <c r="B2716" s="30" t="s">
        <v>3513</v>
      </c>
      <c r="C2716" s="30" t="s">
        <v>11566</v>
      </c>
      <c r="D2716" s="61" t="s">
        <v>11567</v>
      </c>
      <c r="E2716" s="2"/>
      <c r="F2716" s="57"/>
      <c r="G2716" s="64" t="s">
        <v>11568</v>
      </c>
      <c r="H2716" s="59">
        <v>9.9969999999999999</v>
      </c>
    </row>
    <row r="2717" spans="1:8" ht="112.5" customHeight="1" x14ac:dyDescent="0.15">
      <c r="A2717" s="54">
        <v>2772</v>
      </c>
      <c r="B2717" s="55" t="s">
        <v>3513</v>
      </c>
      <c r="C2717" s="55" t="s">
        <v>11569</v>
      </c>
      <c r="D2717" s="56" t="s">
        <v>11570</v>
      </c>
      <c r="E2717" s="2"/>
      <c r="F2717" s="57"/>
      <c r="G2717" s="63" t="s">
        <v>4445</v>
      </c>
      <c r="H2717" s="59">
        <v>10</v>
      </c>
    </row>
    <row r="2718" spans="1:8" ht="112.5" customHeight="1" x14ac:dyDescent="0.15">
      <c r="A2718" s="60">
        <v>2771</v>
      </c>
      <c r="B2718" s="30" t="s">
        <v>3526</v>
      </c>
      <c r="C2718" s="30" t="s">
        <v>11571</v>
      </c>
      <c r="D2718" s="61" t="s">
        <v>11572</v>
      </c>
      <c r="E2718" s="2"/>
      <c r="F2718" s="57"/>
      <c r="G2718" s="64" t="s">
        <v>11573</v>
      </c>
      <c r="H2718" s="59">
        <v>9.9990000000000006</v>
      </c>
    </row>
    <row r="2719" spans="1:8" ht="112.5" customHeight="1" x14ac:dyDescent="0.15">
      <c r="A2719" s="54">
        <v>2738</v>
      </c>
      <c r="B2719" s="55" t="s">
        <v>3876</v>
      </c>
      <c r="C2719" s="55" t="s">
        <v>11574</v>
      </c>
      <c r="D2719" s="56" t="s">
        <v>11575</v>
      </c>
      <c r="E2719" s="2"/>
      <c r="F2719" s="57"/>
      <c r="G2719" s="63" t="s">
        <v>11576</v>
      </c>
      <c r="H2719" s="59">
        <v>9.9920000000000009</v>
      </c>
    </row>
    <row r="2720" spans="1:8" ht="112.5" customHeight="1" x14ac:dyDescent="0.15">
      <c r="A2720" s="54">
        <v>2770</v>
      </c>
      <c r="B2720" s="55" t="s">
        <v>3556</v>
      </c>
      <c r="C2720" s="55" t="s">
        <v>11577</v>
      </c>
      <c r="D2720" s="56" t="s">
        <v>11578</v>
      </c>
      <c r="E2720" s="2"/>
      <c r="F2720" s="57"/>
      <c r="G2720" s="64" t="s">
        <v>11579</v>
      </c>
      <c r="H2720" s="59">
        <v>10</v>
      </c>
    </row>
    <row r="2721" spans="1:8" ht="112.5" customHeight="1" x14ac:dyDescent="0.15">
      <c r="A2721" s="60">
        <v>2769</v>
      </c>
      <c r="B2721" s="30" t="s">
        <v>3670</v>
      </c>
      <c r="C2721" s="30" t="s">
        <v>11580</v>
      </c>
      <c r="D2721" s="61" t="s">
        <v>11581</v>
      </c>
      <c r="E2721" s="2"/>
      <c r="F2721" s="57"/>
      <c r="G2721" s="63" t="s">
        <v>11582</v>
      </c>
      <c r="H2721" s="59">
        <v>9.9909999999999997</v>
      </c>
    </row>
    <row r="2722" spans="1:8" ht="112.5" customHeight="1" x14ac:dyDescent="0.15">
      <c r="A2722" s="54">
        <v>2768</v>
      </c>
      <c r="B2722" s="55" t="s">
        <v>3502</v>
      </c>
      <c r="C2722" s="55" t="s">
        <v>11583</v>
      </c>
      <c r="D2722" s="56" t="s">
        <v>11584</v>
      </c>
      <c r="E2722" s="2"/>
      <c r="F2722" s="57"/>
      <c r="G2722" s="64" t="s">
        <v>11585</v>
      </c>
      <c r="H2722" s="59">
        <v>9.9969999999999999</v>
      </c>
    </row>
    <row r="2723" spans="1:8" ht="112.5" customHeight="1" x14ac:dyDescent="0.15">
      <c r="A2723" s="60">
        <v>2767</v>
      </c>
      <c r="B2723" s="30" t="s">
        <v>3496</v>
      </c>
      <c r="C2723" s="30" t="s">
        <v>11586</v>
      </c>
      <c r="D2723" s="61" t="s">
        <v>11587</v>
      </c>
      <c r="E2723" s="2"/>
      <c r="F2723" s="57"/>
      <c r="G2723" s="63" t="s">
        <v>11588</v>
      </c>
      <c r="H2723" s="59">
        <v>0</v>
      </c>
    </row>
    <row r="2724" spans="1:8" ht="112.5" customHeight="1" x14ac:dyDescent="0.15">
      <c r="A2724" s="54">
        <v>2766</v>
      </c>
      <c r="B2724" s="55" t="s">
        <v>3502</v>
      </c>
      <c r="C2724" s="55" t="s">
        <v>11589</v>
      </c>
      <c r="D2724" s="56" t="s">
        <v>11590</v>
      </c>
      <c r="E2724" s="2"/>
      <c r="F2724" s="57"/>
      <c r="G2724" s="64" t="s">
        <v>11591</v>
      </c>
      <c r="H2724" s="59">
        <v>10</v>
      </c>
    </row>
    <row r="2725" spans="1:8" ht="112.5" customHeight="1" x14ac:dyDescent="0.15">
      <c r="A2725" s="60">
        <v>2765</v>
      </c>
      <c r="B2725" s="30" t="s">
        <v>3496</v>
      </c>
      <c r="C2725" s="30" t="s">
        <v>11592</v>
      </c>
      <c r="D2725" s="61" t="s">
        <v>11593</v>
      </c>
      <c r="E2725" s="2"/>
      <c r="F2725" s="57"/>
      <c r="G2725" s="63" t="s">
        <v>11594</v>
      </c>
      <c r="H2725" s="59">
        <v>10</v>
      </c>
    </row>
    <row r="2726" spans="1:8" ht="112.5" customHeight="1" x14ac:dyDescent="0.15">
      <c r="A2726" s="54">
        <v>2764</v>
      </c>
      <c r="B2726" s="55" t="s">
        <v>3492</v>
      </c>
      <c r="C2726" s="55" t="s">
        <v>11595</v>
      </c>
      <c r="D2726" s="56" t="s">
        <v>11596</v>
      </c>
      <c r="E2726" s="2"/>
      <c r="F2726" s="57"/>
      <c r="G2726" s="64" t="s">
        <v>11597</v>
      </c>
      <c r="H2726" s="59">
        <v>10</v>
      </c>
    </row>
    <row r="2727" spans="1:8" ht="112.5" customHeight="1" x14ac:dyDescent="0.15">
      <c r="A2727" s="60">
        <v>3259</v>
      </c>
      <c r="B2727" s="30" t="s">
        <v>3502</v>
      </c>
      <c r="C2727" s="30" t="s">
        <v>11598</v>
      </c>
      <c r="D2727" s="61" t="s">
        <v>11599</v>
      </c>
      <c r="E2727" s="2"/>
      <c r="F2727" s="57"/>
      <c r="G2727" s="63" t="s">
        <v>11600</v>
      </c>
      <c r="H2727" s="59">
        <v>10</v>
      </c>
    </row>
    <row r="2728" spans="1:8" ht="112.5" customHeight="1" x14ac:dyDescent="0.15">
      <c r="A2728" s="54">
        <v>3214</v>
      </c>
      <c r="B2728" s="55" t="s">
        <v>3492</v>
      </c>
      <c r="C2728" s="55" t="s">
        <v>11601</v>
      </c>
      <c r="D2728" s="56" t="s">
        <v>11602</v>
      </c>
      <c r="E2728" s="2"/>
      <c r="F2728" s="57"/>
      <c r="G2728" s="64" t="s">
        <v>11603</v>
      </c>
      <c r="H2728" s="59">
        <v>9.9990000000000006</v>
      </c>
    </row>
    <row r="2729" spans="1:8" ht="112.5" customHeight="1" x14ac:dyDescent="0.15">
      <c r="A2729" s="60">
        <v>3295</v>
      </c>
      <c r="B2729" s="30" t="s">
        <v>3670</v>
      </c>
      <c r="C2729" s="30" t="s">
        <v>11604</v>
      </c>
      <c r="D2729" s="61" t="s">
        <v>11605</v>
      </c>
      <c r="E2729" s="2"/>
      <c r="F2729" s="57"/>
      <c r="G2729" s="63" t="s">
        <v>11606</v>
      </c>
      <c r="H2729" s="59">
        <v>0</v>
      </c>
    </row>
    <row r="2730" spans="1:8" ht="112.5" customHeight="1" x14ac:dyDescent="0.15">
      <c r="A2730" s="54">
        <v>3296</v>
      </c>
      <c r="B2730" s="55" t="s">
        <v>3670</v>
      </c>
      <c r="C2730" s="55" t="s">
        <v>11607</v>
      </c>
      <c r="D2730" s="56" t="s">
        <v>11608</v>
      </c>
      <c r="E2730" s="2"/>
      <c r="F2730" s="57"/>
      <c r="G2730" s="64" t="s">
        <v>11609</v>
      </c>
      <c r="H2730" s="59">
        <v>9.9879999999999995</v>
      </c>
    </row>
    <row r="2731" spans="1:8" ht="112.5" customHeight="1" x14ac:dyDescent="0.15">
      <c r="A2731" s="54">
        <v>3094</v>
      </c>
      <c r="B2731" s="55" t="s">
        <v>3502</v>
      </c>
      <c r="C2731" s="55" t="s">
        <v>11610</v>
      </c>
      <c r="D2731" s="56" t="s">
        <v>11611</v>
      </c>
      <c r="E2731" s="2"/>
      <c r="F2731" s="57"/>
      <c r="G2731" s="63" t="s">
        <v>11612</v>
      </c>
      <c r="H2731" s="59">
        <v>9.9960000000000004</v>
      </c>
    </row>
    <row r="2732" spans="1:8" ht="112.5" customHeight="1" x14ac:dyDescent="0.15">
      <c r="A2732" s="60">
        <v>2763</v>
      </c>
      <c r="B2732" s="30" t="s">
        <v>3670</v>
      </c>
      <c r="C2732" s="30" t="s">
        <v>11613</v>
      </c>
      <c r="D2732" s="61" t="s">
        <v>11614</v>
      </c>
      <c r="E2732" s="2"/>
      <c r="F2732" s="57"/>
      <c r="G2732" s="64" t="s">
        <v>11615</v>
      </c>
      <c r="H2732" s="59">
        <v>9.9979999999999993</v>
      </c>
    </row>
    <row r="2733" spans="1:8" ht="112.5" customHeight="1" x14ac:dyDescent="0.15">
      <c r="A2733" s="54">
        <v>2762</v>
      </c>
      <c r="B2733" s="55" t="s">
        <v>3670</v>
      </c>
      <c r="C2733" s="55" t="s">
        <v>11616</v>
      </c>
      <c r="D2733" s="56" t="s">
        <v>11617</v>
      </c>
      <c r="E2733" s="2"/>
      <c r="F2733" s="57"/>
      <c r="G2733" s="63" t="s">
        <v>11618</v>
      </c>
      <c r="H2733" s="59">
        <v>9.9719999999999995</v>
      </c>
    </row>
    <row r="2734" spans="1:8" ht="112.5" customHeight="1" x14ac:dyDescent="0.15">
      <c r="A2734" s="60">
        <v>2751</v>
      </c>
      <c r="B2734" s="30" t="s">
        <v>3670</v>
      </c>
      <c r="C2734" s="30" t="s">
        <v>11619</v>
      </c>
      <c r="D2734" s="61" t="s">
        <v>11620</v>
      </c>
      <c r="E2734" s="2"/>
      <c r="F2734" s="57"/>
      <c r="G2734" s="64" t="s">
        <v>11621</v>
      </c>
      <c r="H2734" s="59">
        <v>9.9770000000000003</v>
      </c>
    </row>
    <row r="2735" spans="1:8" ht="112.5" customHeight="1" x14ac:dyDescent="0.15">
      <c r="A2735" s="54">
        <v>2750</v>
      </c>
      <c r="B2735" s="55" t="s">
        <v>3670</v>
      </c>
      <c r="C2735" s="55" t="s">
        <v>11622</v>
      </c>
      <c r="D2735" s="56" t="s">
        <v>11623</v>
      </c>
      <c r="E2735" s="2"/>
      <c r="F2735" s="57"/>
      <c r="G2735" s="63" t="s">
        <v>11624</v>
      </c>
      <c r="H2735" s="59">
        <v>9.8539999999999992</v>
      </c>
    </row>
    <row r="2736" spans="1:8" ht="112.5" customHeight="1" x14ac:dyDescent="0.15">
      <c r="A2736" s="60">
        <v>2749</v>
      </c>
      <c r="B2736" s="30" t="s">
        <v>3670</v>
      </c>
      <c r="C2736" s="30" t="s">
        <v>11625</v>
      </c>
      <c r="D2736" s="61" t="s">
        <v>11626</v>
      </c>
      <c r="E2736" s="2"/>
      <c r="F2736" s="57"/>
      <c r="G2736" s="64" t="s">
        <v>11627</v>
      </c>
      <c r="H2736" s="59">
        <v>0</v>
      </c>
    </row>
    <row r="2737" spans="1:8" ht="112.5" customHeight="1" x14ac:dyDescent="0.15">
      <c r="A2737" s="54">
        <v>2748</v>
      </c>
      <c r="B2737" s="55" t="s">
        <v>3502</v>
      </c>
      <c r="C2737" s="55" t="s">
        <v>11628</v>
      </c>
      <c r="D2737" s="56" t="s">
        <v>11629</v>
      </c>
      <c r="E2737" s="2"/>
      <c r="F2737" s="57"/>
      <c r="G2737" s="63" t="s">
        <v>11630</v>
      </c>
      <c r="H2737" s="59">
        <v>10</v>
      </c>
    </row>
    <row r="2738" spans="1:8" ht="112.5" customHeight="1" x14ac:dyDescent="0.15">
      <c r="A2738" s="60">
        <v>2747</v>
      </c>
      <c r="B2738" s="30" t="s">
        <v>3814</v>
      </c>
      <c r="C2738" s="30" t="s">
        <v>11631</v>
      </c>
      <c r="D2738" s="61" t="s">
        <v>11632</v>
      </c>
      <c r="E2738" s="2"/>
      <c r="F2738" s="57"/>
      <c r="G2738" s="64" t="s">
        <v>11633</v>
      </c>
      <c r="H2738" s="59">
        <v>0</v>
      </c>
    </row>
    <row r="2739" spans="1:8" ht="112.5" customHeight="1" x14ac:dyDescent="0.15">
      <c r="A2739" s="54">
        <v>2746</v>
      </c>
      <c r="B2739" s="55" t="s">
        <v>3502</v>
      </c>
      <c r="C2739" s="55" t="s">
        <v>11634</v>
      </c>
      <c r="D2739" s="56" t="s">
        <v>11635</v>
      </c>
      <c r="E2739" s="2"/>
      <c r="F2739" s="57"/>
      <c r="G2739" s="63" t="s">
        <v>11636</v>
      </c>
      <c r="H2739" s="59">
        <v>10</v>
      </c>
    </row>
    <row r="2740" spans="1:8" ht="112.5" customHeight="1" x14ac:dyDescent="0.15">
      <c r="A2740" s="60">
        <v>2745</v>
      </c>
      <c r="B2740" s="30" t="s">
        <v>3502</v>
      </c>
      <c r="C2740" s="30" t="s">
        <v>11637</v>
      </c>
      <c r="D2740" s="61" t="s">
        <v>11638</v>
      </c>
      <c r="E2740" s="2"/>
      <c r="F2740" s="57"/>
      <c r="G2740" s="64" t="s">
        <v>11639</v>
      </c>
      <c r="H2740" s="59">
        <v>0</v>
      </c>
    </row>
    <row r="2741" spans="1:8" ht="112.5" customHeight="1" x14ac:dyDescent="0.15">
      <c r="A2741" s="54">
        <v>2744</v>
      </c>
      <c r="B2741" s="55" t="s">
        <v>3502</v>
      </c>
      <c r="C2741" s="55" t="s">
        <v>11640</v>
      </c>
      <c r="D2741" s="56" t="s">
        <v>11641</v>
      </c>
      <c r="E2741" s="2"/>
      <c r="F2741" s="57"/>
      <c r="G2741" s="63" t="s">
        <v>11642</v>
      </c>
      <c r="H2741" s="59">
        <v>10</v>
      </c>
    </row>
    <row r="2742" spans="1:8" ht="112.5" customHeight="1" x14ac:dyDescent="0.15">
      <c r="A2742" s="60">
        <v>2743</v>
      </c>
      <c r="B2742" s="30" t="s">
        <v>3814</v>
      </c>
      <c r="C2742" s="30" t="s">
        <v>11643</v>
      </c>
      <c r="D2742" s="61" t="s">
        <v>11644</v>
      </c>
      <c r="E2742" s="2"/>
      <c r="F2742" s="57"/>
      <c r="G2742" s="64" t="s">
        <v>11645</v>
      </c>
      <c r="H2742" s="59">
        <v>9.9909999999999997</v>
      </c>
    </row>
    <row r="2743" spans="1:8" ht="112.5" customHeight="1" x14ac:dyDescent="0.15">
      <c r="A2743" s="54">
        <v>2742</v>
      </c>
      <c r="B2743" s="55" t="s">
        <v>3502</v>
      </c>
      <c r="C2743" s="55" t="s">
        <v>11646</v>
      </c>
      <c r="D2743" s="56" t="s">
        <v>11647</v>
      </c>
      <c r="E2743" s="2"/>
      <c r="F2743" s="57"/>
      <c r="G2743" s="63" t="s">
        <v>11648</v>
      </c>
      <c r="H2743" s="59">
        <v>0</v>
      </c>
    </row>
    <row r="2744" spans="1:8" ht="112.5" customHeight="1" x14ac:dyDescent="0.15">
      <c r="A2744" s="54">
        <v>3106</v>
      </c>
      <c r="B2744" s="55" t="s">
        <v>3502</v>
      </c>
      <c r="C2744" s="55" t="s">
        <v>11649</v>
      </c>
      <c r="D2744" s="56" t="s">
        <v>11650</v>
      </c>
      <c r="E2744" s="2"/>
      <c r="F2744" s="57"/>
      <c r="G2744" s="64" t="s">
        <v>11651</v>
      </c>
      <c r="H2744" s="59">
        <v>10</v>
      </c>
    </row>
    <row r="2745" spans="1:8" ht="112.5" customHeight="1" x14ac:dyDescent="0.15">
      <c r="A2745" s="60">
        <v>3099</v>
      </c>
      <c r="B2745" s="30" t="s">
        <v>3502</v>
      </c>
      <c r="C2745" s="30" t="s">
        <v>11652</v>
      </c>
      <c r="D2745" s="61" t="s">
        <v>11653</v>
      </c>
      <c r="E2745" s="2"/>
      <c r="F2745" s="57"/>
      <c r="G2745" s="63" t="s">
        <v>11654</v>
      </c>
      <c r="H2745" s="59">
        <v>10</v>
      </c>
    </row>
    <row r="2746" spans="1:8" ht="112.5" customHeight="1" x14ac:dyDescent="0.15">
      <c r="A2746" s="60">
        <v>2741</v>
      </c>
      <c r="B2746" s="30" t="s">
        <v>3496</v>
      </c>
      <c r="C2746" s="30" t="s">
        <v>11655</v>
      </c>
      <c r="D2746" s="61" t="s">
        <v>11656</v>
      </c>
      <c r="E2746" s="2"/>
      <c r="F2746" s="57"/>
      <c r="G2746" s="64" t="s">
        <v>11657</v>
      </c>
      <c r="H2746" s="59">
        <v>9.9930000000000003</v>
      </c>
    </row>
    <row r="2747" spans="1:8" ht="112.5" customHeight="1" x14ac:dyDescent="0.15">
      <c r="A2747" s="54">
        <v>2740</v>
      </c>
      <c r="B2747" s="55" t="s">
        <v>3549</v>
      </c>
      <c r="C2747" s="55" t="s">
        <v>11658</v>
      </c>
      <c r="D2747" s="56" t="s">
        <v>11659</v>
      </c>
      <c r="E2747" s="2"/>
      <c r="F2747" s="57"/>
      <c r="G2747" s="63" t="s">
        <v>11660</v>
      </c>
      <c r="H2747" s="59">
        <v>0</v>
      </c>
    </row>
    <row r="2748" spans="1:8" ht="112.5" customHeight="1" x14ac:dyDescent="0.15">
      <c r="A2748" s="60">
        <v>2739</v>
      </c>
      <c r="B2748" s="30" t="s">
        <v>3898</v>
      </c>
      <c r="C2748" s="30" t="s">
        <v>11661</v>
      </c>
      <c r="D2748" s="61" t="s">
        <v>11662</v>
      </c>
      <c r="E2748" s="2"/>
      <c r="F2748" s="57"/>
      <c r="G2748" s="64" t="s">
        <v>11663</v>
      </c>
      <c r="H2748" s="59">
        <v>9.9969999999999999</v>
      </c>
    </row>
    <row r="2749" spans="1:8" ht="112.5" customHeight="1" x14ac:dyDescent="0.15">
      <c r="A2749" s="60">
        <v>2737</v>
      </c>
      <c r="B2749" s="30" t="s">
        <v>3549</v>
      </c>
      <c r="C2749" s="30" t="s">
        <v>11664</v>
      </c>
      <c r="D2749" s="61" t="s">
        <v>11665</v>
      </c>
      <c r="E2749" s="2"/>
      <c r="F2749" s="57"/>
      <c r="G2749" s="63" t="s">
        <v>11666</v>
      </c>
      <c r="H2749" s="59">
        <v>9.9489999999999998</v>
      </c>
    </row>
    <row r="2750" spans="1:8" ht="112.5" customHeight="1" x14ac:dyDescent="0.15">
      <c r="A2750" s="54">
        <v>2736</v>
      </c>
      <c r="B2750" s="55" t="s">
        <v>3599</v>
      </c>
      <c r="C2750" s="55" t="s">
        <v>11667</v>
      </c>
      <c r="D2750" s="56" t="s">
        <v>11668</v>
      </c>
      <c r="E2750" s="2"/>
      <c r="F2750" s="57"/>
      <c r="G2750" s="64" t="s">
        <v>11669</v>
      </c>
      <c r="H2750" s="59">
        <v>9.9849999999999994</v>
      </c>
    </row>
    <row r="2751" spans="1:8" ht="112.5" customHeight="1" x14ac:dyDescent="0.15">
      <c r="A2751" s="60">
        <v>2735</v>
      </c>
      <c r="B2751" s="30" t="s">
        <v>3526</v>
      </c>
      <c r="C2751" s="30" t="s">
        <v>11670</v>
      </c>
      <c r="D2751" s="61" t="s">
        <v>11671</v>
      </c>
      <c r="E2751" s="2"/>
      <c r="F2751" s="57"/>
      <c r="G2751" s="63" t="s">
        <v>11672</v>
      </c>
      <c r="H2751" s="59">
        <v>10</v>
      </c>
    </row>
    <row r="2752" spans="1:8" ht="112.5" customHeight="1" x14ac:dyDescent="0.15">
      <c r="A2752" s="54">
        <v>2734</v>
      </c>
      <c r="B2752" s="55" t="s">
        <v>3526</v>
      </c>
      <c r="C2752" s="55" t="s">
        <v>11673</v>
      </c>
      <c r="D2752" s="56" t="s">
        <v>11674</v>
      </c>
      <c r="E2752" s="2"/>
      <c r="F2752" s="57"/>
      <c r="G2752" s="64" t="s">
        <v>11675</v>
      </c>
      <c r="H2752" s="59">
        <v>9.9920000000000009</v>
      </c>
    </row>
    <row r="2753" spans="1:8" ht="112.5" customHeight="1" x14ac:dyDescent="0.15">
      <c r="A2753" s="60">
        <v>2733</v>
      </c>
      <c r="B2753" s="30" t="s">
        <v>3822</v>
      </c>
      <c r="C2753" s="30" t="s">
        <v>11676</v>
      </c>
      <c r="D2753" s="61" t="s">
        <v>11677</v>
      </c>
      <c r="E2753" s="2"/>
      <c r="F2753" s="57"/>
      <c r="G2753" s="63" t="s">
        <v>11678</v>
      </c>
      <c r="H2753" s="59">
        <v>9.9779999999999998</v>
      </c>
    </row>
    <row r="2754" spans="1:8" ht="112.5" customHeight="1" x14ac:dyDescent="0.15">
      <c r="A2754" s="54">
        <v>2732</v>
      </c>
      <c r="B2754" s="55" t="s">
        <v>3822</v>
      </c>
      <c r="C2754" s="55" t="s">
        <v>11679</v>
      </c>
      <c r="D2754" s="56" t="s">
        <v>11680</v>
      </c>
      <c r="E2754" s="2"/>
      <c r="F2754" s="57"/>
      <c r="G2754" s="64" t="s">
        <v>11681</v>
      </c>
      <c r="H2754" s="59">
        <v>9.9920000000000009</v>
      </c>
    </row>
    <row r="2755" spans="1:8" ht="112.5" customHeight="1" x14ac:dyDescent="0.15">
      <c r="A2755" s="60">
        <v>2731</v>
      </c>
      <c r="B2755" s="30" t="s">
        <v>3822</v>
      </c>
      <c r="C2755" s="30" t="s">
        <v>11682</v>
      </c>
      <c r="D2755" s="61" t="s">
        <v>11683</v>
      </c>
      <c r="E2755" s="2"/>
      <c r="F2755" s="57"/>
      <c r="G2755" s="63" t="s">
        <v>11684</v>
      </c>
      <c r="H2755" s="59">
        <v>10</v>
      </c>
    </row>
    <row r="2756" spans="1:8" ht="112.5" customHeight="1" x14ac:dyDescent="0.15">
      <c r="A2756" s="54">
        <v>2710</v>
      </c>
      <c r="B2756" s="55" t="s">
        <v>3492</v>
      </c>
      <c r="C2756" s="55" t="s">
        <v>11685</v>
      </c>
      <c r="D2756" s="56" t="s">
        <v>11686</v>
      </c>
      <c r="E2756" s="2"/>
      <c r="F2756" s="57"/>
      <c r="G2756" s="64" t="s">
        <v>4442</v>
      </c>
      <c r="H2756" s="59">
        <v>9.9350000000000005</v>
      </c>
    </row>
    <row r="2757" spans="1:8" ht="112.5" customHeight="1" x14ac:dyDescent="0.15">
      <c r="A2757" s="60">
        <v>2709</v>
      </c>
      <c r="B2757" s="30" t="s">
        <v>3599</v>
      </c>
      <c r="C2757" s="30" t="s">
        <v>11687</v>
      </c>
      <c r="D2757" s="61" t="s">
        <v>11688</v>
      </c>
      <c r="E2757" s="2"/>
      <c r="F2757" s="57"/>
      <c r="G2757" s="63" t="s">
        <v>11689</v>
      </c>
      <c r="H2757" s="59">
        <v>0</v>
      </c>
    </row>
    <row r="2758" spans="1:8" ht="112.5" customHeight="1" x14ac:dyDescent="0.15">
      <c r="A2758" s="60">
        <v>2755</v>
      </c>
      <c r="B2758" s="30" t="s">
        <v>3549</v>
      </c>
      <c r="C2758" s="30" t="s">
        <v>11690</v>
      </c>
      <c r="D2758" s="61" t="s">
        <v>11691</v>
      </c>
      <c r="E2758" s="2"/>
      <c r="F2758" s="57"/>
      <c r="G2758" s="64" t="s">
        <v>11692</v>
      </c>
      <c r="H2758" s="59">
        <v>0</v>
      </c>
    </row>
    <row r="2759" spans="1:8" ht="112.5" customHeight="1" x14ac:dyDescent="0.15">
      <c r="A2759" s="54">
        <v>2756</v>
      </c>
      <c r="B2759" s="55" t="s">
        <v>3502</v>
      </c>
      <c r="C2759" s="55" t="s">
        <v>11693</v>
      </c>
      <c r="D2759" s="56" t="s">
        <v>11694</v>
      </c>
      <c r="E2759" s="2"/>
      <c r="F2759" s="57"/>
      <c r="G2759" s="63" t="s">
        <v>11695</v>
      </c>
      <c r="H2759" s="59">
        <v>9.8140000000000001</v>
      </c>
    </row>
    <row r="2760" spans="1:8" ht="112.5" customHeight="1" x14ac:dyDescent="0.15">
      <c r="A2760" s="60">
        <v>2757</v>
      </c>
      <c r="B2760" s="30" t="s">
        <v>3818</v>
      </c>
      <c r="C2760" s="30" t="s">
        <v>11696</v>
      </c>
      <c r="D2760" s="61" t="s">
        <v>11697</v>
      </c>
      <c r="E2760" s="2"/>
      <c r="F2760" s="57"/>
      <c r="G2760" s="64" t="s">
        <v>11698</v>
      </c>
      <c r="H2760" s="59">
        <v>9.9879999999999995</v>
      </c>
    </row>
    <row r="2761" spans="1:8" ht="112.5" customHeight="1" x14ac:dyDescent="0.15">
      <c r="A2761" s="60">
        <v>2799</v>
      </c>
      <c r="B2761" s="30" t="s">
        <v>3599</v>
      </c>
      <c r="C2761" s="30" t="s">
        <v>11699</v>
      </c>
      <c r="D2761" s="61" t="s">
        <v>11700</v>
      </c>
      <c r="E2761" s="2"/>
      <c r="F2761" s="57"/>
      <c r="G2761" s="63" t="s">
        <v>11701</v>
      </c>
      <c r="H2761" s="59">
        <v>9.8010000000000002</v>
      </c>
    </row>
    <row r="2762" spans="1:8" ht="112.5" customHeight="1" x14ac:dyDescent="0.15">
      <c r="A2762" s="54">
        <v>2798</v>
      </c>
      <c r="B2762" s="55" t="s">
        <v>3549</v>
      </c>
      <c r="C2762" s="55" t="s">
        <v>11702</v>
      </c>
      <c r="D2762" s="56" t="s">
        <v>11703</v>
      </c>
      <c r="E2762" s="2"/>
      <c r="F2762" s="57"/>
      <c r="G2762" s="64" t="s">
        <v>11704</v>
      </c>
      <c r="H2762" s="59">
        <v>9.9640000000000004</v>
      </c>
    </row>
    <row r="2763" spans="1:8" ht="112.5" customHeight="1" x14ac:dyDescent="0.15">
      <c r="A2763" s="60">
        <v>2797</v>
      </c>
      <c r="B2763" s="30" t="s">
        <v>3492</v>
      </c>
      <c r="C2763" s="30" t="s">
        <v>11705</v>
      </c>
      <c r="D2763" s="61" t="s">
        <v>11706</v>
      </c>
      <c r="E2763" s="2"/>
      <c r="F2763" s="57"/>
      <c r="G2763" s="63" t="s">
        <v>11707</v>
      </c>
      <c r="H2763" s="59">
        <v>9.9949999999999992</v>
      </c>
    </row>
    <row r="2764" spans="1:8" ht="112.5" customHeight="1" x14ac:dyDescent="0.15">
      <c r="A2764" s="60">
        <v>2835</v>
      </c>
      <c r="B2764" s="30" t="s">
        <v>3502</v>
      </c>
      <c r="C2764" s="30" t="s">
        <v>11708</v>
      </c>
      <c r="D2764" s="61" t="s">
        <v>11709</v>
      </c>
      <c r="E2764" s="2"/>
      <c r="F2764" s="57"/>
      <c r="G2764" s="64" t="s">
        <v>11710</v>
      </c>
      <c r="H2764" s="59">
        <v>9.9969999999999999</v>
      </c>
    </row>
    <row r="2765" spans="1:8" ht="112.5" customHeight="1" x14ac:dyDescent="0.15">
      <c r="A2765" s="54">
        <v>2834</v>
      </c>
      <c r="B2765" s="55" t="s">
        <v>3670</v>
      </c>
      <c r="C2765" s="55" t="s">
        <v>11711</v>
      </c>
      <c r="D2765" s="56" t="s">
        <v>11712</v>
      </c>
      <c r="E2765" s="2"/>
      <c r="F2765" s="57"/>
      <c r="G2765" s="63" t="s">
        <v>11713</v>
      </c>
      <c r="H2765" s="59">
        <v>9.99</v>
      </c>
    </row>
    <row r="2766" spans="1:8" ht="112.5" customHeight="1" x14ac:dyDescent="0.15">
      <c r="A2766" s="60">
        <v>2833</v>
      </c>
      <c r="B2766" s="30" t="s">
        <v>3670</v>
      </c>
      <c r="C2766" s="30" t="s">
        <v>11714</v>
      </c>
      <c r="D2766" s="61" t="s">
        <v>11715</v>
      </c>
      <c r="E2766" s="2"/>
      <c r="F2766" s="57"/>
      <c r="G2766" s="64" t="s">
        <v>11716</v>
      </c>
      <c r="H2766" s="59">
        <v>10</v>
      </c>
    </row>
    <row r="2767" spans="1:8" ht="112.5" customHeight="1" x14ac:dyDescent="0.15">
      <c r="A2767" s="54">
        <v>2832</v>
      </c>
      <c r="B2767" s="55" t="s">
        <v>3556</v>
      </c>
      <c r="C2767" s="55" t="s">
        <v>11717</v>
      </c>
      <c r="D2767" s="56" t="s">
        <v>11718</v>
      </c>
      <c r="E2767" s="2"/>
      <c r="F2767" s="57"/>
      <c r="G2767" s="63" t="s">
        <v>11719</v>
      </c>
      <c r="H2767" s="59">
        <v>9.9969999999999999</v>
      </c>
    </row>
    <row r="2768" spans="1:8" ht="112.5" customHeight="1" x14ac:dyDescent="0.15">
      <c r="A2768" s="60">
        <v>2831</v>
      </c>
      <c r="B2768" s="30" t="s">
        <v>3509</v>
      </c>
      <c r="C2768" s="30" t="s">
        <v>11720</v>
      </c>
      <c r="D2768" s="61" t="s">
        <v>11721</v>
      </c>
      <c r="E2768" s="2"/>
      <c r="F2768" s="57"/>
      <c r="G2768" s="64" t="s">
        <v>11722</v>
      </c>
      <c r="H2768" s="59">
        <v>10</v>
      </c>
    </row>
    <row r="2769" spans="1:13" ht="112.5" customHeight="1" x14ac:dyDescent="0.15">
      <c r="A2769" s="54">
        <v>2830</v>
      </c>
      <c r="B2769" s="55" t="s">
        <v>3509</v>
      </c>
      <c r="C2769" s="55" t="s">
        <v>11723</v>
      </c>
      <c r="D2769" s="56" t="s">
        <v>11724</v>
      </c>
      <c r="E2769" s="2"/>
      <c r="F2769" s="57"/>
      <c r="G2769" s="63" t="s">
        <v>11725</v>
      </c>
      <c r="H2769" s="59">
        <v>0</v>
      </c>
    </row>
    <row r="2770" spans="1:13" ht="112.5" customHeight="1" x14ac:dyDescent="0.15">
      <c r="A2770" s="60">
        <v>2829</v>
      </c>
      <c r="B2770" s="30" t="s">
        <v>3818</v>
      </c>
      <c r="C2770" s="30" t="s">
        <v>11726</v>
      </c>
      <c r="D2770" s="61" t="s">
        <v>11727</v>
      </c>
      <c r="E2770" s="2"/>
      <c r="F2770" s="57"/>
      <c r="G2770" s="64" t="s">
        <v>11728</v>
      </c>
      <c r="H2770" s="59">
        <v>10</v>
      </c>
    </row>
    <row r="2771" spans="1:13" ht="112.5" customHeight="1" x14ac:dyDescent="0.15">
      <c r="A2771" s="60">
        <v>2827</v>
      </c>
      <c r="B2771" s="30" t="s">
        <v>3818</v>
      </c>
      <c r="C2771" s="30" t="s">
        <v>11729</v>
      </c>
      <c r="D2771" s="61" t="s">
        <v>11730</v>
      </c>
      <c r="E2771" s="2"/>
      <c r="F2771" s="57"/>
      <c r="G2771" s="63" t="s">
        <v>11731</v>
      </c>
      <c r="H2771" s="59">
        <v>9.9879999999999995</v>
      </c>
    </row>
    <row r="2772" spans="1:13" ht="112.5" customHeight="1" x14ac:dyDescent="0.15">
      <c r="A2772" s="54">
        <v>2828</v>
      </c>
      <c r="B2772" s="55" t="s">
        <v>3818</v>
      </c>
      <c r="C2772" s="55" t="s">
        <v>11732</v>
      </c>
      <c r="D2772" s="56" t="s">
        <v>11733</v>
      </c>
      <c r="E2772" s="2"/>
      <c r="F2772" s="57"/>
      <c r="G2772" s="64" t="s">
        <v>11734</v>
      </c>
      <c r="H2772" s="59">
        <v>10</v>
      </c>
    </row>
    <row r="2773" spans="1:13" ht="112.5" customHeight="1" x14ac:dyDescent="0.15">
      <c r="A2773" s="54">
        <v>222</v>
      </c>
      <c r="B2773" s="55" t="s">
        <v>3818</v>
      </c>
      <c r="C2773" s="55" t="s">
        <v>11735</v>
      </c>
      <c r="D2773" s="56" t="s">
        <v>11736</v>
      </c>
      <c r="E2773" s="2"/>
      <c r="F2773" s="57"/>
      <c r="G2773" s="63" t="s">
        <v>4782</v>
      </c>
      <c r="H2773" s="59">
        <v>9.9969999999999999</v>
      </c>
    </row>
    <row r="2774" spans="1:13" ht="112.5" customHeight="1" x14ac:dyDescent="0.15">
      <c r="A2774" s="54">
        <v>2826</v>
      </c>
      <c r="B2774" s="55" t="s">
        <v>3496</v>
      </c>
      <c r="C2774" s="55" t="s">
        <v>11737</v>
      </c>
      <c r="D2774" s="56" t="s">
        <v>11738</v>
      </c>
      <c r="E2774" s="2"/>
      <c r="F2774" s="57"/>
      <c r="G2774" s="64" t="s">
        <v>4779</v>
      </c>
      <c r="H2774" s="59">
        <v>0</v>
      </c>
    </row>
    <row r="2775" spans="1:13" ht="112.5" customHeight="1" x14ac:dyDescent="0.15">
      <c r="A2775" s="54">
        <v>2856</v>
      </c>
      <c r="B2775" s="55" t="s">
        <v>3818</v>
      </c>
      <c r="C2775" s="55" t="s">
        <v>11739</v>
      </c>
      <c r="D2775" s="56" t="s">
        <v>11740</v>
      </c>
      <c r="E2775" s="2"/>
      <c r="F2775" s="57"/>
      <c r="G2775" s="63" t="s">
        <v>11741</v>
      </c>
      <c r="H2775" s="59">
        <v>0</v>
      </c>
    </row>
    <row r="2776" spans="1:13" ht="112.5" customHeight="1" x14ac:dyDescent="0.15">
      <c r="A2776" s="60">
        <v>2855</v>
      </c>
      <c r="B2776" s="30" t="s">
        <v>3818</v>
      </c>
      <c r="C2776" s="30" t="s">
        <v>11742</v>
      </c>
      <c r="D2776" s="61" t="s">
        <v>11743</v>
      </c>
      <c r="E2776" s="2"/>
      <c r="F2776" s="57"/>
      <c r="G2776" s="58" t="s">
        <v>4776</v>
      </c>
      <c r="H2776" s="59">
        <v>9.9990000000000006</v>
      </c>
      <c r="I2776" s="29"/>
      <c r="J2776" s="29"/>
      <c r="K2776" s="29"/>
      <c r="L2776" s="29"/>
      <c r="M2776" s="29"/>
    </row>
    <row r="2777" spans="1:13" ht="112.5" customHeight="1" x14ac:dyDescent="0.15">
      <c r="A2777" s="54">
        <v>2854</v>
      </c>
      <c r="B2777" s="55" t="s">
        <v>3818</v>
      </c>
      <c r="C2777" s="55" t="s">
        <v>11744</v>
      </c>
      <c r="D2777" s="56" t="s">
        <v>11745</v>
      </c>
      <c r="E2777" s="2"/>
      <c r="F2777" s="57"/>
      <c r="G2777" s="63" t="s">
        <v>11746</v>
      </c>
      <c r="H2777" s="59">
        <v>10</v>
      </c>
    </row>
    <row r="2778" spans="1:13" ht="112.5" customHeight="1" x14ac:dyDescent="0.15">
      <c r="A2778" s="60">
        <v>2853</v>
      </c>
      <c r="B2778" s="30" t="s">
        <v>3533</v>
      </c>
      <c r="C2778" s="30" t="s">
        <v>11747</v>
      </c>
      <c r="D2778" s="61" t="s">
        <v>11748</v>
      </c>
      <c r="E2778" s="2"/>
      <c r="F2778" s="57"/>
      <c r="G2778" s="64" t="s">
        <v>11749</v>
      </c>
      <c r="H2778" s="59">
        <v>10</v>
      </c>
    </row>
    <row r="2779" spans="1:13" ht="112.5" customHeight="1" x14ac:dyDescent="0.15">
      <c r="A2779" s="54">
        <v>3272</v>
      </c>
      <c r="B2779" s="55" t="s">
        <v>3496</v>
      </c>
      <c r="C2779" s="55" t="s">
        <v>11750</v>
      </c>
      <c r="D2779" s="56" t="s">
        <v>11751</v>
      </c>
      <c r="E2779" s="2"/>
      <c r="F2779" s="57"/>
      <c r="G2779" s="63" t="s">
        <v>11752</v>
      </c>
      <c r="H2779" s="59">
        <v>9.9939999999999998</v>
      </c>
    </row>
    <row r="2780" spans="1:13" ht="112.5" customHeight="1" x14ac:dyDescent="0.15">
      <c r="A2780" s="54">
        <v>2852</v>
      </c>
      <c r="B2780" s="55" t="s">
        <v>3818</v>
      </c>
      <c r="C2780" s="55" t="s">
        <v>11753</v>
      </c>
      <c r="D2780" s="56" t="s">
        <v>11754</v>
      </c>
      <c r="E2780" s="2"/>
      <c r="F2780" s="57"/>
      <c r="G2780" s="64" t="s">
        <v>11755</v>
      </c>
      <c r="H2780" s="59">
        <v>0</v>
      </c>
    </row>
    <row r="2781" spans="1:13" ht="112.5" customHeight="1" x14ac:dyDescent="0.15">
      <c r="A2781" s="60">
        <v>2825</v>
      </c>
      <c r="B2781" s="30" t="s">
        <v>3526</v>
      </c>
      <c r="C2781" s="30" t="s">
        <v>11756</v>
      </c>
      <c r="D2781" s="61" t="s">
        <v>11757</v>
      </c>
      <c r="E2781" s="2"/>
      <c r="F2781" s="57"/>
      <c r="G2781" s="63" t="s">
        <v>11758</v>
      </c>
      <c r="H2781" s="59">
        <v>10</v>
      </c>
    </row>
    <row r="2782" spans="1:13" ht="112.5" customHeight="1" x14ac:dyDescent="0.15">
      <c r="A2782" s="60">
        <v>2851</v>
      </c>
      <c r="B2782" s="30" t="s">
        <v>3818</v>
      </c>
      <c r="C2782" s="30" t="s">
        <v>11759</v>
      </c>
      <c r="D2782" s="61" t="s">
        <v>11760</v>
      </c>
      <c r="E2782" s="2"/>
      <c r="F2782" s="57"/>
      <c r="G2782" s="64" t="s">
        <v>11761</v>
      </c>
      <c r="H2782" s="59">
        <v>10</v>
      </c>
    </row>
    <row r="2783" spans="1:13" ht="112.5" customHeight="1" x14ac:dyDescent="0.15">
      <c r="A2783" s="54">
        <v>2824</v>
      </c>
      <c r="B2783" s="55" t="s">
        <v>3818</v>
      </c>
      <c r="C2783" s="55" t="s">
        <v>11762</v>
      </c>
      <c r="D2783" s="56" t="s">
        <v>11763</v>
      </c>
      <c r="E2783" s="2"/>
      <c r="F2783" s="57"/>
      <c r="G2783" s="63" t="s">
        <v>11764</v>
      </c>
      <c r="H2783" s="59">
        <v>0</v>
      </c>
    </row>
    <row r="2784" spans="1:13" ht="112.5" customHeight="1" x14ac:dyDescent="0.15">
      <c r="A2784" s="54">
        <v>2850</v>
      </c>
      <c r="B2784" s="55" t="s">
        <v>3818</v>
      </c>
      <c r="C2784" s="55" t="s">
        <v>11765</v>
      </c>
      <c r="D2784" s="56" t="s">
        <v>11766</v>
      </c>
      <c r="E2784" s="2"/>
      <c r="F2784" s="57"/>
      <c r="G2784" s="64" t="s">
        <v>11767</v>
      </c>
      <c r="H2784" s="59">
        <v>10</v>
      </c>
    </row>
    <row r="2785" spans="1:8" ht="112.5" customHeight="1" x14ac:dyDescent="0.15">
      <c r="A2785" s="60">
        <v>2849</v>
      </c>
      <c r="B2785" s="30" t="s">
        <v>3502</v>
      </c>
      <c r="C2785" s="30" t="s">
        <v>11768</v>
      </c>
      <c r="D2785" s="61" t="s">
        <v>11769</v>
      </c>
      <c r="E2785" s="2"/>
      <c r="F2785" s="57"/>
      <c r="G2785" s="63" t="s">
        <v>11770</v>
      </c>
      <c r="H2785" s="59">
        <v>9.9649999999999999</v>
      </c>
    </row>
    <row r="2786" spans="1:8" ht="112.5" customHeight="1" x14ac:dyDescent="0.15">
      <c r="A2786" s="60">
        <v>2847</v>
      </c>
      <c r="B2786" s="30" t="s">
        <v>3502</v>
      </c>
      <c r="C2786" s="30" t="s">
        <v>11771</v>
      </c>
      <c r="D2786" s="61" t="s">
        <v>11772</v>
      </c>
      <c r="E2786" s="2"/>
      <c r="F2786" s="57"/>
      <c r="G2786" s="64" t="s">
        <v>11773</v>
      </c>
      <c r="H2786" s="59">
        <v>9.9960000000000004</v>
      </c>
    </row>
    <row r="2787" spans="1:8" ht="112.5" customHeight="1" x14ac:dyDescent="0.15">
      <c r="A2787" s="54">
        <v>2848</v>
      </c>
      <c r="B2787" s="55" t="s">
        <v>3502</v>
      </c>
      <c r="C2787" s="55" t="s">
        <v>11774</v>
      </c>
      <c r="D2787" s="56" t="s">
        <v>11775</v>
      </c>
      <c r="E2787" s="2"/>
      <c r="F2787" s="57"/>
      <c r="G2787" s="63" t="s">
        <v>11776</v>
      </c>
      <c r="H2787" s="59">
        <v>10</v>
      </c>
    </row>
    <row r="2788" spans="1:8" ht="112.5" customHeight="1" x14ac:dyDescent="0.15">
      <c r="A2788" s="54">
        <v>2846</v>
      </c>
      <c r="B2788" s="55" t="s">
        <v>3502</v>
      </c>
      <c r="C2788" s="55" t="s">
        <v>11777</v>
      </c>
      <c r="D2788" s="56" t="s">
        <v>11778</v>
      </c>
      <c r="E2788" s="2"/>
      <c r="F2788" s="57"/>
      <c r="G2788" s="64" t="s">
        <v>11779</v>
      </c>
      <c r="H2788" s="59">
        <v>0</v>
      </c>
    </row>
    <row r="2789" spans="1:8" ht="112.5" customHeight="1" x14ac:dyDescent="0.15">
      <c r="A2789" s="60">
        <v>2845</v>
      </c>
      <c r="B2789" s="30" t="s">
        <v>3502</v>
      </c>
      <c r="C2789" s="30" t="s">
        <v>11780</v>
      </c>
      <c r="D2789" s="61" t="s">
        <v>11781</v>
      </c>
      <c r="E2789" s="2"/>
      <c r="F2789" s="57"/>
      <c r="G2789" s="63" t="s">
        <v>11782</v>
      </c>
      <c r="H2789" s="59">
        <v>9.9990000000000006</v>
      </c>
    </row>
    <row r="2790" spans="1:8" ht="112.5" customHeight="1" x14ac:dyDescent="0.15">
      <c r="A2790" s="54">
        <v>2844</v>
      </c>
      <c r="B2790" s="55" t="s">
        <v>3502</v>
      </c>
      <c r="C2790" s="55" t="s">
        <v>11783</v>
      </c>
      <c r="D2790" s="56" t="s">
        <v>11784</v>
      </c>
      <c r="E2790" s="2"/>
      <c r="F2790" s="57"/>
      <c r="G2790" s="64" t="s">
        <v>11785</v>
      </c>
      <c r="H2790" s="59">
        <v>9.8490000000000002</v>
      </c>
    </row>
    <row r="2791" spans="1:8" ht="112.5" customHeight="1" x14ac:dyDescent="0.15">
      <c r="A2791" s="60">
        <v>2843</v>
      </c>
      <c r="B2791" s="30" t="s">
        <v>3670</v>
      </c>
      <c r="C2791" s="30" t="s">
        <v>11786</v>
      </c>
      <c r="D2791" s="61" t="s">
        <v>11787</v>
      </c>
      <c r="E2791" s="2"/>
      <c r="F2791" s="57"/>
      <c r="G2791" s="63" t="s">
        <v>11788</v>
      </c>
      <c r="H2791" s="59">
        <v>10</v>
      </c>
    </row>
    <row r="2792" spans="1:8" ht="112.5" customHeight="1" x14ac:dyDescent="0.15">
      <c r="A2792" s="54">
        <v>2842</v>
      </c>
      <c r="B2792" s="55" t="s">
        <v>3502</v>
      </c>
      <c r="C2792" s="55" t="s">
        <v>11789</v>
      </c>
      <c r="D2792" s="56" t="s">
        <v>11790</v>
      </c>
      <c r="E2792" s="2"/>
      <c r="F2792" s="57"/>
      <c r="G2792" s="64" t="s">
        <v>11791</v>
      </c>
      <c r="H2792" s="59">
        <v>10</v>
      </c>
    </row>
    <row r="2793" spans="1:8" ht="112.5" customHeight="1" x14ac:dyDescent="0.15">
      <c r="A2793" s="54">
        <v>2820</v>
      </c>
      <c r="B2793" s="55" t="s">
        <v>3502</v>
      </c>
      <c r="C2793" s="55" t="s">
        <v>11792</v>
      </c>
      <c r="D2793" s="56" t="s">
        <v>11793</v>
      </c>
      <c r="E2793" s="2"/>
      <c r="F2793" s="57"/>
      <c r="G2793" s="63" t="s">
        <v>11794</v>
      </c>
      <c r="H2793" s="59">
        <v>10</v>
      </c>
    </row>
    <row r="2794" spans="1:8" ht="112.5" customHeight="1" x14ac:dyDescent="0.15">
      <c r="A2794" s="60">
        <v>3109</v>
      </c>
      <c r="B2794" s="30" t="s">
        <v>3502</v>
      </c>
      <c r="C2794" s="30" t="s">
        <v>11795</v>
      </c>
      <c r="D2794" s="61" t="s">
        <v>11796</v>
      </c>
      <c r="E2794" s="2"/>
      <c r="F2794" s="57"/>
      <c r="G2794" s="64" t="s">
        <v>11797</v>
      </c>
      <c r="H2794" s="59">
        <v>9.9909999999999997</v>
      </c>
    </row>
    <row r="2795" spans="1:8" ht="112.5" customHeight="1" x14ac:dyDescent="0.15">
      <c r="A2795" s="54">
        <v>2822</v>
      </c>
      <c r="B2795" s="55" t="s">
        <v>3502</v>
      </c>
      <c r="C2795" s="55" t="s">
        <v>11798</v>
      </c>
      <c r="D2795" s="56" t="s">
        <v>11799</v>
      </c>
      <c r="E2795" s="2"/>
      <c r="F2795" s="57"/>
      <c r="G2795" s="63" t="s">
        <v>11800</v>
      </c>
      <c r="H2795" s="59">
        <v>9.9969999999999999</v>
      </c>
    </row>
    <row r="2796" spans="1:8" ht="112.5" customHeight="1" x14ac:dyDescent="0.15">
      <c r="A2796" s="60">
        <v>2819</v>
      </c>
      <c r="B2796" s="30" t="s">
        <v>3502</v>
      </c>
      <c r="C2796" s="30" t="s">
        <v>11801</v>
      </c>
      <c r="D2796" s="61" t="s">
        <v>11802</v>
      </c>
      <c r="E2796" s="2"/>
      <c r="F2796" s="57"/>
      <c r="G2796" s="64" t="s">
        <v>11803</v>
      </c>
      <c r="H2796" s="59">
        <v>10</v>
      </c>
    </row>
    <row r="2797" spans="1:8" ht="112.5" customHeight="1" x14ac:dyDescent="0.15">
      <c r="A2797" s="54">
        <v>2818</v>
      </c>
      <c r="B2797" s="55" t="s">
        <v>3502</v>
      </c>
      <c r="C2797" s="55" t="s">
        <v>11804</v>
      </c>
      <c r="D2797" s="56" t="s">
        <v>11805</v>
      </c>
      <c r="E2797" s="2"/>
      <c r="F2797" s="57"/>
      <c r="G2797" s="63" t="s">
        <v>11806</v>
      </c>
      <c r="H2797" s="59">
        <v>10</v>
      </c>
    </row>
    <row r="2798" spans="1:8" ht="112.5" customHeight="1" x14ac:dyDescent="0.15">
      <c r="A2798" s="60">
        <v>2817</v>
      </c>
      <c r="B2798" s="30" t="s">
        <v>3502</v>
      </c>
      <c r="C2798" s="30" t="s">
        <v>11807</v>
      </c>
      <c r="D2798" s="61" t="s">
        <v>11808</v>
      </c>
      <c r="E2798" s="2"/>
      <c r="F2798" s="57"/>
      <c r="G2798" s="64" t="s">
        <v>11809</v>
      </c>
      <c r="H2798" s="59">
        <v>9.9719999999999995</v>
      </c>
    </row>
    <row r="2799" spans="1:8" ht="112.5" customHeight="1" x14ac:dyDescent="0.15">
      <c r="A2799" s="60">
        <v>2821</v>
      </c>
      <c r="B2799" s="30" t="s">
        <v>3502</v>
      </c>
      <c r="C2799" s="30" t="s">
        <v>11810</v>
      </c>
      <c r="D2799" s="61" t="s">
        <v>11811</v>
      </c>
      <c r="E2799" s="2"/>
      <c r="F2799" s="57"/>
      <c r="G2799" s="63" t="s">
        <v>11812</v>
      </c>
      <c r="H2799" s="59">
        <v>9.9809999999999999</v>
      </c>
    </row>
    <row r="2800" spans="1:8" ht="112.5" customHeight="1" x14ac:dyDescent="0.15">
      <c r="A2800" s="54">
        <v>2816</v>
      </c>
      <c r="B2800" s="55" t="s">
        <v>3502</v>
      </c>
      <c r="C2800" s="55" t="s">
        <v>11813</v>
      </c>
      <c r="D2800" s="56" t="s">
        <v>11814</v>
      </c>
      <c r="E2800" s="2"/>
      <c r="F2800" s="57"/>
      <c r="G2800" s="64" t="s">
        <v>11815</v>
      </c>
      <c r="H2800" s="59">
        <v>10</v>
      </c>
    </row>
    <row r="2801" spans="1:8" ht="112.5" customHeight="1" x14ac:dyDescent="0.15">
      <c r="A2801" s="60">
        <v>2815</v>
      </c>
      <c r="B2801" s="30" t="s">
        <v>3502</v>
      </c>
      <c r="C2801" s="30" t="s">
        <v>11816</v>
      </c>
      <c r="D2801" s="61" t="s">
        <v>11817</v>
      </c>
      <c r="E2801" s="2"/>
      <c r="F2801" s="57"/>
      <c r="G2801" s="63" t="s">
        <v>11818</v>
      </c>
      <c r="H2801" s="59">
        <v>9.98</v>
      </c>
    </row>
    <row r="2802" spans="1:8" ht="112.5" customHeight="1" x14ac:dyDescent="0.15">
      <c r="A2802" s="54">
        <v>2814</v>
      </c>
      <c r="B2802" s="55" t="s">
        <v>3502</v>
      </c>
      <c r="C2802" s="55" t="s">
        <v>11819</v>
      </c>
      <c r="D2802" s="56" t="s">
        <v>11820</v>
      </c>
      <c r="E2802" s="2"/>
      <c r="F2802" s="57"/>
      <c r="G2802" s="64" t="s">
        <v>11821</v>
      </c>
      <c r="H2802" s="59">
        <v>9.9740000000000002</v>
      </c>
    </row>
    <row r="2803" spans="1:8" ht="112.5" customHeight="1" x14ac:dyDescent="0.15">
      <c r="A2803" s="54">
        <v>2812</v>
      </c>
      <c r="B2803" s="55" t="s">
        <v>3502</v>
      </c>
      <c r="C2803" s="55" t="s">
        <v>11822</v>
      </c>
      <c r="D2803" s="56" t="s">
        <v>11823</v>
      </c>
      <c r="E2803" s="2"/>
      <c r="F2803" s="57"/>
      <c r="G2803" s="63" t="s">
        <v>11824</v>
      </c>
      <c r="H2803" s="59">
        <v>9.9890000000000008</v>
      </c>
    </row>
    <row r="2804" spans="1:8" ht="112.5" customHeight="1" x14ac:dyDescent="0.15">
      <c r="A2804" s="60">
        <v>2813</v>
      </c>
      <c r="B2804" s="30" t="s">
        <v>3502</v>
      </c>
      <c r="C2804" s="30" t="s">
        <v>11825</v>
      </c>
      <c r="D2804" s="61" t="s">
        <v>11826</v>
      </c>
      <c r="E2804" s="2"/>
      <c r="F2804" s="57"/>
      <c r="G2804" s="64" t="s">
        <v>11827</v>
      </c>
      <c r="H2804" s="59">
        <v>9.9589999999999996</v>
      </c>
    </row>
    <row r="2805" spans="1:8" ht="112.5" customHeight="1" x14ac:dyDescent="0.15">
      <c r="A2805" s="60">
        <v>2811</v>
      </c>
      <c r="B2805" s="30" t="s">
        <v>3502</v>
      </c>
      <c r="C2805" s="30" t="s">
        <v>11828</v>
      </c>
      <c r="D2805" s="61" t="s">
        <v>11829</v>
      </c>
      <c r="E2805" s="2"/>
      <c r="F2805" s="57"/>
      <c r="G2805" s="63" t="s">
        <v>11830</v>
      </c>
      <c r="H2805" s="59">
        <v>0</v>
      </c>
    </row>
    <row r="2806" spans="1:8" ht="112.5" customHeight="1" x14ac:dyDescent="0.15">
      <c r="A2806" s="54">
        <v>2810</v>
      </c>
      <c r="B2806" s="55" t="s">
        <v>3502</v>
      </c>
      <c r="C2806" s="55" t="s">
        <v>11831</v>
      </c>
      <c r="D2806" s="56" t="s">
        <v>11832</v>
      </c>
      <c r="E2806" s="2"/>
      <c r="F2806" s="57"/>
      <c r="G2806" s="64" t="s">
        <v>11833</v>
      </c>
      <c r="H2806" s="59">
        <v>9.9860000000000007</v>
      </c>
    </row>
    <row r="2807" spans="1:8" ht="112.5" customHeight="1" x14ac:dyDescent="0.15">
      <c r="A2807" s="60">
        <v>2809</v>
      </c>
      <c r="B2807" s="30" t="s">
        <v>3502</v>
      </c>
      <c r="C2807" s="30" t="s">
        <v>11834</v>
      </c>
      <c r="D2807" s="61" t="s">
        <v>11835</v>
      </c>
      <c r="E2807" s="2"/>
      <c r="F2807" s="57"/>
      <c r="G2807" s="63" t="s">
        <v>11836</v>
      </c>
      <c r="H2807" s="59">
        <v>9.9580000000000002</v>
      </c>
    </row>
    <row r="2808" spans="1:8" ht="112.5" customHeight="1" x14ac:dyDescent="0.15">
      <c r="A2808" s="54">
        <v>2808</v>
      </c>
      <c r="B2808" s="55" t="s">
        <v>3502</v>
      </c>
      <c r="C2808" s="55" t="s">
        <v>11837</v>
      </c>
      <c r="D2808" s="56" t="s">
        <v>11838</v>
      </c>
      <c r="E2808" s="2"/>
      <c r="F2808" s="57"/>
      <c r="G2808" s="64" t="s">
        <v>11839</v>
      </c>
      <c r="H2808" s="59">
        <v>0</v>
      </c>
    </row>
    <row r="2809" spans="1:8" ht="112.5" customHeight="1" x14ac:dyDescent="0.15">
      <c r="A2809" s="54">
        <v>3392</v>
      </c>
      <c r="B2809" s="55" t="s">
        <v>3502</v>
      </c>
      <c r="C2809" s="55" t="s">
        <v>11840</v>
      </c>
      <c r="D2809" s="56" t="s">
        <v>11841</v>
      </c>
      <c r="E2809" s="2"/>
      <c r="F2809" s="57"/>
      <c r="G2809" s="63" t="s">
        <v>11842</v>
      </c>
      <c r="H2809" s="59">
        <v>9.9939999999999998</v>
      </c>
    </row>
    <row r="2810" spans="1:8" ht="112.5" customHeight="1" x14ac:dyDescent="0.15">
      <c r="A2810" s="60">
        <v>2807</v>
      </c>
      <c r="B2810" s="30" t="s">
        <v>3502</v>
      </c>
      <c r="C2810" s="30" t="s">
        <v>11843</v>
      </c>
      <c r="D2810" s="61" t="s">
        <v>11844</v>
      </c>
      <c r="E2810" s="2"/>
      <c r="F2810" s="57"/>
      <c r="G2810" s="64" t="s">
        <v>11845</v>
      </c>
      <c r="H2810" s="59">
        <v>10</v>
      </c>
    </row>
    <row r="2811" spans="1:8" ht="112.5" customHeight="1" x14ac:dyDescent="0.15">
      <c r="A2811" s="54">
        <v>2806</v>
      </c>
      <c r="B2811" s="55" t="s">
        <v>3502</v>
      </c>
      <c r="C2811" s="55" t="s">
        <v>11846</v>
      </c>
      <c r="D2811" s="56" t="s">
        <v>11847</v>
      </c>
      <c r="E2811" s="2"/>
      <c r="F2811" s="57"/>
      <c r="G2811" s="63" t="s">
        <v>11848</v>
      </c>
      <c r="H2811" s="59">
        <v>10</v>
      </c>
    </row>
    <row r="2812" spans="1:8" ht="112.5" customHeight="1" x14ac:dyDescent="0.15">
      <c r="A2812" s="60">
        <v>2805</v>
      </c>
      <c r="B2812" s="30" t="s">
        <v>3502</v>
      </c>
      <c r="C2812" s="30" t="s">
        <v>11849</v>
      </c>
      <c r="D2812" s="61" t="s">
        <v>11850</v>
      </c>
      <c r="E2812" s="2"/>
      <c r="F2812" s="57"/>
      <c r="G2812" s="64" t="s">
        <v>11851</v>
      </c>
      <c r="H2812" s="59">
        <v>9.9819999999999993</v>
      </c>
    </row>
    <row r="2813" spans="1:8" ht="112.5" customHeight="1" x14ac:dyDescent="0.15">
      <c r="A2813" s="54">
        <v>2804</v>
      </c>
      <c r="B2813" s="55" t="s">
        <v>3502</v>
      </c>
      <c r="C2813" s="55" t="s">
        <v>11852</v>
      </c>
      <c r="D2813" s="56" t="s">
        <v>11853</v>
      </c>
      <c r="E2813" s="2"/>
      <c r="F2813" s="57"/>
      <c r="G2813" s="63" t="s">
        <v>11854</v>
      </c>
      <c r="H2813" s="59">
        <v>9.9130000000000003</v>
      </c>
    </row>
    <row r="2814" spans="1:8" ht="112.5" customHeight="1" x14ac:dyDescent="0.15">
      <c r="A2814" s="60">
        <v>2803</v>
      </c>
      <c r="B2814" s="30" t="s">
        <v>3502</v>
      </c>
      <c r="C2814" s="30" t="s">
        <v>11855</v>
      </c>
      <c r="D2814" s="61" t="s">
        <v>11856</v>
      </c>
      <c r="E2814" s="2"/>
      <c r="F2814" s="57"/>
      <c r="G2814" s="64" t="s">
        <v>11857</v>
      </c>
      <c r="H2814" s="59">
        <v>9.9239999999999995</v>
      </c>
    </row>
    <row r="2815" spans="1:8" ht="112.5" customHeight="1" x14ac:dyDescent="0.15">
      <c r="A2815" s="60">
        <v>2801</v>
      </c>
      <c r="B2815" s="30" t="s">
        <v>3502</v>
      </c>
      <c r="C2815" s="30" t="s">
        <v>11858</v>
      </c>
      <c r="D2815" s="61" t="s">
        <v>11859</v>
      </c>
      <c r="E2815" s="2"/>
      <c r="F2815" s="57"/>
      <c r="G2815" s="63" t="s">
        <v>11860</v>
      </c>
      <c r="H2815" s="59">
        <v>0</v>
      </c>
    </row>
    <row r="2816" spans="1:8" ht="112.5" customHeight="1" x14ac:dyDescent="0.15">
      <c r="A2816" s="54">
        <v>2800</v>
      </c>
      <c r="B2816" s="55" t="s">
        <v>3502</v>
      </c>
      <c r="C2816" s="55" t="s">
        <v>11861</v>
      </c>
      <c r="D2816" s="56" t="s">
        <v>11862</v>
      </c>
      <c r="E2816" s="2"/>
      <c r="F2816" s="57"/>
      <c r="G2816" s="64" t="s">
        <v>11863</v>
      </c>
      <c r="H2816" s="59">
        <v>9.9969999999999999</v>
      </c>
    </row>
    <row r="2817" spans="1:8" ht="112.5" customHeight="1" x14ac:dyDescent="0.15">
      <c r="A2817" s="54">
        <v>2840</v>
      </c>
      <c r="B2817" s="55" t="s">
        <v>3502</v>
      </c>
      <c r="C2817" s="55" t="s">
        <v>11864</v>
      </c>
      <c r="D2817" s="56" t="s">
        <v>11865</v>
      </c>
      <c r="E2817" s="2"/>
      <c r="F2817" s="57"/>
      <c r="G2817" s="63" t="s">
        <v>11866</v>
      </c>
      <c r="H2817" s="59">
        <v>10</v>
      </c>
    </row>
    <row r="2818" spans="1:8" ht="112.5" customHeight="1" x14ac:dyDescent="0.15">
      <c r="A2818" s="60">
        <v>2841</v>
      </c>
      <c r="B2818" s="30" t="s">
        <v>3502</v>
      </c>
      <c r="C2818" s="30" t="s">
        <v>11867</v>
      </c>
      <c r="D2818" s="61" t="s">
        <v>11868</v>
      </c>
      <c r="E2818" s="2"/>
      <c r="F2818" s="57"/>
      <c r="G2818" s="64" t="s">
        <v>11869</v>
      </c>
      <c r="H2818" s="59">
        <v>0</v>
      </c>
    </row>
    <row r="2819" spans="1:8" ht="112.5" customHeight="1" x14ac:dyDescent="0.15">
      <c r="A2819" s="60">
        <v>2839</v>
      </c>
      <c r="B2819" s="30" t="s">
        <v>3502</v>
      </c>
      <c r="C2819" s="30" t="s">
        <v>11870</v>
      </c>
      <c r="D2819" s="61" t="s">
        <v>11871</v>
      </c>
      <c r="E2819" s="2"/>
      <c r="F2819" s="57"/>
      <c r="G2819" s="63" t="s">
        <v>11872</v>
      </c>
      <c r="H2819" s="59">
        <v>0</v>
      </c>
    </row>
    <row r="2820" spans="1:8" ht="112.5" customHeight="1" x14ac:dyDescent="0.15">
      <c r="A2820" s="54">
        <v>2838</v>
      </c>
      <c r="B2820" s="55" t="s">
        <v>3502</v>
      </c>
      <c r="C2820" s="55" t="s">
        <v>11873</v>
      </c>
      <c r="D2820" s="56" t="s">
        <v>11874</v>
      </c>
      <c r="E2820" s="2"/>
      <c r="F2820" s="57"/>
      <c r="G2820" s="64" t="s">
        <v>11875</v>
      </c>
      <c r="H2820" s="59">
        <v>0</v>
      </c>
    </row>
    <row r="2821" spans="1:8" ht="112.5" customHeight="1" x14ac:dyDescent="0.15">
      <c r="A2821" s="60">
        <v>2837</v>
      </c>
      <c r="B2821" s="30" t="s">
        <v>3502</v>
      </c>
      <c r="C2821" s="30" t="s">
        <v>11876</v>
      </c>
      <c r="D2821" s="61" t="s">
        <v>11877</v>
      </c>
      <c r="E2821" s="2"/>
      <c r="F2821" s="57"/>
      <c r="G2821" s="63" t="s">
        <v>11878</v>
      </c>
      <c r="H2821" s="59">
        <v>0</v>
      </c>
    </row>
    <row r="2822" spans="1:8" ht="112.5" customHeight="1" x14ac:dyDescent="0.15">
      <c r="A2822" s="54">
        <v>2912</v>
      </c>
      <c r="B2822" s="55" t="s">
        <v>3502</v>
      </c>
      <c r="C2822" s="55" t="s">
        <v>11879</v>
      </c>
      <c r="D2822" s="56" t="s">
        <v>11880</v>
      </c>
      <c r="E2822" s="2"/>
      <c r="F2822" s="57"/>
      <c r="G2822" s="64" t="s">
        <v>11881</v>
      </c>
      <c r="H2822" s="59">
        <v>9.9390000000000001</v>
      </c>
    </row>
    <row r="2823" spans="1:8" ht="112.5" customHeight="1" x14ac:dyDescent="0.15">
      <c r="A2823" s="54">
        <v>2836</v>
      </c>
      <c r="B2823" s="55" t="s">
        <v>3502</v>
      </c>
      <c r="C2823" s="55" t="s">
        <v>11882</v>
      </c>
      <c r="D2823" s="56" t="s">
        <v>11883</v>
      </c>
      <c r="E2823" s="2"/>
      <c r="F2823" s="57"/>
      <c r="G2823" s="63" t="s">
        <v>11884</v>
      </c>
      <c r="H2823" s="59">
        <v>9.9730000000000008</v>
      </c>
    </row>
    <row r="2824" spans="1:8" ht="112.5" customHeight="1" x14ac:dyDescent="0.15">
      <c r="A2824" s="54">
        <v>2908</v>
      </c>
      <c r="B2824" s="55" t="s">
        <v>3502</v>
      </c>
      <c r="C2824" s="55" t="s">
        <v>11885</v>
      </c>
      <c r="D2824" s="56" t="s">
        <v>11886</v>
      </c>
      <c r="E2824" s="2"/>
      <c r="F2824" s="57"/>
      <c r="G2824" s="64" t="s">
        <v>11887</v>
      </c>
      <c r="H2824" s="59">
        <v>10</v>
      </c>
    </row>
    <row r="2825" spans="1:8" ht="112.5" customHeight="1" x14ac:dyDescent="0.15">
      <c r="A2825" s="54">
        <v>2910</v>
      </c>
      <c r="B2825" s="55" t="s">
        <v>3502</v>
      </c>
      <c r="C2825" s="55" t="s">
        <v>11888</v>
      </c>
      <c r="D2825" s="56" t="s">
        <v>11889</v>
      </c>
      <c r="E2825" s="2"/>
      <c r="F2825" s="57"/>
      <c r="G2825" s="63" t="s">
        <v>11890</v>
      </c>
      <c r="H2825" s="59">
        <v>9.9849999999999994</v>
      </c>
    </row>
    <row r="2826" spans="1:8" ht="112.5" customHeight="1" x14ac:dyDescent="0.15">
      <c r="A2826" s="60">
        <v>2909</v>
      </c>
      <c r="B2826" s="30" t="s">
        <v>3502</v>
      </c>
      <c r="C2826" s="30" t="s">
        <v>11891</v>
      </c>
      <c r="D2826" s="61" t="s">
        <v>11892</v>
      </c>
      <c r="E2826" s="2"/>
      <c r="F2826" s="57"/>
      <c r="G2826" s="64" t="s">
        <v>11893</v>
      </c>
      <c r="H2826" s="59">
        <v>10</v>
      </c>
    </row>
    <row r="2827" spans="1:8" ht="112.5" customHeight="1" x14ac:dyDescent="0.15">
      <c r="A2827" s="60">
        <v>2911</v>
      </c>
      <c r="B2827" s="30" t="s">
        <v>3502</v>
      </c>
      <c r="C2827" s="30" t="s">
        <v>11894</v>
      </c>
      <c r="D2827" s="61" t="s">
        <v>11895</v>
      </c>
      <c r="E2827" s="2"/>
      <c r="F2827" s="57"/>
      <c r="G2827" s="63" t="s">
        <v>11896</v>
      </c>
      <c r="H2827" s="59">
        <v>9.9979999999999993</v>
      </c>
    </row>
    <row r="2828" spans="1:8" ht="112.5" customHeight="1" x14ac:dyDescent="0.15">
      <c r="A2828" s="60">
        <v>2907</v>
      </c>
      <c r="B2828" s="30" t="s">
        <v>3502</v>
      </c>
      <c r="C2828" s="30" t="s">
        <v>11897</v>
      </c>
      <c r="D2828" s="61" t="s">
        <v>11898</v>
      </c>
      <c r="E2828" s="2"/>
      <c r="F2828" s="57"/>
      <c r="G2828" s="64" t="s">
        <v>11899</v>
      </c>
      <c r="H2828" s="59">
        <v>9.99</v>
      </c>
    </row>
    <row r="2829" spans="1:8" ht="112.5" customHeight="1" x14ac:dyDescent="0.15">
      <c r="A2829" s="60">
        <v>2905</v>
      </c>
      <c r="B2829" s="30" t="s">
        <v>3502</v>
      </c>
      <c r="C2829" s="30" t="s">
        <v>11900</v>
      </c>
      <c r="D2829" s="61" t="s">
        <v>11901</v>
      </c>
      <c r="E2829" s="2"/>
      <c r="F2829" s="57"/>
      <c r="G2829" s="63" t="s">
        <v>11902</v>
      </c>
      <c r="H2829" s="59">
        <v>10</v>
      </c>
    </row>
    <row r="2830" spans="1:8" ht="112.5" customHeight="1" x14ac:dyDescent="0.15">
      <c r="A2830" s="54">
        <v>2906</v>
      </c>
      <c r="B2830" s="55" t="s">
        <v>3502</v>
      </c>
      <c r="C2830" s="55" t="s">
        <v>11903</v>
      </c>
      <c r="D2830" s="56" t="s">
        <v>11904</v>
      </c>
      <c r="E2830" s="2"/>
      <c r="F2830" s="57"/>
      <c r="G2830" s="64" t="s">
        <v>11905</v>
      </c>
      <c r="H2830" s="59">
        <v>9.94</v>
      </c>
    </row>
    <row r="2831" spans="1:8" ht="112.5" customHeight="1" x14ac:dyDescent="0.15">
      <c r="A2831" s="54">
        <v>2904</v>
      </c>
      <c r="B2831" s="55" t="s">
        <v>3502</v>
      </c>
      <c r="C2831" s="55" t="s">
        <v>11906</v>
      </c>
      <c r="D2831" s="56" t="s">
        <v>11907</v>
      </c>
      <c r="E2831" s="2"/>
      <c r="F2831" s="57"/>
      <c r="G2831" s="63" t="s">
        <v>11908</v>
      </c>
      <c r="H2831" s="59">
        <v>10</v>
      </c>
    </row>
    <row r="2832" spans="1:8" ht="112.5" customHeight="1" x14ac:dyDescent="0.15">
      <c r="A2832" s="60">
        <v>2903</v>
      </c>
      <c r="B2832" s="30" t="s">
        <v>3502</v>
      </c>
      <c r="C2832" s="30" t="s">
        <v>11909</v>
      </c>
      <c r="D2832" s="61" t="s">
        <v>11910</v>
      </c>
      <c r="E2832" s="2"/>
      <c r="F2832" s="57"/>
      <c r="G2832" s="64" t="s">
        <v>11911</v>
      </c>
      <c r="H2832" s="59">
        <v>10</v>
      </c>
    </row>
    <row r="2833" spans="1:8" ht="112.5" customHeight="1" x14ac:dyDescent="0.15">
      <c r="A2833" s="54">
        <v>2902</v>
      </c>
      <c r="B2833" s="55" t="s">
        <v>3502</v>
      </c>
      <c r="C2833" s="55" t="s">
        <v>11912</v>
      </c>
      <c r="D2833" s="56" t="s">
        <v>11913</v>
      </c>
      <c r="E2833" s="2"/>
      <c r="F2833" s="57"/>
      <c r="G2833" s="63" t="s">
        <v>11914</v>
      </c>
      <c r="H2833" s="59">
        <v>9.9649999999999999</v>
      </c>
    </row>
    <row r="2834" spans="1:8" ht="112.5" customHeight="1" x14ac:dyDescent="0.15">
      <c r="A2834" s="60">
        <v>2901</v>
      </c>
      <c r="B2834" s="30" t="s">
        <v>3502</v>
      </c>
      <c r="C2834" s="30" t="s">
        <v>11915</v>
      </c>
      <c r="D2834" s="61" t="s">
        <v>11916</v>
      </c>
      <c r="E2834" s="2"/>
      <c r="F2834" s="57"/>
      <c r="G2834" s="64" t="s">
        <v>11917</v>
      </c>
      <c r="H2834" s="59">
        <v>9.9979999999999993</v>
      </c>
    </row>
    <row r="2835" spans="1:8" ht="112.5" customHeight="1" x14ac:dyDescent="0.15">
      <c r="A2835" s="54">
        <v>2900</v>
      </c>
      <c r="B2835" s="55" t="s">
        <v>3502</v>
      </c>
      <c r="C2835" s="55" t="s">
        <v>11918</v>
      </c>
      <c r="D2835" s="56" t="s">
        <v>11919</v>
      </c>
      <c r="E2835" s="2"/>
      <c r="F2835" s="57"/>
      <c r="G2835" s="63" t="s">
        <v>11920</v>
      </c>
      <c r="H2835" s="59">
        <v>10</v>
      </c>
    </row>
    <row r="2836" spans="1:8" ht="112.5" customHeight="1" x14ac:dyDescent="0.15">
      <c r="A2836" s="60">
        <v>2899</v>
      </c>
      <c r="B2836" s="30" t="s">
        <v>3502</v>
      </c>
      <c r="C2836" s="30" t="s">
        <v>11921</v>
      </c>
      <c r="D2836" s="61" t="s">
        <v>11922</v>
      </c>
      <c r="E2836" s="2"/>
      <c r="F2836" s="57"/>
      <c r="G2836" s="64" t="s">
        <v>11923</v>
      </c>
      <c r="H2836" s="59">
        <v>9.99</v>
      </c>
    </row>
    <row r="2837" spans="1:8" ht="112.5" customHeight="1" x14ac:dyDescent="0.15">
      <c r="A2837" s="54">
        <v>2898</v>
      </c>
      <c r="B2837" s="55" t="s">
        <v>3502</v>
      </c>
      <c r="C2837" s="55" t="s">
        <v>11924</v>
      </c>
      <c r="D2837" s="56" t="s">
        <v>11925</v>
      </c>
      <c r="E2837" s="2"/>
      <c r="F2837" s="57"/>
      <c r="G2837" s="63" t="s">
        <v>11926</v>
      </c>
      <c r="H2837" s="59">
        <v>0</v>
      </c>
    </row>
    <row r="2838" spans="1:8" ht="112.5" customHeight="1" x14ac:dyDescent="0.15">
      <c r="A2838" s="60">
        <v>2897</v>
      </c>
      <c r="B2838" s="30" t="s">
        <v>3502</v>
      </c>
      <c r="C2838" s="30" t="s">
        <v>11927</v>
      </c>
      <c r="D2838" s="61" t="s">
        <v>11928</v>
      </c>
      <c r="E2838" s="2"/>
      <c r="F2838" s="57"/>
      <c r="G2838" s="64" t="s">
        <v>11929</v>
      </c>
      <c r="H2838" s="59">
        <v>9.9830000000000005</v>
      </c>
    </row>
    <row r="2839" spans="1:8" ht="112.5" customHeight="1" x14ac:dyDescent="0.15">
      <c r="A2839" s="54">
        <v>2896</v>
      </c>
      <c r="B2839" s="55" t="s">
        <v>3502</v>
      </c>
      <c r="C2839" s="55" t="s">
        <v>11930</v>
      </c>
      <c r="D2839" s="56" t="s">
        <v>11931</v>
      </c>
      <c r="E2839" s="2"/>
      <c r="F2839" s="57"/>
      <c r="G2839" s="63" t="s">
        <v>11932</v>
      </c>
      <c r="H2839" s="59">
        <v>9.9979999999999993</v>
      </c>
    </row>
    <row r="2840" spans="1:8" ht="112.5" customHeight="1" x14ac:dyDescent="0.15">
      <c r="A2840" s="60">
        <v>2895</v>
      </c>
      <c r="B2840" s="30" t="s">
        <v>3502</v>
      </c>
      <c r="C2840" s="30" t="s">
        <v>11933</v>
      </c>
      <c r="D2840" s="61" t="s">
        <v>11934</v>
      </c>
      <c r="E2840" s="2"/>
      <c r="F2840" s="57"/>
      <c r="G2840" s="64" t="s">
        <v>11935</v>
      </c>
      <c r="H2840" s="59">
        <v>0</v>
      </c>
    </row>
    <row r="2841" spans="1:8" ht="112.5" customHeight="1" x14ac:dyDescent="0.15">
      <c r="A2841" s="54">
        <v>2894</v>
      </c>
      <c r="B2841" s="55" t="s">
        <v>3502</v>
      </c>
      <c r="C2841" s="55" t="s">
        <v>11936</v>
      </c>
      <c r="D2841" s="56" t="s">
        <v>11937</v>
      </c>
      <c r="E2841" s="2"/>
      <c r="F2841" s="57"/>
      <c r="G2841" s="63" t="s">
        <v>11938</v>
      </c>
      <c r="H2841" s="59">
        <v>0</v>
      </c>
    </row>
    <row r="2842" spans="1:8" ht="112.5" customHeight="1" x14ac:dyDescent="0.15">
      <c r="A2842" s="60">
        <v>2893</v>
      </c>
      <c r="B2842" s="30" t="s">
        <v>3502</v>
      </c>
      <c r="C2842" s="30" t="s">
        <v>11939</v>
      </c>
      <c r="D2842" s="61" t="s">
        <v>11940</v>
      </c>
      <c r="E2842" s="2"/>
      <c r="F2842" s="57"/>
      <c r="G2842" s="64" t="s">
        <v>11941</v>
      </c>
      <c r="H2842" s="59">
        <v>9.9420000000000002</v>
      </c>
    </row>
    <row r="2843" spans="1:8" ht="112.5" customHeight="1" x14ac:dyDescent="0.15">
      <c r="A2843" s="54">
        <v>2892</v>
      </c>
      <c r="B2843" s="55" t="s">
        <v>3502</v>
      </c>
      <c r="C2843" s="55" t="s">
        <v>11942</v>
      </c>
      <c r="D2843" s="56" t="s">
        <v>11943</v>
      </c>
      <c r="E2843" s="2"/>
      <c r="F2843" s="57"/>
      <c r="G2843" s="63" t="s">
        <v>11944</v>
      </c>
      <c r="H2843" s="59">
        <v>9.9760000000000009</v>
      </c>
    </row>
    <row r="2844" spans="1:8" ht="112.5" customHeight="1" x14ac:dyDescent="0.15">
      <c r="A2844" s="60">
        <v>2891</v>
      </c>
      <c r="B2844" s="30" t="s">
        <v>3502</v>
      </c>
      <c r="C2844" s="30" t="s">
        <v>11945</v>
      </c>
      <c r="D2844" s="61" t="s">
        <v>11946</v>
      </c>
      <c r="E2844" s="2"/>
      <c r="F2844" s="57"/>
      <c r="G2844" s="64" t="s">
        <v>11947</v>
      </c>
      <c r="H2844" s="59">
        <v>9.9979999999999993</v>
      </c>
    </row>
    <row r="2845" spans="1:8" ht="112.5" customHeight="1" x14ac:dyDescent="0.15">
      <c r="A2845" s="54">
        <v>2890</v>
      </c>
      <c r="B2845" s="55" t="s">
        <v>3502</v>
      </c>
      <c r="C2845" s="55" t="s">
        <v>11948</v>
      </c>
      <c r="D2845" s="56" t="s">
        <v>11949</v>
      </c>
      <c r="E2845" s="2"/>
      <c r="F2845" s="57"/>
      <c r="G2845" s="63" t="s">
        <v>11950</v>
      </c>
      <c r="H2845" s="59">
        <v>9.9849999999999994</v>
      </c>
    </row>
    <row r="2846" spans="1:8" ht="112.5" customHeight="1" x14ac:dyDescent="0.15">
      <c r="A2846" s="60">
        <v>2889</v>
      </c>
      <c r="B2846" s="30" t="s">
        <v>3502</v>
      </c>
      <c r="C2846" s="30" t="s">
        <v>11951</v>
      </c>
      <c r="D2846" s="61" t="s">
        <v>11952</v>
      </c>
      <c r="E2846" s="2"/>
      <c r="F2846" s="57"/>
      <c r="G2846" s="64" t="s">
        <v>11953</v>
      </c>
      <c r="H2846" s="59">
        <v>10</v>
      </c>
    </row>
    <row r="2847" spans="1:8" ht="112.5" customHeight="1" x14ac:dyDescent="0.15">
      <c r="A2847" s="54">
        <v>2888</v>
      </c>
      <c r="B2847" s="55" t="s">
        <v>3818</v>
      </c>
      <c r="C2847" s="55" t="s">
        <v>11954</v>
      </c>
      <c r="D2847" s="56" t="s">
        <v>11955</v>
      </c>
      <c r="E2847" s="2"/>
      <c r="F2847" s="57"/>
      <c r="G2847" s="63" t="s">
        <v>11956</v>
      </c>
      <c r="H2847" s="59">
        <v>10</v>
      </c>
    </row>
    <row r="2848" spans="1:8" ht="112.5" customHeight="1" x14ac:dyDescent="0.15">
      <c r="A2848" s="60">
        <v>2887</v>
      </c>
      <c r="B2848" s="30" t="s">
        <v>3502</v>
      </c>
      <c r="C2848" s="30" t="s">
        <v>11957</v>
      </c>
      <c r="D2848" s="61" t="s">
        <v>11958</v>
      </c>
      <c r="E2848" s="2"/>
      <c r="F2848" s="57"/>
      <c r="G2848" s="64" t="s">
        <v>11959</v>
      </c>
      <c r="H2848" s="59">
        <v>10</v>
      </c>
    </row>
    <row r="2849" spans="1:8" ht="112.5" customHeight="1" x14ac:dyDescent="0.15">
      <c r="A2849" s="54">
        <v>2886</v>
      </c>
      <c r="B2849" s="55" t="s">
        <v>3556</v>
      </c>
      <c r="C2849" s="55" t="s">
        <v>11960</v>
      </c>
      <c r="D2849" s="56" t="s">
        <v>11961</v>
      </c>
      <c r="E2849" s="2"/>
      <c r="F2849" s="57"/>
      <c r="G2849" s="63" t="s">
        <v>11962</v>
      </c>
      <c r="H2849" s="59">
        <v>10</v>
      </c>
    </row>
    <row r="2850" spans="1:8" ht="112.5" customHeight="1" x14ac:dyDescent="0.15">
      <c r="A2850" s="60">
        <v>2885</v>
      </c>
      <c r="B2850" s="30" t="s">
        <v>3502</v>
      </c>
      <c r="C2850" s="30" t="s">
        <v>11963</v>
      </c>
      <c r="D2850" s="61" t="s">
        <v>11964</v>
      </c>
      <c r="E2850" s="2"/>
      <c r="F2850" s="57"/>
      <c r="G2850" s="64" t="s">
        <v>11965</v>
      </c>
      <c r="H2850" s="59">
        <v>10</v>
      </c>
    </row>
    <row r="2851" spans="1:8" ht="112.5" customHeight="1" x14ac:dyDescent="0.15">
      <c r="A2851" s="54">
        <v>2884</v>
      </c>
      <c r="B2851" s="55" t="s">
        <v>3556</v>
      </c>
      <c r="C2851" s="55" t="s">
        <v>11966</v>
      </c>
      <c r="D2851" s="56" t="s">
        <v>11967</v>
      </c>
      <c r="E2851" s="2"/>
      <c r="F2851" s="57"/>
      <c r="G2851" s="63" t="s">
        <v>11968</v>
      </c>
      <c r="H2851" s="59">
        <v>10</v>
      </c>
    </row>
    <row r="2852" spans="1:8" ht="112.5" customHeight="1" x14ac:dyDescent="0.15">
      <c r="A2852" s="60">
        <v>2883</v>
      </c>
      <c r="B2852" s="30" t="s">
        <v>3492</v>
      </c>
      <c r="C2852" s="30" t="s">
        <v>11969</v>
      </c>
      <c r="D2852" s="61" t="s">
        <v>11970</v>
      </c>
      <c r="E2852" s="2"/>
      <c r="F2852" s="57"/>
      <c r="G2852" s="64" t="s">
        <v>11971</v>
      </c>
      <c r="H2852" s="59">
        <v>0</v>
      </c>
    </row>
    <row r="2853" spans="1:8" ht="112.5" customHeight="1" x14ac:dyDescent="0.15">
      <c r="A2853" s="60">
        <v>2881</v>
      </c>
      <c r="B2853" s="30" t="s">
        <v>3526</v>
      </c>
      <c r="C2853" s="30" t="s">
        <v>11972</v>
      </c>
      <c r="D2853" s="61" t="s">
        <v>11973</v>
      </c>
      <c r="E2853" s="2"/>
      <c r="F2853" s="57"/>
      <c r="G2853" s="63" t="s">
        <v>11974</v>
      </c>
      <c r="H2853" s="59">
        <v>10</v>
      </c>
    </row>
    <row r="2854" spans="1:8" ht="112.5" customHeight="1" x14ac:dyDescent="0.15">
      <c r="A2854" s="54">
        <v>2880</v>
      </c>
      <c r="B2854" s="55" t="s">
        <v>3556</v>
      </c>
      <c r="C2854" s="55" t="s">
        <v>11975</v>
      </c>
      <c r="D2854" s="56" t="s">
        <v>11976</v>
      </c>
      <c r="E2854" s="2"/>
      <c r="F2854" s="57"/>
      <c r="G2854" s="64" t="s">
        <v>11977</v>
      </c>
      <c r="H2854" s="59">
        <v>0</v>
      </c>
    </row>
    <row r="2855" spans="1:8" ht="112.5" customHeight="1" x14ac:dyDescent="0.15">
      <c r="A2855" s="60">
        <v>2879</v>
      </c>
      <c r="B2855" s="30" t="s">
        <v>3526</v>
      </c>
      <c r="C2855" s="30" t="s">
        <v>11978</v>
      </c>
      <c r="D2855" s="61" t="s">
        <v>11979</v>
      </c>
      <c r="E2855" s="2"/>
      <c r="F2855" s="57"/>
      <c r="G2855" s="63" t="s">
        <v>11980</v>
      </c>
      <c r="H2855" s="59">
        <v>9.9949999999999992</v>
      </c>
    </row>
    <row r="2856" spans="1:8" ht="112.5" customHeight="1" x14ac:dyDescent="0.15">
      <c r="A2856" s="54">
        <v>2878</v>
      </c>
      <c r="B2856" s="55" t="s">
        <v>3526</v>
      </c>
      <c r="C2856" s="55" t="s">
        <v>11981</v>
      </c>
      <c r="D2856" s="56" t="s">
        <v>11982</v>
      </c>
      <c r="E2856" s="2"/>
      <c r="F2856" s="57"/>
      <c r="G2856" s="64" t="s">
        <v>11983</v>
      </c>
      <c r="H2856" s="59">
        <v>0</v>
      </c>
    </row>
    <row r="2857" spans="1:8" ht="112.5" customHeight="1" x14ac:dyDescent="0.15">
      <c r="A2857" s="60">
        <v>2877</v>
      </c>
      <c r="B2857" s="30" t="s">
        <v>3526</v>
      </c>
      <c r="C2857" s="30" t="s">
        <v>11984</v>
      </c>
      <c r="D2857" s="61" t="s">
        <v>11985</v>
      </c>
      <c r="E2857" s="2"/>
      <c r="F2857" s="57"/>
      <c r="G2857" s="63" t="s">
        <v>11986</v>
      </c>
      <c r="H2857" s="59">
        <v>9.8719999999999999</v>
      </c>
    </row>
    <row r="2858" spans="1:8" ht="112.5" customHeight="1" x14ac:dyDescent="0.15">
      <c r="A2858" s="54">
        <v>2876</v>
      </c>
      <c r="B2858" s="55" t="s">
        <v>3818</v>
      </c>
      <c r="C2858" s="55" t="s">
        <v>11987</v>
      </c>
      <c r="D2858" s="56" t="s">
        <v>11988</v>
      </c>
      <c r="E2858" s="2"/>
      <c r="F2858" s="57"/>
      <c r="G2858" s="64" t="s">
        <v>11989</v>
      </c>
      <c r="H2858" s="59">
        <v>9.99</v>
      </c>
    </row>
    <row r="2859" spans="1:8" ht="112.5" customHeight="1" x14ac:dyDescent="0.15">
      <c r="A2859" s="60">
        <v>2875</v>
      </c>
      <c r="B2859" s="30" t="s">
        <v>3526</v>
      </c>
      <c r="C2859" s="30" t="s">
        <v>11990</v>
      </c>
      <c r="D2859" s="61" t="s">
        <v>11991</v>
      </c>
      <c r="E2859" s="2"/>
      <c r="F2859" s="57"/>
      <c r="G2859" s="63" t="s">
        <v>11992</v>
      </c>
      <c r="H2859" s="59">
        <v>9.9909999999999997</v>
      </c>
    </row>
    <row r="2860" spans="1:8" ht="112.5" customHeight="1" x14ac:dyDescent="0.15">
      <c r="A2860" s="54">
        <v>2874</v>
      </c>
      <c r="B2860" s="55" t="s">
        <v>3533</v>
      </c>
      <c r="C2860" s="55" t="s">
        <v>11993</v>
      </c>
      <c r="D2860" s="56" t="s">
        <v>11994</v>
      </c>
      <c r="E2860" s="2"/>
      <c r="F2860" s="57"/>
      <c r="G2860" s="64" t="s">
        <v>11995</v>
      </c>
      <c r="H2860" s="59">
        <v>10</v>
      </c>
    </row>
    <row r="2861" spans="1:8" ht="112.5" customHeight="1" x14ac:dyDescent="0.15">
      <c r="A2861" s="60">
        <v>2873</v>
      </c>
      <c r="B2861" s="30" t="s">
        <v>3876</v>
      </c>
      <c r="C2861" s="30" t="s">
        <v>11996</v>
      </c>
      <c r="D2861" s="61" t="s">
        <v>11997</v>
      </c>
      <c r="E2861" s="2"/>
      <c r="F2861" s="57"/>
      <c r="G2861" s="63" t="s">
        <v>11998</v>
      </c>
      <c r="H2861" s="59">
        <v>10</v>
      </c>
    </row>
    <row r="2862" spans="1:8" ht="112.5" customHeight="1" x14ac:dyDescent="0.15">
      <c r="A2862" s="54">
        <v>2882</v>
      </c>
      <c r="B2862" s="55" t="s">
        <v>3502</v>
      </c>
      <c r="C2862" s="55" t="s">
        <v>11999</v>
      </c>
      <c r="D2862" s="56" t="s">
        <v>12000</v>
      </c>
      <c r="E2862" s="2"/>
      <c r="F2862" s="57"/>
      <c r="G2862" s="64" t="s">
        <v>12001</v>
      </c>
      <c r="H2862" s="59">
        <v>9.9930000000000003</v>
      </c>
    </row>
    <row r="2863" spans="1:8" ht="112.5" customHeight="1" x14ac:dyDescent="0.15">
      <c r="A2863" s="54">
        <v>2872</v>
      </c>
      <c r="B2863" s="55" t="s">
        <v>3549</v>
      </c>
      <c r="C2863" s="55" t="s">
        <v>12002</v>
      </c>
      <c r="D2863" s="56" t="s">
        <v>12003</v>
      </c>
      <c r="E2863" s="2"/>
      <c r="F2863" s="57"/>
      <c r="G2863" s="63" t="s">
        <v>12004</v>
      </c>
      <c r="H2863" s="59">
        <v>9.9879999999999995</v>
      </c>
    </row>
    <row r="2864" spans="1:8" ht="112.5" customHeight="1" x14ac:dyDescent="0.15">
      <c r="A2864" s="60">
        <v>2871</v>
      </c>
      <c r="B2864" s="30" t="s">
        <v>3549</v>
      </c>
      <c r="C2864" s="30" t="s">
        <v>12005</v>
      </c>
      <c r="D2864" s="61" t="s">
        <v>12006</v>
      </c>
      <c r="E2864" s="2"/>
      <c r="F2864" s="57"/>
      <c r="G2864" s="64" t="s">
        <v>12007</v>
      </c>
      <c r="H2864" s="59">
        <v>9.9890000000000008</v>
      </c>
    </row>
    <row r="2865" spans="1:8" ht="112.5" customHeight="1" x14ac:dyDescent="0.15">
      <c r="A2865" s="54">
        <v>2870</v>
      </c>
      <c r="B2865" s="55" t="s">
        <v>3549</v>
      </c>
      <c r="C2865" s="55" t="s">
        <v>12008</v>
      </c>
      <c r="D2865" s="56" t="s">
        <v>12009</v>
      </c>
      <c r="E2865" s="2"/>
      <c r="F2865" s="57"/>
      <c r="G2865" s="63" t="s">
        <v>12010</v>
      </c>
      <c r="H2865" s="59">
        <v>10</v>
      </c>
    </row>
    <row r="2866" spans="1:8" ht="112.5" customHeight="1" x14ac:dyDescent="0.15">
      <c r="A2866" s="60">
        <v>2869</v>
      </c>
      <c r="B2866" s="30" t="s">
        <v>3549</v>
      </c>
      <c r="C2866" s="30" t="s">
        <v>12011</v>
      </c>
      <c r="D2866" s="61" t="s">
        <v>12012</v>
      </c>
      <c r="E2866" s="2"/>
      <c r="F2866" s="57"/>
      <c r="G2866" s="64" t="s">
        <v>12013</v>
      </c>
      <c r="H2866" s="59">
        <v>9.9990000000000006</v>
      </c>
    </row>
    <row r="2867" spans="1:8" ht="112.5" customHeight="1" x14ac:dyDescent="0.15">
      <c r="A2867" s="54">
        <v>2868</v>
      </c>
      <c r="B2867" s="55" t="s">
        <v>3549</v>
      </c>
      <c r="C2867" s="55" t="s">
        <v>12014</v>
      </c>
      <c r="D2867" s="56" t="s">
        <v>12015</v>
      </c>
      <c r="E2867" s="2"/>
      <c r="F2867" s="57"/>
      <c r="G2867" s="63" t="s">
        <v>12016</v>
      </c>
      <c r="H2867" s="59">
        <v>10</v>
      </c>
    </row>
    <row r="2868" spans="1:8" ht="112.5" customHeight="1" x14ac:dyDescent="0.15">
      <c r="A2868" s="54">
        <v>3298</v>
      </c>
      <c r="B2868" s="55" t="s">
        <v>3496</v>
      </c>
      <c r="C2868" s="55" t="s">
        <v>12017</v>
      </c>
      <c r="D2868" s="56" t="s">
        <v>12018</v>
      </c>
      <c r="E2868" s="2"/>
      <c r="F2868" s="57"/>
      <c r="G2868" s="64" t="s">
        <v>12019</v>
      </c>
      <c r="H2868" s="59">
        <v>10</v>
      </c>
    </row>
    <row r="2869" spans="1:8" ht="112.5" customHeight="1" x14ac:dyDescent="0.15">
      <c r="A2869" s="60">
        <v>3297</v>
      </c>
      <c r="B2869" s="30" t="s">
        <v>3496</v>
      </c>
      <c r="C2869" s="30" t="s">
        <v>12020</v>
      </c>
      <c r="D2869" s="61" t="s">
        <v>12021</v>
      </c>
      <c r="E2869" s="2"/>
      <c r="F2869" s="57"/>
      <c r="G2869" s="63" t="s">
        <v>12022</v>
      </c>
      <c r="H2869" s="59">
        <v>9.9930000000000003</v>
      </c>
    </row>
    <row r="2870" spans="1:8" ht="112.5" customHeight="1" x14ac:dyDescent="0.15">
      <c r="A2870" s="60">
        <v>2867</v>
      </c>
      <c r="B2870" s="30" t="s">
        <v>3670</v>
      </c>
      <c r="C2870" s="30" t="s">
        <v>12023</v>
      </c>
      <c r="D2870" s="61" t="s">
        <v>12024</v>
      </c>
      <c r="E2870" s="2"/>
      <c r="F2870" s="57"/>
      <c r="G2870" s="64" t="s">
        <v>4771</v>
      </c>
      <c r="H2870" s="59">
        <v>10</v>
      </c>
    </row>
    <row r="2871" spans="1:8" ht="112.5" customHeight="1" x14ac:dyDescent="0.15">
      <c r="A2871" s="54">
        <v>2866</v>
      </c>
      <c r="B2871" s="55" t="s">
        <v>3496</v>
      </c>
      <c r="C2871" s="55" t="s">
        <v>12025</v>
      </c>
      <c r="D2871" s="56" t="s">
        <v>12026</v>
      </c>
      <c r="E2871" s="2"/>
      <c r="F2871" s="57"/>
      <c r="G2871" s="63" t="s">
        <v>12027</v>
      </c>
      <c r="H2871" s="59">
        <v>9.9939999999999998</v>
      </c>
    </row>
    <row r="2872" spans="1:8" ht="112.5" customHeight="1" x14ac:dyDescent="0.15">
      <c r="A2872" s="60">
        <v>2865</v>
      </c>
      <c r="B2872" s="30" t="s">
        <v>3496</v>
      </c>
      <c r="C2872" s="30" t="s">
        <v>12028</v>
      </c>
      <c r="D2872" s="61" t="s">
        <v>12029</v>
      </c>
      <c r="E2872" s="2"/>
      <c r="F2872" s="57"/>
      <c r="G2872" s="64" t="s">
        <v>12030</v>
      </c>
      <c r="H2872" s="59">
        <v>9.98</v>
      </c>
    </row>
    <row r="2873" spans="1:8" ht="112.5" customHeight="1" x14ac:dyDescent="0.15">
      <c r="A2873" s="54">
        <v>2864</v>
      </c>
      <c r="B2873" s="55" t="s">
        <v>3533</v>
      </c>
      <c r="C2873" s="55" t="s">
        <v>12031</v>
      </c>
      <c r="D2873" s="56" t="s">
        <v>12032</v>
      </c>
      <c r="E2873" s="2"/>
      <c r="F2873" s="57"/>
      <c r="G2873" s="63" t="s">
        <v>12033</v>
      </c>
      <c r="H2873" s="59">
        <v>9.9969999999999999</v>
      </c>
    </row>
    <row r="2874" spans="1:8" ht="112.5" customHeight="1" x14ac:dyDescent="0.15">
      <c r="A2874" s="60">
        <v>2863</v>
      </c>
      <c r="B2874" s="30" t="s">
        <v>3814</v>
      </c>
      <c r="C2874" s="30" t="s">
        <v>12034</v>
      </c>
      <c r="D2874" s="61" t="s">
        <v>12035</v>
      </c>
      <c r="E2874" s="2"/>
      <c r="F2874" s="57"/>
      <c r="G2874" s="64" t="s">
        <v>12036</v>
      </c>
      <c r="H2874" s="59">
        <v>9.9979999999999993</v>
      </c>
    </row>
    <row r="2875" spans="1:8" ht="112.5" customHeight="1" x14ac:dyDescent="0.15">
      <c r="A2875" s="54">
        <v>2862</v>
      </c>
      <c r="B2875" s="55" t="s">
        <v>3496</v>
      </c>
      <c r="C2875" s="55" t="s">
        <v>12037</v>
      </c>
      <c r="D2875" s="56" t="s">
        <v>12038</v>
      </c>
      <c r="E2875" s="2"/>
      <c r="F2875" s="57"/>
      <c r="G2875" s="63" t="s">
        <v>12039</v>
      </c>
      <c r="H2875" s="59">
        <v>10</v>
      </c>
    </row>
    <row r="2876" spans="1:8" ht="112.5" customHeight="1" x14ac:dyDescent="0.15">
      <c r="A2876" s="60">
        <v>2861</v>
      </c>
      <c r="B2876" s="30" t="s">
        <v>3492</v>
      </c>
      <c r="C2876" s="30" t="s">
        <v>12040</v>
      </c>
      <c r="D2876" s="61" t="s">
        <v>12041</v>
      </c>
      <c r="E2876" s="2"/>
      <c r="F2876" s="57"/>
      <c r="G2876" s="64" t="s">
        <v>12042</v>
      </c>
      <c r="H2876" s="59">
        <v>10</v>
      </c>
    </row>
    <row r="2877" spans="1:8" ht="112.5" customHeight="1" x14ac:dyDescent="0.15">
      <c r="A2877" s="54">
        <v>2860</v>
      </c>
      <c r="B2877" s="55" t="s">
        <v>3818</v>
      </c>
      <c r="C2877" s="55" t="s">
        <v>12043</v>
      </c>
      <c r="D2877" s="56" t="s">
        <v>12044</v>
      </c>
      <c r="E2877" s="2"/>
      <c r="F2877" s="57"/>
      <c r="G2877" s="63" t="s">
        <v>12045</v>
      </c>
      <c r="H2877" s="59">
        <v>9.8729999999999993</v>
      </c>
    </row>
    <row r="2878" spans="1:8" ht="112.5" customHeight="1" x14ac:dyDescent="0.15">
      <c r="A2878" s="60">
        <v>2859</v>
      </c>
      <c r="B2878" s="30" t="s">
        <v>3526</v>
      </c>
      <c r="C2878" s="30" t="s">
        <v>12046</v>
      </c>
      <c r="D2878" s="61" t="s">
        <v>12047</v>
      </c>
      <c r="E2878" s="2"/>
      <c r="F2878" s="57"/>
      <c r="G2878" s="64" t="s">
        <v>12048</v>
      </c>
      <c r="H2878" s="59">
        <v>9.9700000000000006</v>
      </c>
    </row>
    <row r="2879" spans="1:8" ht="112.5" customHeight="1" x14ac:dyDescent="0.15">
      <c r="A2879" s="60">
        <v>3123</v>
      </c>
      <c r="B2879" s="30" t="s">
        <v>3749</v>
      </c>
      <c r="C2879" s="30" t="s">
        <v>12049</v>
      </c>
      <c r="D2879" s="61" t="s">
        <v>12050</v>
      </c>
      <c r="E2879" s="2"/>
      <c r="F2879" s="57"/>
      <c r="G2879" s="63" t="s">
        <v>12051</v>
      </c>
      <c r="H2879" s="59">
        <v>0</v>
      </c>
    </row>
    <row r="2880" spans="1:8" ht="112.5" customHeight="1" x14ac:dyDescent="0.15">
      <c r="A2880" s="54">
        <v>3124</v>
      </c>
      <c r="B2880" s="55" t="s">
        <v>3749</v>
      </c>
      <c r="C2880" s="55" t="s">
        <v>12052</v>
      </c>
      <c r="D2880" s="56" t="s">
        <v>12053</v>
      </c>
      <c r="E2880" s="2"/>
      <c r="F2880" s="57"/>
      <c r="G2880" s="64" t="s">
        <v>12054</v>
      </c>
      <c r="H2880" s="59">
        <v>9.9719999999999995</v>
      </c>
    </row>
    <row r="2881" spans="1:8" ht="112.5" customHeight="1" x14ac:dyDescent="0.15">
      <c r="A2881" s="54">
        <v>2858</v>
      </c>
      <c r="B2881" s="55" t="s">
        <v>3670</v>
      </c>
      <c r="C2881" s="55" t="s">
        <v>12055</v>
      </c>
      <c r="D2881" s="56" t="s">
        <v>12056</v>
      </c>
      <c r="E2881" s="2"/>
      <c r="F2881" s="57"/>
      <c r="G2881" s="63" t="s">
        <v>12057</v>
      </c>
      <c r="H2881" s="59">
        <v>9.9979999999999993</v>
      </c>
    </row>
    <row r="2882" spans="1:8" ht="112.5" customHeight="1" x14ac:dyDescent="0.15">
      <c r="A2882" s="60">
        <v>2857</v>
      </c>
      <c r="B2882" s="30" t="s">
        <v>3670</v>
      </c>
      <c r="C2882" s="30" t="s">
        <v>12058</v>
      </c>
      <c r="D2882" s="61" t="s">
        <v>12059</v>
      </c>
      <c r="E2882" s="2"/>
      <c r="F2882" s="57"/>
      <c r="G2882" s="64" t="s">
        <v>12060</v>
      </c>
      <c r="H2882" s="59">
        <v>10</v>
      </c>
    </row>
    <row r="2883" spans="1:8" ht="112.5" customHeight="1" x14ac:dyDescent="0.15">
      <c r="A2883" s="60">
        <v>2913</v>
      </c>
      <c r="B2883" s="30" t="s">
        <v>3496</v>
      </c>
      <c r="C2883" s="30" t="s">
        <v>12061</v>
      </c>
      <c r="D2883" s="61" t="s">
        <v>12062</v>
      </c>
      <c r="E2883" s="2"/>
      <c r="F2883" s="57"/>
      <c r="G2883" s="63" t="s">
        <v>12063</v>
      </c>
      <c r="H2883" s="59">
        <v>0</v>
      </c>
    </row>
    <row r="2884" spans="1:8" ht="112.5" customHeight="1" x14ac:dyDescent="0.15">
      <c r="A2884" s="54">
        <v>2914</v>
      </c>
      <c r="B2884" s="55" t="s">
        <v>3556</v>
      </c>
      <c r="C2884" s="55" t="s">
        <v>12064</v>
      </c>
      <c r="D2884" s="56" t="s">
        <v>12065</v>
      </c>
      <c r="E2884" s="2"/>
      <c r="F2884" s="57"/>
      <c r="G2884" s="64" t="s">
        <v>12066</v>
      </c>
      <c r="H2884" s="59">
        <v>10</v>
      </c>
    </row>
    <row r="2885" spans="1:8" ht="112.5" customHeight="1" x14ac:dyDescent="0.15">
      <c r="A2885" s="54">
        <v>2916</v>
      </c>
      <c r="B2885" s="55" t="s">
        <v>3814</v>
      </c>
      <c r="C2885" s="55" t="s">
        <v>12067</v>
      </c>
      <c r="D2885" s="56" t="s">
        <v>12068</v>
      </c>
      <c r="E2885" s="2"/>
      <c r="F2885" s="57"/>
      <c r="G2885" s="63" t="s">
        <v>12069</v>
      </c>
      <c r="H2885" s="59">
        <v>10</v>
      </c>
    </row>
    <row r="2886" spans="1:8" ht="112.5" customHeight="1" x14ac:dyDescent="0.15">
      <c r="A2886" s="60">
        <v>2917</v>
      </c>
      <c r="B2886" s="30" t="s">
        <v>3549</v>
      </c>
      <c r="C2886" s="30" t="s">
        <v>12070</v>
      </c>
      <c r="D2886" s="61" t="s">
        <v>12071</v>
      </c>
      <c r="E2886" s="2"/>
      <c r="F2886" s="57"/>
      <c r="G2886" s="64" t="s">
        <v>12072</v>
      </c>
      <c r="H2886" s="59">
        <v>10</v>
      </c>
    </row>
    <row r="2887" spans="1:8" ht="112.5" customHeight="1" x14ac:dyDescent="0.15">
      <c r="A2887" s="54">
        <v>2918</v>
      </c>
      <c r="B2887" s="55" t="s">
        <v>3670</v>
      </c>
      <c r="C2887" s="55" t="s">
        <v>12073</v>
      </c>
      <c r="D2887" s="56" t="s">
        <v>12074</v>
      </c>
      <c r="E2887" s="2"/>
      <c r="F2887" s="57"/>
      <c r="G2887" s="63" t="s">
        <v>12075</v>
      </c>
      <c r="H2887" s="59">
        <v>10</v>
      </c>
    </row>
    <row r="2888" spans="1:8" ht="112.5" customHeight="1" x14ac:dyDescent="0.15">
      <c r="A2888" s="60">
        <v>2915</v>
      </c>
      <c r="B2888" s="30" t="s">
        <v>3670</v>
      </c>
      <c r="C2888" s="30" t="s">
        <v>12076</v>
      </c>
      <c r="D2888" s="61" t="s">
        <v>12077</v>
      </c>
      <c r="E2888" s="2"/>
      <c r="F2888" s="57"/>
      <c r="G2888" s="64" t="s">
        <v>12078</v>
      </c>
      <c r="H2888" s="59">
        <v>9.9390000000000001</v>
      </c>
    </row>
    <row r="2889" spans="1:8" ht="112.5" customHeight="1" x14ac:dyDescent="0.15">
      <c r="A2889" s="60">
        <v>3473</v>
      </c>
      <c r="B2889" s="30" t="s">
        <v>3502</v>
      </c>
      <c r="C2889" s="30" t="s">
        <v>12079</v>
      </c>
      <c r="D2889" s="61" t="s">
        <v>12080</v>
      </c>
      <c r="E2889" s="2"/>
      <c r="F2889" s="57"/>
      <c r="G2889" s="63" t="s">
        <v>12081</v>
      </c>
      <c r="H2889" s="59">
        <v>0</v>
      </c>
    </row>
    <row r="2890" spans="1:8" ht="112.5" customHeight="1" x14ac:dyDescent="0.15">
      <c r="A2890" s="60">
        <v>2919</v>
      </c>
      <c r="B2890" s="30" t="s">
        <v>3670</v>
      </c>
      <c r="C2890" s="30" t="s">
        <v>12082</v>
      </c>
      <c r="D2890" s="61" t="s">
        <v>12083</v>
      </c>
      <c r="E2890" s="2"/>
      <c r="F2890" s="57"/>
      <c r="G2890" s="64" t="s">
        <v>12084</v>
      </c>
      <c r="H2890" s="59">
        <v>10</v>
      </c>
    </row>
    <row r="2891" spans="1:8" ht="112.5" customHeight="1" x14ac:dyDescent="0.15">
      <c r="A2891" s="54">
        <v>2920</v>
      </c>
      <c r="B2891" s="55" t="s">
        <v>3670</v>
      </c>
      <c r="C2891" s="55" t="s">
        <v>12085</v>
      </c>
      <c r="D2891" s="56" t="s">
        <v>12086</v>
      </c>
      <c r="E2891" s="2"/>
      <c r="F2891" s="57"/>
      <c r="G2891" s="63" t="s">
        <v>12087</v>
      </c>
      <c r="H2891" s="59">
        <v>9.9930000000000003</v>
      </c>
    </row>
    <row r="2892" spans="1:8" ht="112.5" customHeight="1" x14ac:dyDescent="0.15">
      <c r="A2892" s="60">
        <v>2921</v>
      </c>
      <c r="B2892" s="30" t="s">
        <v>3749</v>
      </c>
      <c r="C2892" s="30" t="s">
        <v>12088</v>
      </c>
      <c r="D2892" s="61" t="s">
        <v>12089</v>
      </c>
      <c r="E2892" s="2"/>
      <c r="F2892" s="57"/>
      <c r="G2892" s="64" t="s">
        <v>12090</v>
      </c>
      <c r="H2892" s="59">
        <v>974</v>
      </c>
    </row>
    <row r="2893" spans="1:8" ht="112.5" customHeight="1" x14ac:dyDescent="0.15">
      <c r="A2893" s="60">
        <v>261</v>
      </c>
      <c r="B2893" s="30" t="s">
        <v>3898</v>
      </c>
      <c r="C2893" s="30" t="s">
        <v>12091</v>
      </c>
      <c r="D2893" s="61" t="s">
        <v>12092</v>
      </c>
      <c r="E2893" s="2"/>
      <c r="F2893" s="57"/>
      <c r="G2893" s="63" t="s">
        <v>4768</v>
      </c>
      <c r="H2893" s="59">
        <v>9.99</v>
      </c>
    </row>
    <row r="2894" spans="1:8" ht="112.5" customHeight="1" x14ac:dyDescent="0.15">
      <c r="A2894" s="54">
        <v>262</v>
      </c>
      <c r="B2894" s="55" t="s">
        <v>3898</v>
      </c>
      <c r="C2894" s="55" t="s">
        <v>12093</v>
      </c>
      <c r="D2894" s="56" t="s">
        <v>12094</v>
      </c>
      <c r="E2894" s="2"/>
      <c r="F2894" s="57"/>
      <c r="G2894" s="64" t="s">
        <v>12095</v>
      </c>
      <c r="H2894" s="59">
        <v>0</v>
      </c>
    </row>
    <row r="2895" spans="1:8" ht="112.5" customHeight="1" x14ac:dyDescent="0.15">
      <c r="A2895" s="54">
        <v>3402</v>
      </c>
      <c r="B2895" s="55" t="s">
        <v>3549</v>
      </c>
      <c r="C2895" s="55" t="s">
        <v>12096</v>
      </c>
      <c r="D2895" s="56" t="s">
        <v>12097</v>
      </c>
      <c r="E2895" s="2"/>
      <c r="F2895" s="57"/>
      <c r="G2895" s="63" t="s">
        <v>12098</v>
      </c>
      <c r="H2895" s="59">
        <v>9.9019999999999992</v>
      </c>
    </row>
    <row r="2896" spans="1:8" ht="112.5" customHeight="1" x14ac:dyDescent="0.15">
      <c r="A2896" s="60">
        <v>3401</v>
      </c>
      <c r="B2896" s="30" t="s">
        <v>3549</v>
      </c>
      <c r="C2896" s="30" t="s">
        <v>12099</v>
      </c>
      <c r="D2896" s="61" t="s">
        <v>12100</v>
      </c>
      <c r="E2896" s="2"/>
      <c r="F2896" s="57"/>
      <c r="G2896" s="64" t="s">
        <v>12101</v>
      </c>
      <c r="H2896" s="59">
        <v>10</v>
      </c>
    </row>
    <row r="2897" spans="1:8" ht="112.5" customHeight="1" x14ac:dyDescent="0.15">
      <c r="A2897" s="54">
        <v>2922</v>
      </c>
      <c r="B2897" s="55" t="s">
        <v>3749</v>
      </c>
      <c r="C2897" s="55" t="s">
        <v>12102</v>
      </c>
      <c r="D2897" s="56" t="s">
        <v>12103</v>
      </c>
      <c r="E2897" s="2"/>
      <c r="F2897" s="57"/>
      <c r="G2897" s="63" t="s">
        <v>12104</v>
      </c>
      <c r="H2897" s="59">
        <v>0</v>
      </c>
    </row>
    <row r="2898" spans="1:8" ht="112.5" customHeight="1" x14ac:dyDescent="0.15">
      <c r="A2898" s="54">
        <v>3090</v>
      </c>
      <c r="B2898" s="55" t="s">
        <v>3749</v>
      </c>
      <c r="C2898" s="55" t="s">
        <v>12105</v>
      </c>
      <c r="D2898" s="56" t="s">
        <v>12106</v>
      </c>
      <c r="E2898" s="2"/>
      <c r="F2898" s="57"/>
      <c r="G2898" s="64" t="s">
        <v>12107</v>
      </c>
      <c r="H2898" s="59">
        <v>9.9960000000000004</v>
      </c>
    </row>
    <row r="2899" spans="1:8" ht="112.5" customHeight="1" x14ac:dyDescent="0.15">
      <c r="A2899" s="60">
        <v>2923</v>
      </c>
      <c r="B2899" s="30" t="s">
        <v>3749</v>
      </c>
      <c r="C2899" s="30" t="s">
        <v>12108</v>
      </c>
      <c r="D2899" s="61" t="s">
        <v>12109</v>
      </c>
      <c r="E2899" s="2"/>
      <c r="F2899" s="57"/>
      <c r="G2899" s="63" t="s">
        <v>12110</v>
      </c>
      <c r="H2899" s="59">
        <v>0</v>
      </c>
    </row>
    <row r="2900" spans="1:8" ht="112.5" customHeight="1" x14ac:dyDescent="0.15">
      <c r="A2900" s="54">
        <v>2924</v>
      </c>
      <c r="B2900" s="55" t="s">
        <v>3749</v>
      </c>
      <c r="C2900" s="55" t="s">
        <v>12111</v>
      </c>
      <c r="D2900" s="56" t="s">
        <v>12112</v>
      </c>
      <c r="E2900" s="2"/>
      <c r="F2900" s="57"/>
      <c r="G2900" s="64" t="s">
        <v>12113</v>
      </c>
      <c r="H2900" s="59">
        <v>74</v>
      </c>
    </row>
    <row r="2901" spans="1:8" ht="112.5" customHeight="1" x14ac:dyDescent="0.15">
      <c r="A2901" s="60">
        <v>2925</v>
      </c>
      <c r="B2901" s="30" t="s">
        <v>3496</v>
      </c>
      <c r="C2901" s="30" t="s">
        <v>12114</v>
      </c>
      <c r="D2901" s="61" t="s">
        <v>12115</v>
      </c>
      <c r="E2901" s="2"/>
      <c r="F2901" s="57"/>
      <c r="G2901" s="63" t="s">
        <v>12116</v>
      </c>
      <c r="H2901" s="59">
        <v>9.9949999999999992</v>
      </c>
    </row>
    <row r="2902" spans="1:8" ht="112.5" customHeight="1" x14ac:dyDescent="0.15">
      <c r="A2902" s="60">
        <v>3299</v>
      </c>
      <c r="B2902" s="30" t="s">
        <v>3496</v>
      </c>
      <c r="C2902" s="30" t="s">
        <v>12117</v>
      </c>
      <c r="D2902" s="61" t="s">
        <v>12118</v>
      </c>
      <c r="E2902" s="2"/>
      <c r="F2902" s="57"/>
      <c r="G2902" s="64" t="s">
        <v>12119</v>
      </c>
      <c r="H2902" s="59">
        <v>10</v>
      </c>
    </row>
    <row r="2903" spans="1:8" ht="112.5" customHeight="1" x14ac:dyDescent="0.15">
      <c r="A2903" s="54">
        <v>2926</v>
      </c>
      <c r="B2903" s="55" t="s">
        <v>3556</v>
      </c>
      <c r="C2903" s="55" t="s">
        <v>12120</v>
      </c>
      <c r="D2903" s="56" t="s">
        <v>12121</v>
      </c>
      <c r="E2903" s="2"/>
      <c r="F2903" s="57"/>
      <c r="G2903" s="63" t="s">
        <v>12122</v>
      </c>
      <c r="H2903" s="59">
        <v>9.9710000000000001</v>
      </c>
    </row>
    <row r="2904" spans="1:8" ht="112.5" customHeight="1" x14ac:dyDescent="0.15">
      <c r="A2904" s="60">
        <v>2281</v>
      </c>
      <c r="B2904" s="30" t="s">
        <v>3670</v>
      </c>
      <c r="C2904" s="30" t="s">
        <v>12123</v>
      </c>
      <c r="D2904" s="61" t="s">
        <v>12124</v>
      </c>
      <c r="E2904" s="2"/>
      <c r="F2904" s="57"/>
      <c r="G2904" s="64" t="s">
        <v>12125</v>
      </c>
      <c r="H2904" s="59">
        <v>9.9719999999999995</v>
      </c>
    </row>
    <row r="2905" spans="1:8" ht="112.5" customHeight="1" x14ac:dyDescent="0.15">
      <c r="A2905" s="54">
        <v>2928</v>
      </c>
      <c r="B2905" s="55" t="s">
        <v>3670</v>
      </c>
      <c r="C2905" s="55" t="s">
        <v>12126</v>
      </c>
      <c r="D2905" s="56" t="s">
        <v>12124</v>
      </c>
      <c r="E2905" s="2"/>
      <c r="F2905" s="57"/>
      <c r="G2905" s="63" t="s">
        <v>12127</v>
      </c>
      <c r="H2905" s="59">
        <v>9.9290000000000003</v>
      </c>
    </row>
    <row r="2906" spans="1:8" ht="112.5" customHeight="1" x14ac:dyDescent="0.15">
      <c r="A2906" s="60">
        <v>2927</v>
      </c>
      <c r="B2906" s="30" t="s">
        <v>3502</v>
      </c>
      <c r="C2906" s="30" t="s">
        <v>12128</v>
      </c>
      <c r="D2906" s="61" t="s">
        <v>12129</v>
      </c>
      <c r="E2906" s="2"/>
      <c r="F2906" s="57"/>
      <c r="G2906" s="64" t="s">
        <v>12130</v>
      </c>
      <c r="H2906" s="59">
        <v>9.9</v>
      </c>
    </row>
    <row r="2907" spans="1:8" ht="112.5" customHeight="1" x14ac:dyDescent="0.15">
      <c r="A2907" s="60">
        <v>2929</v>
      </c>
      <c r="B2907" s="30" t="s">
        <v>3549</v>
      </c>
      <c r="C2907" s="30" t="s">
        <v>12131</v>
      </c>
      <c r="D2907" s="61" t="s">
        <v>12132</v>
      </c>
      <c r="E2907" s="2"/>
      <c r="F2907" s="57"/>
      <c r="G2907" s="63" t="s">
        <v>4765</v>
      </c>
      <c r="H2907" s="59">
        <v>9.9949999999999992</v>
      </c>
    </row>
    <row r="2908" spans="1:8" ht="112.5" customHeight="1" x14ac:dyDescent="0.15">
      <c r="A2908" s="54">
        <v>2930</v>
      </c>
      <c r="B2908" s="55" t="s">
        <v>3549</v>
      </c>
      <c r="C2908" s="55" t="s">
        <v>12133</v>
      </c>
      <c r="D2908" s="56" t="s">
        <v>12134</v>
      </c>
      <c r="E2908" s="2"/>
      <c r="F2908" s="57"/>
      <c r="G2908" s="64" t="s">
        <v>12135</v>
      </c>
      <c r="H2908" s="59">
        <v>10</v>
      </c>
    </row>
    <row r="2909" spans="1:8" ht="112.5" customHeight="1" x14ac:dyDescent="0.15">
      <c r="A2909" s="60">
        <v>2931</v>
      </c>
      <c r="B2909" s="30" t="s">
        <v>3549</v>
      </c>
      <c r="C2909" s="30" t="s">
        <v>12136</v>
      </c>
      <c r="D2909" s="61" t="s">
        <v>12137</v>
      </c>
      <c r="E2909" s="2"/>
      <c r="F2909" s="57"/>
      <c r="G2909" s="63" t="s">
        <v>12138</v>
      </c>
      <c r="H2909" s="59">
        <v>10</v>
      </c>
    </row>
    <row r="2910" spans="1:8" ht="112.5" customHeight="1" x14ac:dyDescent="0.15">
      <c r="A2910" s="54">
        <v>2932</v>
      </c>
      <c r="B2910" s="55" t="s">
        <v>3549</v>
      </c>
      <c r="C2910" s="55" t="s">
        <v>12139</v>
      </c>
      <c r="D2910" s="56" t="s">
        <v>12140</v>
      </c>
      <c r="E2910" s="2"/>
      <c r="F2910" s="57"/>
      <c r="G2910" s="64" t="s">
        <v>12141</v>
      </c>
      <c r="H2910" s="59">
        <v>9.9969999999999999</v>
      </c>
    </row>
    <row r="2911" spans="1:8" ht="112.5" customHeight="1" x14ac:dyDescent="0.15">
      <c r="A2911" s="60">
        <v>2933</v>
      </c>
      <c r="B2911" s="30" t="s">
        <v>3549</v>
      </c>
      <c r="C2911" s="30" t="s">
        <v>12142</v>
      </c>
      <c r="D2911" s="61" t="s">
        <v>12143</v>
      </c>
      <c r="E2911" s="2"/>
      <c r="F2911" s="57"/>
      <c r="G2911" s="63" t="s">
        <v>12144</v>
      </c>
      <c r="H2911" s="59">
        <v>9.9179999999999993</v>
      </c>
    </row>
    <row r="2912" spans="1:8" ht="112.5" customHeight="1" x14ac:dyDescent="0.15">
      <c r="A2912" s="54">
        <v>2934</v>
      </c>
      <c r="B2912" s="55" t="s">
        <v>3630</v>
      </c>
      <c r="C2912" s="55" t="s">
        <v>12145</v>
      </c>
      <c r="D2912" s="56" t="s">
        <v>12146</v>
      </c>
      <c r="E2912" s="2"/>
      <c r="F2912" s="57"/>
      <c r="G2912" s="64" t="s">
        <v>12147</v>
      </c>
      <c r="H2912" s="59">
        <v>0</v>
      </c>
    </row>
    <row r="2913" spans="1:8" ht="112.5" customHeight="1" x14ac:dyDescent="0.15">
      <c r="A2913" s="60">
        <v>2935</v>
      </c>
      <c r="B2913" s="30" t="s">
        <v>3749</v>
      </c>
      <c r="C2913" s="30" t="s">
        <v>12148</v>
      </c>
      <c r="D2913" s="61" t="s">
        <v>12149</v>
      </c>
      <c r="E2913" s="2"/>
      <c r="F2913" s="57"/>
      <c r="G2913" s="63" t="s">
        <v>12150</v>
      </c>
      <c r="H2913" s="59">
        <v>0</v>
      </c>
    </row>
    <row r="2914" spans="1:8" ht="112.5" customHeight="1" x14ac:dyDescent="0.15">
      <c r="A2914" s="54">
        <v>2936</v>
      </c>
      <c r="B2914" s="55" t="s">
        <v>3492</v>
      </c>
      <c r="C2914" s="55" t="s">
        <v>12151</v>
      </c>
      <c r="D2914" s="56" t="s">
        <v>12152</v>
      </c>
      <c r="E2914" s="2"/>
      <c r="F2914" s="57"/>
      <c r="G2914" s="64" t="s">
        <v>12153</v>
      </c>
      <c r="H2914" s="59">
        <v>9.9990000000000006</v>
      </c>
    </row>
    <row r="2915" spans="1:8" ht="112.5" customHeight="1" x14ac:dyDescent="0.15">
      <c r="A2915" s="60">
        <v>2937</v>
      </c>
      <c r="B2915" s="30" t="s">
        <v>3513</v>
      </c>
      <c r="C2915" s="30" t="s">
        <v>12154</v>
      </c>
      <c r="D2915" s="61" t="s">
        <v>12155</v>
      </c>
      <c r="E2915" s="2"/>
      <c r="F2915" s="57"/>
      <c r="G2915" s="63" t="s">
        <v>12156</v>
      </c>
      <c r="H2915" s="59">
        <v>10</v>
      </c>
    </row>
    <row r="2916" spans="1:8" ht="112.5" customHeight="1" x14ac:dyDescent="0.15">
      <c r="A2916" s="54">
        <v>2938</v>
      </c>
      <c r="B2916" s="55" t="s">
        <v>3502</v>
      </c>
      <c r="C2916" s="55" t="s">
        <v>12157</v>
      </c>
      <c r="D2916" s="56" t="s">
        <v>12158</v>
      </c>
      <c r="E2916" s="2"/>
      <c r="F2916" s="57"/>
      <c r="G2916" s="64" t="s">
        <v>12159</v>
      </c>
      <c r="H2916" s="59">
        <v>9.9649999999999999</v>
      </c>
    </row>
    <row r="2917" spans="1:8" ht="112.5" customHeight="1" x14ac:dyDescent="0.15">
      <c r="A2917" s="60">
        <v>2939</v>
      </c>
      <c r="B2917" s="30" t="s">
        <v>3556</v>
      </c>
      <c r="C2917" s="30" t="s">
        <v>12160</v>
      </c>
      <c r="D2917" s="61" t="s">
        <v>12161</v>
      </c>
      <c r="E2917" s="2"/>
      <c r="F2917" s="57"/>
      <c r="G2917" s="63" t="s">
        <v>12162</v>
      </c>
      <c r="H2917" s="59">
        <v>10</v>
      </c>
    </row>
    <row r="2918" spans="1:8" ht="112.5" customHeight="1" x14ac:dyDescent="0.15">
      <c r="A2918" s="54">
        <v>2940</v>
      </c>
      <c r="B2918" s="55" t="s">
        <v>3556</v>
      </c>
      <c r="C2918" s="55" t="s">
        <v>12163</v>
      </c>
      <c r="D2918" s="56" t="s">
        <v>12164</v>
      </c>
      <c r="E2918" s="2"/>
      <c r="F2918" s="57"/>
      <c r="G2918" s="64" t="s">
        <v>12165</v>
      </c>
      <c r="H2918" s="59">
        <v>0</v>
      </c>
    </row>
    <row r="2919" spans="1:8" ht="112.5" customHeight="1" x14ac:dyDescent="0.15">
      <c r="A2919" s="60">
        <v>2941</v>
      </c>
      <c r="B2919" s="30" t="s">
        <v>3814</v>
      </c>
      <c r="C2919" s="30" t="s">
        <v>12166</v>
      </c>
      <c r="D2919" s="61" t="s">
        <v>12167</v>
      </c>
      <c r="E2919" s="2"/>
      <c r="F2919" s="57"/>
      <c r="G2919" s="63" t="s">
        <v>12168</v>
      </c>
      <c r="H2919" s="59">
        <v>9.9960000000000004</v>
      </c>
    </row>
    <row r="2920" spans="1:8" ht="112.5" customHeight="1" x14ac:dyDescent="0.15">
      <c r="A2920" s="54">
        <v>2942</v>
      </c>
      <c r="B2920" s="55" t="s">
        <v>3513</v>
      </c>
      <c r="C2920" s="55" t="s">
        <v>12169</v>
      </c>
      <c r="D2920" s="56" t="s">
        <v>12170</v>
      </c>
      <c r="E2920" s="2"/>
      <c r="F2920" s="57"/>
      <c r="G2920" s="64" t="s">
        <v>12171</v>
      </c>
      <c r="H2920" s="59">
        <v>0</v>
      </c>
    </row>
    <row r="2921" spans="1:8" ht="112.5" customHeight="1" x14ac:dyDescent="0.15">
      <c r="A2921" s="60">
        <v>2943</v>
      </c>
      <c r="B2921" s="30" t="s">
        <v>3513</v>
      </c>
      <c r="C2921" s="30" t="s">
        <v>12172</v>
      </c>
      <c r="D2921" s="61" t="s">
        <v>12173</v>
      </c>
      <c r="E2921" s="2"/>
      <c r="F2921" s="57"/>
      <c r="G2921" s="63" t="s">
        <v>12174</v>
      </c>
      <c r="H2921" s="59">
        <v>9.9979999999999993</v>
      </c>
    </row>
    <row r="2922" spans="1:8" ht="112.5" customHeight="1" x14ac:dyDescent="0.15">
      <c r="A2922" s="54">
        <v>2944</v>
      </c>
      <c r="B2922" s="55" t="s">
        <v>3513</v>
      </c>
      <c r="C2922" s="55" t="s">
        <v>12175</v>
      </c>
      <c r="D2922" s="56" t="s">
        <v>12176</v>
      </c>
      <c r="E2922" s="2"/>
      <c r="F2922" s="57"/>
      <c r="G2922" s="64" t="s">
        <v>12177</v>
      </c>
      <c r="H2922" s="59">
        <v>0</v>
      </c>
    </row>
    <row r="2923" spans="1:8" ht="112.5" customHeight="1" x14ac:dyDescent="0.15">
      <c r="A2923" s="60">
        <v>2945</v>
      </c>
      <c r="B2923" s="30" t="s">
        <v>3496</v>
      </c>
      <c r="C2923" s="30" t="s">
        <v>12178</v>
      </c>
      <c r="D2923" s="61" t="s">
        <v>12179</v>
      </c>
      <c r="E2923" s="2"/>
      <c r="F2923" s="57"/>
      <c r="G2923" s="63" t="s">
        <v>12180</v>
      </c>
      <c r="H2923" s="59">
        <v>9.9960000000000004</v>
      </c>
    </row>
    <row r="2924" spans="1:8" ht="112.5" customHeight="1" x14ac:dyDescent="0.15">
      <c r="A2924" s="60">
        <v>2947</v>
      </c>
      <c r="B2924" s="30" t="s">
        <v>3509</v>
      </c>
      <c r="C2924" s="30" t="s">
        <v>12181</v>
      </c>
      <c r="D2924" s="61" t="s">
        <v>12182</v>
      </c>
      <c r="E2924" s="2"/>
      <c r="F2924" s="57"/>
      <c r="G2924" s="64" t="s">
        <v>12183</v>
      </c>
      <c r="H2924" s="59">
        <v>10</v>
      </c>
    </row>
    <row r="2925" spans="1:8" ht="112.5" customHeight="1" x14ac:dyDescent="0.15">
      <c r="A2925" s="54">
        <v>2948</v>
      </c>
      <c r="B2925" s="55" t="s">
        <v>3556</v>
      </c>
      <c r="C2925" s="55" t="s">
        <v>12184</v>
      </c>
      <c r="D2925" s="56" t="s">
        <v>12185</v>
      </c>
      <c r="E2925" s="2"/>
      <c r="F2925" s="57"/>
      <c r="G2925" s="63" t="s">
        <v>12186</v>
      </c>
      <c r="H2925" s="59">
        <v>10</v>
      </c>
    </row>
    <row r="2926" spans="1:8" ht="112.5" customHeight="1" x14ac:dyDescent="0.15">
      <c r="A2926" s="60">
        <v>2949</v>
      </c>
      <c r="B2926" s="30" t="s">
        <v>3533</v>
      </c>
      <c r="C2926" s="30" t="s">
        <v>12187</v>
      </c>
      <c r="D2926" s="61" t="s">
        <v>12188</v>
      </c>
      <c r="E2926" s="2"/>
      <c r="F2926" s="57"/>
      <c r="G2926" s="64" t="s">
        <v>12189</v>
      </c>
      <c r="H2926" s="59">
        <v>10</v>
      </c>
    </row>
    <row r="2927" spans="1:8" ht="112.5" customHeight="1" x14ac:dyDescent="0.15">
      <c r="A2927" s="54">
        <v>2950</v>
      </c>
      <c r="B2927" s="55" t="s">
        <v>3822</v>
      </c>
      <c r="C2927" s="55" t="s">
        <v>12190</v>
      </c>
      <c r="D2927" s="56" t="s">
        <v>12191</v>
      </c>
      <c r="E2927" s="2"/>
      <c r="F2927" s="57"/>
      <c r="G2927" s="63" t="s">
        <v>12192</v>
      </c>
      <c r="H2927" s="59">
        <v>10</v>
      </c>
    </row>
    <row r="2928" spans="1:8" ht="112.5" customHeight="1" x14ac:dyDescent="0.15">
      <c r="A2928" s="60">
        <v>2951</v>
      </c>
      <c r="B2928" s="30" t="s">
        <v>3822</v>
      </c>
      <c r="C2928" s="30" t="s">
        <v>12193</v>
      </c>
      <c r="D2928" s="61" t="s">
        <v>12194</v>
      </c>
      <c r="E2928" s="2"/>
      <c r="F2928" s="57"/>
      <c r="G2928" s="64" t="s">
        <v>12195</v>
      </c>
      <c r="H2928" s="59">
        <v>9.99</v>
      </c>
    </row>
    <row r="2929" spans="1:8" ht="112.5" customHeight="1" x14ac:dyDescent="0.15">
      <c r="A2929" s="54">
        <v>2952</v>
      </c>
      <c r="B2929" s="55" t="s">
        <v>3822</v>
      </c>
      <c r="C2929" s="55" t="s">
        <v>12196</v>
      </c>
      <c r="D2929" s="56" t="s">
        <v>12197</v>
      </c>
      <c r="E2929" s="2"/>
      <c r="F2929" s="57"/>
      <c r="G2929" s="63" t="s">
        <v>12198</v>
      </c>
      <c r="H2929" s="59">
        <v>10</v>
      </c>
    </row>
    <row r="2930" spans="1:8" ht="112.5" customHeight="1" x14ac:dyDescent="0.15">
      <c r="A2930" s="60">
        <v>2953</v>
      </c>
      <c r="B2930" s="30" t="s">
        <v>3822</v>
      </c>
      <c r="C2930" s="30" t="s">
        <v>12199</v>
      </c>
      <c r="D2930" s="61" t="s">
        <v>12200</v>
      </c>
      <c r="E2930" s="2"/>
      <c r="F2930" s="57"/>
      <c r="G2930" s="64" t="s">
        <v>4762</v>
      </c>
      <c r="H2930" s="59">
        <v>0</v>
      </c>
    </row>
    <row r="2931" spans="1:8" ht="112.5" customHeight="1" x14ac:dyDescent="0.15">
      <c r="A2931" s="54">
        <v>2954</v>
      </c>
      <c r="B2931" s="55" t="s">
        <v>3822</v>
      </c>
      <c r="C2931" s="55" t="s">
        <v>12201</v>
      </c>
      <c r="D2931" s="56" t="s">
        <v>12202</v>
      </c>
      <c r="E2931" s="2"/>
      <c r="F2931" s="57"/>
      <c r="G2931" s="63" t="s">
        <v>4759</v>
      </c>
      <c r="H2931" s="59">
        <v>10</v>
      </c>
    </row>
    <row r="2932" spans="1:8" ht="112.5" customHeight="1" x14ac:dyDescent="0.15">
      <c r="A2932" s="60">
        <v>2955</v>
      </c>
      <c r="B2932" s="30" t="s">
        <v>3670</v>
      </c>
      <c r="C2932" s="30" t="s">
        <v>12203</v>
      </c>
      <c r="D2932" s="61" t="s">
        <v>12204</v>
      </c>
      <c r="E2932" s="2"/>
      <c r="F2932" s="57"/>
      <c r="G2932" s="64" t="s">
        <v>12205</v>
      </c>
      <c r="H2932" s="59">
        <v>9.9870000000000001</v>
      </c>
    </row>
    <row r="2933" spans="1:8" ht="112.5" customHeight="1" x14ac:dyDescent="0.15">
      <c r="A2933" s="54">
        <v>2956</v>
      </c>
      <c r="B2933" s="55" t="s">
        <v>3670</v>
      </c>
      <c r="C2933" s="55" t="s">
        <v>12206</v>
      </c>
      <c r="D2933" s="56" t="s">
        <v>12207</v>
      </c>
      <c r="E2933" s="2"/>
      <c r="F2933" s="57"/>
      <c r="G2933" s="63" t="s">
        <v>4756</v>
      </c>
      <c r="H2933" s="59">
        <v>9.9949999999999992</v>
      </c>
    </row>
    <row r="2934" spans="1:8" ht="112.5" customHeight="1" x14ac:dyDescent="0.15">
      <c r="A2934" s="60">
        <v>2957</v>
      </c>
      <c r="B2934" s="30" t="s">
        <v>3670</v>
      </c>
      <c r="C2934" s="30" t="s">
        <v>12208</v>
      </c>
      <c r="D2934" s="61" t="s">
        <v>12209</v>
      </c>
      <c r="E2934" s="2"/>
      <c r="F2934" s="57"/>
      <c r="G2934" s="64" t="s">
        <v>12210</v>
      </c>
      <c r="H2934" s="59">
        <v>10</v>
      </c>
    </row>
    <row r="2935" spans="1:8" ht="112.5" customHeight="1" x14ac:dyDescent="0.15">
      <c r="A2935" s="54">
        <v>2958</v>
      </c>
      <c r="B2935" s="55" t="s">
        <v>3670</v>
      </c>
      <c r="C2935" s="55" t="s">
        <v>12211</v>
      </c>
      <c r="D2935" s="56" t="s">
        <v>12212</v>
      </c>
      <c r="E2935" s="2"/>
      <c r="F2935" s="57"/>
      <c r="G2935" s="63" t="s">
        <v>12213</v>
      </c>
      <c r="H2935" s="59">
        <v>9.9990000000000006</v>
      </c>
    </row>
    <row r="2936" spans="1:8" ht="112.5" customHeight="1" x14ac:dyDescent="0.15">
      <c r="A2936" s="60">
        <v>2959</v>
      </c>
      <c r="B2936" s="30" t="s">
        <v>3492</v>
      </c>
      <c r="C2936" s="30" t="s">
        <v>12214</v>
      </c>
      <c r="D2936" s="61" t="s">
        <v>12215</v>
      </c>
      <c r="E2936" s="2"/>
      <c r="F2936" s="57"/>
      <c r="G2936" s="64" t="s">
        <v>12216</v>
      </c>
      <c r="H2936" s="59">
        <v>0</v>
      </c>
    </row>
    <row r="2937" spans="1:8" ht="112.5" customHeight="1" x14ac:dyDescent="0.15">
      <c r="A2937" s="54">
        <v>2960</v>
      </c>
      <c r="B2937" s="55" t="s">
        <v>3513</v>
      </c>
      <c r="C2937" s="55" t="s">
        <v>12217</v>
      </c>
      <c r="D2937" s="56" t="s">
        <v>12218</v>
      </c>
      <c r="E2937" s="2"/>
      <c r="F2937" s="57"/>
      <c r="G2937" s="63" t="s">
        <v>12219</v>
      </c>
      <c r="H2937" s="59">
        <v>10</v>
      </c>
    </row>
    <row r="2938" spans="1:8" ht="112.5" customHeight="1" x14ac:dyDescent="0.15">
      <c r="A2938" s="60">
        <v>2961</v>
      </c>
      <c r="B2938" s="30" t="s">
        <v>3509</v>
      </c>
      <c r="C2938" s="30" t="s">
        <v>12220</v>
      </c>
      <c r="D2938" s="61" t="s">
        <v>12221</v>
      </c>
      <c r="E2938" s="2"/>
      <c r="F2938" s="57"/>
      <c r="G2938" s="64" t="s">
        <v>12222</v>
      </c>
      <c r="H2938" s="59">
        <v>9.9909999999999997</v>
      </c>
    </row>
    <row r="2939" spans="1:8" ht="112.5" customHeight="1" x14ac:dyDescent="0.15">
      <c r="A2939" s="54">
        <v>2962</v>
      </c>
      <c r="B2939" s="55" t="s">
        <v>3509</v>
      </c>
      <c r="C2939" s="55" t="s">
        <v>12223</v>
      </c>
      <c r="D2939" s="56" t="s">
        <v>12224</v>
      </c>
      <c r="E2939" s="2"/>
      <c r="F2939" s="57"/>
      <c r="G2939" s="63" t="s">
        <v>12225</v>
      </c>
      <c r="H2939" s="59">
        <v>10</v>
      </c>
    </row>
    <row r="2940" spans="1:8" ht="112.5" customHeight="1" x14ac:dyDescent="0.15">
      <c r="A2940" s="60">
        <v>2963</v>
      </c>
      <c r="B2940" s="30" t="s">
        <v>3509</v>
      </c>
      <c r="C2940" s="30" t="s">
        <v>12226</v>
      </c>
      <c r="D2940" s="61" t="s">
        <v>12227</v>
      </c>
      <c r="E2940" s="2"/>
      <c r="F2940" s="57"/>
      <c r="G2940" s="64" t="s">
        <v>12228</v>
      </c>
      <c r="H2940" s="59">
        <v>10</v>
      </c>
    </row>
    <row r="2941" spans="1:8" ht="112.5" customHeight="1" x14ac:dyDescent="0.15">
      <c r="A2941" s="54">
        <v>2964</v>
      </c>
      <c r="B2941" s="55" t="s">
        <v>3509</v>
      </c>
      <c r="C2941" s="55" t="s">
        <v>12229</v>
      </c>
      <c r="D2941" s="56" t="s">
        <v>12230</v>
      </c>
      <c r="E2941" s="2"/>
      <c r="F2941" s="57"/>
      <c r="G2941" s="63" t="s">
        <v>12231</v>
      </c>
      <c r="H2941" s="59">
        <v>10</v>
      </c>
    </row>
    <row r="2942" spans="1:8" ht="112.5" customHeight="1" x14ac:dyDescent="0.15">
      <c r="A2942" s="60">
        <v>2965</v>
      </c>
      <c r="B2942" s="30" t="s">
        <v>3599</v>
      </c>
      <c r="C2942" s="30" t="s">
        <v>12232</v>
      </c>
      <c r="D2942" s="61" t="s">
        <v>12233</v>
      </c>
      <c r="E2942" s="2"/>
      <c r="F2942" s="57"/>
      <c r="G2942" s="64" t="s">
        <v>12234</v>
      </c>
      <c r="H2942" s="59">
        <v>10</v>
      </c>
    </row>
    <row r="2943" spans="1:8" ht="112.5" customHeight="1" x14ac:dyDescent="0.15">
      <c r="A2943" s="54">
        <v>2966</v>
      </c>
      <c r="B2943" s="55" t="s">
        <v>3670</v>
      </c>
      <c r="C2943" s="55" t="s">
        <v>12235</v>
      </c>
      <c r="D2943" s="56" t="s">
        <v>12236</v>
      </c>
      <c r="E2943" s="2"/>
      <c r="F2943" s="57"/>
      <c r="G2943" s="63" t="s">
        <v>12237</v>
      </c>
      <c r="H2943" s="59">
        <v>0</v>
      </c>
    </row>
    <row r="2944" spans="1:8" ht="112.5" customHeight="1" x14ac:dyDescent="0.15">
      <c r="A2944" s="60">
        <v>2967</v>
      </c>
      <c r="B2944" s="30" t="s">
        <v>3556</v>
      </c>
      <c r="C2944" s="30" t="s">
        <v>12238</v>
      </c>
      <c r="D2944" s="61" t="s">
        <v>12239</v>
      </c>
      <c r="E2944" s="2"/>
      <c r="F2944" s="57"/>
      <c r="G2944" s="64" t="s">
        <v>12240</v>
      </c>
      <c r="H2944" s="59">
        <v>0</v>
      </c>
    </row>
    <row r="2945" spans="1:8" ht="112.5" customHeight="1" x14ac:dyDescent="0.15">
      <c r="A2945" s="54">
        <v>2968</v>
      </c>
      <c r="B2945" s="55" t="s">
        <v>3749</v>
      </c>
      <c r="C2945" s="55" t="s">
        <v>12241</v>
      </c>
      <c r="D2945" s="56" t="s">
        <v>12242</v>
      </c>
      <c r="E2945" s="2"/>
      <c r="F2945" s="57"/>
      <c r="G2945" s="63" t="s">
        <v>12243</v>
      </c>
      <c r="H2945" s="59">
        <v>99</v>
      </c>
    </row>
    <row r="2946" spans="1:8" ht="112.5" customHeight="1" x14ac:dyDescent="0.15">
      <c r="A2946" s="54">
        <v>2970</v>
      </c>
      <c r="B2946" s="55" t="s">
        <v>4334</v>
      </c>
      <c r="C2946" s="55" t="s">
        <v>12244</v>
      </c>
      <c r="D2946" s="56" t="s">
        <v>12245</v>
      </c>
      <c r="E2946" s="2"/>
      <c r="F2946" s="57"/>
      <c r="G2946" s="64" t="s">
        <v>12246</v>
      </c>
      <c r="H2946" s="59">
        <v>10</v>
      </c>
    </row>
    <row r="2947" spans="1:8" ht="112.5" customHeight="1" x14ac:dyDescent="0.15">
      <c r="A2947" s="60">
        <v>2969</v>
      </c>
      <c r="B2947" s="30" t="s">
        <v>4334</v>
      </c>
      <c r="C2947" s="30" t="s">
        <v>12247</v>
      </c>
      <c r="D2947" s="61" t="s">
        <v>12248</v>
      </c>
      <c r="E2947" s="2"/>
      <c r="F2947" s="57"/>
      <c r="G2947" s="63" t="s">
        <v>12249</v>
      </c>
      <c r="H2947" s="59">
        <v>9.9949999999999992</v>
      </c>
    </row>
    <row r="2948" spans="1:8" ht="112.5" customHeight="1" x14ac:dyDescent="0.15">
      <c r="A2948" s="60">
        <v>2971</v>
      </c>
      <c r="B2948" s="30" t="s">
        <v>4334</v>
      </c>
      <c r="C2948" s="30" t="s">
        <v>12250</v>
      </c>
      <c r="D2948" s="61" t="s">
        <v>12251</v>
      </c>
      <c r="E2948" s="2"/>
      <c r="F2948" s="57"/>
      <c r="G2948" s="64" t="s">
        <v>12252</v>
      </c>
      <c r="H2948" s="59">
        <v>10</v>
      </c>
    </row>
    <row r="2949" spans="1:8" ht="112.5" customHeight="1" x14ac:dyDescent="0.15">
      <c r="A2949" s="54">
        <v>2972</v>
      </c>
      <c r="B2949" s="55" t="s">
        <v>4334</v>
      </c>
      <c r="C2949" s="55" t="s">
        <v>12253</v>
      </c>
      <c r="D2949" s="56" t="s">
        <v>12254</v>
      </c>
      <c r="E2949" s="2"/>
      <c r="F2949" s="57"/>
      <c r="G2949" s="63" t="s">
        <v>12255</v>
      </c>
      <c r="H2949" s="59">
        <v>10</v>
      </c>
    </row>
    <row r="2950" spans="1:8" ht="112.5" customHeight="1" x14ac:dyDescent="0.15">
      <c r="A2950" s="60">
        <v>2973</v>
      </c>
      <c r="B2950" s="30" t="s">
        <v>3502</v>
      </c>
      <c r="C2950" s="30" t="s">
        <v>12256</v>
      </c>
      <c r="D2950" s="61" t="s">
        <v>12257</v>
      </c>
      <c r="E2950" s="2"/>
      <c r="F2950" s="57"/>
      <c r="G2950" s="64" t="s">
        <v>12258</v>
      </c>
      <c r="H2950" s="59">
        <v>9.98</v>
      </c>
    </row>
    <row r="2951" spans="1:8" ht="112.5" customHeight="1" x14ac:dyDescent="0.15">
      <c r="A2951" s="60">
        <v>3327</v>
      </c>
      <c r="B2951" s="30" t="s">
        <v>3502</v>
      </c>
      <c r="C2951" s="30" t="s">
        <v>12259</v>
      </c>
      <c r="D2951" s="61" t="s">
        <v>12260</v>
      </c>
      <c r="E2951" s="2"/>
      <c r="F2951" s="57"/>
      <c r="G2951" s="63" t="s">
        <v>12261</v>
      </c>
      <c r="H2951" s="59">
        <v>9.8360000000000003</v>
      </c>
    </row>
    <row r="2952" spans="1:8" ht="112.5" customHeight="1" x14ac:dyDescent="0.15">
      <c r="A2952" s="54">
        <v>2974</v>
      </c>
      <c r="B2952" s="55" t="s">
        <v>3502</v>
      </c>
      <c r="C2952" s="55" t="s">
        <v>12262</v>
      </c>
      <c r="D2952" s="56" t="s">
        <v>12263</v>
      </c>
      <c r="E2952" s="2"/>
      <c r="F2952" s="57"/>
      <c r="G2952" s="64" t="s">
        <v>12264</v>
      </c>
      <c r="H2952" s="59">
        <v>9.9440000000000008</v>
      </c>
    </row>
    <row r="2953" spans="1:8" ht="112.5" customHeight="1" x14ac:dyDescent="0.15">
      <c r="A2953" s="60">
        <v>2975</v>
      </c>
      <c r="B2953" s="30" t="s">
        <v>3502</v>
      </c>
      <c r="C2953" s="30" t="s">
        <v>12265</v>
      </c>
      <c r="D2953" s="61" t="s">
        <v>12266</v>
      </c>
      <c r="E2953" s="2"/>
      <c r="F2953" s="57"/>
      <c r="G2953" s="63" t="s">
        <v>12267</v>
      </c>
      <c r="H2953" s="59">
        <v>9.9949999999999992</v>
      </c>
    </row>
    <row r="2954" spans="1:8" ht="112.5" customHeight="1" x14ac:dyDescent="0.15">
      <c r="A2954" s="54">
        <v>2976</v>
      </c>
      <c r="B2954" s="55" t="s">
        <v>3502</v>
      </c>
      <c r="C2954" s="55" t="s">
        <v>12268</v>
      </c>
      <c r="D2954" s="56" t="s">
        <v>12269</v>
      </c>
      <c r="E2954" s="2"/>
      <c r="F2954" s="57"/>
      <c r="G2954" s="64" t="s">
        <v>12270</v>
      </c>
      <c r="H2954" s="59">
        <v>9.8789999999999996</v>
      </c>
    </row>
    <row r="2955" spans="1:8" ht="112.5" customHeight="1" x14ac:dyDescent="0.15">
      <c r="A2955" s="60">
        <v>2977</v>
      </c>
      <c r="B2955" s="30" t="s">
        <v>3630</v>
      </c>
      <c r="C2955" s="30" t="s">
        <v>12271</v>
      </c>
      <c r="D2955" s="61" t="s">
        <v>12272</v>
      </c>
      <c r="E2955" s="2"/>
      <c r="F2955" s="57"/>
      <c r="G2955" s="63" t="s">
        <v>12273</v>
      </c>
      <c r="H2955" s="59">
        <v>9.99</v>
      </c>
    </row>
    <row r="2956" spans="1:8" ht="112.5" customHeight="1" x14ac:dyDescent="0.15">
      <c r="A2956" s="54">
        <v>2978</v>
      </c>
      <c r="B2956" s="55" t="s">
        <v>3822</v>
      </c>
      <c r="C2956" s="55" t="s">
        <v>12274</v>
      </c>
      <c r="D2956" s="56" t="s">
        <v>12275</v>
      </c>
      <c r="E2956" s="2"/>
      <c r="F2956" s="57"/>
      <c r="G2956" s="64" t="s">
        <v>12276</v>
      </c>
      <c r="H2956" s="59">
        <v>10</v>
      </c>
    </row>
    <row r="2957" spans="1:8" ht="112.5" customHeight="1" x14ac:dyDescent="0.15">
      <c r="A2957" s="60">
        <v>2979</v>
      </c>
      <c r="B2957" s="30" t="s">
        <v>3822</v>
      </c>
      <c r="C2957" s="30" t="s">
        <v>12277</v>
      </c>
      <c r="D2957" s="61" t="s">
        <v>12278</v>
      </c>
      <c r="E2957" s="2"/>
      <c r="F2957" s="57"/>
      <c r="G2957" s="63" t="s">
        <v>12279</v>
      </c>
      <c r="H2957" s="59">
        <v>9.9949999999999992</v>
      </c>
    </row>
    <row r="2958" spans="1:8" ht="112.5" customHeight="1" x14ac:dyDescent="0.15">
      <c r="A2958" s="54">
        <v>3278</v>
      </c>
      <c r="B2958" s="55" t="s">
        <v>3822</v>
      </c>
      <c r="C2958" s="55" t="s">
        <v>12280</v>
      </c>
      <c r="D2958" s="56" t="s">
        <v>12281</v>
      </c>
      <c r="E2958" s="2"/>
      <c r="F2958" s="57"/>
      <c r="G2958" s="64" t="s">
        <v>12282</v>
      </c>
      <c r="H2958" s="59">
        <v>9.9949999999999992</v>
      </c>
    </row>
    <row r="2959" spans="1:8" ht="112.5" customHeight="1" x14ac:dyDescent="0.15">
      <c r="A2959" s="54">
        <v>3276</v>
      </c>
      <c r="B2959" s="55" t="s">
        <v>3822</v>
      </c>
      <c r="C2959" s="55" t="s">
        <v>12283</v>
      </c>
      <c r="D2959" s="56" t="s">
        <v>12284</v>
      </c>
      <c r="E2959" s="2"/>
      <c r="F2959" s="57"/>
      <c r="G2959" s="63" t="s">
        <v>12285</v>
      </c>
      <c r="H2959" s="59">
        <v>10</v>
      </c>
    </row>
    <row r="2960" spans="1:8" ht="112.5" customHeight="1" x14ac:dyDescent="0.15">
      <c r="A2960" s="60">
        <v>3343</v>
      </c>
      <c r="B2960" s="30" t="s">
        <v>3496</v>
      </c>
      <c r="C2960" s="30" t="s">
        <v>12286</v>
      </c>
      <c r="D2960" s="61" t="s">
        <v>12287</v>
      </c>
      <c r="E2960" s="2"/>
      <c r="F2960" s="57"/>
      <c r="G2960" s="64" t="s">
        <v>12288</v>
      </c>
      <c r="H2960" s="59">
        <v>9.9949999999999992</v>
      </c>
    </row>
    <row r="2961" spans="1:8" ht="112.5" customHeight="1" x14ac:dyDescent="0.15">
      <c r="A2961" s="54">
        <v>2980</v>
      </c>
      <c r="B2961" s="55" t="s">
        <v>3509</v>
      </c>
      <c r="C2961" s="55" t="s">
        <v>12289</v>
      </c>
      <c r="D2961" s="56" t="s">
        <v>12290</v>
      </c>
      <c r="E2961" s="2"/>
      <c r="F2961" s="57"/>
      <c r="G2961" s="63" t="s">
        <v>12291</v>
      </c>
      <c r="H2961" s="59">
        <v>0</v>
      </c>
    </row>
    <row r="2962" spans="1:8" ht="112.5" customHeight="1" x14ac:dyDescent="0.15">
      <c r="A2962" s="60">
        <v>2981</v>
      </c>
      <c r="B2962" s="30" t="s">
        <v>3822</v>
      </c>
      <c r="C2962" s="30" t="s">
        <v>12292</v>
      </c>
      <c r="D2962" s="61" t="s">
        <v>12293</v>
      </c>
      <c r="E2962" s="2"/>
      <c r="F2962" s="57"/>
      <c r="G2962" s="64" t="s">
        <v>12294</v>
      </c>
      <c r="H2962" s="59">
        <v>10</v>
      </c>
    </row>
    <row r="2963" spans="1:8" ht="112.5" customHeight="1" x14ac:dyDescent="0.15">
      <c r="A2963" s="60">
        <v>3519</v>
      </c>
      <c r="B2963" s="30" t="s">
        <v>3822</v>
      </c>
      <c r="C2963" s="30" t="s">
        <v>12295</v>
      </c>
      <c r="D2963" s="61" t="s">
        <v>12296</v>
      </c>
      <c r="E2963" s="2"/>
      <c r="F2963" s="57"/>
      <c r="G2963" s="63" t="s">
        <v>12297</v>
      </c>
      <c r="H2963" s="59">
        <v>10</v>
      </c>
    </row>
    <row r="2964" spans="1:8" ht="112.5" customHeight="1" x14ac:dyDescent="0.15">
      <c r="A2964" s="54">
        <v>2982</v>
      </c>
      <c r="B2964" s="55" t="s">
        <v>3822</v>
      </c>
      <c r="C2964" s="55" t="s">
        <v>12298</v>
      </c>
      <c r="D2964" s="56" t="s">
        <v>12299</v>
      </c>
      <c r="E2964" s="2"/>
      <c r="F2964" s="57"/>
      <c r="G2964" s="64" t="s">
        <v>12300</v>
      </c>
      <c r="H2964" s="59">
        <v>10</v>
      </c>
    </row>
    <row r="2965" spans="1:8" ht="112.5" customHeight="1" x14ac:dyDescent="0.15">
      <c r="A2965" s="60">
        <v>2983</v>
      </c>
      <c r="B2965" s="30" t="s">
        <v>3509</v>
      </c>
      <c r="C2965" s="30" t="s">
        <v>12301</v>
      </c>
      <c r="D2965" s="61" t="s">
        <v>12302</v>
      </c>
      <c r="E2965" s="2"/>
      <c r="F2965" s="57"/>
      <c r="G2965" s="63" t="s">
        <v>12303</v>
      </c>
      <c r="H2965" s="59">
        <v>10</v>
      </c>
    </row>
    <row r="2966" spans="1:8" ht="112.5" customHeight="1" x14ac:dyDescent="0.15">
      <c r="A2966" s="54">
        <v>2984</v>
      </c>
      <c r="B2966" s="55" t="s">
        <v>3509</v>
      </c>
      <c r="C2966" s="55" t="s">
        <v>12304</v>
      </c>
      <c r="D2966" s="56" t="s">
        <v>12305</v>
      </c>
      <c r="E2966" s="2"/>
      <c r="F2966" s="57"/>
      <c r="G2966" s="64" t="s">
        <v>12306</v>
      </c>
      <c r="H2966" s="59">
        <v>10</v>
      </c>
    </row>
    <row r="2967" spans="1:8" ht="112.5" customHeight="1" x14ac:dyDescent="0.15">
      <c r="A2967" s="60">
        <v>2267</v>
      </c>
      <c r="B2967" s="30" t="s">
        <v>3749</v>
      </c>
      <c r="C2967" s="30" t="s">
        <v>12307</v>
      </c>
      <c r="D2967" s="61" t="s">
        <v>12308</v>
      </c>
      <c r="E2967" s="2"/>
      <c r="F2967" s="57"/>
      <c r="G2967" s="63" t="s">
        <v>12309</v>
      </c>
      <c r="H2967" s="59">
        <v>9.9830000000000005</v>
      </c>
    </row>
    <row r="2968" spans="1:8" ht="112.5" customHeight="1" x14ac:dyDescent="0.15">
      <c r="A2968" s="60">
        <v>2985</v>
      </c>
      <c r="B2968" s="30" t="s">
        <v>3533</v>
      </c>
      <c r="C2968" s="30" t="s">
        <v>12310</v>
      </c>
      <c r="D2968" s="61" t="s">
        <v>12311</v>
      </c>
      <c r="E2968" s="2"/>
      <c r="F2968" s="57"/>
      <c r="G2968" s="64" t="s">
        <v>12312</v>
      </c>
      <c r="H2968" s="59">
        <v>10</v>
      </c>
    </row>
    <row r="2969" spans="1:8" ht="112.5" customHeight="1" x14ac:dyDescent="0.15">
      <c r="A2969" s="54">
        <v>2986</v>
      </c>
      <c r="B2969" s="55" t="s">
        <v>3556</v>
      </c>
      <c r="C2969" s="55" t="s">
        <v>12313</v>
      </c>
      <c r="D2969" s="56" t="s">
        <v>12314</v>
      </c>
      <c r="E2969" s="2"/>
      <c r="F2969" s="57"/>
      <c r="G2969" s="63" t="s">
        <v>12315</v>
      </c>
      <c r="H2969" s="59">
        <v>10</v>
      </c>
    </row>
    <row r="2970" spans="1:8" ht="112.5" customHeight="1" x14ac:dyDescent="0.15">
      <c r="A2970" s="60">
        <v>2987</v>
      </c>
      <c r="B2970" s="30" t="s">
        <v>3533</v>
      </c>
      <c r="C2970" s="30" t="s">
        <v>12316</v>
      </c>
      <c r="D2970" s="61" t="s">
        <v>12317</v>
      </c>
      <c r="E2970" s="2"/>
      <c r="F2970" s="57"/>
      <c r="G2970" s="64" t="s">
        <v>4439</v>
      </c>
      <c r="H2970" s="59">
        <v>9.9990000000000006</v>
      </c>
    </row>
    <row r="2971" spans="1:8" ht="112.5" customHeight="1" x14ac:dyDescent="0.15">
      <c r="A2971" s="54">
        <v>2988</v>
      </c>
      <c r="B2971" s="55" t="s">
        <v>3749</v>
      </c>
      <c r="C2971" s="55" t="s">
        <v>12318</v>
      </c>
      <c r="D2971" s="56" t="s">
        <v>12319</v>
      </c>
      <c r="E2971" s="2"/>
      <c r="F2971" s="57"/>
      <c r="G2971" s="63" t="s">
        <v>4436</v>
      </c>
      <c r="H2971" s="59">
        <v>9.9969999999999999</v>
      </c>
    </row>
    <row r="2972" spans="1:8" ht="112.5" customHeight="1" x14ac:dyDescent="0.15">
      <c r="A2972" s="60">
        <v>2989</v>
      </c>
      <c r="B2972" s="30" t="s">
        <v>3749</v>
      </c>
      <c r="C2972" s="30" t="s">
        <v>12320</v>
      </c>
      <c r="D2972" s="61" t="s">
        <v>12321</v>
      </c>
      <c r="E2972" s="2"/>
      <c r="F2972" s="57"/>
      <c r="G2972" s="64" t="s">
        <v>12322</v>
      </c>
      <c r="H2972" s="59">
        <v>0</v>
      </c>
    </row>
    <row r="2973" spans="1:8" ht="112.5" customHeight="1" x14ac:dyDescent="0.15">
      <c r="A2973" s="54">
        <v>2990</v>
      </c>
      <c r="B2973" s="55" t="s">
        <v>3509</v>
      </c>
      <c r="C2973" s="55" t="s">
        <v>12323</v>
      </c>
      <c r="D2973" s="56" t="s">
        <v>12324</v>
      </c>
      <c r="E2973" s="2"/>
      <c r="F2973" s="57"/>
      <c r="G2973" s="63" t="s">
        <v>12325</v>
      </c>
      <c r="H2973" s="59">
        <v>9.9830000000000005</v>
      </c>
    </row>
    <row r="2974" spans="1:8" ht="112.5" customHeight="1" x14ac:dyDescent="0.15">
      <c r="A2974" s="60">
        <v>2991</v>
      </c>
      <c r="B2974" s="30" t="s">
        <v>3556</v>
      </c>
      <c r="C2974" s="30" t="s">
        <v>12326</v>
      </c>
      <c r="D2974" s="61" t="s">
        <v>12327</v>
      </c>
      <c r="E2974" s="2"/>
      <c r="F2974" s="57"/>
      <c r="G2974" s="64" t="s">
        <v>12328</v>
      </c>
      <c r="H2974" s="59">
        <v>10</v>
      </c>
    </row>
    <row r="2975" spans="1:8" ht="112.5" customHeight="1" x14ac:dyDescent="0.15">
      <c r="A2975" s="60">
        <v>2993</v>
      </c>
      <c r="B2975" s="30" t="s">
        <v>3630</v>
      </c>
      <c r="C2975" s="30" t="s">
        <v>12329</v>
      </c>
      <c r="D2975" s="61" t="s">
        <v>12330</v>
      </c>
      <c r="E2975" s="2"/>
      <c r="F2975" s="57"/>
      <c r="G2975" s="63" t="s">
        <v>12331</v>
      </c>
      <c r="H2975" s="59">
        <v>10</v>
      </c>
    </row>
    <row r="2976" spans="1:8" ht="112.5" customHeight="1" x14ac:dyDescent="0.15">
      <c r="A2976" s="54">
        <v>2992</v>
      </c>
      <c r="B2976" s="55" t="s">
        <v>3630</v>
      </c>
      <c r="C2976" s="55" t="s">
        <v>12332</v>
      </c>
      <c r="D2976" s="56" t="s">
        <v>12333</v>
      </c>
      <c r="E2976" s="2"/>
      <c r="F2976" s="57"/>
      <c r="G2976" s="64" t="s">
        <v>12334</v>
      </c>
      <c r="H2976" s="59">
        <v>9.99</v>
      </c>
    </row>
    <row r="2977" spans="1:8" ht="112.5" customHeight="1" x14ac:dyDescent="0.15">
      <c r="A2977" s="60">
        <v>3351</v>
      </c>
      <c r="B2977" s="30" t="s">
        <v>3630</v>
      </c>
      <c r="C2977" s="30" t="s">
        <v>12335</v>
      </c>
      <c r="D2977" s="61" t="s">
        <v>12336</v>
      </c>
      <c r="E2977" s="2"/>
      <c r="F2977" s="57"/>
      <c r="G2977" s="63" t="s">
        <v>12337</v>
      </c>
      <c r="H2977" s="59">
        <v>9.9930000000000003</v>
      </c>
    </row>
    <row r="2978" spans="1:8" ht="112.5" customHeight="1" x14ac:dyDescent="0.15">
      <c r="A2978" s="54">
        <v>1044</v>
      </c>
      <c r="B2978" s="55" t="s">
        <v>3549</v>
      </c>
      <c r="C2978" s="55" t="s">
        <v>12338</v>
      </c>
      <c r="D2978" s="56" t="s">
        <v>12339</v>
      </c>
      <c r="E2978" s="2"/>
      <c r="F2978" s="57"/>
      <c r="G2978" s="64" t="s">
        <v>12340</v>
      </c>
      <c r="H2978" s="59">
        <v>9.9920000000000009</v>
      </c>
    </row>
    <row r="2979" spans="1:8" ht="112.5" customHeight="1" x14ac:dyDescent="0.15">
      <c r="A2979" s="54">
        <v>2774</v>
      </c>
      <c r="B2979" s="55" t="s">
        <v>3822</v>
      </c>
      <c r="C2979" s="55" t="s">
        <v>12341</v>
      </c>
      <c r="D2979" s="56" t="s">
        <v>12342</v>
      </c>
      <c r="E2979" s="2"/>
      <c r="F2979" s="57"/>
      <c r="G2979" s="63" t="s">
        <v>12343</v>
      </c>
      <c r="H2979" s="59">
        <v>10</v>
      </c>
    </row>
    <row r="2980" spans="1:8" ht="112.5" customHeight="1" x14ac:dyDescent="0.15">
      <c r="A2980" s="60">
        <v>1121</v>
      </c>
      <c r="B2980" s="30" t="s">
        <v>3496</v>
      </c>
      <c r="C2980" s="30" t="s">
        <v>12344</v>
      </c>
      <c r="D2980" s="61" t="s">
        <v>12345</v>
      </c>
      <c r="E2980" s="2"/>
      <c r="F2980" s="57"/>
      <c r="G2980" s="64" t="s">
        <v>12346</v>
      </c>
      <c r="H2980" s="59">
        <v>10</v>
      </c>
    </row>
    <row r="2981" spans="1:8" ht="112.5" customHeight="1" x14ac:dyDescent="0.15">
      <c r="A2981" s="54">
        <v>1148</v>
      </c>
      <c r="B2981" s="55" t="s">
        <v>3513</v>
      </c>
      <c r="C2981" s="55" t="s">
        <v>12347</v>
      </c>
      <c r="D2981" s="56" t="s">
        <v>12348</v>
      </c>
      <c r="E2981" s="2"/>
      <c r="F2981" s="57"/>
      <c r="G2981" s="63" t="s">
        <v>12349</v>
      </c>
      <c r="H2981" s="59">
        <v>10</v>
      </c>
    </row>
    <row r="2982" spans="1:8" ht="112.5" customHeight="1" x14ac:dyDescent="0.15">
      <c r="A2982" s="60">
        <v>1861</v>
      </c>
      <c r="B2982" s="30" t="s">
        <v>3492</v>
      </c>
      <c r="C2982" s="30" t="s">
        <v>12350</v>
      </c>
      <c r="D2982" s="61" t="s">
        <v>12351</v>
      </c>
      <c r="E2982" s="2"/>
      <c r="F2982" s="57"/>
      <c r="G2982" s="64" t="s">
        <v>12352</v>
      </c>
      <c r="H2982" s="59">
        <v>10</v>
      </c>
    </row>
    <row r="2983" spans="1:8" ht="112.5" customHeight="1" x14ac:dyDescent="0.15">
      <c r="A2983" s="54">
        <v>2484</v>
      </c>
      <c r="B2983" s="55" t="s">
        <v>3513</v>
      </c>
      <c r="C2983" s="55" t="s">
        <v>12353</v>
      </c>
      <c r="D2983" s="56" t="s">
        <v>12354</v>
      </c>
      <c r="E2983" s="2"/>
      <c r="F2983" s="57"/>
      <c r="G2983" s="63" t="s">
        <v>12355</v>
      </c>
      <c r="H2983" s="59">
        <v>9.9480000000000004</v>
      </c>
    </row>
    <row r="2984" spans="1:8" ht="112.5" customHeight="1" x14ac:dyDescent="0.15">
      <c r="A2984" s="60">
        <v>2647</v>
      </c>
      <c r="B2984" s="30" t="s">
        <v>3556</v>
      </c>
      <c r="C2984" s="30" t="s">
        <v>12356</v>
      </c>
      <c r="D2984" s="61" t="s">
        <v>12357</v>
      </c>
      <c r="E2984" s="2"/>
      <c r="F2984" s="57"/>
      <c r="G2984" s="64" t="s">
        <v>12358</v>
      </c>
      <c r="H2984" s="59">
        <v>10</v>
      </c>
    </row>
    <row r="2985" spans="1:8" ht="112.5" customHeight="1" x14ac:dyDescent="0.15">
      <c r="A2985" s="60">
        <v>3185</v>
      </c>
      <c r="B2985" s="30" t="s">
        <v>3502</v>
      </c>
      <c r="C2985" s="30" t="s">
        <v>12359</v>
      </c>
      <c r="D2985" s="61" t="s">
        <v>12360</v>
      </c>
      <c r="E2985" s="2"/>
      <c r="F2985" s="57"/>
      <c r="G2985" s="63" t="s">
        <v>12361</v>
      </c>
      <c r="H2985" s="59">
        <v>9.9949999999999992</v>
      </c>
    </row>
    <row r="2986" spans="1:8" ht="112.5" customHeight="1" x14ac:dyDescent="0.15">
      <c r="A2986" s="54">
        <v>3028</v>
      </c>
      <c r="B2986" s="55" t="s">
        <v>3814</v>
      </c>
      <c r="C2986" s="55" t="s">
        <v>12362</v>
      </c>
      <c r="D2986" s="56" t="s">
        <v>12363</v>
      </c>
      <c r="E2986" s="2"/>
      <c r="F2986" s="57"/>
      <c r="G2986" s="64" t="s">
        <v>12364</v>
      </c>
      <c r="H2986" s="59">
        <v>9.9949999999999992</v>
      </c>
    </row>
    <row r="2987" spans="1:8" ht="112.5" customHeight="1" x14ac:dyDescent="0.15">
      <c r="A2987" s="54">
        <v>2998</v>
      </c>
      <c r="B2987" s="55" t="s">
        <v>3630</v>
      </c>
      <c r="C2987" s="55" t="s">
        <v>12365</v>
      </c>
      <c r="D2987" s="56" t="s">
        <v>12366</v>
      </c>
      <c r="E2987" s="2"/>
      <c r="F2987" s="57"/>
      <c r="G2987" s="63" t="s">
        <v>12367</v>
      </c>
      <c r="H2987" s="59">
        <v>9.6590000000000007</v>
      </c>
    </row>
    <row r="2988" spans="1:8" ht="112.5" customHeight="1" x14ac:dyDescent="0.15">
      <c r="A2988" s="60">
        <v>2075</v>
      </c>
      <c r="B2988" s="30" t="s">
        <v>3513</v>
      </c>
      <c r="C2988" s="30" t="s">
        <v>12368</v>
      </c>
      <c r="D2988" s="61" t="s">
        <v>12369</v>
      </c>
      <c r="E2988" s="2"/>
      <c r="F2988" s="57"/>
      <c r="G2988" s="64" t="s">
        <v>12370</v>
      </c>
      <c r="H2988" s="59">
        <v>9.9990000000000006</v>
      </c>
    </row>
    <row r="2989" spans="1:8" ht="112.5" customHeight="1" x14ac:dyDescent="0.15">
      <c r="A2989" s="54">
        <v>2044</v>
      </c>
      <c r="B2989" s="55" t="s">
        <v>3526</v>
      </c>
      <c r="C2989" s="55" t="s">
        <v>12371</v>
      </c>
      <c r="D2989" s="56" t="s">
        <v>12372</v>
      </c>
      <c r="E2989" s="2"/>
      <c r="F2989" s="57"/>
      <c r="G2989" s="63" t="s">
        <v>4750</v>
      </c>
      <c r="H2989" s="59">
        <v>10</v>
      </c>
    </row>
    <row r="2990" spans="1:8" ht="112.5" customHeight="1" x14ac:dyDescent="0.15">
      <c r="A2990" s="54">
        <v>1518</v>
      </c>
      <c r="B2990" s="55" t="s">
        <v>3814</v>
      </c>
      <c r="C2990" s="55" t="s">
        <v>12373</v>
      </c>
      <c r="D2990" s="56" t="s">
        <v>12374</v>
      </c>
      <c r="E2990" s="2"/>
      <c r="F2990" s="57"/>
      <c r="G2990" s="64" t="s">
        <v>4433</v>
      </c>
      <c r="H2990" s="59">
        <v>9.9990000000000006</v>
      </c>
    </row>
    <row r="2991" spans="1:8" ht="112.5" customHeight="1" x14ac:dyDescent="0.15">
      <c r="A2991" s="60">
        <v>1499</v>
      </c>
      <c r="B2991" s="30" t="s">
        <v>3814</v>
      </c>
      <c r="C2991" s="30" t="s">
        <v>12375</v>
      </c>
      <c r="D2991" s="61" t="s">
        <v>12376</v>
      </c>
      <c r="E2991" s="2"/>
      <c r="F2991" s="57"/>
      <c r="G2991" s="63" t="s">
        <v>12377</v>
      </c>
      <c r="H2991" s="59">
        <v>9.9939999999999998</v>
      </c>
    </row>
    <row r="2992" spans="1:8" ht="112.5" customHeight="1" x14ac:dyDescent="0.15">
      <c r="A2992" s="54">
        <v>1488</v>
      </c>
      <c r="B2992" s="55" t="s">
        <v>3670</v>
      </c>
      <c r="C2992" s="55" t="s">
        <v>12378</v>
      </c>
      <c r="D2992" s="56" t="s">
        <v>12379</v>
      </c>
      <c r="E2992" s="2"/>
      <c r="F2992" s="57"/>
      <c r="G2992" s="64" t="s">
        <v>4430</v>
      </c>
      <c r="H2992" s="59">
        <v>10</v>
      </c>
    </row>
    <row r="2993" spans="1:8" ht="112.5" customHeight="1" x14ac:dyDescent="0.15">
      <c r="A2993" s="54">
        <v>1476</v>
      </c>
      <c r="B2993" s="55" t="s">
        <v>3509</v>
      </c>
      <c r="C2993" s="55" t="s">
        <v>12380</v>
      </c>
      <c r="D2993" s="56" t="s">
        <v>12381</v>
      </c>
      <c r="E2993" s="2"/>
      <c r="F2993" s="57"/>
      <c r="G2993" s="63" t="s">
        <v>12382</v>
      </c>
      <c r="H2993" s="59">
        <v>10</v>
      </c>
    </row>
    <row r="2994" spans="1:8" ht="112.5" customHeight="1" x14ac:dyDescent="0.15">
      <c r="A2994" s="54">
        <v>1450</v>
      </c>
      <c r="B2994" s="55" t="s">
        <v>3526</v>
      </c>
      <c r="C2994" s="55" t="s">
        <v>12383</v>
      </c>
      <c r="D2994" s="56" t="s">
        <v>12384</v>
      </c>
      <c r="E2994" s="2"/>
      <c r="F2994" s="57"/>
      <c r="G2994" s="64" t="s">
        <v>12385</v>
      </c>
      <c r="H2994" s="59">
        <v>10</v>
      </c>
    </row>
    <row r="2995" spans="1:8" ht="112.5" customHeight="1" x14ac:dyDescent="0.15">
      <c r="A2995" s="60">
        <v>1047</v>
      </c>
      <c r="B2995" s="30" t="s">
        <v>3814</v>
      </c>
      <c r="C2995" s="30" t="s">
        <v>12386</v>
      </c>
      <c r="D2995" s="61" t="s">
        <v>12387</v>
      </c>
      <c r="E2995" s="2"/>
      <c r="F2995" s="57"/>
      <c r="G2995" s="63" t="s">
        <v>12388</v>
      </c>
      <c r="H2995" s="59">
        <v>10</v>
      </c>
    </row>
    <row r="2996" spans="1:8" ht="112.5" customHeight="1" x14ac:dyDescent="0.15">
      <c r="A2996" s="60">
        <v>1043</v>
      </c>
      <c r="B2996" s="30" t="s">
        <v>3509</v>
      </c>
      <c r="C2996" s="30" t="s">
        <v>12389</v>
      </c>
      <c r="D2996" s="61" t="s">
        <v>12390</v>
      </c>
      <c r="E2996" s="2"/>
      <c r="F2996" s="57"/>
      <c r="G2996" s="64" t="s">
        <v>12391</v>
      </c>
      <c r="H2996" s="59">
        <v>9.952</v>
      </c>
    </row>
    <row r="2997" spans="1:8" ht="112.5" customHeight="1" x14ac:dyDescent="0.15">
      <c r="A2997" s="54">
        <v>702</v>
      </c>
      <c r="B2997" s="55" t="s">
        <v>3630</v>
      </c>
      <c r="C2997" s="55" t="s">
        <v>12392</v>
      </c>
      <c r="D2997" s="56" t="s">
        <v>12393</v>
      </c>
      <c r="E2997" s="2"/>
      <c r="F2997" s="57"/>
      <c r="G2997" s="63" t="s">
        <v>12394</v>
      </c>
      <c r="H2997" s="59">
        <v>10</v>
      </c>
    </row>
    <row r="2998" spans="1:8" ht="112.5" customHeight="1" x14ac:dyDescent="0.15">
      <c r="A2998" s="54">
        <v>2668</v>
      </c>
      <c r="B2998" s="55" t="s">
        <v>3556</v>
      </c>
      <c r="C2998" s="55" t="s">
        <v>12395</v>
      </c>
      <c r="D2998" s="56" t="s">
        <v>12396</v>
      </c>
      <c r="E2998" s="2"/>
      <c r="F2998" s="57"/>
      <c r="G2998" s="64" t="s">
        <v>12397</v>
      </c>
      <c r="H2998" s="59">
        <v>30</v>
      </c>
    </row>
    <row r="2999" spans="1:8" ht="112.5" customHeight="1" x14ac:dyDescent="0.15">
      <c r="A2999" s="60">
        <v>637</v>
      </c>
      <c r="B2999" s="30" t="s">
        <v>3556</v>
      </c>
      <c r="C2999" s="30" t="s">
        <v>12398</v>
      </c>
      <c r="D2999" s="61" t="s">
        <v>12399</v>
      </c>
      <c r="E2999" s="2"/>
      <c r="F2999" s="57"/>
      <c r="G2999" s="63" t="s">
        <v>12400</v>
      </c>
      <c r="H2999" s="59">
        <v>9.9969999999999999</v>
      </c>
    </row>
    <row r="3000" spans="1:8" ht="112.5" customHeight="1" x14ac:dyDescent="0.15">
      <c r="A3000" s="54">
        <v>984</v>
      </c>
      <c r="B3000" s="55" t="s">
        <v>3556</v>
      </c>
      <c r="C3000" s="55" t="s">
        <v>12401</v>
      </c>
      <c r="D3000" s="56" t="s">
        <v>12402</v>
      </c>
      <c r="E3000" s="2"/>
      <c r="F3000" s="57"/>
      <c r="G3000" s="64" t="s">
        <v>12403</v>
      </c>
      <c r="H3000" s="59">
        <v>9.9990000000000006</v>
      </c>
    </row>
    <row r="3001" spans="1:8" ht="112.5" customHeight="1" x14ac:dyDescent="0.15">
      <c r="A3001" s="60">
        <v>2171</v>
      </c>
      <c r="B3001" s="30" t="s">
        <v>3502</v>
      </c>
      <c r="C3001" s="30" t="s">
        <v>12404</v>
      </c>
      <c r="D3001" s="61" t="s">
        <v>12405</v>
      </c>
      <c r="E3001" s="2"/>
      <c r="F3001" s="57"/>
      <c r="G3001" s="63" t="s">
        <v>12406</v>
      </c>
      <c r="H3001" s="59">
        <v>9.9949999999999992</v>
      </c>
    </row>
    <row r="3002" spans="1:8" ht="112.5" customHeight="1" x14ac:dyDescent="0.15">
      <c r="A3002" s="60">
        <v>2823</v>
      </c>
      <c r="B3002" s="30" t="s">
        <v>3814</v>
      </c>
      <c r="C3002" s="30" t="s">
        <v>12407</v>
      </c>
      <c r="D3002" s="61" t="s">
        <v>12408</v>
      </c>
      <c r="E3002" s="2"/>
      <c r="F3002" s="57"/>
      <c r="G3002" s="64" t="s">
        <v>12409</v>
      </c>
      <c r="H3002" s="59">
        <v>9.9860000000000007</v>
      </c>
    </row>
    <row r="3003" spans="1:8" ht="112.5" customHeight="1" x14ac:dyDescent="0.15">
      <c r="A3003" s="54">
        <v>3538</v>
      </c>
      <c r="B3003" s="55" t="s">
        <v>3496</v>
      </c>
      <c r="C3003" s="55" t="s">
        <v>12410</v>
      </c>
      <c r="D3003" s="56" t="s">
        <v>12411</v>
      </c>
      <c r="E3003" s="2"/>
      <c r="F3003" s="57"/>
      <c r="G3003" s="63" t="s">
        <v>12412</v>
      </c>
      <c r="H3003" s="59">
        <v>10</v>
      </c>
    </row>
    <row r="3004" spans="1:8" ht="112.5" customHeight="1" x14ac:dyDescent="0.15">
      <c r="A3004" s="67">
        <v>3841</v>
      </c>
      <c r="B3004" s="33" t="s">
        <v>3822</v>
      </c>
      <c r="C3004" s="33" t="s">
        <v>12413</v>
      </c>
      <c r="D3004" s="61" t="s">
        <v>12414</v>
      </c>
      <c r="E3004" s="68"/>
      <c r="F3004" s="59"/>
      <c r="G3004" s="64" t="s">
        <v>12415</v>
      </c>
      <c r="H3004" s="59">
        <v>9.9740000000000002</v>
      </c>
    </row>
    <row r="3005" spans="1:8" ht="112.5" customHeight="1" x14ac:dyDescent="0.15">
      <c r="A3005" s="67">
        <v>273</v>
      </c>
      <c r="B3005" s="33" t="s">
        <v>3822</v>
      </c>
      <c r="C3005" s="33" t="s">
        <v>12416</v>
      </c>
      <c r="D3005" s="61" t="s">
        <v>12417</v>
      </c>
      <c r="E3005" s="68"/>
      <c r="F3005" s="59"/>
      <c r="G3005" s="63" t="s">
        <v>12418</v>
      </c>
      <c r="H3005" s="59">
        <v>9.9770000000000003</v>
      </c>
    </row>
    <row r="3006" spans="1:8" ht="112.5" customHeight="1" x14ac:dyDescent="0.15">
      <c r="A3006" s="69">
        <v>3946</v>
      </c>
      <c r="B3006" s="32" t="s">
        <v>3822</v>
      </c>
      <c r="C3006" s="32" t="s">
        <v>12419</v>
      </c>
      <c r="D3006" s="56" t="s">
        <v>12420</v>
      </c>
      <c r="E3006" s="68"/>
      <c r="F3006" s="59"/>
      <c r="G3006" s="64" t="s">
        <v>12421</v>
      </c>
      <c r="H3006" s="59">
        <v>9.9740000000000002</v>
      </c>
    </row>
    <row r="3007" spans="1:8" ht="112.5" customHeight="1" x14ac:dyDescent="0.15">
      <c r="A3007" s="67">
        <v>3599</v>
      </c>
      <c r="B3007" s="33" t="s">
        <v>3496</v>
      </c>
      <c r="C3007" s="33" t="s">
        <v>12422</v>
      </c>
      <c r="D3007" s="61" t="s">
        <v>12423</v>
      </c>
      <c r="E3007" s="68"/>
      <c r="F3007" s="59"/>
      <c r="G3007" s="63" t="s">
        <v>12424</v>
      </c>
      <c r="H3007" s="59">
        <v>10</v>
      </c>
    </row>
    <row r="3008" spans="1:8" ht="112.5" customHeight="1" x14ac:dyDescent="0.15">
      <c r="A3008" s="67">
        <v>3733</v>
      </c>
      <c r="B3008" s="33" t="s">
        <v>3526</v>
      </c>
      <c r="C3008" s="33" t="s">
        <v>12425</v>
      </c>
      <c r="D3008" s="61" t="s">
        <v>12426</v>
      </c>
      <c r="E3008" s="68"/>
      <c r="F3008" s="59"/>
      <c r="G3008" s="64" t="s">
        <v>12427</v>
      </c>
      <c r="H3008" s="59">
        <v>9.9870000000000001</v>
      </c>
    </row>
    <row r="3009" spans="1:8" ht="112.5" customHeight="1" x14ac:dyDescent="0.15">
      <c r="A3009" s="67">
        <v>3911</v>
      </c>
      <c r="B3009" s="33" t="s">
        <v>12428</v>
      </c>
      <c r="C3009" s="33" t="s">
        <v>12429</v>
      </c>
      <c r="D3009" s="61" t="s">
        <v>12430</v>
      </c>
      <c r="E3009" s="68"/>
      <c r="F3009" s="59"/>
      <c r="G3009" s="63" t="s">
        <v>12431</v>
      </c>
      <c r="H3009" s="59">
        <v>10</v>
      </c>
    </row>
    <row r="3010" spans="1:8" ht="112.5" customHeight="1" x14ac:dyDescent="0.15">
      <c r="A3010" s="67">
        <v>3835</v>
      </c>
      <c r="B3010" s="33" t="s">
        <v>3556</v>
      </c>
      <c r="C3010" s="33" t="s">
        <v>12432</v>
      </c>
      <c r="D3010" s="61" t="s">
        <v>12433</v>
      </c>
      <c r="E3010" s="68"/>
      <c r="F3010" s="59"/>
      <c r="G3010" s="64" t="s">
        <v>12434</v>
      </c>
      <c r="H3010" s="59">
        <v>0</v>
      </c>
    </row>
    <row r="3011" spans="1:8" ht="112.5" customHeight="1" x14ac:dyDescent="0.15">
      <c r="A3011" s="69">
        <v>218</v>
      </c>
      <c r="B3011" s="32" t="s">
        <v>3526</v>
      </c>
      <c r="C3011" s="32" t="s">
        <v>12435</v>
      </c>
      <c r="D3011" s="56" t="s">
        <v>12436</v>
      </c>
      <c r="E3011" s="68"/>
      <c r="F3011" s="59"/>
      <c r="G3011" s="63" t="s">
        <v>12437</v>
      </c>
      <c r="H3011" s="59">
        <v>10</v>
      </c>
    </row>
    <row r="3012" spans="1:8" ht="112.5" customHeight="1" x14ac:dyDescent="0.15">
      <c r="A3012" s="67">
        <v>4031</v>
      </c>
      <c r="B3012" s="33" t="s">
        <v>3818</v>
      </c>
      <c r="C3012" s="33" t="s">
        <v>12438</v>
      </c>
      <c r="D3012" s="61" t="s">
        <v>12439</v>
      </c>
      <c r="E3012" s="68"/>
      <c r="F3012" s="59"/>
      <c r="G3012" s="64" t="s">
        <v>4427</v>
      </c>
      <c r="H3012" s="59">
        <v>9.9860000000000007</v>
      </c>
    </row>
    <row r="3013" spans="1:8" ht="112.5" customHeight="1" x14ac:dyDescent="0.15">
      <c r="A3013" s="67">
        <v>3531</v>
      </c>
      <c r="B3013" s="33" t="s">
        <v>3749</v>
      </c>
      <c r="C3013" s="33" t="s">
        <v>12440</v>
      </c>
      <c r="D3013" s="61" t="s">
        <v>12441</v>
      </c>
      <c r="E3013" s="68"/>
      <c r="F3013" s="59"/>
      <c r="G3013" s="63" t="s">
        <v>12442</v>
      </c>
      <c r="H3013" s="59">
        <v>10</v>
      </c>
    </row>
    <row r="3014" spans="1:8" ht="112.5" customHeight="1" x14ac:dyDescent="0.15">
      <c r="A3014" s="69">
        <v>3956</v>
      </c>
      <c r="B3014" s="32" t="s">
        <v>3822</v>
      </c>
      <c r="C3014" s="32" t="s">
        <v>12443</v>
      </c>
      <c r="D3014" s="56" t="s">
        <v>12444</v>
      </c>
      <c r="E3014" s="68"/>
      <c r="F3014" s="59"/>
      <c r="G3014" s="64" t="s">
        <v>12445</v>
      </c>
      <c r="H3014" s="59">
        <v>9.99</v>
      </c>
    </row>
    <row r="3015" spans="1:8" ht="112.5" customHeight="1" x14ac:dyDescent="0.15">
      <c r="A3015" s="69">
        <v>220</v>
      </c>
      <c r="B3015" s="32" t="s">
        <v>3822</v>
      </c>
      <c r="C3015" s="32" t="s">
        <v>12446</v>
      </c>
      <c r="D3015" s="56" t="s">
        <v>12447</v>
      </c>
      <c r="E3015" s="68"/>
      <c r="F3015" s="59"/>
      <c r="G3015" s="63" t="s">
        <v>12448</v>
      </c>
      <c r="H3015" s="59">
        <v>9.9990000000000006</v>
      </c>
    </row>
    <row r="3016" spans="1:8" ht="112.5" customHeight="1" x14ac:dyDescent="0.15">
      <c r="A3016" s="67">
        <v>3513</v>
      </c>
      <c r="B3016" s="33" t="s">
        <v>3630</v>
      </c>
      <c r="C3016" s="33" t="s">
        <v>12449</v>
      </c>
      <c r="D3016" s="61" t="s">
        <v>12450</v>
      </c>
      <c r="E3016" s="68"/>
      <c r="F3016" s="59"/>
      <c r="G3016" s="64" t="s">
        <v>12451</v>
      </c>
      <c r="H3016" s="59">
        <v>9.9949999999999992</v>
      </c>
    </row>
    <row r="3017" spans="1:8" ht="112.5" customHeight="1" x14ac:dyDescent="0.15">
      <c r="A3017" s="67">
        <v>3851</v>
      </c>
      <c r="B3017" s="33" t="s">
        <v>3822</v>
      </c>
      <c r="C3017" s="33" t="s">
        <v>12452</v>
      </c>
      <c r="D3017" s="61" t="s">
        <v>12453</v>
      </c>
      <c r="E3017" s="68"/>
      <c r="F3017" s="59"/>
      <c r="G3017" s="63" t="s">
        <v>12454</v>
      </c>
      <c r="H3017" s="59">
        <v>9.9019999999999992</v>
      </c>
    </row>
    <row r="3018" spans="1:8" ht="112.5" customHeight="1" x14ac:dyDescent="0.15">
      <c r="A3018" s="67">
        <v>3549</v>
      </c>
      <c r="B3018" s="33" t="s">
        <v>12428</v>
      </c>
      <c r="C3018" s="33" t="s">
        <v>12455</v>
      </c>
      <c r="D3018" s="61" t="s">
        <v>12456</v>
      </c>
      <c r="E3018" s="68"/>
      <c r="F3018" s="59"/>
      <c r="G3018" s="64" t="s">
        <v>12457</v>
      </c>
      <c r="H3018" s="59">
        <v>9.984</v>
      </c>
    </row>
    <row r="3019" spans="1:8" ht="112.5" customHeight="1" x14ac:dyDescent="0.15">
      <c r="A3019" s="67">
        <v>3529</v>
      </c>
      <c r="B3019" s="33" t="s">
        <v>3822</v>
      </c>
      <c r="C3019" s="33" t="s">
        <v>12458</v>
      </c>
      <c r="D3019" s="61" t="s">
        <v>12459</v>
      </c>
      <c r="E3019" s="68"/>
      <c r="F3019" s="59"/>
      <c r="G3019" s="63" t="s">
        <v>12460</v>
      </c>
      <c r="H3019" s="59">
        <v>9.99</v>
      </c>
    </row>
    <row r="3020" spans="1:8" ht="112.5" customHeight="1" x14ac:dyDescent="0.15">
      <c r="A3020" s="69">
        <v>3842</v>
      </c>
      <c r="B3020" s="32" t="s">
        <v>3822</v>
      </c>
      <c r="C3020" s="32" t="s">
        <v>12461</v>
      </c>
      <c r="D3020" s="56" t="s">
        <v>12462</v>
      </c>
      <c r="E3020" s="68"/>
      <c r="F3020" s="59"/>
      <c r="G3020" s="64" t="s">
        <v>12463</v>
      </c>
      <c r="H3020" s="59">
        <v>10</v>
      </c>
    </row>
    <row r="3021" spans="1:8" ht="112.5" customHeight="1" x14ac:dyDescent="0.15">
      <c r="A3021" s="69">
        <v>3730</v>
      </c>
      <c r="B3021" s="32" t="s">
        <v>3526</v>
      </c>
      <c r="C3021" s="32" t="s">
        <v>12464</v>
      </c>
      <c r="D3021" s="56" t="s">
        <v>12465</v>
      </c>
      <c r="E3021" s="68"/>
      <c r="F3021" s="59"/>
      <c r="G3021" s="63" t="s">
        <v>12466</v>
      </c>
      <c r="H3021" s="59">
        <v>9.9710000000000001</v>
      </c>
    </row>
    <row r="3022" spans="1:8" ht="112.5" customHeight="1" x14ac:dyDescent="0.15">
      <c r="A3022" s="69">
        <v>236</v>
      </c>
      <c r="B3022" s="32" t="s">
        <v>3526</v>
      </c>
      <c r="C3022" s="32" t="s">
        <v>12467</v>
      </c>
      <c r="D3022" s="56" t="s">
        <v>12468</v>
      </c>
      <c r="E3022" s="68"/>
      <c r="F3022" s="59"/>
      <c r="G3022" s="64" t="s">
        <v>12469</v>
      </c>
      <c r="H3022" s="59">
        <v>9.9949999999999992</v>
      </c>
    </row>
    <row r="3023" spans="1:8" ht="112.5" customHeight="1" x14ac:dyDescent="0.15">
      <c r="A3023" s="67">
        <v>243</v>
      </c>
      <c r="B3023" s="33" t="s">
        <v>12428</v>
      </c>
      <c r="C3023" s="33" t="s">
        <v>12470</v>
      </c>
      <c r="D3023" s="61" t="s">
        <v>12471</v>
      </c>
      <c r="E3023" s="68"/>
      <c r="F3023" s="59"/>
      <c r="G3023" s="63" t="s">
        <v>12472</v>
      </c>
      <c r="H3023" s="59">
        <v>10</v>
      </c>
    </row>
    <row r="3024" spans="1:8" ht="112.5" customHeight="1" x14ac:dyDescent="0.15">
      <c r="A3024" s="67">
        <v>241</v>
      </c>
      <c r="B3024" s="33" t="s">
        <v>12428</v>
      </c>
      <c r="C3024" s="33" t="s">
        <v>12473</v>
      </c>
      <c r="D3024" s="61" t="s">
        <v>12474</v>
      </c>
      <c r="E3024" s="68"/>
      <c r="F3024" s="59"/>
      <c r="G3024" s="64" t="s">
        <v>12475</v>
      </c>
      <c r="H3024" s="59">
        <v>9.9779999999999998</v>
      </c>
    </row>
    <row r="3025" spans="1:8" ht="112.5" customHeight="1" x14ac:dyDescent="0.15">
      <c r="A3025" s="69">
        <v>234</v>
      </c>
      <c r="B3025" s="32" t="s">
        <v>3818</v>
      </c>
      <c r="C3025" s="32" t="s">
        <v>12476</v>
      </c>
      <c r="D3025" s="56" t="s">
        <v>12477</v>
      </c>
      <c r="E3025" s="68"/>
      <c r="F3025" s="59"/>
      <c r="G3025" s="63" t="s">
        <v>12478</v>
      </c>
      <c r="H3025" s="59">
        <v>9.9689999999999994</v>
      </c>
    </row>
    <row r="3026" spans="1:8" ht="112.5" customHeight="1" x14ac:dyDescent="0.15">
      <c r="A3026" s="69">
        <v>3692</v>
      </c>
      <c r="B3026" s="32" t="s">
        <v>3513</v>
      </c>
      <c r="C3026" s="32" t="s">
        <v>12479</v>
      </c>
      <c r="D3026" s="56" t="s">
        <v>12480</v>
      </c>
      <c r="E3026" s="68"/>
      <c r="F3026" s="59"/>
      <c r="G3026" s="64" t="s">
        <v>12481</v>
      </c>
      <c r="H3026" s="59">
        <v>10</v>
      </c>
    </row>
    <row r="3027" spans="1:8" ht="112.5" customHeight="1" x14ac:dyDescent="0.15">
      <c r="A3027" s="67">
        <v>235</v>
      </c>
      <c r="B3027" s="33" t="s">
        <v>3801</v>
      </c>
      <c r="C3027" s="33" t="s">
        <v>12482</v>
      </c>
      <c r="D3027" s="61" t="s">
        <v>12483</v>
      </c>
      <c r="E3027" s="68"/>
      <c r="F3027" s="59"/>
      <c r="G3027" s="63" t="s">
        <v>12484</v>
      </c>
      <c r="H3027" s="59">
        <v>10</v>
      </c>
    </row>
    <row r="3028" spans="1:8" ht="112.5" customHeight="1" x14ac:dyDescent="0.15">
      <c r="A3028" s="67">
        <v>3885</v>
      </c>
      <c r="B3028" s="33" t="s">
        <v>3822</v>
      </c>
      <c r="C3028" s="33" t="s">
        <v>12485</v>
      </c>
      <c r="D3028" s="61" t="s">
        <v>12486</v>
      </c>
      <c r="E3028" s="68"/>
      <c r="F3028" s="59"/>
      <c r="G3028" s="64" t="s">
        <v>12487</v>
      </c>
      <c r="H3028" s="59">
        <v>9.9320000000000004</v>
      </c>
    </row>
    <row r="3029" spans="1:8" ht="112.5" customHeight="1" x14ac:dyDescent="0.15">
      <c r="A3029" s="69">
        <v>246</v>
      </c>
      <c r="B3029" s="32" t="s">
        <v>3599</v>
      </c>
      <c r="C3029" s="32" t="s">
        <v>12488</v>
      </c>
      <c r="D3029" s="56" t="s">
        <v>12489</v>
      </c>
      <c r="E3029" s="68"/>
      <c r="F3029" s="59"/>
      <c r="G3029" s="63" t="s">
        <v>12490</v>
      </c>
      <c r="H3029" s="59">
        <v>9.9990000000000006</v>
      </c>
    </row>
    <row r="3030" spans="1:8" ht="112.5" customHeight="1" x14ac:dyDescent="0.15">
      <c r="A3030" s="67">
        <v>3663</v>
      </c>
      <c r="B3030" s="33" t="s">
        <v>12428</v>
      </c>
      <c r="C3030" s="33" t="s">
        <v>12491</v>
      </c>
      <c r="D3030" s="61" t="s">
        <v>12492</v>
      </c>
      <c r="E3030" s="68"/>
      <c r="F3030" s="59"/>
      <c r="G3030" s="64" t="s">
        <v>12493</v>
      </c>
      <c r="H3030" s="59">
        <v>9.9990000000000006</v>
      </c>
    </row>
    <row r="3031" spans="1:8" ht="112.5" customHeight="1" x14ac:dyDescent="0.15">
      <c r="A3031" s="69">
        <v>3096</v>
      </c>
      <c r="B3031" s="32" t="s">
        <v>3818</v>
      </c>
      <c r="C3031" s="32" t="s">
        <v>12494</v>
      </c>
      <c r="D3031" s="56" t="s">
        <v>12495</v>
      </c>
      <c r="E3031" s="68"/>
      <c r="F3031" s="59"/>
      <c r="G3031" s="63" t="s">
        <v>12496</v>
      </c>
      <c r="H3031" s="59">
        <v>9.9960000000000004</v>
      </c>
    </row>
    <row r="3032" spans="1:8" ht="112.5" customHeight="1" x14ac:dyDescent="0.15">
      <c r="A3032" s="69">
        <v>3680</v>
      </c>
      <c r="B3032" s="32" t="s">
        <v>3526</v>
      </c>
      <c r="C3032" s="32" t="s">
        <v>12497</v>
      </c>
      <c r="D3032" s="56" t="s">
        <v>12498</v>
      </c>
      <c r="E3032" s="68"/>
      <c r="F3032" s="59"/>
      <c r="G3032" s="64" t="s">
        <v>12499</v>
      </c>
      <c r="H3032" s="59">
        <v>9.9979999999999993</v>
      </c>
    </row>
    <row r="3033" spans="1:8" ht="112.5" customHeight="1" x14ac:dyDescent="0.15">
      <c r="A3033" s="67">
        <v>3845</v>
      </c>
      <c r="B3033" s="33" t="s">
        <v>3822</v>
      </c>
      <c r="C3033" s="33" t="s">
        <v>12500</v>
      </c>
      <c r="D3033" s="61" t="s">
        <v>12501</v>
      </c>
      <c r="E3033" s="68"/>
      <c r="F3033" s="59"/>
      <c r="G3033" s="63" t="s">
        <v>12502</v>
      </c>
      <c r="H3033" s="59">
        <v>10</v>
      </c>
    </row>
    <row r="3034" spans="1:8" ht="112.5" customHeight="1" x14ac:dyDescent="0.15">
      <c r="A3034" s="67">
        <v>3965</v>
      </c>
      <c r="B3034" s="33" t="s">
        <v>3822</v>
      </c>
      <c r="C3034" s="33" t="s">
        <v>12503</v>
      </c>
      <c r="D3034" s="61" t="s">
        <v>12504</v>
      </c>
      <c r="E3034" s="68"/>
      <c r="F3034" s="59"/>
      <c r="G3034" s="64" t="s">
        <v>12505</v>
      </c>
      <c r="H3034" s="59">
        <v>9.9969999999999999</v>
      </c>
    </row>
    <row r="3035" spans="1:8" ht="112.5" customHeight="1" x14ac:dyDescent="0.15">
      <c r="A3035" s="67">
        <v>3521</v>
      </c>
      <c r="B3035" s="33" t="s">
        <v>12428</v>
      </c>
      <c r="C3035" s="33" t="s">
        <v>12506</v>
      </c>
      <c r="D3035" s="61" t="s">
        <v>12507</v>
      </c>
      <c r="E3035" s="68"/>
      <c r="F3035" s="59"/>
      <c r="G3035" s="63" t="s">
        <v>4745</v>
      </c>
      <c r="H3035" s="59">
        <v>9.9979999999999993</v>
      </c>
    </row>
    <row r="3036" spans="1:8" ht="112.5" customHeight="1" x14ac:dyDescent="0.15">
      <c r="A3036" s="67">
        <v>3373</v>
      </c>
      <c r="B3036" s="33" t="s">
        <v>3818</v>
      </c>
      <c r="C3036" s="33" t="s">
        <v>12508</v>
      </c>
      <c r="D3036" s="61" t="s">
        <v>12509</v>
      </c>
      <c r="E3036" s="68"/>
      <c r="F3036" s="59"/>
      <c r="G3036" s="64" t="s">
        <v>12510</v>
      </c>
      <c r="H3036" s="59">
        <v>10</v>
      </c>
    </row>
    <row r="3037" spans="1:8" ht="112.5" customHeight="1" x14ac:dyDescent="0.15">
      <c r="A3037" s="69">
        <v>3218</v>
      </c>
      <c r="B3037" s="32" t="s">
        <v>3818</v>
      </c>
      <c r="C3037" s="32" t="s">
        <v>12511</v>
      </c>
      <c r="D3037" s="56" t="s">
        <v>12512</v>
      </c>
      <c r="E3037" s="68"/>
      <c r="F3037" s="59"/>
      <c r="G3037" s="63" t="s">
        <v>12513</v>
      </c>
      <c r="H3037" s="59">
        <v>10</v>
      </c>
    </row>
    <row r="3038" spans="1:8" ht="112.5" customHeight="1" x14ac:dyDescent="0.15">
      <c r="A3038" s="67">
        <v>3537</v>
      </c>
      <c r="B3038" s="33" t="s">
        <v>3814</v>
      </c>
      <c r="C3038" s="33" t="s">
        <v>12514</v>
      </c>
      <c r="D3038" s="61" t="s">
        <v>12515</v>
      </c>
      <c r="E3038" s="68"/>
      <c r="F3038" s="59"/>
      <c r="G3038" s="64" t="s">
        <v>12516</v>
      </c>
      <c r="H3038" s="59">
        <v>10</v>
      </c>
    </row>
    <row r="3039" spans="1:8" ht="112.5" customHeight="1" x14ac:dyDescent="0.15">
      <c r="A3039" s="69">
        <v>3476</v>
      </c>
      <c r="B3039" s="32" t="s">
        <v>3822</v>
      </c>
      <c r="C3039" s="32" t="s">
        <v>12517</v>
      </c>
      <c r="D3039" s="56" t="s">
        <v>12518</v>
      </c>
      <c r="E3039" s="68"/>
      <c r="F3039" s="59"/>
      <c r="G3039" s="63" t="s">
        <v>12519</v>
      </c>
      <c r="H3039" s="59">
        <v>9.9990000000000006</v>
      </c>
    </row>
    <row r="3040" spans="1:8" ht="112.5" customHeight="1" x14ac:dyDescent="0.15">
      <c r="A3040" s="69">
        <v>3740</v>
      </c>
      <c r="B3040" s="32" t="s">
        <v>12428</v>
      </c>
      <c r="C3040" s="32" t="s">
        <v>12520</v>
      </c>
      <c r="D3040" s="56" t="s">
        <v>12521</v>
      </c>
      <c r="E3040" s="68"/>
      <c r="F3040" s="59"/>
      <c r="G3040" s="64" t="s">
        <v>12522</v>
      </c>
      <c r="H3040" s="59">
        <v>10</v>
      </c>
    </row>
    <row r="3041" spans="1:8" ht="112.5" customHeight="1" x14ac:dyDescent="0.15">
      <c r="A3041" s="69">
        <v>3716</v>
      </c>
      <c r="B3041" s="32" t="s">
        <v>3513</v>
      </c>
      <c r="C3041" s="32" t="s">
        <v>12523</v>
      </c>
      <c r="D3041" s="56" t="s">
        <v>12524</v>
      </c>
      <c r="E3041" s="68"/>
      <c r="F3041" s="59"/>
      <c r="G3041" s="63" t="s">
        <v>12525</v>
      </c>
      <c r="H3041" s="59">
        <v>10</v>
      </c>
    </row>
    <row r="3042" spans="1:8" ht="112.5" customHeight="1" x14ac:dyDescent="0.15">
      <c r="A3042" s="69">
        <v>3948</v>
      </c>
      <c r="B3042" s="32" t="s">
        <v>3822</v>
      </c>
      <c r="C3042" s="32" t="s">
        <v>12526</v>
      </c>
      <c r="D3042" s="56" t="s">
        <v>12527</v>
      </c>
      <c r="E3042" s="68"/>
      <c r="F3042" s="59"/>
      <c r="G3042" s="64" t="s">
        <v>12528</v>
      </c>
      <c r="H3042" s="59">
        <v>10</v>
      </c>
    </row>
    <row r="3043" spans="1:8" ht="112.5" customHeight="1" x14ac:dyDescent="0.15">
      <c r="A3043" s="67">
        <v>3415</v>
      </c>
      <c r="B3043" s="33" t="s">
        <v>3876</v>
      </c>
      <c r="C3043" s="33" t="s">
        <v>12529</v>
      </c>
      <c r="D3043" s="61" t="s">
        <v>12530</v>
      </c>
      <c r="E3043" s="68"/>
      <c r="F3043" s="59"/>
      <c r="G3043" s="63" t="s">
        <v>12531</v>
      </c>
      <c r="H3043" s="59">
        <v>9.9990000000000006</v>
      </c>
    </row>
    <row r="3044" spans="1:8" ht="112.5" customHeight="1" x14ac:dyDescent="0.15">
      <c r="A3044" s="67">
        <v>3605</v>
      </c>
      <c r="B3044" s="33" t="s">
        <v>3670</v>
      </c>
      <c r="C3044" s="33" t="s">
        <v>12532</v>
      </c>
      <c r="D3044" s="61" t="s">
        <v>12533</v>
      </c>
      <c r="E3044" s="68"/>
      <c r="F3044" s="59"/>
      <c r="G3044" s="64" t="s">
        <v>12534</v>
      </c>
      <c r="H3044" s="59">
        <v>10</v>
      </c>
    </row>
    <row r="3045" spans="1:8" ht="112.5" customHeight="1" x14ac:dyDescent="0.15">
      <c r="A3045" s="69">
        <v>3578</v>
      </c>
      <c r="B3045" s="32" t="s">
        <v>3526</v>
      </c>
      <c r="C3045" s="32" t="s">
        <v>12535</v>
      </c>
      <c r="D3045" s="56" t="s">
        <v>12536</v>
      </c>
      <c r="E3045" s="68"/>
      <c r="F3045" s="59"/>
      <c r="G3045" s="63" t="s">
        <v>4742</v>
      </c>
      <c r="H3045" s="59">
        <v>10</v>
      </c>
    </row>
    <row r="3046" spans="1:8" ht="112.5" customHeight="1" x14ac:dyDescent="0.15">
      <c r="A3046" s="69">
        <v>4006</v>
      </c>
      <c r="B3046" s="32" t="s">
        <v>3822</v>
      </c>
      <c r="C3046" s="32" t="s">
        <v>12537</v>
      </c>
      <c r="D3046" s="56" t="s">
        <v>12538</v>
      </c>
      <c r="E3046" s="68"/>
      <c r="F3046" s="59"/>
      <c r="G3046" s="64" t="s">
        <v>4424</v>
      </c>
      <c r="H3046" s="59">
        <v>9.9870000000000001</v>
      </c>
    </row>
    <row r="3047" spans="1:8" ht="112.5" customHeight="1" x14ac:dyDescent="0.15">
      <c r="A3047" s="67">
        <v>3849</v>
      </c>
      <c r="B3047" s="33" t="s">
        <v>3513</v>
      </c>
      <c r="C3047" s="33" t="s">
        <v>12539</v>
      </c>
      <c r="D3047" s="61" t="s">
        <v>12540</v>
      </c>
      <c r="E3047" s="68"/>
      <c r="F3047" s="59"/>
      <c r="G3047" s="63" t="s">
        <v>12541</v>
      </c>
      <c r="H3047" s="59">
        <v>9.9979999999999993</v>
      </c>
    </row>
    <row r="3048" spans="1:8" ht="112.5" customHeight="1" x14ac:dyDescent="0.15">
      <c r="A3048" s="67">
        <v>3737</v>
      </c>
      <c r="B3048" s="33" t="s">
        <v>12428</v>
      </c>
      <c r="C3048" s="33" t="s">
        <v>12542</v>
      </c>
      <c r="D3048" s="61" t="s">
        <v>12543</v>
      </c>
      <c r="E3048" s="68"/>
      <c r="F3048" s="59"/>
      <c r="G3048" s="64" t="s">
        <v>12544</v>
      </c>
      <c r="H3048" s="59">
        <v>10</v>
      </c>
    </row>
    <row r="3049" spans="1:8" ht="112.5" customHeight="1" x14ac:dyDescent="0.15">
      <c r="A3049" s="67">
        <v>3905</v>
      </c>
      <c r="B3049" s="33" t="s">
        <v>12428</v>
      </c>
      <c r="C3049" s="33" t="s">
        <v>12545</v>
      </c>
      <c r="D3049" s="61" t="s">
        <v>12546</v>
      </c>
      <c r="E3049" s="68"/>
      <c r="F3049" s="59"/>
      <c r="G3049" s="63" t="s">
        <v>12547</v>
      </c>
      <c r="H3049" s="59">
        <v>10</v>
      </c>
    </row>
    <row r="3050" spans="1:8" ht="112.5" customHeight="1" x14ac:dyDescent="0.15">
      <c r="A3050" s="69">
        <v>3536</v>
      </c>
      <c r="B3050" s="32" t="s">
        <v>3822</v>
      </c>
      <c r="C3050" s="32" t="s">
        <v>12548</v>
      </c>
      <c r="D3050" s="56" t="s">
        <v>12549</v>
      </c>
      <c r="E3050" s="68"/>
      <c r="F3050" s="59"/>
      <c r="G3050" s="64" t="s">
        <v>4739</v>
      </c>
      <c r="H3050" s="59">
        <v>9.9990000000000006</v>
      </c>
    </row>
    <row r="3051" spans="1:8" ht="112.5" customHeight="1" x14ac:dyDescent="0.15">
      <c r="A3051" s="67">
        <v>3535</v>
      </c>
      <c r="B3051" s="33" t="s">
        <v>3822</v>
      </c>
      <c r="C3051" s="33" t="s">
        <v>12550</v>
      </c>
      <c r="D3051" s="61" t="s">
        <v>12551</v>
      </c>
      <c r="E3051" s="68"/>
      <c r="F3051" s="59"/>
      <c r="G3051" s="63" t="s">
        <v>12552</v>
      </c>
      <c r="H3051" s="59">
        <v>10</v>
      </c>
    </row>
    <row r="3052" spans="1:8" ht="112.5" customHeight="1" x14ac:dyDescent="0.15">
      <c r="A3052" s="69">
        <v>3728</v>
      </c>
      <c r="B3052" s="32" t="s">
        <v>3556</v>
      </c>
      <c r="C3052" s="32" t="s">
        <v>12553</v>
      </c>
      <c r="D3052" s="56" t="s">
        <v>12554</v>
      </c>
      <c r="E3052" s="68"/>
      <c r="F3052" s="59"/>
      <c r="G3052" s="64" t="s">
        <v>12555</v>
      </c>
      <c r="H3052" s="59">
        <v>10</v>
      </c>
    </row>
    <row r="3053" spans="1:8" ht="112.5" customHeight="1" x14ac:dyDescent="0.15">
      <c r="A3053" s="69">
        <v>3642</v>
      </c>
      <c r="B3053" s="32" t="s">
        <v>3513</v>
      </c>
      <c r="C3053" s="32" t="s">
        <v>12556</v>
      </c>
      <c r="D3053" s="56" t="s">
        <v>12557</v>
      </c>
      <c r="E3053" s="68"/>
      <c r="F3053" s="59"/>
      <c r="G3053" s="63" t="s">
        <v>12558</v>
      </c>
      <c r="H3053" s="59">
        <v>10</v>
      </c>
    </row>
    <row r="3054" spans="1:8" ht="112.5" customHeight="1" x14ac:dyDescent="0.15">
      <c r="A3054" s="69">
        <v>3592</v>
      </c>
      <c r="B3054" s="32" t="s">
        <v>3549</v>
      </c>
      <c r="C3054" s="32" t="s">
        <v>12559</v>
      </c>
      <c r="D3054" s="56" t="s">
        <v>12560</v>
      </c>
      <c r="E3054" s="68"/>
      <c r="F3054" s="59"/>
      <c r="G3054" s="64" t="s">
        <v>12561</v>
      </c>
      <c r="H3054" s="59">
        <v>10</v>
      </c>
    </row>
    <row r="3055" spans="1:8" ht="112.5" customHeight="1" x14ac:dyDescent="0.15">
      <c r="A3055" s="67">
        <v>4037</v>
      </c>
      <c r="B3055" s="33" t="s">
        <v>3822</v>
      </c>
      <c r="C3055" s="33" t="s">
        <v>12562</v>
      </c>
      <c r="D3055" s="61" t="s">
        <v>12563</v>
      </c>
      <c r="E3055" s="68"/>
      <c r="F3055" s="59"/>
      <c r="G3055" s="63" t="s">
        <v>12564</v>
      </c>
      <c r="H3055" s="59">
        <v>10</v>
      </c>
    </row>
    <row r="3056" spans="1:8" ht="112.5" customHeight="1" x14ac:dyDescent="0.15">
      <c r="A3056" s="69">
        <v>3960</v>
      </c>
      <c r="B3056" s="32" t="s">
        <v>3526</v>
      </c>
      <c r="C3056" s="32" t="s">
        <v>12565</v>
      </c>
      <c r="D3056" s="56" t="s">
        <v>12566</v>
      </c>
      <c r="E3056" s="68"/>
      <c r="F3056" s="59"/>
      <c r="G3056" s="64" t="s">
        <v>12567</v>
      </c>
      <c r="H3056" s="59">
        <v>10</v>
      </c>
    </row>
    <row r="3057" spans="1:8" ht="112.5" customHeight="1" x14ac:dyDescent="0.15">
      <c r="A3057" s="69">
        <v>3490</v>
      </c>
      <c r="B3057" s="32" t="s">
        <v>12428</v>
      </c>
      <c r="C3057" s="32" t="s">
        <v>12568</v>
      </c>
      <c r="D3057" s="56" t="s">
        <v>12569</v>
      </c>
      <c r="E3057" s="68"/>
      <c r="F3057" s="59"/>
      <c r="G3057" s="63" t="s">
        <v>12570</v>
      </c>
      <c r="H3057" s="59">
        <v>10</v>
      </c>
    </row>
    <row r="3058" spans="1:8" ht="112.5" customHeight="1" x14ac:dyDescent="0.15">
      <c r="A3058" s="69">
        <v>3760</v>
      </c>
      <c r="B3058" s="32" t="s">
        <v>3876</v>
      </c>
      <c r="C3058" s="32" t="s">
        <v>12571</v>
      </c>
      <c r="D3058" s="56" t="s">
        <v>12572</v>
      </c>
      <c r="E3058" s="68"/>
      <c r="F3058" s="59"/>
      <c r="G3058" s="64" t="s">
        <v>12573</v>
      </c>
      <c r="H3058" s="59">
        <v>9.9960000000000004</v>
      </c>
    </row>
    <row r="3059" spans="1:8" ht="112.5" customHeight="1" x14ac:dyDescent="0.15">
      <c r="A3059" s="67">
        <v>3625</v>
      </c>
      <c r="B3059" s="33" t="s">
        <v>3814</v>
      </c>
      <c r="C3059" s="33" t="s">
        <v>12574</v>
      </c>
      <c r="D3059" s="61" t="s">
        <v>12575</v>
      </c>
      <c r="E3059" s="68"/>
      <c r="F3059" s="59"/>
      <c r="G3059" s="63" t="s">
        <v>12576</v>
      </c>
      <c r="H3059" s="59">
        <v>10</v>
      </c>
    </row>
    <row r="3060" spans="1:8" ht="112.5" customHeight="1" x14ac:dyDescent="0.15">
      <c r="A3060" s="69">
        <v>3792</v>
      </c>
      <c r="B3060" s="32" t="s">
        <v>3814</v>
      </c>
      <c r="C3060" s="32" t="s">
        <v>12577</v>
      </c>
      <c r="D3060" s="56" t="s">
        <v>12578</v>
      </c>
      <c r="E3060" s="68"/>
      <c r="F3060" s="59"/>
      <c r="G3060" s="64" t="s">
        <v>12579</v>
      </c>
      <c r="H3060" s="59">
        <v>9.9890000000000008</v>
      </c>
    </row>
    <row r="3061" spans="1:8" ht="112.5" customHeight="1" x14ac:dyDescent="0.15">
      <c r="A3061" s="69">
        <v>3702</v>
      </c>
      <c r="B3061" s="32" t="s">
        <v>3822</v>
      </c>
      <c r="C3061" s="32" t="s">
        <v>12580</v>
      </c>
      <c r="D3061" s="56" t="s">
        <v>12581</v>
      </c>
      <c r="E3061" s="68"/>
      <c r="F3061" s="59"/>
      <c r="G3061" s="63" t="s">
        <v>12582</v>
      </c>
      <c r="H3061" s="59">
        <v>9.9990000000000006</v>
      </c>
    </row>
    <row r="3062" spans="1:8" ht="112.5" customHeight="1" x14ac:dyDescent="0.15">
      <c r="A3062" s="67">
        <v>3649</v>
      </c>
      <c r="B3062" s="33" t="s">
        <v>3822</v>
      </c>
      <c r="C3062" s="33" t="s">
        <v>12583</v>
      </c>
      <c r="D3062" s="61" t="s">
        <v>12584</v>
      </c>
      <c r="E3062" s="68"/>
      <c r="F3062" s="59"/>
      <c r="G3062" s="64" t="s">
        <v>12585</v>
      </c>
      <c r="H3062" s="59">
        <v>9.9670000000000005</v>
      </c>
    </row>
    <row r="3063" spans="1:8" ht="112.5" customHeight="1" x14ac:dyDescent="0.15">
      <c r="A3063" s="67">
        <v>3899</v>
      </c>
      <c r="B3063" s="33" t="s">
        <v>3556</v>
      </c>
      <c r="C3063" s="33" t="s">
        <v>12586</v>
      </c>
      <c r="D3063" s="61" t="s">
        <v>12587</v>
      </c>
      <c r="E3063" s="68"/>
      <c r="F3063" s="59"/>
      <c r="G3063" s="63" t="s">
        <v>12588</v>
      </c>
      <c r="H3063" s="59">
        <v>9.9979999999999993</v>
      </c>
    </row>
    <row r="3064" spans="1:8" ht="112.5" customHeight="1" x14ac:dyDescent="0.15">
      <c r="A3064" s="69">
        <v>3704</v>
      </c>
      <c r="B3064" s="32" t="s">
        <v>3492</v>
      </c>
      <c r="C3064" s="32" t="s">
        <v>12589</v>
      </c>
      <c r="D3064" s="56" t="s">
        <v>12590</v>
      </c>
      <c r="E3064" s="68"/>
      <c r="F3064" s="59"/>
      <c r="G3064" s="64" t="s">
        <v>12591</v>
      </c>
      <c r="H3064" s="59">
        <v>10</v>
      </c>
    </row>
    <row r="3065" spans="1:8" ht="112.5" customHeight="1" x14ac:dyDescent="0.15">
      <c r="A3065" s="67">
        <v>3633</v>
      </c>
      <c r="B3065" s="33" t="s">
        <v>3822</v>
      </c>
      <c r="C3065" s="33" t="s">
        <v>12592</v>
      </c>
      <c r="D3065" s="61" t="s">
        <v>12593</v>
      </c>
      <c r="E3065" s="68"/>
      <c r="F3065" s="59"/>
      <c r="G3065" s="63" t="s">
        <v>12594</v>
      </c>
      <c r="H3065" s="59">
        <v>10</v>
      </c>
    </row>
    <row r="3066" spans="1:8" ht="112.5" customHeight="1" x14ac:dyDescent="0.15">
      <c r="A3066" s="69">
        <v>3474</v>
      </c>
      <c r="B3066" s="32" t="s">
        <v>3556</v>
      </c>
      <c r="C3066" s="32" t="s">
        <v>12595</v>
      </c>
      <c r="D3066" s="56" t="s">
        <v>12596</v>
      </c>
      <c r="E3066" s="68"/>
      <c r="F3066" s="59"/>
      <c r="G3066" s="64" t="s">
        <v>12597</v>
      </c>
      <c r="H3066" s="59">
        <v>10</v>
      </c>
    </row>
    <row r="3067" spans="1:8" ht="112.5" customHeight="1" x14ac:dyDescent="0.15">
      <c r="A3067" s="67">
        <v>3753</v>
      </c>
      <c r="B3067" s="33" t="s">
        <v>3630</v>
      </c>
      <c r="C3067" s="33" t="s">
        <v>12598</v>
      </c>
      <c r="D3067" s="61" t="s">
        <v>12599</v>
      </c>
      <c r="E3067" s="68"/>
      <c r="F3067" s="59"/>
      <c r="G3067" s="63" t="s">
        <v>12600</v>
      </c>
      <c r="H3067" s="59">
        <v>9.9979999999999993</v>
      </c>
    </row>
    <row r="3068" spans="1:8" ht="112.5" customHeight="1" x14ac:dyDescent="0.15">
      <c r="A3068" s="67">
        <v>3695</v>
      </c>
      <c r="B3068" s="33" t="s">
        <v>3814</v>
      </c>
      <c r="C3068" s="33" t="s">
        <v>12601</v>
      </c>
      <c r="D3068" s="61" t="s">
        <v>12602</v>
      </c>
      <c r="E3068" s="68"/>
      <c r="F3068" s="59"/>
      <c r="G3068" s="64" t="s">
        <v>12603</v>
      </c>
      <c r="H3068" s="59">
        <v>9.9939999999999998</v>
      </c>
    </row>
    <row r="3069" spans="1:8" ht="112.5" customHeight="1" x14ac:dyDescent="0.15">
      <c r="A3069" s="69">
        <v>3664</v>
      </c>
      <c r="B3069" s="32" t="s">
        <v>12428</v>
      </c>
      <c r="C3069" s="32" t="s">
        <v>12604</v>
      </c>
      <c r="D3069" s="56" t="s">
        <v>12605</v>
      </c>
      <c r="E3069" s="68"/>
      <c r="F3069" s="59"/>
      <c r="G3069" s="63" t="s">
        <v>12606</v>
      </c>
      <c r="H3069" s="59">
        <v>10</v>
      </c>
    </row>
    <row r="3070" spans="1:8" ht="112.5" customHeight="1" x14ac:dyDescent="0.15">
      <c r="A3070" s="67">
        <v>3801</v>
      </c>
      <c r="B3070" s="33" t="s">
        <v>12428</v>
      </c>
      <c r="C3070" s="33" t="s">
        <v>12607</v>
      </c>
      <c r="D3070" s="61" t="s">
        <v>12608</v>
      </c>
      <c r="E3070" s="68"/>
      <c r="F3070" s="59"/>
      <c r="G3070" s="64" t="s">
        <v>12609</v>
      </c>
      <c r="H3070" s="59">
        <v>9.99</v>
      </c>
    </row>
    <row r="3071" spans="1:8" ht="112.5" customHeight="1" x14ac:dyDescent="0.15">
      <c r="A3071" s="67">
        <v>3975</v>
      </c>
      <c r="B3071" s="33" t="s">
        <v>3822</v>
      </c>
      <c r="C3071" s="33" t="s">
        <v>12610</v>
      </c>
      <c r="D3071" s="61" t="s">
        <v>12611</v>
      </c>
      <c r="E3071" s="68"/>
      <c r="F3071" s="59"/>
      <c r="G3071" s="63" t="s">
        <v>12612</v>
      </c>
      <c r="H3071" s="59">
        <v>9.9979999999999993</v>
      </c>
    </row>
    <row r="3072" spans="1:8" ht="112.5" customHeight="1" x14ac:dyDescent="0.15">
      <c r="A3072" s="69">
        <v>3862</v>
      </c>
      <c r="B3072" s="32" t="s">
        <v>12428</v>
      </c>
      <c r="C3072" s="32" t="s">
        <v>12613</v>
      </c>
      <c r="D3072" s="56" t="s">
        <v>12614</v>
      </c>
      <c r="E3072" s="68"/>
      <c r="F3072" s="59"/>
      <c r="G3072" s="64" t="s">
        <v>12615</v>
      </c>
      <c r="H3072" s="59">
        <v>9.9979999999999993</v>
      </c>
    </row>
    <row r="3073" spans="1:8" ht="112.5" customHeight="1" x14ac:dyDescent="0.15">
      <c r="A3073" s="67">
        <v>3707</v>
      </c>
      <c r="B3073" s="33" t="s">
        <v>3533</v>
      </c>
      <c r="C3073" s="33" t="s">
        <v>12616</v>
      </c>
      <c r="D3073" s="61" t="s">
        <v>12617</v>
      </c>
      <c r="E3073" s="68"/>
      <c r="F3073" s="59"/>
      <c r="G3073" s="63" t="s">
        <v>12618</v>
      </c>
      <c r="H3073" s="59">
        <v>9.9990000000000006</v>
      </c>
    </row>
    <row r="3074" spans="1:8" ht="112.5" customHeight="1" x14ac:dyDescent="0.15">
      <c r="A3074" s="67">
        <v>3655</v>
      </c>
      <c r="B3074" s="33" t="s">
        <v>3496</v>
      </c>
      <c r="C3074" s="33" t="s">
        <v>12619</v>
      </c>
      <c r="D3074" s="61" t="s">
        <v>12620</v>
      </c>
      <c r="E3074" s="68"/>
      <c r="F3074" s="59"/>
      <c r="G3074" s="64" t="s">
        <v>12621</v>
      </c>
      <c r="H3074" s="59">
        <v>9.9960000000000004</v>
      </c>
    </row>
    <row r="3075" spans="1:8" ht="112.5" customHeight="1" x14ac:dyDescent="0.15">
      <c r="A3075" s="67">
        <v>3935</v>
      </c>
      <c r="B3075" s="33" t="s">
        <v>3822</v>
      </c>
      <c r="C3075" s="33" t="s">
        <v>12622</v>
      </c>
      <c r="D3075" s="61" t="s">
        <v>12623</v>
      </c>
      <c r="E3075" s="68"/>
      <c r="F3075" s="59"/>
      <c r="G3075" s="63" t="s">
        <v>12624</v>
      </c>
      <c r="H3075" s="59">
        <v>9.9260000000000002</v>
      </c>
    </row>
    <row r="3076" spans="1:8" ht="112.5" customHeight="1" x14ac:dyDescent="0.15">
      <c r="A3076" s="67">
        <v>3475</v>
      </c>
      <c r="B3076" s="33" t="s">
        <v>3822</v>
      </c>
      <c r="C3076" s="33" t="s">
        <v>12625</v>
      </c>
      <c r="D3076" s="61" t="s">
        <v>12626</v>
      </c>
      <c r="E3076" s="68"/>
      <c r="F3076" s="59"/>
      <c r="G3076" s="64" t="s">
        <v>12627</v>
      </c>
      <c r="H3076" s="59">
        <v>9.9619999999999997</v>
      </c>
    </row>
    <row r="3077" spans="1:8" ht="112.5" customHeight="1" x14ac:dyDescent="0.15">
      <c r="A3077" s="69">
        <v>3624</v>
      </c>
      <c r="B3077" s="32" t="s">
        <v>3814</v>
      </c>
      <c r="C3077" s="32" t="s">
        <v>12628</v>
      </c>
      <c r="D3077" s="56" t="s">
        <v>12629</v>
      </c>
      <c r="E3077" s="68"/>
      <c r="F3077" s="59"/>
      <c r="G3077" s="63" t="s">
        <v>12630</v>
      </c>
      <c r="H3077" s="59">
        <v>9.9969999999999999</v>
      </c>
    </row>
    <row r="3078" spans="1:8" ht="112.5" customHeight="1" x14ac:dyDescent="0.15">
      <c r="A3078" s="67">
        <v>3511</v>
      </c>
      <c r="B3078" s="33" t="s">
        <v>12428</v>
      </c>
      <c r="C3078" s="33" t="s">
        <v>12631</v>
      </c>
      <c r="D3078" s="61" t="s">
        <v>12632</v>
      </c>
      <c r="E3078" s="68"/>
      <c r="F3078" s="59"/>
      <c r="G3078" s="64" t="s">
        <v>12633</v>
      </c>
      <c r="H3078" s="59">
        <v>9.9540000000000006</v>
      </c>
    </row>
    <row r="3079" spans="1:8" ht="112.5" customHeight="1" x14ac:dyDescent="0.15">
      <c r="A3079" s="69">
        <v>3510</v>
      </c>
      <c r="B3079" s="32" t="s">
        <v>12428</v>
      </c>
      <c r="C3079" s="32" t="s">
        <v>12634</v>
      </c>
      <c r="D3079" s="56" t="s">
        <v>12635</v>
      </c>
      <c r="E3079" s="68"/>
      <c r="F3079" s="59"/>
      <c r="G3079" s="63" t="s">
        <v>12636</v>
      </c>
      <c r="H3079" s="59">
        <v>9.9420000000000002</v>
      </c>
    </row>
    <row r="3080" spans="1:8" ht="112.5" customHeight="1" x14ac:dyDescent="0.15">
      <c r="A3080" s="67">
        <v>3479</v>
      </c>
      <c r="B3080" s="33" t="s">
        <v>12428</v>
      </c>
      <c r="C3080" s="33" t="s">
        <v>12637</v>
      </c>
      <c r="D3080" s="61" t="s">
        <v>12638</v>
      </c>
      <c r="E3080" s="68"/>
      <c r="F3080" s="59"/>
      <c r="G3080" s="64" t="s">
        <v>12639</v>
      </c>
      <c r="H3080" s="59">
        <v>0</v>
      </c>
    </row>
    <row r="3081" spans="1:8" ht="112.5" customHeight="1" x14ac:dyDescent="0.15">
      <c r="A3081" s="67">
        <v>4051</v>
      </c>
      <c r="B3081" s="33" t="s">
        <v>3822</v>
      </c>
      <c r="C3081" s="33" t="s">
        <v>12640</v>
      </c>
      <c r="D3081" s="61" t="s">
        <v>12641</v>
      </c>
      <c r="E3081" s="68"/>
      <c r="F3081" s="59"/>
      <c r="G3081" s="63" t="s">
        <v>12642</v>
      </c>
      <c r="H3081" s="59">
        <v>9.9930000000000003</v>
      </c>
    </row>
    <row r="3082" spans="1:8" ht="112.5" customHeight="1" x14ac:dyDescent="0.15">
      <c r="A3082" s="67">
        <v>3569</v>
      </c>
      <c r="B3082" s="33" t="s">
        <v>3822</v>
      </c>
      <c r="C3082" s="33" t="s">
        <v>12643</v>
      </c>
      <c r="D3082" s="61" t="s">
        <v>12644</v>
      </c>
      <c r="E3082" s="68"/>
      <c r="F3082" s="59"/>
      <c r="G3082" s="64" t="s">
        <v>12645</v>
      </c>
      <c r="H3082" s="59">
        <v>9.7989999999999995</v>
      </c>
    </row>
    <row r="3083" spans="1:8" ht="112.5" customHeight="1" x14ac:dyDescent="0.15">
      <c r="A3083" s="69">
        <v>3902</v>
      </c>
      <c r="B3083" s="32" t="s">
        <v>12428</v>
      </c>
      <c r="C3083" s="32" t="s">
        <v>12646</v>
      </c>
      <c r="D3083" s="56" t="s">
        <v>12647</v>
      </c>
      <c r="E3083" s="68"/>
      <c r="F3083" s="59"/>
      <c r="G3083" s="63" t="s">
        <v>12648</v>
      </c>
      <c r="H3083" s="59">
        <v>10</v>
      </c>
    </row>
    <row r="3084" spans="1:8" ht="112.5" customHeight="1" x14ac:dyDescent="0.15">
      <c r="A3084" s="69">
        <v>4038</v>
      </c>
      <c r="B3084" s="32" t="s">
        <v>3822</v>
      </c>
      <c r="C3084" s="32" t="s">
        <v>12649</v>
      </c>
      <c r="D3084" s="56" t="s">
        <v>12650</v>
      </c>
      <c r="E3084" s="68"/>
      <c r="F3084" s="59"/>
      <c r="G3084" s="64" t="s">
        <v>12651</v>
      </c>
      <c r="H3084" s="59">
        <v>10</v>
      </c>
    </row>
    <row r="3085" spans="1:8" ht="112.5" customHeight="1" x14ac:dyDescent="0.15">
      <c r="A3085" s="69">
        <v>4040</v>
      </c>
      <c r="B3085" s="32" t="s">
        <v>3509</v>
      </c>
      <c r="C3085" s="32" t="s">
        <v>12652</v>
      </c>
      <c r="D3085" s="56" t="s">
        <v>12653</v>
      </c>
      <c r="E3085" s="68"/>
      <c r="F3085" s="59"/>
      <c r="G3085" s="63" t="s">
        <v>12654</v>
      </c>
      <c r="H3085" s="59">
        <v>10</v>
      </c>
    </row>
    <row r="3086" spans="1:8" ht="112.5" customHeight="1" x14ac:dyDescent="0.15">
      <c r="A3086" s="69">
        <v>1108</v>
      </c>
      <c r="B3086" s="32" t="s">
        <v>3822</v>
      </c>
      <c r="C3086" s="32" t="s">
        <v>12655</v>
      </c>
      <c r="D3086" s="56" t="s">
        <v>12656</v>
      </c>
      <c r="E3086" s="68"/>
      <c r="F3086" s="59"/>
      <c r="G3086" s="64" t="s">
        <v>12657</v>
      </c>
      <c r="H3086" s="59">
        <v>9.9879999999999995</v>
      </c>
    </row>
    <row r="3087" spans="1:8" ht="112.5" customHeight="1" x14ac:dyDescent="0.15">
      <c r="A3087" s="69">
        <v>4036</v>
      </c>
      <c r="B3087" s="32" t="s">
        <v>3822</v>
      </c>
      <c r="C3087" s="32" t="s">
        <v>12658</v>
      </c>
      <c r="D3087" s="56" t="s">
        <v>12659</v>
      </c>
      <c r="E3087" s="68"/>
      <c r="F3087" s="59"/>
      <c r="G3087" s="63" t="s">
        <v>12660</v>
      </c>
      <c r="H3087" s="59">
        <v>9.9990000000000006</v>
      </c>
    </row>
    <row r="3088" spans="1:8" ht="112.5" customHeight="1" x14ac:dyDescent="0.15">
      <c r="A3088" s="67">
        <v>3095</v>
      </c>
      <c r="B3088" s="33" t="s">
        <v>3526</v>
      </c>
      <c r="C3088" s="33" t="s">
        <v>12661</v>
      </c>
      <c r="D3088" s="61" t="s">
        <v>12662</v>
      </c>
      <c r="E3088" s="68"/>
      <c r="F3088" s="59"/>
      <c r="G3088" s="64" t="s">
        <v>12663</v>
      </c>
      <c r="H3088" s="59">
        <v>9.9849999999999994</v>
      </c>
    </row>
    <row r="3089" spans="1:13" ht="112.5" customHeight="1" x14ac:dyDescent="0.15">
      <c r="A3089" s="67">
        <v>1237</v>
      </c>
      <c r="B3089" s="33" t="s">
        <v>3549</v>
      </c>
      <c r="C3089" s="33" t="s">
        <v>12664</v>
      </c>
      <c r="D3089" s="61" t="s">
        <v>12665</v>
      </c>
      <c r="E3089" s="68"/>
      <c r="F3089" s="59"/>
      <c r="G3089" s="63" t="s">
        <v>12666</v>
      </c>
      <c r="H3089" s="59">
        <v>9.8849999999999998</v>
      </c>
    </row>
    <row r="3090" spans="1:13" ht="112.5" customHeight="1" x14ac:dyDescent="0.15">
      <c r="A3090" s="69">
        <v>286</v>
      </c>
      <c r="B3090" s="32" t="s">
        <v>3492</v>
      </c>
      <c r="C3090" s="32" t="s">
        <v>12667</v>
      </c>
      <c r="D3090" s="56" t="s">
        <v>12668</v>
      </c>
      <c r="E3090" s="68"/>
      <c r="F3090" s="59"/>
      <c r="G3090" s="64" t="s">
        <v>12669</v>
      </c>
      <c r="H3090" s="59">
        <v>0</v>
      </c>
    </row>
    <row r="3091" spans="1:13" ht="112.5" customHeight="1" x14ac:dyDescent="0.15">
      <c r="A3091" s="67">
        <v>233</v>
      </c>
      <c r="B3091" s="33" t="s">
        <v>3818</v>
      </c>
      <c r="C3091" s="33" t="s">
        <v>12670</v>
      </c>
      <c r="D3091" s="61" t="s">
        <v>12671</v>
      </c>
      <c r="E3091" s="68"/>
      <c r="F3091" s="59"/>
      <c r="G3091" s="63" t="s">
        <v>12672</v>
      </c>
      <c r="H3091" s="59">
        <v>10</v>
      </c>
    </row>
    <row r="3092" spans="1:13" ht="112.5" customHeight="1" x14ac:dyDescent="0.15">
      <c r="A3092" s="69">
        <v>3790</v>
      </c>
      <c r="B3092" s="32" t="s">
        <v>3670</v>
      </c>
      <c r="C3092" s="32" t="s">
        <v>12673</v>
      </c>
      <c r="D3092" s="56" t="s">
        <v>12674</v>
      </c>
      <c r="E3092" s="68"/>
      <c r="F3092" s="59"/>
      <c r="G3092" s="64" t="s">
        <v>12675</v>
      </c>
      <c r="H3092" s="59">
        <v>9.9939999999999998</v>
      </c>
    </row>
    <row r="3093" spans="1:13" ht="112.5" customHeight="1" x14ac:dyDescent="0.15">
      <c r="A3093" s="67">
        <v>3555</v>
      </c>
      <c r="B3093" s="33" t="s">
        <v>12428</v>
      </c>
      <c r="C3093" s="33" t="s">
        <v>12676</v>
      </c>
      <c r="D3093" s="61" t="s">
        <v>12677</v>
      </c>
      <c r="E3093" s="68"/>
      <c r="F3093" s="59"/>
      <c r="G3093" s="63" t="s">
        <v>12678</v>
      </c>
      <c r="H3093" s="59">
        <v>10</v>
      </c>
    </row>
    <row r="3094" spans="1:13" ht="112.5" customHeight="1" x14ac:dyDescent="0.15">
      <c r="A3094" s="67">
        <v>4033</v>
      </c>
      <c r="B3094" s="33" t="s">
        <v>12428</v>
      </c>
      <c r="C3094" s="33" t="s">
        <v>12679</v>
      </c>
      <c r="D3094" s="61" t="s">
        <v>12680</v>
      </c>
      <c r="E3094" s="68"/>
      <c r="F3094" s="59"/>
      <c r="G3094" s="64" t="s">
        <v>12681</v>
      </c>
      <c r="H3094" s="59">
        <v>9.9990000000000006</v>
      </c>
    </row>
    <row r="3095" spans="1:13" ht="112.5" customHeight="1" x14ac:dyDescent="0.15">
      <c r="A3095" s="69">
        <v>3998</v>
      </c>
      <c r="B3095" s="32" t="s">
        <v>12428</v>
      </c>
      <c r="C3095" s="32" t="s">
        <v>12682</v>
      </c>
      <c r="D3095" s="56" t="s">
        <v>12683</v>
      </c>
      <c r="E3095" s="68"/>
      <c r="F3095" s="59"/>
      <c r="G3095" s="63" t="s">
        <v>12684</v>
      </c>
      <c r="H3095" s="59">
        <v>9.58</v>
      </c>
    </row>
    <row r="3096" spans="1:13" ht="112.5" customHeight="1" x14ac:dyDescent="0.15">
      <c r="A3096" s="69">
        <v>4058</v>
      </c>
      <c r="B3096" s="32" t="s">
        <v>3822</v>
      </c>
      <c r="C3096" s="32" t="s">
        <v>12685</v>
      </c>
      <c r="D3096" s="56" t="s">
        <v>12686</v>
      </c>
      <c r="E3096" s="68"/>
      <c r="F3096" s="59"/>
      <c r="G3096" s="58" t="s">
        <v>12687</v>
      </c>
      <c r="H3096" s="59">
        <v>0</v>
      </c>
      <c r="I3096" s="29"/>
      <c r="J3096" s="29"/>
      <c r="K3096" s="29"/>
      <c r="L3096" s="29"/>
      <c r="M3096" s="29"/>
    </row>
    <row r="3097" spans="1:13" ht="112.5" customHeight="1" x14ac:dyDescent="0.15">
      <c r="A3097" s="67">
        <v>3933</v>
      </c>
      <c r="B3097" s="33" t="s">
        <v>3822</v>
      </c>
      <c r="C3097" s="33" t="s">
        <v>12688</v>
      </c>
      <c r="D3097" s="61" t="s">
        <v>12689</v>
      </c>
      <c r="E3097" s="68"/>
      <c r="F3097" s="59"/>
      <c r="G3097" s="62" t="s">
        <v>12690</v>
      </c>
      <c r="H3097" s="59">
        <v>0</v>
      </c>
      <c r="I3097" s="29"/>
      <c r="J3097" s="29"/>
      <c r="K3097" s="29"/>
      <c r="L3097" s="29"/>
      <c r="M3097" s="29"/>
    </row>
    <row r="3098" spans="1:13" ht="112.5" customHeight="1" x14ac:dyDescent="0.15">
      <c r="A3098" s="67">
        <v>251</v>
      </c>
      <c r="B3098" s="33" t="s">
        <v>3533</v>
      </c>
      <c r="C3098" s="33" t="s">
        <v>12691</v>
      </c>
      <c r="D3098" s="61" t="s">
        <v>12692</v>
      </c>
      <c r="E3098" s="68"/>
      <c r="F3098" s="59"/>
      <c r="G3098" s="58" t="s">
        <v>12693</v>
      </c>
      <c r="H3098" s="59">
        <v>0</v>
      </c>
      <c r="I3098" s="29"/>
      <c r="J3098" s="29"/>
      <c r="K3098" s="29"/>
      <c r="L3098" s="29"/>
      <c r="M3098" s="29"/>
    </row>
    <row r="3099" spans="1:13" ht="112.5" customHeight="1" x14ac:dyDescent="0.15">
      <c r="A3099" s="67">
        <v>223</v>
      </c>
      <c r="B3099" s="33" t="s">
        <v>3526</v>
      </c>
      <c r="C3099" s="33" t="s">
        <v>12694</v>
      </c>
      <c r="D3099" s="61" t="s">
        <v>12695</v>
      </c>
      <c r="E3099" s="68"/>
      <c r="F3099" s="59"/>
      <c r="G3099" s="62" t="s">
        <v>12696</v>
      </c>
      <c r="H3099" s="59">
        <v>0</v>
      </c>
      <c r="I3099" s="29"/>
      <c r="J3099" s="29"/>
      <c r="K3099" s="29"/>
      <c r="L3099" s="29"/>
      <c r="M3099" s="29"/>
    </row>
    <row r="3100" spans="1:13" ht="112.5" customHeight="1" x14ac:dyDescent="0.15">
      <c r="A3100" s="67">
        <v>3847</v>
      </c>
      <c r="B3100" s="33" t="s">
        <v>3822</v>
      </c>
      <c r="C3100" s="33" t="s">
        <v>12697</v>
      </c>
      <c r="D3100" s="61" t="s">
        <v>12698</v>
      </c>
      <c r="E3100" s="68"/>
      <c r="F3100" s="59"/>
      <c r="G3100" s="64" t="s">
        <v>12699</v>
      </c>
      <c r="H3100" s="59">
        <v>0</v>
      </c>
    </row>
    <row r="3101" spans="1:13" ht="112.5" customHeight="1" x14ac:dyDescent="0.15">
      <c r="A3101" s="67">
        <v>3563</v>
      </c>
      <c r="B3101" s="33" t="s">
        <v>12428</v>
      </c>
      <c r="C3101" s="33" t="s">
        <v>12700</v>
      </c>
      <c r="D3101" s="61" t="s">
        <v>12701</v>
      </c>
      <c r="E3101" s="68"/>
      <c r="F3101" s="59"/>
      <c r="G3101" s="63" t="s">
        <v>12702</v>
      </c>
      <c r="H3101" s="59">
        <v>9.9730000000000008</v>
      </c>
    </row>
    <row r="3102" spans="1:13" ht="112.5" customHeight="1" x14ac:dyDescent="0.15">
      <c r="A3102" s="69">
        <v>738</v>
      </c>
      <c r="B3102" s="32" t="s">
        <v>3822</v>
      </c>
      <c r="C3102" s="32" t="s">
        <v>12703</v>
      </c>
      <c r="D3102" s="56" t="s">
        <v>12704</v>
      </c>
      <c r="E3102" s="68"/>
      <c r="F3102" s="59"/>
      <c r="G3102" s="64" t="s">
        <v>12705</v>
      </c>
      <c r="H3102" s="59">
        <v>9.9939999999999998</v>
      </c>
    </row>
    <row r="3103" spans="1:13" ht="112.5" customHeight="1" x14ac:dyDescent="0.15">
      <c r="A3103" s="69">
        <v>3824</v>
      </c>
      <c r="B3103" s="32" t="s">
        <v>12428</v>
      </c>
      <c r="C3103" s="32" t="s">
        <v>12706</v>
      </c>
      <c r="D3103" s="56" t="s">
        <v>12707</v>
      </c>
      <c r="E3103" s="68"/>
      <c r="F3103" s="59"/>
      <c r="G3103" s="63" t="s">
        <v>4421</v>
      </c>
      <c r="H3103" s="59">
        <v>9.9610000000000003</v>
      </c>
    </row>
    <row r="3104" spans="1:13" ht="112.5" customHeight="1" x14ac:dyDescent="0.15">
      <c r="A3104" s="67">
        <v>253</v>
      </c>
      <c r="B3104" s="33" t="s">
        <v>3630</v>
      </c>
      <c r="C3104" s="33" t="s">
        <v>12708</v>
      </c>
      <c r="D3104" s="61" t="s">
        <v>12709</v>
      </c>
      <c r="E3104" s="68"/>
      <c r="F3104" s="59"/>
      <c r="G3104" s="64" t="s">
        <v>12710</v>
      </c>
      <c r="H3104" s="59">
        <v>9.9979999999999993</v>
      </c>
    </row>
    <row r="3105" spans="1:8" ht="112.5" customHeight="1" x14ac:dyDescent="0.15">
      <c r="A3105" s="67">
        <v>3741</v>
      </c>
      <c r="B3105" s="33" t="s">
        <v>3599</v>
      </c>
      <c r="C3105" s="33" t="s">
        <v>12711</v>
      </c>
      <c r="D3105" s="61" t="s">
        <v>12712</v>
      </c>
      <c r="E3105" s="68"/>
      <c r="F3105" s="59"/>
      <c r="G3105" s="63" t="s">
        <v>12713</v>
      </c>
      <c r="H3105" s="59">
        <v>10</v>
      </c>
    </row>
    <row r="3106" spans="1:8" ht="112.5" customHeight="1" x14ac:dyDescent="0.15">
      <c r="A3106" s="69">
        <v>3498</v>
      </c>
      <c r="B3106" s="32" t="s">
        <v>3818</v>
      </c>
      <c r="C3106" s="32" t="s">
        <v>12714</v>
      </c>
      <c r="D3106" s="56" t="s">
        <v>12715</v>
      </c>
      <c r="E3106" s="68"/>
      <c r="F3106" s="59"/>
      <c r="G3106" s="64" t="s">
        <v>12716</v>
      </c>
      <c r="H3106" s="59">
        <v>9.99</v>
      </c>
    </row>
    <row r="3107" spans="1:8" ht="112.5" customHeight="1" x14ac:dyDescent="0.15">
      <c r="A3107" s="69">
        <v>3926</v>
      </c>
      <c r="B3107" s="32" t="s">
        <v>3549</v>
      </c>
      <c r="C3107" s="32" t="s">
        <v>12717</v>
      </c>
      <c r="D3107" s="56" t="s">
        <v>12718</v>
      </c>
      <c r="E3107" s="68"/>
      <c r="F3107" s="59"/>
      <c r="G3107" s="63" t="s">
        <v>12719</v>
      </c>
      <c r="H3107" s="59">
        <v>9.9930000000000003</v>
      </c>
    </row>
    <row r="3108" spans="1:8" ht="112.5" customHeight="1" x14ac:dyDescent="0.15">
      <c r="A3108" s="69">
        <v>3686</v>
      </c>
      <c r="B3108" s="32" t="s">
        <v>3513</v>
      </c>
      <c r="C3108" s="32" t="s">
        <v>12720</v>
      </c>
      <c r="D3108" s="56" t="s">
        <v>12721</v>
      </c>
      <c r="E3108" s="68"/>
      <c r="F3108" s="59"/>
      <c r="G3108" s="64" t="s">
        <v>12722</v>
      </c>
      <c r="H3108" s="59">
        <v>9.9789999999999992</v>
      </c>
    </row>
    <row r="3109" spans="1:8" ht="112.5" customHeight="1" x14ac:dyDescent="0.15">
      <c r="A3109" s="67">
        <v>4057</v>
      </c>
      <c r="B3109" s="33" t="s">
        <v>3822</v>
      </c>
      <c r="C3109" s="33" t="s">
        <v>12723</v>
      </c>
      <c r="D3109" s="61" t="s">
        <v>12724</v>
      </c>
      <c r="E3109" s="68"/>
      <c r="F3109" s="59"/>
      <c r="G3109" s="63" t="s">
        <v>12725</v>
      </c>
      <c r="H3109" s="59">
        <v>0</v>
      </c>
    </row>
    <row r="3110" spans="1:8" ht="112.5" customHeight="1" x14ac:dyDescent="0.15">
      <c r="A3110" s="67">
        <v>3687</v>
      </c>
      <c r="B3110" s="33" t="s">
        <v>3513</v>
      </c>
      <c r="C3110" s="33" t="s">
        <v>12726</v>
      </c>
      <c r="D3110" s="61" t="s">
        <v>12727</v>
      </c>
      <c r="E3110" s="68"/>
      <c r="F3110" s="59"/>
      <c r="G3110" s="64" t="s">
        <v>12728</v>
      </c>
      <c r="H3110" s="59">
        <v>9.9359999999999999</v>
      </c>
    </row>
    <row r="3111" spans="1:8" ht="112.5" customHeight="1" x14ac:dyDescent="0.15">
      <c r="A3111" s="69">
        <v>3636</v>
      </c>
      <c r="B3111" s="32" t="s">
        <v>3513</v>
      </c>
      <c r="C3111" s="32" t="s">
        <v>12729</v>
      </c>
      <c r="D3111" s="56" t="s">
        <v>12730</v>
      </c>
      <c r="E3111" s="68"/>
      <c r="F3111" s="59"/>
      <c r="G3111" s="63" t="s">
        <v>12731</v>
      </c>
      <c r="H3111" s="59">
        <v>9.9580000000000002</v>
      </c>
    </row>
    <row r="3112" spans="1:8" ht="112.5" customHeight="1" x14ac:dyDescent="0.15">
      <c r="A3112" s="67">
        <v>3525</v>
      </c>
      <c r="B3112" s="33" t="s">
        <v>3513</v>
      </c>
      <c r="C3112" s="33" t="s">
        <v>12732</v>
      </c>
      <c r="D3112" s="61" t="s">
        <v>12733</v>
      </c>
      <c r="E3112" s="68"/>
      <c r="F3112" s="59"/>
      <c r="G3112" s="64" t="s">
        <v>12734</v>
      </c>
      <c r="H3112" s="59">
        <v>99.926000000000002</v>
      </c>
    </row>
    <row r="3113" spans="1:8" ht="112.5" customHeight="1" x14ac:dyDescent="0.15">
      <c r="A3113" s="67">
        <v>3901</v>
      </c>
      <c r="B3113" s="33" t="s">
        <v>3556</v>
      </c>
      <c r="C3113" s="33" t="s">
        <v>12735</v>
      </c>
      <c r="D3113" s="61" t="s">
        <v>12736</v>
      </c>
      <c r="E3113" s="68"/>
      <c r="F3113" s="59"/>
      <c r="G3113" s="63" t="s">
        <v>12737</v>
      </c>
      <c r="H3113" s="59">
        <v>9.8369999999999997</v>
      </c>
    </row>
    <row r="3114" spans="1:8" ht="112.5" customHeight="1" x14ac:dyDescent="0.15">
      <c r="A3114" s="69">
        <v>476</v>
      </c>
      <c r="B3114" s="32" t="s">
        <v>3749</v>
      </c>
      <c r="C3114" s="32" t="s">
        <v>12738</v>
      </c>
      <c r="D3114" s="56" t="s">
        <v>12739</v>
      </c>
      <c r="E3114" s="68"/>
      <c r="F3114" s="59"/>
      <c r="G3114" s="64" t="s">
        <v>12740</v>
      </c>
      <c r="H3114" s="59">
        <v>24</v>
      </c>
    </row>
    <row r="3115" spans="1:8" ht="112.5" customHeight="1" x14ac:dyDescent="0.15">
      <c r="A3115" s="69">
        <v>3522</v>
      </c>
      <c r="B3115" s="32" t="s">
        <v>3822</v>
      </c>
      <c r="C3115" s="32" t="s">
        <v>12741</v>
      </c>
      <c r="D3115" s="56" t="s">
        <v>12742</v>
      </c>
      <c r="E3115" s="68"/>
      <c r="F3115" s="59"/>
      <c r="G3115" s="63" t="s">
        <v>12743</v>
      </c>
      <c r="H3115" s="59">
        <v>9.8520000000000003</v>
      </c>
    </row>
    <row r="3116" spans="1:8" ht="112.5" customHeight="1" x14ac:dyDescent="0.15">
      <c r="A3116" s="69">
        <v>3906</v>
      </c>
      <c r="B3116" s="32" t="s">
        <v>12428</v>
      </c>
      <c r="C3116" s="32" t="s">
        <v>12744</v>
      </c>
      <c r="D3116" s="56" t="s">
        <v>12745</v>
      </c>
      <c r="E3116" s="68"/>
      <c r="F3116" s="59"/>
      <c r="G3116" s="64" t="s">
        <v>12746</v>
      </c>
      <c r="H3116" s="59">
        <v>9.9860000000000007</v>
      </c>
    </row>
    <row r="3117" spans="1:8" ht="112.5" customHeight="1" x14ac:dyDescent="0.15">
      <c r="A3117" s="69">
        <v>3856</v>
      </c>
      <c r="B3117" s="32" t="s">
        <v>12428</v>
      </c>
      <c r="C3117" s="32" t="s">
        <v>12747</v>
      </c>
      <c r="D3117" s="56" t="s">
        <v>12748</v>
      </c>
      <c r="E3117" s="68"/>
      <c r="F3117" s="59"/>
      <c r="G3117" s="63" t="s">
        <v>12749</v>
      </c>
      <c r="H3117" s="59">
        <v>0</v>
      </c>
    </row>
    <row r="3118" spans="1:8" ht="112.5" customHeight="1" x14ac:dyDescent="0.15">
      <c r="A3118" s="67">
        <v>1913</v>
      </c>
      <c r="B3118" s="33" t="s">
        <v>3670</v>
      </c>
      <c r="C3118" s="33" t="s">
        <v>12750</v>
      </c>
      <c r="D3118" s="61" t="s">
        <v>12751</v>
      </c>
      <c r="E3118" s="68"/>
      <c r="F3118" s="59"/>
      <c r="G3118" s="64" t="s">
        <v>12752</v>
      </c>
      <c r="H3118" s="59">
        <v>10</v>
      </c>
    </row>
    <row r="3119" spans="1:8" ht="112.5" customHeight="1" x14ac:dyDescent="0.15">
      <c r="A3119" s="67">
        <v>3747</v>
      </c>
      <c r="B3119" s="33" t="s">
        <v>3822</v>
      </c>
      <c r="C3119" s="33" t="s">
        <v>12753</v>
      </c>
      <c r="D3119" s="61" t="s">
        <v>12754</v>
      </c>
      <c r="E3119" s="68"/>
      <c r="F3119" s="59"/>
      <c r="G3119" s="63" t="s">
        <v>12755</v>
      </c>
      <c r="H3119" s="59">
        <v>9.9789999999999992</v>
      </c>
    </row>
    <row r="3120" spans="1:8" ht="112.5" customHeight="1" x14ac:dyDescent="0.15">
      <c r="A3120" s="67">
        <v>3923</v>
      </c>
      <c r="B3120" s="33" t="s">
        <v>3822</v>
      </c>
      <c r="C3120" s="33" t="s">
        <v>12756</v>
      </c>
      <c r="D3120" s="61" t="s">
        <v>12757</v>
      </c>
      <c r="E3120" s="68"/>
      <c r="F3120" s="59"/>
      <c r="G3120" s="64" t="s">
        <v>12758</v>
      </c>
      <c r="H3120" s="59">
        <v>987</v>
      </c>
    </row>
    <row r="3121" spans="1:8" ht="112.5" customHeight="1" x14ac:dyDescent="0.15">
      <c r="A3121" s="69">
        <v>4042</v>
      </c>
      <c r="B3121" s="32" t="s">
        <v>3509</v>
      </c>
      <c r="C3121" s="32" t="s">
        <v>12759</v>
      </c>
      <c r="D3121" s="56" t="s">
        <v>12760</v>
      </c>
      <c r="E3121" s="68"/>
      <c r="F3121" s="59"/>
      <c r="G3121" s="63" t="s">
        <v>12761</v>
      </c>
      <c r="H3121" s="59">
        <v>0</v>
      </c>
    </row>
    <row r="3122" spans="1:8" ht="112.5" customHeight="1" x14ac:dyDescent="0.15">
      <c r="A3122" s="69">
        <v>3798</v>
      </c>
      <c r="B3122" s="32" t="s">
        <v>12428</v>
      </c>
      <c r="C3122" s="32" t="s">
        <v>12762</v>
      </c>
      <c r="D3122" s="56" t="s">
        <v>12763</v>
      </c>
      <c r="E3122" s="68"/>
      <c r="F3122" s="59"/>
      <c r="G3122" s="64" t="s">
        <v>4736</v>
      </c>
      <c r="H3122" s="59">
        <v>999.97699999999998</v>
      </c>
    </row>
    <row r="3123" spans="1:8" ht="112.5" customHeight="1" x14ac:dyDescent="0.15">
      <c r="A3123" s="67">
        <v>3661</v>
      </c>
      <c r="B3123" s="33" t="s">
        <v>12428</v>
      </c>
      <c r="C3123" s="33" t="s">
        <v>12764</v>
      </c>
      <c r="D3123" s="61" t="s">
        <v>12765</v>
      </c>
      <c r="E3123" s="68"/>
      <c r="F3123" s="59"/>
      <c r="G3123" s="63" t="s">
        <v>12766</v>
      </c>
      <c r="H3123" s="59">
        <v>0</v>
      </c>
    </row>
    <row r="3124" spans="1:8" ht="112.5" customHeight="1" x14ac:dyDescent="0.15">
      <c r="A3124" s="69">
        <v>3830</v>
      </c>
      <c r="B3124" s="32" t="s">
        <v>12428</v>
      </c>
      <c r="C3124" s="32" t="s">
        <v>12767</v>
      </c>
      <c r="D3124" s="56" t="s">
        <v>12768</v>
      </c>
      <c r="E3124" s="68"/>
      <c r="F3124" s="59"/>
      <c r="G3124" s="64" t="s">
        <v>12769</v>
      </c>
      <c r="H3124" s="59">
        <v>10</v>
      </c>
    </row>
    <row r="3125" spans="1:8" ht="112.5" customHeight="1" x14ac:dyDescent="0.15">
      <c r="A3125" s="69">
        <v>3778</v>
      </c>
      <c r="B3125" s="32" t="s">
        <v>12428</v>
      </c>
      <c r="C3125" s="32" t="s">
        <v>12770</v>
      </c>
      <c r="D3125" s="56" t="s">
        <v>12771</v>
      </c>
      <c r="E3125" s="68"/>
      <c r="F3125" s="59"/>
      <c r="G3125" s="63" t="s">
        <v>12772</v>
      </c>
      <c r="H3125" s="59">
        <v>9.9979999999999993</v>
      </c>
    </row>
    <row r="3126" spans="1:8" ht="112.5" customHeight="1" x14ac:dyDescent="0.15">
      <c r="A3126" s="69">
        <v>3508</v>
      </c>
      <c r="B3126" s="32" t="s">
        <v>3814</v>
      </c>
      <c r="C3126" s="32" t="s">
        <v>12773</v>
      </c>
      <c r="D3126" s="56" t="s">
        <v>12774</v>
      </c>
      <c r="E3126" s="68"/>
      <c r="F3126" s="59"/>
      <c r="G3126" s="64" t="s">
        <v>12775</v>
      </c>
      <c r="H3126" s="59">
        <v>10</v>
      </c>
    </row>
    <row r="3127" spans="1:8" ht="112.5" customHeight="1" x14ac:dyDescent="0.15">
      <c r="A3127" s="67">
        <v>475</v>
      </c>
      <c r="B3127" s="33" t="s">
        <v>3822</v>
      </c>
      <c r="C3127" s="33" t="s">
        <v>12776</v>
      </c>
      <c r="D3127" s="61" t="s">
        <v>12777</v>
      </c>
      <c r="E3127" s="68"/>
      <c r="F3127" s="59"/>
      <c r="G3127" s="63" t="s">
        <v>12778</v>
      </c>
      <c r="H3127" s="59">
        <v>10</v>
      </c>
    </row>
    <row r="3128" spans="1:8" ht="112.5" customHeight="1" x14ac:dyDescent="0.15">
      <c r="A3128" s="67">
        <v>3715</v>
      </c>
      <c r="B3128" s="33" t="s">
        <v>3513</v>
      </c>
      <c r="C3128" s="33" t="s">
        <v>12779</v>
      </c>
      <c r="D3128" s="61" t="s">
        <v>12780</v>
      </c>
      <c r="E3128" s="68"/>
      <c r="F3128" s="59"/>
      <c r="G3128" s="64" t="s">
        <v>12781</v>
      </c>
      <c r="H3128" s="59">
        <v>9.9949999999999992</v>
      </c>
    </row>
    <row r="3129" spans="1:8" ht="112.5" customHeight="1" x14ac:dyDescent="0.15">
      <c r="A3129" s="69">
        <v>3932</v>
      </c>
      <c r="B3129" s="32" t="s">
        <v>12428</v>
      </c>
      <c r="C3129" s="32" t="s">
        <v>12782</v>
      </c>
      <c r="D3129" s="56" t="s">
        <v>12783</v>
      </c>
      <c r="E3129" s="68"/>
      <c r="F3129" s="59"/>
      <c r="G3129" s="63" t="s">
        <v>12784</v>
      </c>
      <c r="H3129" s="59">
        <v>9.9960000000000004</v>
      </c>
    </row>
    <row r="3130" spans="1:8" ht="112.5" customHeight="1" x14ac:dyDescent="0.15">
      <c r="A3130" s="67">
        <v>229</v>
      </c>
      <c r="B3130" s="33" t="s">
        <v>3822</v>
      </c>
      <c r="C3130" s="33" t="s">
        <v>12785</v>
      </c>
      <c r="D3130" s="61" t="s">
        <v>12786</v>
      </c>
      <c r="E3130" s="68"/>
      <c r="F3130" s="59"/>
      <c r="G3130" s="64" t="s">
        <v>12787</v>
      </c>
      <c r="H3130" s="59">
        <v>9.9760000000000009</v>
      </c>
    </row>
    <row r="3131" spans="1:8" ht="112.5" customHeight="1" x14ac:dyDescent="0.15">
      <c r="A3131" s="69">
        <v>3514</v>
      </c>
      <c r="B3131" s="32" t="s">
        <v>12428</v>
      </c>
      <c r="C3131" s="32" t="s">
        <v>12788</v>
      </c>
      <c r="D3131" s="56" t="s">
        <v>12789</v>
      </c>
      <c r="E3131" s="68"/>
      <c r="F3131" s="59"/>
      <c r="G3131" s="63" t="s">
        <v>12790</v>
      </c>
      <c r="H3131" s="59">
        <v>9.9849999999999994</v>
      </c>
    </row>
    <row r="3132" spans="1:8" ht="112.5" customHeight="1" x14ac:dyDescent="0.15">
      <c r="A3132" s="67">
        <v>3485</v>
      </c>
      <c r="B3132" s="33" t="s">
        <v>3822</v>
      </c>
      <c r="C3132" s="33" t="s">
        <v>12791</v>
      </c>
      <c r="D3132" s="61" t="s">
        <v>12792</v>
      </c>
      <c r="E3132" s="68"/>
      <c r="F3132" s="59"/>
      <c r="G3132" s="64" t="s">
        <v>12793</v>
      </c>
      <c r="H3132" s="59">
        <v>9.9890000000000008</v>
      </c>
    </row>
    <row r="3133" spans="1:8" ht="112.5" customHeight="1" x14ac:dyDescent="0.15">
      <c r="A3133" s="69">
        <v>3530</v>
      </c>
      <c r="B3133" s="32" t="s">
        <v>3822</v>
      </c>
      <c r="C3133" s="32" t="s">
        <v>12794</v>
      </c>
      <c r="D3133" s="56" t="s">
        <v>12795</v>
      </c>
      <c r="E3133" s="68"/>
      <c r="F3133" s="59"/>
      <c r="G3133" s="63" t="s">
        <v>12796</v>
      </c>
      <c r="H3133" s="59">
        <v>10</v>
      </c>
    </row>
    <row r="3134" spans="1:8" ht="112.5" customHeight="1" x14ac:dyDescent="0.15">
      <c r="A3134" s="69">
        <v>226</v>
      </c>
      <c r="B3134" s="32" t="s">
        <v>3814</v>
      </c>
      <c r="C3134" s="32" t="s">
        <v>12797</v>
      </c>
      <c r="D3134" s="56" t="s">
        <v>12798</v>
      </c>
      <c r="E3134" s="68"/>
      <c r="F3134" s="59"/>
      <c r="G3134" s="64" t="s">
        <v>12799</v>
      </c>
      <c r="H3134" s="59">
        <v>9.9949999999999992</v>
      </c>
    </row>
    <row r="3135" spans="1:8" ht="112.5" customHeight="1" x14ac:dyDescent="0.15">
      <c r="A3135" s="67">
        <v>3979</v>
      </c>
      <c r="B3135" s="33" t="s">
        <v>3533</v>
      </c>
      <c r="C3135" s="33" t="s">
        <v>12800</v>
      </c>
      <c r="D3135" s="61" t="s">
        <v>12801</v>
      </c>
      <c r="E3135" s="68"/>
      <c r="F3135" s="59"/>
      <c r="G3135" s="63" t="s">
        <v>12802</v>
      </c>
      <c r="H3135" s="59">
        <v>9.9979999999999993</v>
      </c>
    </row>
    <row r="3136" spans="1:8" ht="112.5" customHeight="1" x14ac:dyDescent="0.15">
      <c r="A3136" s="67">
        <v>3881</v>
      </c>
      <c r="B3136" s="33" t="s">
        <v>12428</v>
      </c>
      <c r="C3136" s="33" t="s">
        <v>12803</v>
      </c>
      <c r="D3136" s="61" t="s">
        <v>12804</v>
      </c>
      <c r="E3136" s="68"/>
      <c r="F3136" s="59"/>
      <c r="G3136" s="64" t="s">
        <v>12805</v>
      </c>
      <c r="H3136" s="59">
        <v>9.9939999999999998</v>
      </c>
    </row>
    <row r="3137" spans="1:8" ht="112.5" customHeight="1" x14ac:dyDescent="0.15">
      <c r="A3137" s="67">
        <v>3873</v>
      </c>
      <c r="B3137" s="33" t="s">
        <v>3556</v>
      </c>
      <c r="C3137" s="33" t="s">
        <v>12806</v>
      </c>
      <c r="D3137" s="61" t="s">
        <v>12807</v>
      </c>
      <c r="E3137" s="68"/>
      <c r="F3137" s="59"/>
      <c r="G3137" s="63" t="s">
        <v>12808</v>
      </c>
      <c r="H3137" s="59">
        <v>9.9990000000000006</v>
      </c>
    </row>
    <row r="3138" spans="1:8" ht="112.5" customHeight="1" x14ac:dyDescent="0.15">
      <c r="A3138" s="67">
        <v>3645</v>
      </c>
      <c r="B3138" s="33" t="s">
        <v>12428</v>
      </c>
      <c r="C3138" s="33" t="s">
        <v>12809</v>
      </c>
      <c r="D3138" s="61" t="s">
        <v>12810</v>
      </c>
      <c r="E3138" s="68"/>
      <c r="F3138" s="59"/>
      <c r="G3138" s="64" t="s">
        <v>12811</v>
      </c>
      <c r="H3138" s="59">
        <v>0</v>
      </c>
    </row>
    <row r="3139" spans="1:8" ht="112.5" customHeight="1" x14ac:dyDescent="0.15">
      <c r="A3139" s="69">
        <v>3572</v>
      </c>
      <c r="B3139" s="32" t="s">
        <v>3630</v>
      </c>
      <c r="C3139" s="32" t="s">
        <v>12812</v>
      </c>
      <c r="D3139" s="56" t="s">
        <v>12813</v>
      </c>
      <c r="E3139" s="68"/>
      <c r="F3139" s="59"/>
      <c r="G3139" s="63" t="s">
        <v>12814</v>
      </c>
      <c r="H3139" s="59">
        <v>9.9920000000000009</v>
      </c>
    </row>
    <row r="3140" spans="1:8" ht="112.5" customHeight="1" x14ac:dyDescent="0.15">
      <c r="A3140" s="69">
        <v>3990</v>
      </c>
      <c r="B3140" s="32" t="s">
        <v>12428</v>
      </c>
      <c r="C3140" s="32" t="s">
        <v>12815</v>
      </c>
      <c r="D3140" s="56" t="s">
        <v>12816</v>
      </c>
      <c r="E3140" s="68"/>
      <c r="F3140" s="59"/>
      <c r="G3140" s="64" t="s">
        <v>12817</v>
      </c>
      <c r="H3140" s="59">
        <v>9.9949999999999992</v>
      </c>
    </row>
    <row r="3141" spans="1:8" ht="112.5" customHeight="1" x14ac:dyDescent="0.15">
      <c r="A3141" s="69">
        <v>3534</v>
      </c>
      <c r="B3141" s="32" t="s">
        <v>3822</v>
      </c>
      <c r="C3141" s="32" t="s">
        <v>12818</v>
      </c>
      <c r="D3141" s="56" t="s">
        <v>12819</v>
      </c>
      <c r="E3141" s="68"/>
      <c r="F3141" s="59"/>
      <c r="G3141" s="63" t="s">
        <v>12820</v>
      </c>
      <c r="H3141" s="59">
        <v>10</v>
      </c>
    </row>
    <row r="3142" spans="1:8" ht="112.5" customHeight="1" x14ac:dyDescent="0.15">
      <c r="A3142" s="69">
        <v>3962</v>
      </c>
      <c r="B3142" s="32" t="s">
        <v>3492</v>
      </c>
      <c r="C3142" s="32" t="s">
        <v>12821</v>
      </c>
      <c r="D3142" s="56" t="s">
        <v>12822</v>
      </c>
      <c r="E3142" s="68"/>
      <c r="F3142" s="59"/>
      <c r="G3142" s="64" t="s">
        <v>12823</v>
      </c>
      <c r="H3142" s="59">
        <v>9.9870000000000001</v>
      </c>
    </row>
    <row r="3143" spans="1:8" ht="112.5" customHeight="1" x14ac:dyDescent="0.15">
      <c r="A3143" s="69">
        <v>3978</v>
      </c>
      <c r="B3143" s="32" t="s">
        <v>3526</v>
      </c>
      <c r="C3143" s="32" t="s">
        <v>12824</v>
      </c>
      <c r="D3143" s="56" t="s">
        <v>12825</v>
      </c>
      <c r="E3143" s="68"/>
      <c r="F3143" s="59"/>
      <c r="G3143" s="63" t="s">
        <v>12826</v>
      </c>
      <c r="H3143" s="59">
        <v>10</v>
      </c>
    </row>
    <row r="3144" spans="1:8" ht="112.5" customHeight="1" x14ac:dyDescent="0.15">
      <c r="A3144" s="69">
        <v>3952</v>
      </c>
      <c r="B3144" s="32" t="s">
        <v>3822</v>
      </c>
      <c r="C3144" s="32" t="s">
        <v>12827</v>
      </c>
      <c r="D3144" s="56" t="s">
        <v>12828</v>
      </c>
      <c r="E3144" s="68"/>
      <c r="F3144" s="59"/>
      <c r="G3144" s="64" t="s">
        <v>12829</v>
      </c>
      <c r="H3144" s="59">
        <v>10</v>
      </c>
    </row>
    <row r="3145" spans="1:8" ht="112.5" customHeight="1" x14ac:dyDescent="0.15">
      <c r="A3145" s="69">
        <v>3696</v>
      </c>
      <c r="B3145" s="32" t="s">
        <v>3526</v>
      </c>
      <c r="C3145" s="32" t="s">
        <v>12830</v>
      </c>
      <c r="D3145" s="56" t="s">
        <v>12831</v>
      </c>
      <c r="E3145" s="68"/>
      <c r="F3145" s="59"/>
      <c r="G3145" s="63" t="s">
        <v>12832</v>
      </c>
      <c r="H3145" s="59">
        <v>9.77</v>
      </c>
    </row>
    <row r="3146" spans="1:8" ht="112.5" customHeight="1" x14ac:dyDescent="0.15">
      <c r="A3146" s="69">
        <v>4012</v>
      </c>
      <c r="B3146" s="32" t="s">
        <v>3822</v>
      </c>
      <c r="C3146" s="32" t="s">
        <v>12833</v>
      </c>
      <c r="D3146" s="56" t="s">
        <v>12834</v>
      </c>
      <c r="E3146" s="68"/>
      <c r="F3146" s="59"/>
      <c r="G3146" s="64" t="s">
        <v>12835</v>
      </c>
      <c r="H3146" s="59">
        <v>9.9870000000000001</v>
      </c>
    </row>
    <row r="3147" spans="1:8" ht="112.5" customHeight="1" x14ac:dyDescent="0.15">
      <c r="A3147" s="67">
        <v>3957</v>
      </c>
      <c r="B3147" s="33" t="s">
        <v>3822</v>
      </c>
      <c r="C3147" s="33" t="s">
        <v>12836</v>
      </c>
      <c r="D3147" s="61" t="s">
        <v>12837</v>
      </c>
      <c r="E3147" s="68"/>
      <c r="F3147" s="59"/>
      <c r="G3147" s="63" t="s">
        <v>12838</v>
      </c>
      <c r="H3147" s="59">
        <v>9.9879999999999995</v>
      </c>
    </row>
    <row r="3148" spans="1:8" ht="112.5" customHeight="1" x14ac:dyDescent="0.15">
      <c r="A3148" s="69">
        <v>3890</v>
      </c>
      <c r="B3148" s="32" t="s">
        <v>3818</v>
      </c>
      <c r="C3148" s="32" t="s">
        <v>12839</v>
      </c>
      <c r="D3148" s="56" t="s">
        <v>12840</v>
      </c>
      <c r="E3148" s="68"/>
      <c r="F3148" s="59"/>
      <c r="G3148" s="64" t="s">
        <v>12841</v>
      </c>
      <c r="H3148" s="59">
        <v>9.9719999999999995</v>
      </c>
    </row>
    <row r="3149" spans="1:8" ht="112.5" customHeight="1" x14ac:dyDescent="0.15">
      <c r="A3149" s="67">
        <v>3791</v>
      </c>
      <c r="B3149" s="33" t="s">
        <v>3814</v>
      </c>
      <c r="C3149" s="33" t="s">
        <v>12842</v>
      </c>
      <c r="D3149" s="61" t="s">
        <v>12843</v>
      </c>
      <c r="E3149" s="68"/>
      <c r="F3149" s="59"/>
      <c r="G3149" s="63" t="s">
        <v>12844</v>
      </c>
      <c r="H3149" s="59">
        <v>0</v>
      </c>
    </row>
    <row r="3150" spans="1:8" ht="112.5" customHeight="1" x14ac:dyDescent="0.15">
      <c r="A3150" s="69">
        <v>3706</v>
      </c>
      <c r="B3150" s="32" t="s">
        <v>12428</v>
      </c>
      <c r="C3150" s="32" t="s">
        <v>12845</v>
      </c>
      <c r="D3150" s="56" t="s">
        <v>12846</v>
      </c>
      <c r="E3150" s="68"/>
      <c r="F3150" s="59"/>
      <c r="G3150" s="64" t="s">
        <v>12847</v>
      </c>
      <c r="H3150" s="59">
        <v>9.9879999999999995</v>
      </c>
    </row>
    <row r="3151" spans="1:8" ht="112.5" customHeight="1" x14ac:dyDescent="0.15">
      <c r="A3151" s="69">
        <v>466</v>
      </c>
      <c r="B3151" s="32" t="s">
        <v>3822</v>
      </c>
      <c r="C3151" s="32" t="s">
        <v>12848</v>
      </c>
      <c r="D3151" s="56" t="s">
        <v>12849</v>
      </c>
      <c r="E3151" s="68"/>
      <c r="F3151" s="59"/>
      <c r="G3151" s="63" t="s">
        <v>12850</v>
      </c>
      <c r="H3151" s="59">
        <v>9.9979999999999993</v>
      </c>
    </row>
    <row r="3152" spans="1:8" ht="112.5" customHeight="1" x14ac:dyDescent="0.15">
      <c r="A3152" s="69">
        <v>3520</v>
      </c>
      <c r="B3152" s="32" t="s">
        <v>12428</v>
      </c>
      <c r="C3152" s="32" t="s">
        <v>12851</v>
      </c>
      <c r="D3152" s="56" t="s">
        <v>12852</v>
      </c>
      <c r="E3152" s="68"/>
      <c r="F3152" s="59"/>
      <c r="G3152" s="64" t="s">
        <v>12853</v>
      </c>
      <c r="H3152" s="59">
        <v>9.9960000000000004</v>
      </c>
    </row>
    <row r="3153" spans="1:8" ht="112.5" customHeight="1" x14ac:dyDescent="0.15">
      <c r="A3153" s="69">
        <v>3732</v>
      </c>
      <c r="B3153" s="32" t="s">
        <v>3818</v>
      </c>
      <c r="C3153" s="32" t="s">
        <v>12854</v>
      </c>
      <c r="D3153" s="56" t="s">
        <v>12855</v>
      </c>
      <c r="E3153" s="68"/>
      <c r="F3153" s="59"/>
      <c r="G3153" s="63" t="s">
        <v>12856</v>
      </c>
      <c r="H3153" s="59">
        <v>9.99</v>
      </c>
    </row>
    <row r="3154" spans="1:8" ht="112.5" customHeight="1" x14ac:dyDescent="0.15">
      <c r="A3154" s="67">
        <v>2775</v>
      </c>
      <c r="B3154" s="33" t="s">
        <v>3492</v>
      </c>
      <c r="C3154" s="33" t="s">
        <v>12857</v>
      </c>
      <c r="D3154" s="61" t="s">
        <v>12858</v>
      </c>
      <c r="E3154" s="68"/>
      <c r="F3154" s="59"/>
      <c r="G3154" s="64" t="s">
        <v>12859</v>
      </c>
      <c r="H3154" s="59">
        <v>9.9949999999999992</v>
      </c>
    </row>
    <row r="3155" spans="1:8" ht="112.5" customHeight="1" x14ac:dyDescent="0.15">
      <c r="A3155" s="69">
        <v>3884</v>
      </c>
      <c r="B3155" s="32" t="s">
        <v>3749</v>
      </c>
      <c r="C3155" s="32" t="s">
        <v>12860</v>
      </c>
      <c r="D3155" s="56" t="s">
        <v>12861</v>
      </c>
      <c r="E3155" s="68"/>
      <c r="F3155" s="59"/>
      <c r="G3155" s="63" t="s">
        <v>12862</v>
      </c>
      <c r="H3155" s="59">
        <v>10</v>
      </c>
    </row>
    <row r="3156" spans="1:8" ht="112.5" customHeight="1" x14ac:dyDescent="0.15">
      <c r="A3156" s="69">
        <v>3810</v>
      </c>
      <c r="B3156" s="32" t="s">
        <v>3556</v>
      </c>
      <c r="C3156" s="32" t="s">
        <v>12863</v>
      </c>
      <c r="D3156" s="56" t="s">
        <v>12864</v>
      </c>
      <c r="E3156" s="68"/>
      <c r="F3156" s="59"/>
      <c r="G3156" s="64" t="s">
        <v>4418</v>
      </c>
      <c r="H3156" s="59">
        <v>0</v>
      </c>
    </row>
    <row r="3157" spans="1:8" ht="112.5" customHeight="1" x14ac:dyDescent="0.15">
      <c r="A3157" s="67">
        <v>3711</v>
      </c>
      <c r="B3157" s="33" t="s">
        <v>3513</v>
      </c>
      <c r="C3157" s="33" t="s">
        <v>12865</v>
      </c>
      <c r="D3157" s="61" t="s">
        <v>12866</v>
      </c>
      <c r="E3157" s="68"/>
      <c r="F3157" s="59"/>
      <c r="G3157" s="63" t="s">
        <v>12867</v>
      </c>
      <c r="H3157" s="59">
        <v>9.9749999999999996</v>
      </c>
    </row>
    <row r="3158" spans="1:8" ht="112.5" customHeight="1" x14ac:dyDescent="0.15">
      <c r="A3158" s="69">
        <v>3584</v>
      </c>
      <c r="B3158" s="32" t="s">
        <v>12428</v>
      </c>
      <c r="C3158" s="32" t="s">
        <v>12868</v>
      </c>
      <c r="D3158" s="56" t="s">
        <v>12869</v>
      </c>
      <c r="E3158" s="68"/>
      <c r="F3158" s="59"/>
      <c r="G3158" s="64" t="s">
        <v>12870</v>
      </c>
      <c r="H3158" s="59">
        <v>10</v>
      </c>
    </row>
    <row r="3159" spans="1:8" ht="112.5" customHeight="1" x14ac:dyDescent="0.15">
      <c r="A3159" s="69">
        <v>3646</v>
      </c>
      <c r="B3159" s="32" t="s">
        <v>3492</v>
      </c>
      <c r="C3159" s="32" t="s">
        <v>12871</v>
      </c>
      <c r="D3159" s="56" t="s">
        <v>12872</v>
      </c>
      <c r="E3159" s="68"/>
      <c r="F3159" s="59"/>
      <c r="G3159" s="63" t="s">
        <v>12873</v>
      </c>
      <c r="H3159" s="59">
        <v>10</v>
      </c>
    </row>
    <row r="3160" spans="1:8" ht="112.5" customHeight="1" x14ac:dyDescent="0.15">
      <c r="A3160" s="67">
        <v>3577</v>
      </c>
      <c r="B3160" s="33" t="s">
        <v>3526</v>
      </c>
      <c r="C3160" s="33" t="s">
        <v>12874</v>
      </c>
      <c r="D3160" s="61" t="s">
        <v>12875</v>
      </c>
      <c r="E3160" s="68"/>
      <c r="F3160" s="59"/>
      <c r="G3160" s="64" t="s">
        <v>12876</v>
      </c>
      <c r="H3160" s="59">
        <v>9.9969999999999999</v>
      </c>
    </row>
    <row r="3161" spans="1:8" ht="112.5" customHeight="1" x14ac:dyDescent="0.15">
      <c r="A3161" s="67">
        <v>3829</v>
      </c>
      <c r="B3161" s="33" t="s">
        <v>12428</v>
      </c>
      <c r="C3161" s="33" t="s">
        <v>12877</v>
      </c>
      <c r="D3161" s="61" t="s">
        <v>12878</v>
      </c>
      <c r="E3161" s="68"/>
      <c r="F3161" s="59"/>
      <c r="G3161" s="63" t="s">
        <v>12879</v>
      </c>
      <c r="H3161" s="59">
        <v>10</v>
      </c>
    </row>
    <row r="3162" spans="1:8" ht="112.5" customHeight="1" x14ac:dyDescent="0.15">
      <c r="A3162" s="67">
        <v>3705</v>
      </c>
      <c r="B3162" s="33" t="s">
        <v>3492</v>
      </c>
      <c r="C3162" s="33" t="s">
        <v>12880</v>
      </c>
      <c r="D3162" s="61" t="s">
        <v>12881</v>
      </c>
      <c r="E3162" s="68"/>
      <c r="F3162" s="59"/>
      <c r="G3162" s="64" t="s">
        <v>12882</v>
      </c>
      <c r="H3162" s="59">
        <v>9.9949999999999992</v>
      </c>
    </row>
    <row r="3163" spans="1:8" ht="112.5" customHeight="1" x14ac:dyDescent="0.15">
      <c r="A3163" s="67">
        <v>3611</v>
      </c>
      <c r="B3163" s="33" t="s">
        <v>3496</v>
      </c>
      <c r="C3163" s="33" t="s">
        <v>12883</v>
      </c>
      <c r="D3163" s="61" t="s">
        <v>12884</v>
      </c>
      <c r="E3163" s="68"/>
      <c r="F3163" s="59"/>
      <c r="G3163" s="63" t="s">
        <v>12885</v>
      </c>
      <c r="H3163" s="59">
        <v>10</v>
      </c>
    </row>
    <row r="3164" spans="1:8" ht="112.5" customHeight="1" x14ac:dyDescent="0.15">
      <c r="A3164" s="67">
        <v>3981</v>
      </c>
      <c r="B3164" s="33" t="s">
        <v>12428</v>
      </c>
      <c r="C3164" s="33" t="s">
        <v>12886</v>
      </c>
      <c r="D3164" s="61" t="s">
        <v>12887</v>
      </c>
      <c r="E3164" s="68"/>
      <c r="F3164" s="59"/>
      <c r="G3164" s="64" t="s">
        <v>12888</v>
      </c>
      <c r="H3164" s="59">
        <v>9.9990000000000006</v>
      </c>
    </row>
    <row r="3165" spans="1:8" ht="112.5" customHeight="1" x14ac:dyDescent="0.15">
      <c r="A3165" s="67">
        <v>225</v>
      </c>
      <c r="B3165" s="33" t="s">
        <v>12428</v>
      </c>
      <c r="C3165" s="33" t="s">
        <v>12889</v>
      </c>
      <c r="D3165" s="61" t="s">
        <v>12890</v>
      </c>
      <c r="E3165" s="68"/>
      <c r="F3165" s="59"/>
      <c r="G3165" s="63" t="s">
        <v>12891</v>
      </c>
      <c r="H3165" s="59">
        <v>9.9949999999999992</v>
      </c>
    </row>
    <row r="3166" spans="1:8" ht="112.5" customHeight="1" x14ac:dyDescent="0.15">
      <c r="A3166" s="67">
        <v>3929</v>
      </c>
      <c r="B3166" s="33" t="s">
        <v>3822</v>
      </c>
      <c r="C3166" s="33" t="s">
        <v>12892</v>
      </c>
      <c r="D3166" s="61" t="s">
        <v>12893</v>
      </c>
      <c r="E3166" s="68"/>
      <c r="F3166" s="59"/>
      <c r="G3166" s="64" t="s">
        <v>12894</v>
      </c>
      <c r="H3166" s="59">
        <v>9.9979999999999993</v>
      </c>
    </row>
    <row r="3167" spans="1:8" ht="112.5" customHeight="1" x14ac:dyDescent="0.15">
      <c r="A3167" s="69">
        <v>470</v>
      </c>
      <c r="B3167" s="32" t="s">
        <v>12428</v>
      </c>
      <c r="C3167" s="32" t="s">
        <v>12895</v>
      </c>
      <c r="D3167" s="56" t="s">
        <v>12896</v>
      </c>
      <c r="E3167" s="68"/>
      <c r="F3167" s="59"/>
      <c r="G3167" s="63" t="s">
        <v>12897</v>
      </c>
      <c r="H3167" s="59">
        <v>9.9990000000000006</v>
      </c>
    </row>
    <row r="3168" spans="1:8" ht="112.5" customHeight="1" x14ac:dyDescent="0.15">
      <c r="A3168" s="67">
        <v>3913</v>
      </c>
      <c r="B3168" s="33" t="s">
        <v>12428</v>
      </c>
      <c r="C3168" s="33" t="s">
        <v>12898</v>
      </c>
      <c r="D3168" s="61" t="s">
        <v>12899</v>
      </c>
      <c r="E3168" s="68"/>
      <c r="F3168" s="59"/>
      <c r="G3168" s="64" t="s">
        <v>12900</v>
      </c>
      <c r="H3168" s="59">
        <v>9.9930000000000003</v>
      </c>
    </row>
    <row r="3169" spans="1:13" ht="112.5" customHeight="1" x14ac:dyDescent="0.15">
      <c r="A3169" s="69">
        <v>230</v>
      </c>
      <c r="B3169" s="32" t="s">
        <v>3630</v>
      </c>
      <c r="C3169" s="32" t="s">
        <v>12901</v>
      </c>
      <c r="D3169" s="56" t="s">
        <v>12902</v>
      </c>
      <c r="E3169" s="68"/>
      <c r="F3169" s="59"/>
      <c r="G3169" s="63" t="s">
        <v>12903</v>
      </c>
      <c r="H3169" s="59">
        <v>0</v>
      </c>
    </row>
    <row r="3170" spans="1:13" ht="112.5" customHeight="1" x14ac:dyDescent="0.15">
      <c r="A3170" s="69">
        <v>3690</v>
      </c>
      <c r="B3170" s="32" t="s">
        <v>3533</v>
      </c>
      <c r="C3170" s="32" t="s">
        <v>12904</v>
      </c>
      <c r="D3170" s="56" t="s">
        <v>12905</v>
      </c>
      <c r="E3170" s="68"/>
      <c r="F3170" s="59"/>
      <c r="G3170" s="64" t="s">
        <v>12906</v>
      </c>
      <c r="H3170" s="59">
        <v>9.9939999999999998</v>
      </c>
    </row>
    <row r="3171" spans="1:13" ht="112.5" customHeight="1" x14ac:dyDescent="0.15">
      <c r="A3171" s="67">
        <v>3621</v>
      </c>
      <c r="B3171" s="33" t="s">
        <v>3814</v>
      </c>
      <c r="C3171" s="33" t="s">
        <v>12907</v>
      </c>
      <c r="D3171" s="61" t="s">
        <v>12908</v>
      </c>
      <c r="E3171" s="68"/>
      <c r="F3171" s="59"/>
      <c r="G3171" s="63" t="s">
        <v>12909</v>
      </c>
      <c r="H3171" s="59">
        <v>9.9049999999999994</v>
      </c>
    </row>
    <row r="3172" spans="1:13" ht="112.5" customHeight="1" x14ac:dyDescent="0.15">
      <c r="A3172" s="67">
        <v>3961</v>
      </c>
      <c r="B3172" s="33" t="s">
        <v>3822</v>
      </c>
      <c r="C3172" s="33" t="s">
        <v>12910</v>
      </c>
      <c r="D3172" s="61" t="s">
        <v>12911</v>
      </c>
      <c r="E3172" s="68"/>
      <c r="F3172" s="59"/>
      <c r="G3172" s="64" t="s">
        <v>12912</v>
      </c>
      <c r="H3172" s="59">
        <v>9.9580000000000002</v>
      </c>
    </row>
    <row r="3173" spans="1:13" ht="112.5" customHeight="1" x14ac:dyDescent="0.15">
      <c r="A3173" s="69">
        <v>3936</v>
      </c>
      <c r="B3173" s="32" t="s">
        <v>4330</v>
      </c>
      <c r="C3173" s="32" t="s">
        <v>12913</v>
      </c>
      <c r="D3173" s="56" t="s">
        <v>12914</v>
      </c>
      <c r="E3173" s="68"/>
      <c r="F3173" s="59"/>
      <c r="G3173" s="62" t="s">
        <v>12915</v>
      </c>
      <c r="H3173" s="59">
        <v>0</v>
      </c>
      <c r="I3173" s="29"/>
      <c r="J3173" s="29"/>
      <c r="K3173" s="29"/>
      <c r="L3173" s="29"/>
      <c r="M3173" s="29"/>
    </row>
    <row r="3174" spans="1:13" ht="112.5" customHeight="1" x14ac:dyDescent="0.15">
      <c r="A3174" s="67">
        <v>3751</v>
      </c>
      <c r="B3174" s="33" t="s">
        <v>3630</v>
      </c>
      <c r="C3174" s="33" t="s">
        <v>12916</v>
      </c>
      <c r="D3174" s="61" t="s">
        <v>12917</v>
      </c>
      <c r="E3174" s="68"/>
      <c r="F3174" s="59"/>
      <c r="G3174" s="64" t="s">
        <v>12918</v>
      </c>
      <c r="H3174" s="59">
        <v>10</v>
      </c>
    </row>
    <row r="3175" spans="1:13" ht="112.5" customHeight="1" x14ac:dyDescent="0.15">
      <c r="A3175" s="67">
        <v>3735</v>
      </c>
      <c r="B3175" s="33" t="s">
        <v>3630</v>
      </c>
      <c r="C3175" s="33" t="s">
        <v>12919</v>
      </c>
      <c r="D3175" s="61" t="s">
        <v>12920</v>
      </c>
      <c r="E3175" s="68"/>
      <c r="F3175" s="59"/>
      <c r="G3175" s="63" t="s">
        <v>12921</v>
      </c>
      <c r="H3175" s="59">
        <v>10</v>
      </c>
    </row>
    <row r="3176" spans="1:13" ht="112.5" customHeight="1" x14ac:dyDescent="0.15">
      <c r="A3176" s="69">
        <v>3870</v>
      </c>
      <c r="B3176" s="32" t="s">
        <v>3801</v>
      </c>
      <c r="C3176" s="32" t="s">
        <v>12922</v>
      </c>
      <c r="D3176" s="56" t="s">
        <v>12923</v>
      </c>
      <c r="E3176" s="68"/>
      <c r="F3176" s="59"/>
      <c r="G3176" s="64" t="s">
        <v>12924</v>
      </c>
      <c r="H3176" s="59">
        <v>9.9879999999999995</v>
      </c>
    </row>
    <row r="3177" spans="1:13" ht="112.5" customHeight="1" x14ac:dyDescent="0.15">
      <c r="A3177" s="69">
        <v>4000</v>
      </c>
      <c r="B3177" s="32" t="s">
        <v>3513</v>
      </c>
      <c r="C3177" s="32" t="s">
        <v>12925</v>
      </c>
      <c r="D3177" s="56" t="s">
        <v>12926</v>
      </c>
      <c r="E3177" s="68"/>
      <c r="F3177" s="59"/>
      <c r="G3177" s="63" t="s">
        <v>12927</v>
      </c>
      <c r="H3177" s="59">
        <v>9.9139999999999997</v>
      </c>
    </row>
    <row r="3178" spans="1:13" ht="112.5" customHeight="1" x14ac:dyDescent="0.15">
      <c r="A3178" s="67">
        <v>3665</v>
      </c>
      <c r="B3178" s="33" t="s">
        <v>3876</v>
      </c>
      <c r="C3178" s="33" t="s">
        <v>12928</v>
      </c>
      <c r="D3178" s="61" t="s">
        <v>12929</v>
      </c>
      <c r="E3178" s="68"/>
      <c r="F3178" s="59"/>
      <c r="G3178" s="64" t="s">
        <v>12930</v>
      </c>
      <c r="H3178" s="59">
        <v>9.9890000000000008</v>
      </c>
    </row>
    <row r="3179" spans="1:13" ht="112.5" customHeight="1" x14ac:dyDescent="0.15">
      <c r="A3179" s="67">
        <v>3783</v>
      </c>
      <c r="B3179" s="33" t="s">
        <v>12428</v>
      </c>
      <c r="C3179" s="33" t="s">
        <v>12931</v>
      </c>
      <c r="D3179" s="61" t="s">
        <v>12932</v>
      </c>
      <c r="E3179" s="68"/>
      <c r="F3179" s="59"/>
      <c r="G3179" s="63" t="s">
        <v>12933</v>
      </c>
      <c r="H3179" s="59">
        <v>9.98</v>
      </c>
    </row>
    <row r="3180" spans="1:13" ht="112.5" customHeight="1" x14ac:dyDescent="0.15">
      <c r="A3180" s="67">
        <v>3775</v>
      </c>
      <c r="B3180" s="33" t="s">
        <v>3822</v>
      </c>
      <c r="C3180" s="33" t="s">
        <v>12934</v>
      </c>
      <c r="D3180" s="61" t="s">
        <v>12935</v>
      </c>
      <c r="E3180" s="68"/>
      <c r="F3180" s="59"/>
      <c r="G3180" s="64" t="s">
        <v>12936</v>
      </c>
      <c r="H3180" s="59">
        <v>10</v>
      </c>
    </row>
    <row r="3181" spans="1:13" ht="112.5" customHeight="1" x14ac:dyDescent="0.15">
      <c r="A3181" s="67">
        <v>3597</v>
      </c>
      <c r="B3181" s="33" t="s">
        <v>3814</v>
      </c>
      <c r="C3181" s="33" t="s">
        <v>12937</v>
      </c>
      <c r="D3181" s="61" t="s">
        <v>12938</v>
      </c>
      <c r="E3181" s="68"/>
      <c r="F3181" s="59"/>
      <c r="G3181" s="63" t="s">
        <v>12939</v>
      </c>
      <c r="H3181" s="59">
        <v>0</v>
      </c>
    </row>
    <row r="3182" spans="1:13" ht="112.5" customHeight="1" x14ac:dyDescent="0.15">
      <c r="A3182" s="67">
        <v>3761</v>
      </c>
      <c r="B3182" s="33" t="s">
        <v>3876</v>
      </c>
      <c r="C3182" s="33" t="s">
        <v>12940</v>
      </c>
      <c r="D3182" s="61" t="s">
        <v>12941</v>
      </c>
      <c r="E3182" s="68"/>
      <c r="F3182" s="59"/>
      <c r="G3182" s="64" t="s">
        <v>12942</v>
      </c>
      <c r="H3182" s="59">
        <v>9.9990000000000006</v>
      </c>
    </row>
    <row r="3183" spans="1:13" ht="112.5" customHeight="1" x14ac:dyDescent="0.15">
      <c r="A3183" s="67">
        <v>3815</v>
      </c>
      <c r="B3183" s="33" t="s">
        <v>3814</v>
      </c>
      <c r="C3183" s="33" t="s">
        <v>12943</v>
      </c>
      <c r="D3183" s="61" t="s">
        <v>12944</v>
      </c>
      <c r="E3183" s="68"/>
      <c r="F3183" s="59"/>
      <c r="G3183" s="63" t="s">
        <v>12945</v>
      </c>
      <c r="H3183" s="59">
        <v>10</v>
      </c>
    </row>
    <row r="3184" spans="1:13" ht="112.5" customHeight="1" x14ac:dyDescent="0.15">
      <c r="A3184" s="69">
        <v>224</v>
      </c>
      <c r="B3184" s="32" t="s">
        <v>3526</v>
      </c>
      <c r="C3184" s="32" t="s">
        <v>12946</v>
      </c>
      <c r="D3184" s="56" t="s">
        <v>12947</v>
      </c>
      <c r="E3184" s="68"/>
      <c r="F3184" s="59"/>
      <c r="G3184" s="64" t="s">
        <v>12948</v>
      </c>
      <c r="H3184" s="59">
        <v>10</v>
      </c>
    </row>
    <row r="3185" spans="1:8" ht="112.5" customHeight="1" x14ac:dyDescent="0.15">
      <c r="A3185" s="69">
        <v>3738</v>
      </c>
      <c r="B3185" s="32" t="s">
        <v>12428</v>
      </c>
      <c r="C3185" s="32" t="s">
        <v>12949</v>
      </c>
      <c r="D3185" s="56" t="s">
        <v>12950</v>
      </c>
      <c r="E3185" s="68"/>
      <c r="F3185" s="59"/>
      <c r="G3185" s="63" t="s">
        <v>12951</v>
      </c>
      <c r="H3185" s="59">
        <v>9.9749999999999996</v>
      </c>
    </row>
    <row r="3186" spans="1:8" ht="112.5" customHeight="1" x14ac:dyDescent="0.15">
      <c r="A3186" s="69">
        <v>4004</v>
      </c>
      <c r="B3186" s="32" t="s">
        <v>3526</v>
      </c>
      <c r="C3186" s="32" t="s">
        <v>12952</v>
      </c>
      <c r="D3186" s="56" t="s">
        <v>12953</v>
      </c>
      <c r="E3186" s="68"/>
      <c r="F3186" s="59"/>
      <c r="G3186" s="64" t="s">
        <v>12954</v>
      </c>
      <c r="H3186" s="59">
        <v>10</v>
      </c>
    </row>
    <row r="3187" spans="1:8" ht="112.5" customHeight="1" x14ac:dyDescent="0.15">
      <c r="A3187" s="67">
        <v>3831</v>
      </c>
      <c r="B3187" s="33" t="s">
        <v>12428</v>
      </c>
      <c r="C3187" s="33" t="s">
        <v>12955</v>
      </c>
      <c r="D3187" s="61" t="s">
        <v>12956</v>
      </c>
      <c r="E3187" s="68"/>
      <c r="F3187" s="59"/>
      <c r="G3187" s="63" t="s">
        <v>12957</v>
      </c>
      <c r="H3187" s="59">
        <v>0</v>
      </c>
    </row>
    <row r="3188" spans="1:8" ht="112.5" customHeight="1" x14ac:dyDescent="0.15">
      <c r="A3188" s="67">
        <v>3659</v>
      </c>
      <c r="B3188" s="33" t="s">
        <v>3818</v>
      </c>
      <c r="C3188" s="33" t="s">
        <v>12958</v>
      </c>
      <c r="D3188" s="61" t="s">
        <v>12959</v>
      </c>
      <c r="E3188" s="68"/>
      <c r="F3188" s="59"/>
      <c r="G3188" s="64" t="s">
        <v>12960</v>
      </c>
      <c r="H3188" s="59">
        <v>9.9890000000000008</v>
      </c>
    </row>
    <row r="3189" spans="1:8" ht="112.5" customHeight="1" x14ac:dyDescent="0.15">
      <c r="A3189" s="67">
        <v>3843</v>
      </c>
      <c r="B3189" s="33" t="s">
        <v>3599</v>
      </c>
      <c r="C3189" s="33" t="s">
        <v>12961</v>
      </c>
      <c r="D3189" s="61" t="s">
        <v>12962</v>
      </c>
      <c r="E3189" s="68"/>
      <c r="F3189" s="59"/>
      <c r="G3189" s="63" t="s">
        <v>12963</v>
      </c>
      <c r="H3189" s="59">
        <v>10</v>
      </c>
    </row>
    <row r="3190" spans="1:8" ht="112.5" customHeight="1" x14ac:dyDescent="0.15">
      <c r="A3190" s="69">
        <v>3708</v>
      </c>
      <c r="B3190" s="32" t="s">
        <v>3533</v>
      </c>
      <c r="C3190" s="32" t="s">
        <v>12964</v>
      </c>
      <c r="D3190" s="56" t="s">
        <v>12965</v>
      </c>
      <c r="E3190" s="68"/>
      <c r="F3190" s="59"/>
      <c r="G3190" s="64" t="s">
        <v>12966</v>
      </c>
      <c r="H3190" s="59">
        <v>10</v>
      </c>
    </row>
    <row r="3191" spans="1:8" ht="112.5" customHeight="1" x14ac:dyDescent="0.15">
      <c r="A3191" s="67">
        <v>3811</v>
      </c>
      <c r="B3191" s="33" t="s">
        <v>3822</v>
      </c>
      <c r="C3191" s="33" t="s">
        <v>12967</v>
      </c>
      <c r="D3191" s="61" t="s">
        <v>12968</v>
      </c>
      <c r="E3191" s="68"/>
      <c r="F3191" s="59"/>
      <c r="G3191" s="63" t="s">
        <v>12969</v>
      </c>
      <c r="H3191" s="59">
        <v>0</v>
      </c>
    </row>
    <row r="3192" spans="1:8" ht="112.5" customHeight="1" x14ac:dyDescent="0.15">
      <c r="A3192" s="69">
        <v>3880</v>
      </c>
      <c r="B3192" s="32" t="s">
        <v>3814</v>
      </c>
      <c r="C3192" s="32" t="s">
        <v>12970</v>
      </c>
      <c r="D3192" s="56" t="s">
        <v>12971</v>
      </c>
      <c r="E3192" s="68"/>
      <c r="F3192" s="59"/>
      <c r="G3192" s="64" t="s">
        <v>12972</v>
      </c>
      <c r="H3192" s="59">
        <v>0</v>
      </c>
    </row>
    <row r="3193" spans="1:8" ht="112.5" customHeight="1" x14ac:dyDescent="0.15">
      <c r="A3193" s="69">
        <v>3658</v>
      </c>
      <c r="B3193" s="32" t="s">
        <v>12428</v>
      </c>
      <c r="C3193" s="32" t="s">
        <v>12973</v>
      </c>
      <c r="D3193" s="56" t="s">
        <v>12974</v>
      </c>
      <c r="E3193" s="68"/>
      <c r="F3193" s="59"/>
      <c r="G3193" s="63" t="s">
        <v>12975</v>
      </c>
      <c r="H3193" s="59">
        <v>9.9749999999999996</v>
      </c>
    </row>
    <row r="3194" spans="1:8" ht="112.5" customHeight="1" x14ac:dyDescent="0.15">
      <c r="A3194" s="69">
        <v>3620</v>
      </c>
      <c r="B3194" s="32" t="s">
        <v>3814</v>
      </c>
      <c r="C3194" s="32" t="s">
        <v>12976</v>
      </c>
      <c r="D3194" s="56" t="s">
        <v>12977</v>
      </c>
      <c r="E3194" s="68"/>
      <c r="F3194" s="59"/>
      <c r="G3194" s="64" t="s">
        <v>12978</v>
      </c>
      <c r="H3194" s="59">
        <v>0</v>
      </c>
    </row>
    <row r="3195" spans="1:8" ht="112.5" customHeight="1" x14ac:dyDescent="0.15">
      <c r="A3195" s="67">
        <v>4045</v>
      </c>
      <c r="B3195" s="33" t="s">
        <v>3513</v>
      </c>
      <c r="C3195" s="33" t="s">
        <v>12979</v>
      </c>
      <c r="D3195" s="61" t="s">
        <v>12980</v>
      </c>
      <c r="E3195" s="68"/>
      <c r="F3195" s="59"/>
      <c r="G3195" s="63" t="s">
        <v>12981</v>
      </c>
      <c r="H3195" s="59">
        <v>0</v>
      </c>
    </row>
    <row r="3196" spans="1:8" ht="112.5" customHeight="1" x14ac:dyDescent="0.15">
      <c r="A3196" s="69">
        <v>3916</v>
      </c>
      <c r="B3196" s="32" t="s">
        <v>12428</v>
      </c>
      <c r="C3196" s="32" t="s">
        <v>12982</v>
      </c>
      <c r="D3196" s="56" t="s">
        <v>12983</v>
      </c>
      <c r="E3196" s="68"/>
      <c r="F3196" s="59"/>
      <c r="G3196" s="64" t="s">
        <v>12984</v>
      </c>
      <c r="H3196" s="59">
        <v>0</v>
      </c>
    </row>
    <row r="3197" spans="1:8" ht="112.5" customHeight="1" x14ac:dyDescent="0.15">
      <c r="A3197" s="69">
        <v>3808</v>
      </c>
      <c r="B3197" s="32" t="s">
        <v>12428</v>
      </c>
      <c r="C3197" s="32" t="s">
        <v>12985</v>
      </c>
      <c r="D3197" s="56" t="s">
        <v>12986</v>
      </c>
      <c r="E3197" s="68"/>
      <c r="F3197" s="59"/>
      <c r="G3197" s="63" t="s">
        <v>12987</v>
      </c>
      <c r="H3197" s="59">
        <v>9.99</v>
      </c>
    </row>
    <row r="3198" spans="1:8" ht="112.5" customHeight="1" x14ac:dyDescent="0.15">
      <c r="A3198" s="67">
        <v>3581</v>
      </c>
      <c r="B3198" s="33" t="s">
        <v>3814</v>
      </c>
      <c r="C3198" s="33" t="s">
        <v>12988</v>
      </c>
      <c r="D3198" s="61" t="s">
        <v>12989</v>
      </c>
      <c r="E3198" s="68"/>
      <c r="F3198" s="59"/>
      <c r="G3198" s="64" t="s">
        <v>12990</v>
      </c>
      <c r="H3198" s="59">
        <v>10</v>
      </c>
    </row>
    <row r="3199" spans="1:8" ht="112.5" customHeight="1" x14ac:dyDescent="0.15">
      <c r="A3199" s="67">
        <v>3623</v>
      </c>
      <c r="B3199" s="33" t="s">
        <v>3814</v>
      </c>
      <c r="C3199" s="33" t="s">
        <v>12991</v>
      </c>
      <c r="D3199" s="61" t="s">
        <v>12992</v>
      </c>
      <c r="E3199" s="68"/>
      <c r="F3199" s="59"/>
      <c r="G3199" s="63" t="s">
        <v>12993</v>
      </c>
      <c r="H3199" s="59">
        <v>9.9740000000000002</v>
      </c>
    </row>
    <row r="3200" spans="1:8" ht="112.5" customHeight="1" x14ac:dyDescent="0.15">
      <c r="A3200" s="67">
        <v>3951</v>
      </c>
      <c r="B3200" s="33" t="s">
        <v>3822</v>
      </c>
      <c r="C3200" s="33" t="s">
        <v>12994</v>
      </c>
      <c r="D3200" s="61" t="s">
        <v>12995</v>
      </c>
      <c r="E3200" s="68"/>
      <c r="F3200" s="59"/>
      <c r="G3200" s="64" t="s">
        <v>12996</v>
      </c>
      <c r="H3200" s="59">
        <v>9.9420000000000002</v>
      </c>
    </row>
    <row r="3201" spans="1:8" ht="112.5" customHeight="1" x14ac:dyDescent="0.15">
      <c r="A3201" s="67">
        <v>2523</v>
      </c>
      <c r="B3201" s="33" t="s">
        <v>3496</v>
      </c>
      <c r="C3201" s="33" t="s">
        <v>12997</v>
      </c>
      <c r="D3201" s="61" t="s">
        <v>12998</v>
      </c>
      <c r="E3201" s="68"/>
      <c r="F3201" s="59"/>
      <c r="G3201" s="63" t="s">
        <v>12999</v>
      </c>
      <c r="H3201" s="59">
        <v>0</v>
      </c>
    </row>
    <row r="3202" spans="1:8" ht="112.5" customHeight="1" x14ac:dyDescent="0.15">
      <c r="A3202" s="69">
        <v>2268</v>
      </c>
      <c r="B3202" s="32" t="s">
        <v>3496</v>
      </c>
      <c r="C3202" s="32" t="s">
        <v>13000</v>
      </c>
      <c r="D3202" s="56" t="s">
        <v>13001</v>
      </c>
      <c r="E3202" s="68"/>
      <c r="F3202" s="59"/>
      <c r="G3202" s="64" t="s">
        <v>13002</v>
      </c>
      <c r="H3202" s="59">
        <v>9.9640000000000004</v>
      </c>
    </row>
    <row r="3203" spans="1:8" ht="112.5" customHeight="1" x14ac:dyDescent="0.15">
      <c r="A3203" s="69">
        <v>3548</v>
      </c>
      <c r="B3203" s="32" t="s">
        <v>3496</v>
      </c>
      <c r="C3203" s="32" t="s">
        <v>13003</v>
      </c>
      <c r="D3203" s="56" t="s">
        <v>13004</v>
      </c>
      <c r="E3203" s="68"/>
      <c r="F3203" s="59"/>
      <c r="G3203" s="63" t="s">
        <v>4415</v>
      </c>
      <c r="H3203" s="59">
        <v>9.99</v>
      </c>
    </row>
    <row r="3204" spans="1:8" ht="112.5" customHeight="1" x14ac:dyDescent="0.15">
      <c r="A3204" s="69">
        <v>2032</v>
      </c>
      <c r="B3204" s="32" t="s">
        <v>3814</v>
      </c>
      <c r="C3204" s="32" t="s">
        <v>13005</v>
      </c>
      <c r="D3204" s="56" t="s">
        <v>13006</v>
      </c>
      <c r="E3204" s="68"/>
      <c r="F3204" s="59"/>
      <c r="G3204" s="64" t="s">
        <v>4412</v>
      </c>
      <c r="H3204" s="59">
        <v>9.984</v>
      </c>
    </row>
    <row r="3205" spans="1:8" ht="112.5" customHeight="1" x14ac:dyDescent="0.15">
      <c r="A3205" s="67">
        <v>1433</v>
      </c>
      <c r="B3205" s="33" t="s">
        <v>3513</v>
      </c>
      <c r="C3205" s="33" t="s">
        <v>13007</v>
      </c>
      <c r="D3205" s="61" t="s">
        <v>13008</v>
      </c>
      <c r="E3205" s="68"/>
      <c r="F3205" s="59"/>
      <c r="G3205" s="63" t="s">
        <v>13009</v>
      </c>
      <c r="H3205" s="59">
        <v>9.9879999999999995</v>
      </c>
    </row>
    <row r="3206" spans="1:8" ht="112.5" customHeight="1" x14ac:dyDescent="0.15">
      <c r="A3206" s="67">
        <v>3725</v>
      </c>
      <c r="B3206" s="33" t="s">
        <v>3492</v>
      </c>
      <c r="C3206" s="33" t="s">
        <v>13010</v>
      </c>
      <c r="D3206" s="61" t="s">
        <v>13011</v>
      </c>
      <c r="E3206" s="68"/>
      <c r="F3206" s="59"/>
      <c r="G3206" s="64" t="s">
        <v>13012</v>
      </c>
      <c r="H3206" s="59">
        <v>9.99</v>
      </c>
    </row>
    <row r="3207" spans="1:8" ht="112.5" customHeight="1" x14ac:dyDescent="0.15">
      <c r="A3207" s="67">
        <v>3607</v>
      </c>
      <c r="B3207" s="33" t="s">
        <v>3630</v>
      </c>
      <c r="C3207" s="33" t="s">
        <v>13013</v>
      </c>
      <c r="D3207" s="61" t="s">
        <v>13014</v>
      </c>
      <c r="E3207" s="68"/>
      <c r="F3207" s="59"/>
      <c r="G3207" s="63" t="s">
        <v>13015</v>
      </c>
      <c r="H3207" s="59">
        <v>9.9979999999999993</v>
      </c>
    </row>
    <row r="3208" spans="1:8" ht="112.5" customHeight="1" x14ac:dyDescent="0.15">
      <c r="A3208" s="69">
        <v>3900</v>
      </c>
      <c r="B3208" s="32" t="s">
        <v>12428</v>
      </c>
      <c r="C3208" s="32" t="s">
        <v>13016</v>
      </c>
      <c r="D3208" s="56" t="s">
        <v>13017</v>
      </c>
      <c r="E3208" s="68"/>
      <c r="F3208" s="59"/>
      <c r="G3208" s="64" t="s">
        <v>13018</v>
      </c>
      <c r="H3208" s="59">
        <v>9.99</v>
      </c>
    </row>
    <row r="3209" spans="1:8" ht="112.5" customHeight="1" x14ac:dyDescent="0.15">
      <c r="A3209" s="69">
        <v>3710</v>
      </c>
      <c r="B3209" s="32" t="s">
        <v>3822</v>
      </c>
      <c r="C3209" s="32" t="s">
        <v>13019</v>
      </c>
      <c r="D3209" s="56" t="s">
        <v>13020</v>
      </c>
      <c r="E3209" s="68"/>
      <c r="F3209" s="59"/>
      <c r="G3209" s="63" t="s">
        <v>13021</v>
      </c>
      <c r="H3209" s="59">
        <v>9.9139999999999997</v>
      </c>
    </row>
    <row r="3210" spans="1:8" ht="112.5" customHeight="1" x14ac:dyDescent="0.15">
      <c r="A3210" s="69">
        <v>1634</v>
      </c>
      <c r="B3210" s="32" t="s">
        <v>3818</v>
      </c>
      <c r="C3210" s="32" t="s">
        <v>13022</v>
      </c>
      <c r="D3210" s="56" t="s">
        <v>13023</v>
      </c>
      <c r="E3210" s="68"/>
      <c r="F3210" s="59"/>
      <c r="G3210" s="64" t="s">
        <v>13024</v>
      </c>
      <c r="H3210" s="59">
        <v>9.92</v>
      </c>
    </row>
    <row r="3211" spans="1:8" ht="112.5" customHeight="1" x14ac:dyDescent="0.15">
      <c r="A3211" s="69">
        <v>3872</v>
      </c>
      <c r="B3211" s="32" t="s">
        <v>3513</v>
      </c>
      <c r="C3211" s="32" t="s">
        <v>13025</v>
      </c>
      <c r="D3211" s="56" t="s">
        <v>13026</v>
      </c>
      <c r="E3211" s="68"/>
      <c r="F3211" s="59"/>
      <c r="G3211" s="63" t="s">
        <v>13027</v>
      </c>
      <c r="H3211" s="59">
        <v>9.9879999999999995</v>
      </c>
    </row>
    <row r="3212" spans="1:8" ht="112.5" customHeight="1" x14ac:dyDescent="0.15">
      <c r="A3212" s="67">
        <v>1431</v>
      </c>
      <c r="B3212" s="33" t="s">
        <v>3822</v>
      </c>
      <c r="C3212" s="33" t="s">
        <v>13028</v>
      </c>
      <c r="D3212" s="61" t="s">
        <v>13029</v>
      </c>
      <c r="E3212" s="68"/>
      <c r="F3212" s="59"/>
      <c r="G3212" s="64" t="s">
        <v>13030</v>
      </c>
      <c r="H3212" s="59">
        <v>0</v>
      </c>
    </row>
    <row r="3213" spans="1:8" ht="112.5" customHeight="1" x14ac:dyDescent="0.15">
      <c r="A3213" s="69">
        <v>3684</v>
      </c>
      <c r="B3213" s="32" t="s">
        <v>3630</v>
      </c>
      <c r="C3213" s="32" t="s">
        <v>13031</v>
      </c>
      <c r="D3213" s="56" t="s">
        <v>13032</v>
      </c>
      <c r="E3213" s="68"/>
      <c r="F3213" s="59"/>
      <c r="G3213" s="63" t="s">
        <v>13033</v>
      </c>
      <c r="H3213" s="59">
        <v>0</v>
      </c>
    </row>
    <row r="3214" spans="1:8" ht="112.5" customHeight="1" x14ac:dyDescent="0.15">
      <c r="A3214" s="67">
        <v>3587</v>
      </c>
      <c r="B3214" s="33" t="s">
        <v>3549</v>
      </c>
      <c r="C3214" s="33" t="s">
        <v>13034</v>
      </c>
      <c r="D3214" s="61" t="s">
        <v>13035</v>
      </c>
      <c r="E3214" s="68"/>
      <c r="F3214" s="59"/>
      <c r="G3214" s="64" t="s">
        <v>13036</v>
      </c>
      <c r="H3214" s="59">
        <v>0</v>
      </c>
    </row>
    <row r="3215" spans="1:8" ht="112.5" customHeight="1" x14ac:dyDescent="0.15">
      <c r="A3215" s="69">
        <v>3484</v>
      </c>
      <c r="B3215" s="32" t="s">
        <v>3513</v>
      </c>
      <c r="C3215" s="32" t="s">
        <v>13037</v>
      </c>
      <c r="D3215" s="56" t="s">
        <v>13038</v>
      </c>
      <c r="E3215" s="68"/>
      <c r="F3215" s="59"/>
      <c r="G3215" s="63" t="s">
        <v>13039</v>
      </c>
      <c r="H3215" s="59">
        <v>0</v>
      </c>
    </row>
    <row r="3216" spans="1:8" ht="112.5" customHeight="1" x14ac:dyDescent="0.15">
      <c r="A3216" s="69">
        <v>3502</v>
      </c>
      <c r="B3216" s="32" t="s">
        <v>3822</v>
      </c>
      <c r="C3216" s="32" t="s">
        <v>13040</v>
      </c>
      <c r="D3216" s="56" t="s">
        <v>13041</v>
      </c>
      <c r="E3216" s="68"/>
      <c r="F3216" s="59"/>
      <c r="G3216" s="64" t="s">
        <v>13042</v>
      </c>
      <c r="H3216" s="59">
        <v>0</v>
      </c>
    </row>
    <row r="3217" spans="1:13" ht="112.5" customHeight="1" x14ac:dyDescent="0.15">
      <c r="A3217" s="67">
        <v>3553</v>
      </c>
      <c r="B3217" s="33" t="s">
        <v>12428</v>
      </c>
      <c r="C3217" s="33" t="s">
        <v>13043</v>
      </c>
      <c r="D3217" s="61" t="s">
        <v>13044</v>
      </c>
      <c r="E3217" s="68"/>
      <c r="F3217" s="59"/>
      <c r="G3217" s="63" t="s">
        <v>13045</v>
      </c>
      <c r="H3217" s="59">
        <v>9.9</v>
      </c>
    </row>
    <row r="3218" spans="1:13" ht="112.5" customHeight="1" x14ac:dyDescent="0.15">
      <c r="A3218" s="69">
        <v>1432</v>
      </c>
      <c r="B3218" s="32" t="s">
        <v>3513</v>
      </c>
      <c r="C3218" s="32" t="s">
        <v>13046</v>
      </c>
      <c r="D3218" s="56" t="s">
        <v>13047</v>
      </c>
      <c r="E3218" s="68"/>
      <c r="F3218" s="59"/>
      <c r="G3218" s="64" t="s">
        <v>13048</v>
      </c>
      <c r="H3218" s="59">
        <v>0</v>
      </c>
    </row>
    <row r="3219" spans="1:13" ht="112.5" customHeight="1" x14ac:dyDescent="0.15">
      <c r="A3219" s="69">
        <v>4014</v>
      </c>
      <c r="B3219" s="32" t="s">
        <v>3822</v>
      </c>
      <c r="C3219" s="32" t="s">
        <v>13049</v>
      </c>
      <c r="D3219" s="56" t="s">
        <v>13050</v>
      </c>
      <c r="E3219" s="68"/>
      <c r="F3219" s="59"/>
      <c r="G3219" s="62" t="s">
        <v>13051</v>
      </c>
      <c r="H3219" s="59">
        <v>0</v>
      </c>
      <c r="I3219" s="29"/>
      <c r="J3219" s="29"/>
      <c r="K3219" s="29"/>
      <c r="L3219" s="29"/>
      <c r="M3219" s="29"/>
    </row>
    <row r="3220" spans="1:13" ht="112.5" customHeight="1" x14ac:dyDescent="0.15">
      <c r="A3220" s="69">
        <v>3626</v>
      </c>
      <c r="B3220" s="32" t="s">
        <v>3818</v>
      </c>
      <c r="C3220" s="32" t="s">
        <v>13052</v>
      </c>
      <c r="D3220" s="56" t="s">
        <v>13053</v>
      </c>
      <c r="E3220" s="68"/>
      <c r="F3220" s="59"/>
      <c r="G3220" s="58" t="s">
        <v>4733</v>
      </c>
      <c r="H3220" s="59">
        <v>0</v>
      </c>
      <c r="I3220" s="29"/>
      <c r="J3220" s="29"/>
      <c r="K3220" s="29"/>
      <c r="L3220" s="29"/>
      <c r="M3220" s="29"/>
    </row>
    <row r="3221" spans="1:13" ht="112.5" customHeight="1" x14ac:dyDescent="0.15">
      <c r="A3221" s="67">
        <v>3591</v>
      </c>
      <c r="B3221" s="33" t="s">
        <v>3818</v>
      </c>
      <c r="C3221" s="33" t="s">
        <v>13054</v>
      </c>
      <c r="D3221" s="61" t="s">
        <v>13055</v>
      </c>
      <c r="E3221" s="68"/>
      <c r="F3221" s="59"/>
      <c r="G3221" s="63" t="s">
        <v>13056</v>
      </c>
      <c r="H3221" s="59">
        <v>9.9380000000000006</v>
      </c>
    </row>
    <row r="3222" spans="1:13" ht="112.5" customHeight="1" x14ac:dyDescent="0.15">
      <c r="A3222" s="69">
        <v>3800</v>
      </c>
      <c r="B3222" s="32" t="s">
        <v>12428</v>
      </c>
      <c r="C3222" s="32" t="s">
        <v>13057</v>
      </c>
      <c r="D3222" s="56" t="s">
        <v>13058</v>
      </c>
      <c r="E3222" s="68"/>
      <c r="F3222" s="59"/>
      <c r="G3222" s="64" t="s">
        <v>13059</v>
      </c>
      <c r="H3222" s="59">
        <v>10</v>
      </c>
    </row>
    <row r="3223" spans="1:13" ht="112.5" customHeight="1" x14ac:dyDescent="0.15">
      <c r="A3223" s="67">
        <v>2145</v>
      </c>
      <c r="B3223" s="33" t="s">
        <v>3822</v>
      </c>
      <c r="C3223" s="33" t="s">
        <v>13060</v>
      </c>
      <c r="D3223" s="61" t="s">
        <v>13061</v>
      </c>
      <c r="E3223" s="68"/>
      <c r="F3223" s="59"/>
      <c r="G3223" s="63" t="s">
        <v>13062</v>
      </c>
      <c r="H3223" s="59">
        <v>9.9979999999999993</v>
      </c>
    </row>
    <row r="3224" spans="1:13" ht="112.5" customHeight="1" x14ac:dyDescent="0.15">
      <c r="A3224" s="69">
        <v>228</v>
      </c>
      <c r="B3224" s="32" t="s">
        <v>3822</v>
      </c>
      <c r="C3224" s="32" t="s">
        <v>13063</v>
      </c>
      <c r="D3224" s="56" t="s">
        <v>13064</v>
      </c>
      <c r="E3224" s="68"/>
      <c r="F3224" s="59"/>
      <c r="G3224" s="64" t="s">
        <v>13065</v>
      </c>
      <c r="H3224" s="59">
        <v>10</v>
      </c>
    </row>
    <row r="3225" spans="1:13" ht="112.5" customHeight="1" x14ac:dyDescent="0.15">
      <c r="A3225" s="69">
        <v>2146</v>
      </c>
      <c r="B3225" s="32" t="s">
        <v>3822</v>
      </c>
      <c r="C3225" s="32" t="s">
        <v>13066</v>
      </c>
      <c r="D3225" s="56" t="s">
        <v>13067</v>
      </c>
      <c r="E3225" s="68"/>
      <c r="F3225" s="59"/>
      <c r="G3225" s="63" t="s">
        <v>13068</v>
      </c>
      <c r="H3225" s="59">
        <v>9.9480000000000004</v>
      </c>
    </row>
    <row r="3226" spans="1:13" ht="112.5" customHeight="1" x14ac:dyDescent="0.15">
      <c r="A3226" s="69">
        <v>3756</v>
      </c>
      <c r="B3226" s="32" t="s">
        <v>3513</v>
      </c>
      <c r="C3226" s="32" t="s">
        <v>13069</v>
      </c>
      <c r="D3226" s="56" t="s">
        <v>13070</v>
      </c>
      <c r="E3226" s="68"/>
      <c r="F3226" s="59"/>
      <c r="G3226" s="64" t="s">
        <v>13071</v>
      </c>
      <c r="H3226" s="59">
        <v>9.9990000000000006</v>
      </c>
    </row>
    <row r="3227" spans="1:13" ht="112.5" customHeight="1" x14ac:dyDescent="0.15">
      <c r="A3227" s="67">
        <v>803</v>
      </c>
      <c r="B3227" s="33" t="s">
        <v>3818</v>
      </c>
      <c r="C3227" s="33" t="s">
        <v>13072</v>
      </c>
      <c r="D3227" s="61" t="s">
        <v>13073</v>
      </c>
      <c r="E3227" s="68"/>
      <c r="F3227" s="59"/>
      <c r="G3227" s="63" t="s">
        <v>13074</v>
      </c>
      <c r="H3227" s="59">
        <v>10</v>
      </c>
    </row>
    <row r="3228" spans="1:13" ht="112.5" customHeight="1" x14ac:dyDescent="0.15">
      <c r="A3228" s="67">
        <v>3809</v>
      </c>
      <c r="B3228" s="33" t="s">
        <v>3814</v>
      </c>
      <c r="C3228" s="33" t="s">
        <v>13075</v>
      </c>
      <c r="D3228" s="61" t="s">
        <v>13076</v>
      </c>
      <c r="E3228" s="68"/>
      <c r="F3228" s="59"/>
      <c r="G3228" s="64" t="s">
        <v>13077</v>
      </c>
      <c r="H3228" s="59">
        <v>10</v>
      </c>
    </row>
    <row r="3229" spans="1:13" ht="112.5" customHeight="1" x14ac:dyDescent="0.15">
      <c r="A3229" s="67">
        <v>4001</v>
      </c>
      <c r="B3229" s="33" t="s">
        <v>12428</v>
      </c>
      <c r="C3229" s="33" t="s">
        <v>13078</v>
      </c>
      <c r="D3229" s="61" t="s">
        <v>13079</v>
      </c>
      <c r="E3229" s="68"/>
      <c r="F3229" s="59"/>
      <c r="G3229" s="63" t="s">
        <v>13080</v>
      </c>
      <c r="H3229" s="59">
        <v>10</v>
      </c>
    </row>
    <row r="3230" spans="1:13" ht="112.5" customHeight="1" x14ac:dyDescent="0.15">
      <c r="A3230" s="67">
        <v>3953</v>
      </c>
      <c r="B3230" s="33" t="s">
        <v>3818</v>
      </c>
      <c r="C3230" s="33" t="s">
        <v>13081</v>
      </c>
      <c r="D3230" s="61" t="s">
        <v>13082</v>
      </c>
      <c r="E3230" s="68"/>
      <c r="F3230" s="59"/>
      <c r="G3230" s="64" t="s">
        <v>13083</v>
      </c>
      <c r="H3230" s="59">
        <v>9.9979999999999993</v>
      </c>
    </row>
    <row r="3231" spans="1:13" ht="112.5" customHeight="1" x14ac:dyDescent="0.15">
      <c r="A3231" s="67">
        <v>3963</v>
      </c>
      <c r="B3231" s="33" t="s">
        <v>12428</v>
      </c>
      <c r="C3231" s="33" t="s">
        <v>13084</v>
      </c>
      <c r="D3231" s="61" t="s">
        <v>13085</v>
      </c>
      <c r="E3231" s="68"/>
      <c r="F3231" s="59"/>
      <c r="G3231" s="63" t="s">
        <v>13086</v>
      </c>
      <c r="H3231" s="59">
        <v>0</v>
      </c>
    </row>
    <row r="3232" spans="1:13" ht="112.5" customHeight="1" x14ac:dyDescent="0.15">
      <c r="A3232" s="67">
        <v>1579</v>
      </c>
      <c r="B3232" s="33" t="s">
        <v>3533</v>
      </c>
      <c r="C3232" s="33" t="s">
        <v>13087</v>
      </c>
      <c r="D3232" s="61" t="s">
        <v>13088</v>
      </c>
      <c r="E3232" s="68"/>
      <c r="F3232" s="59"/>
      <c r="G3232" s="64" t="s">
        <v>13089</v>
      </c>
      <c r="H3232" s="59">
        <v>0</v>
      </c>
    </row>
    <row r="3233" spans="1:13" ht="112.5" customHeight="1" x14ac:dyDescent="0.15">
      <c r="A3233" s="67">
        <v>3237</v>
      </c>
      <c r="B3233" s="33" t="s">
        <v>3818</v>
      </c>
      <c r="C3233" s="33" t="s">
        <v>13090</v>
      </c>
      <c r="D3233" s="61" t="s">
        <v>13091</v>
      </c>
      <c r="E3233" s="68"/>
      <c r="F3233" s="59"/>
      <c r="G3233" s="63" t="s">
        <v>13092</v>
      </c>
      <c r="H3233" s="59">
        <v>0</v>
      </c>
    </row>
    <row r="3234" spans="1:13" ht="112.5" customHeight="1" x14ac:dyDescent="0.15">
      <c r="A3234" s="67">
        <v>3487</v>
      </c>
      <c r="B3234" s="33" t="s">
        <v>3630</v>
      </c>
      <c r="C3234" s="33" t="s">
        <v>13093</v>
      </c>
      <c r="D3234" s="61" t="s">
        <v>13094</v>
      </c>
      <c r="E3234" s="68"/>
      <c r="F3234" s="59"/>
      <c r="G3234" s="64" t="s">
        <v>13095</v>
      </c>
      <c r="H3234" s="59">
        <v>9.9939999999999998</v>
      </c>
    </row>
    <row r="3235" spans="1:13" ht="112.5" customHeight="1" x14ac:dyDescent="0.15">
      <c r="A3235" s="67">
        <v>3495</v>
      </c>
      <c r="B3235" s="33" t="s">
        <v>3822</v>
      </c>
      <c r="C3235" s="33" t="s">
        <v>13096</v>
      </c>
      <c r="D3235" s="61" t="s">
        <v>13097</v>
      </c>
      <c r="E3235" s="68"/>
      <c r="F3235" s="59"/>
      <c r="G3235" s="63" t="s">
        <v>13098</v>
      </c>
      <c r="H3235" s="59">
        <v>9.9930000000000003</v>
      </c>
    </row>
    <row r="3236" spans="1:13" ht="112.5" customHeight="1" x14ac:dyDescent="0.15">
      <c r="A3236" s="69">
        <v>3564</v>
      </c>
      <c r="B3236" s="32" t="s">
        <v>3814</v>
      </c>
      <c r="C3236" s="32" t="s">
        <v>13099</v>
      </c>
      <c r="D3236" s="56" t="s">
        <v>13100</v>
      </c>
      <c r="E3236" s="68"/>
      <c r="F3236" s="59"/>
      <c r="G3236" s="64" t="s">
        <v>13101</v>
      </c>
      <c r="H3236" s="59">
        <v>9.9390000000000001</v>
      </c>
    </row>
    <row r="3237" spans="1:13" ht="112.5" customHeight="1" x14ac:dyDescent="0.15">
      <c r="A3237" s="69">
        <v>1912</v>
      </c>
      <c r="B3237" s="32" t="s">
        <v>3492</v>
      </c>
      <c r="C3237" s="32" t="s">
        <v>13102</v>
      </c>
      <c r="D3237" s="56" t="s">
        <v>13103</v>
      </c>
      <c r="E3237" s="68"/>
      <c r="F3237" s="59"/>
      <c r="G3237" s="63" t="s">
        <v>13104</v>
      </c>
      <c r="H3237" s="59">
        <v>9.9990000000000006</v>
      </c>
    </row>
    <row r="3238" spans="1:13" ht="112.5" customHeight="1" x14ac:dyDescent="0.15">
      <c r="A3238" s="69">
        <v>1238</v>
      </c>
      <c r="B3238" s="32" t="s">
        <v>3822</v>
      </c>
      <c r="C3238" s="32" t="s">
        <v>13105</v>
      </c>
      <c r="D3238" s="56" t="s">
        <v>13106</v>
      </c>
      <c r="E3238" s="68"/>
      <c r="F3238" s="59"/>
      <c r="G3238" s="58" t="s">
        <v>13107</v>
      </c>
      <c r="H3238" s="59">
        <v>0</v>
      </c>
      <c r="I3238" s="29"/>
      <c r="J3238" s="29"/>
      <c r="K3238" s="29"/>
      <c r="L3238" s="29"/>
      <c r="M3238" s="29"/>
    </row>
    <row r="3239" spans="1:13" ht="112.5" customHeight="1" x14ac:dyDescent="0.15">
      <c r="A3239" s="67">
        <v>3717</v>
      </c>
      <c r="B3239" s="33" t="s">
        <v>3822</v>
      </c>
      <c r="C3239" s="33" t="s">
        <v>13108</v>
      </c>
      <c r="D3239" s="61" t="s">
        <v>13109</v>
      </c>
      <c r="E3239" s="68"/>
      <c r="F3239" s="59"/>
      <c r="G3239" s="63" t="s">
        <v>13110</v>
      </c>
      <c r="H3239" s="59">
        <v>9.9640000000000004</v>
      </c>
    </row>
    <row r="3240" spans="1:13" ht="112.5" customHeight="1" x14ac:dyDescent="0.15">
      <c r="A3240" s="67">
        <v>1239</v>
      </c>
      <c r="B3240" s="33" t="s">
        <v>3814</v>
      </c>
      <c r="C3240" s="33" t="s">
        <v>13111</v>
      </c>
      <c r="D3240" s="61" t="s">
        <v>13112</v>
      </c>
      <c r="E3240" s="68"/>
      <c r="F3240" s="59"/>
      <c r="G3240" s="64" t="s">
        <v>13113</v>
      </c>
      <c r="H3240" s="59">
        <v>9.9169999999999998</v>
      </c>
    </row>
    <row r="3241" spans="1:13" ht="112.5" customHeight="1" x14ac:dyDescent="0.15">
      <c r="A3241" s="67">
        <v>3575</v>
      </c>
      <c r="B3241" s="33" t="s">
        <v>3818</v>
      </c>
      <c r="C3241" s="33" t="s">
        <v>13114</v>
      </c>
      <c r="D3241" s="61" t="s">
        <v>13115</v>
      </c>
      <c r="E3241" s="68"/>
      <c r="F3241" s="59"/>
      <c r="G3241" s="63" t="s">
        <v>13116</v>
      </c>
      <c r="H3241" s="59">
        <v>9.9480000000000004</v>
      </c>
    </row>
    <row r="3242" spans="1:13" ht="112.5" customHeight="1" x14ac:dyDescent="0.15">
      <c r="A3242" s="67">
        <v>4023</v>
      </c>
      <c r="B3242" s="33" t="s">
        <v>12428</v>
      </c>
      <c r="C3242" s="33" t="s">
        <v>13117</v>
      </c>
      <c r="D3242" s="61" t="s">
        <v>13118</v>
      </c>
      <c r="E3242" s="68"/>
      <c r="F3242" s="59"/>
      <c r="G3242" s="64" t="s">
        <v>13119</v>
      </c>
      <c r="H3242" s="59">
        <v>9.9949999999999992</v>
      </c>
    </row>
    <row r="3243" spans="1:13" ht="112.5" customHeight="1" x14ac:dyDescent="0.15">
      <c r="A3243" s="69">
        <v>3172</v>
      </c>
      <c r="B3243" s="32" t="s">
        <v>12428</v>
      </c>
      <c r="C3243" s="32" t="s">
        <v>13120</v>
      </c>
      <c r="D3243" s="56" t="s">
        <v>13121</v>
      </c>
      <c r="E3243" s="68"/>
      <c r="F3243" s="59"/>
      <c r="G3243" s="63" t="s">
        <v>13122</v>
      </c>
      <c r="H3243" s="59">
        <v>9.9710000000000001</v>
      </c>
    </row>
    <row r="3244" spans="1:13" ht="112.5" customHeight="1" x14ac:dyDescent="0.15">
      <c r="A3244" s="67">
        <v>3619</v>
      </c>
      <c r="B3244" s="33" t="s">
        <v>3814</v>
      </c>
      <c r="C3244" s="33" t="s">
        <v>13123</v>
      </c>
      <c r="D3244" s="61" t="s">
        <v>13124</v>
      </c>
      <c r="E3244" s="68"/>
      <c r="F3244" s="59"/>
      <c r="G3244" s="64" t="s">
        <v>13125</v>
      </c>
      <c r="H3244" s="59">
        <v>9.952</v>
      </c>
    </row>
    <row r="3245" spans="1:13" ht="112.5" customHeight="1" x14ac:dyDescent="0.15">
      <c r="A3245" s="67">
        <v>479</v>
      </c>
      <c r="B3245" s="33" t="s">
        <v>3556</v>
      </c>
      <c r="C3245" s="33" t="s">
        <v>13126</v>
      </c>
      <c r="D3245" s="61" t="s">
        <v>13127</v>
      </c>
      <c r="E3245" s="68"/>
      <c r="F3245" s="59"/>
      <c r="G3245" s="63" t="s">
        <v>13128</v>
      </c>
      <c r="H3245" s="59">
        <v>9.9369999999999994</v>
      </c>
    </row>
    <row r="3246" spans="1:13" ht="112.5" customHeight="1" x14ac:dyDescent="0.15">
      <c r="A3246" s="69">
        <v>3924</v>
      </c>
      <c r="B3246" s="32" t="s">
        <v>3492</v>
      </c>
      <c r="C3246" s="32" t="s">
        <v>13129</v>
      </c>
      <c r="D3246" s="56" t="s">
        <v>13130</v>
      </c>
      <c r="E3246" s="68"/>
      <c r="F3246" s="59"/>
      <c r="G3246" s="64" t="s">
        <v>13131</v>
      </c>
      <c r="H3246" s="59">
        <v>9.9979999999999993</v>
      </c>
    </row>
    <row r="3247" spans="1:13" ht="112.5" customHeight="1" x14ac:dyDescent="0.15">
      <c r="A3247" s="67">
        <v>3893</v>
      </c>
      <c r="B3247" s="33" t="s">
        <v>3814</v>
      </c>
      <c r="C3247" s="33" t="s">
        <v>13132</v>
      </c>
      <c r="D3247" s="61" t="s">
        <v>13133</v>
      </c>
      <c r="E3247" s="68"/>
      <c r="F3247" s="59"/>
      <c r="G3247" s="63" t="s">
        <v>13134</v>
      </c>
      <c r="H3247" s="59">
        <v>9.9979999999999993</v>
      </c>
    </row>
    <row r="3248" spans="1:13" ht="112.5" customHeight="1" x14ac:dyDescent="0.15">
      <c r="A3248" s="67">
        <v>237</v>
      </c>
      <c r="B3248" s="33" t="s">
        <v>3822</v>
      </c>
      <c r="C3248" s="33" t="s">
        <v>13135</v>
      </c>
      <c r="D3248" s="61" t="s">
        <v>13136</v>
      </c>
      <c r="E3248" s="68"/>
      <c r="F3248" s="59"/>
      <c r="G3248" s="64" t="s">
        <v>13137</v>
      </c>
      <c r="H3248" s="59">
        <v>9.9990000000000006</v>
      </c>
    </row>
    <row r="3249" spans="1:8" ht="112.5" customHeight="1" x14ac:dyDescent="0.15">
      <c r="A3249" s="69">
        <v>3540</v>
      </c>
      <c r="B3249" s="32" t="s">
        <v>12428</v>
      </c>
      <c r="C3249" s="32" t="s">
        <v>13138</v>
      </c>
      <c r="D3249" s="56" t="s">
        <v>13139</v>
      </c>
      <c r="E3249" s="68"/>
      <c r="F3249" s="59"/>
      <c r="G3249" s="63" t="s">
        <v>13140</v>
      </c>
      <c r="H3249" s="59">
        <v>0</v>
      </c>
    </row>
    <row r="3250" spans="1:8" ht="112.5" customHeight="1" x14ac:dyDescent="0.15">
      <c r="A3250" s="67">
        <v>4029</v>
      </c>
      <c r="B3250" s="33" t="s">
        <v>3599</v>
      </c>
      <c r="C3250" s="33" t="s">
        <v>13141</v>
      </c>
      <c r="D3250" s="61" t="s">
        <v>13142</v>
      </c>
      <c r="E3250" s="68"/>
      <c r="F3250" s="59"/>
      <c r="G3250" s="64" t="s">
        <v>13143</v>
      </c>
      <c r="H3250" s="59">
        <v>0</v>
      </c>
    </row>
    <row r="3251" spans="1:8" ht="112.5" customHeight="1" x14ac:dyDescent="0.15">
      <c r="A3251" s="69">
        <v>458</v>
      </c>
      <c r="B3251" s="32" t="s">
        <v>3822</v>
      </c>
      <c r="C3251" s="32" t="s">
        <v>13144</v>
      </c>
      <c r="D3251" s="56" t="s">
        <v>13145</v>
      </c>
      <c r="E3251" s="68"/>
      <c r="F3251" s="59"/>
      <c r="G3251" s="63" t="s">
        <v>13146</v>
      </c>
      <c r="H3251" s="59">
        <v>9.99</v>
      </c>
    </row>
    <row r="3252" spans="1:8" ht="112.5" customHeight="1" x14ac:dyDescent="0.15">
      <c r="A3252" s="67">
        <v>461</v>
      </c>
      <c r="B3252" s="33" t="s">
        <v>3822</v>
      </c>
      <c r="C3252" s="33" t="s">
        <v>13147</v>
      </c>
      <c r="D3252" s="61" t="s">
        <v>13148</v>
      </c>
      <c r="E3252" s="68"/>
      <c r="F3252" s="59"/>
      <c r="G3252" s="64" t="s">
        <v>13149</v>
      </c>
      <c r="H3252" s="59">
        <v>9.9969999999999999</v>
      </c>
    </row>
    <row r="3253" spans="1:8" ht="112.5" customHeight="1" x14ac:dyDescent="0.15">
      <c r="A3253" s="67">
        <v>3701</v>
      </c>
      <c r="B3253" s="33" t="s">
        <v>3822</v>
      </c>
      <c r="C3253" s="33" t="s">
        <v>13150</v>
      </c>
      <c r="D3253" s="61" t="s">
        <v>13151</v>
      </c>
      <c r="E3253" s="68"/>
      <c r="F3253" s="59"/>
      <c r="G3253" s="63" t="s">
        <v>13152</v>
      </c>
      <c r="H3253" s="59">
        <v>9.9949999999999992</v>
      </c>
    </row>
    <row r="3254" spans="1:8" ht="112.5" customHeight="1" x14ac:dyDescent="0.15">
      <c r="A3254" s="67">
        <v>471</v>
      </c>
      <c r="B3254" s="33" t="s">
        <v>3513</v>
      </c>
      <c r="C3254" s="33" t="s">
        <v>13153</v>
      </c>
      <c r="D3254" s="61" t="s">
        <v>13154</v>
      </c>
      <c r="E3254" s="68"/>
      <c r="F3254" s="59"/>
      <c r="G3254" s="64" t="s">
        <v>13155</v>
      </c>
      <c r="H3254" s="59">
        <v>10</v>
      </c>
    </row>
    <row r="3255" spans="1:8" ht="112.5" customHeight="1" x14ac:dyDescent="0.15">
      <c r="A3255" s="67">
        <v>3745</v>
      </c>
      <c r="B3255" s="33" t="s">
        <v>3822</v>
      </c>
      <c r="C3255" s="33" t="s">
        <v>13156</v>
      </c>
      <c r="D3255" s="61" t="s">
        <v>13157</v>
      </c>
      <c r="E3255" s="68"/>
      <c r="F3255" s="59"/>
      <c r="G3255" s="63" t="s">
        <v>13158</v>
      </c>
      <c r="H3255" s="59">
        <v>9.9949999999999992</v>
      </c>
    </row>
    <row r="3256" spans="1:8" ht="112.5" customHeight="1" x14ac:dyDescent="0.15">
      <c r="A3256" s="69">
        <v>442</v>
      </c>
      <c r="B3256" s="32" t="s">
        <v>3818</v>
      </c>
      <c r="C3256" s="32" t="s">
        <v>13159</v>
      </c>
      <c r="D3256" s="56" t="s">
        <v>13160</v>
      </c>
      <c r="E3256" s="68"/>
      <c r="F3256" s="59"/>
      <c r="G3256" s="64" t="s">
        <v>13161</v>
      </c>
      <c r="H3256" s="59">
        <v>10</v>
      </c>
    </row>
    <row r="3257" spans="1:8" ht="112.5" customHeight="1" x14ac:dyDescent="0.15">
      <c r="A3257" s="69">
        <v>3720</v>
      </c>
      <c r="B3257" s="32" t="s">
        <v>3549</v>
      </c>
      <c r="C3257" s="32" t="s">
        <v>13162</v>
      </c>
      <c r="D3257" s="56" t="s">
        <v>13163</v>
      </c>
      <c r="E3257" s="68"/>
      <c r="F3257" s="59"/>
      <c r="G3257" s="63" t="s">
        <v>13164</v>
      </c>
      <c r="H3257" s="59">
        <v>9.9879999999999995</v>
      </c>
    </row>
    <row r="3258" spans="1:8" ht="112.5" customHeight="1" x14ac:dyDescent="0.15">
      <c r="A3258" s="67">
        <v>3477</v>
      </c>
      <c r="B3258" s="33" t="s">
        <v>3814</v>
      </c>
      <c r="C3258" s="33" t="s">
        <v>13165</v>
      </c>
      <c r="D3258" s="61" t="s">
        <v>13166</v>
      </c>
      <c r="E3258" s="68"/>
      <c r="F3258" s="59"/>
      <c r="G3258" s="64" t="s">
        <v>13167</v>
      </c>
      <c r="H3258" s="59">
        <v>9.9930000000000003</v>
      </c>
    </row>
    <row r="3259" spans="1:8" ht="112.5" customHeight="1" x14ac:dyDescent="0.15">
      <c r="A3259" s="69">
        <v>3918</v>
      </c>
      <c r="B3259" s="32" t="s">
        <v>12428</v>
      </c>
      <c r="C3259" s="32" t="s">
        <v>13168</v>
      </c>
      <c r="D3259" s="56" t="s">
        <v>13169</v>
      </c>
      <c r="E3259" s="68"/>
      <c r="F3259" s="59"/>
      <c r="G3259" s="63" t="s">
        <v>13170</v>
      </c>
      <c r="H3259" s="59">
        <v>9.9949999999999992</v>
      </c>
    </row>
    <row r="3260" spans="1:8" ht="112.5" customHeight="1" x14ac:dyDescent="0.15">
      <c r="A3260" s="69">
        <v>3586</v>
      </c>
      <c r="B3260" s="32" t="s">
        <v>3549</v>
      </c>
      <c r="C3260" s="32" t="s">
        <v>13171</v>
      </c>
      <c r="D3260" s="56" t="s">
        <v>13172</v>
      </c>
      <c r="E3260" s="68"/>
      <c r="F3260" s="59"/>
      <c r="G3260" s="64" t="s">
        <v>13173</v>
      </c>
      <c r="H3260" s="59">
        <v>54</v>
      </c>
    </row>
    <row r="3261" spans="1:8" ht="112.5" customHeight="1" x14ac:dyDescent="0.15">
      <c r="A3261" s="67">
        <v>3501</v>
      </c>
      <c r="B3261" s="33" t="s">
        <v>3822</v>
      </c>
      <c r="C3261" s="33" t="s">
        <v>13174</v>
      </c>
      <c r="D3261" s="61" t="s">
        <v>13175</v>
      </c>
      <c r="E3261" s="68"/>
      <c r="F3261" s="59"/>
      <c r="G3261" s="63" t="s">
        <v>13176</v>
      </c>
      <c r="H3261" s="59">
        <v>0</v>
      </c>
    </row>
    <row r="3262" spans="1:8" ht="112.5" customHeight="1" x14ac:dyDescent="0.15">
      <c r="A3262" s="67">
        <v>3787</v>
      </c>
      <c r="B3262" s="33" t="s">
        <v>3818</v>
      </c>
      <c r="C3262" s="33" t="s">
        <v>13177</v>
      </c>
      <c r="D3262" s="61" t="s">
        <v>13178</v>
      </c>
      <c r="E3262" s="68"/>
      <c r="F3262" s="59"/>
      <c r="G3262" s="64" t="s">
        <v>13179</v>
      </c>
      <c r="H3262" s="59">
        <v>9.9939999999999998</v>
      </c>
    </row>
    <row r="3263" spans="1:8" ht="112.5" customHeight="1" x14ac:dyDescent="0.15">
      <c r="A3263" s="69">
        <v>3888</v>
      </c>
      <c r="B3263" s="32" t="s">
        <v>3526</v>
      </c>
      <c r="C3263" s="32" t="s">
        <v>13180</v>
      </c>
      <c r="D3263" s="56" t="s">
        <v>13181</v>
      </c>
      <c r="E3263" s="68"/>
      <c r="F3263" s="59"/>
      <c r="G3263" s="63" t="s">
        <v>13182</v>
      </c>
      <c r="H3263" s="59">
        <v>9.99</v>
      </c>
    </row>
    <row r="3264" spans="1:8" ht="112.5" customHeight="1" x14ac:dyDescent="0.15">
      <c r="A3264" s="69">
        <v>3654</v>
      </c>
      <c r="B3264" s="32" t="s">
        <v>3533</v>
      </c>
      <c r="C3264" s="32" t="s">
        <v>13183</v>
      </c>
      <c r="D3264" s="56" t="s">
        <v>13184</v>
      </c>
      <c r="E3264" s="68"/>
      <c r="F3264" s="59"/>
      <c r="G3264" s="64" t="s">
        <v>13185</v>
      </c>
      <c r="H3264" s="59">
        <v>10</v>
      </c>
    </row>
    <row r="3265" spans="1:13" ht="112.5" customHeight="1" x14ac:dyDescent="0.15">
      <c r="A3265" s="67">
        <v>259</v>
      </c>
      <c r="B3265" s="33" t="s">
        <v>3599</v>
      </c>
      <c r="C3265" s="33" t="s">
        <v>13186</v>
      </c>
      <c r="D3265" s="61" t="s">
        <v>13187</v>
      </c>
      <c r="E3265" s="68"/>
      <c r="F3265" s="59"/>
      <c r="G3265" s="63" t="s">
        <v>13188</v>
      </c>
      <c r="H3265" s="59">
        <v>9.9809999999999999</v>
      </c>
    </row>
    <row r="3266" spans="1:13" ht="112.5" customHeight="1" x14ac:dyDescent="0.15">
      <c r="A3266" s="69">
        <v>3622</v>
      </c>
      <c r="B3266" s="32" t="s">
        <v>3814</v>
      </c>
      <c r="C3266" s="32" t="s">
        <v>13189</v>
      </c>
      <c r="D3266" s="56" t="s">
        <v>13190</v>
      </c>
      <c r="E3266" s="68"/>
      <c r="F3266" s="59"/>
      <c r="G3266" s="64" t="s">
        <v>13191</v>
      </c>
      <c r="H3266" s="59">
        <v>9.968</v>
      </c>
    </row>
    <row r="3267" spans="1:13" ht="112.5" customHeight="1" x14ac:dyDescent="0.15">
      <c r="A3267" s="67">
        <v>3837</v>
      </c>
      <c r="B3267" s="33" t="s">
        <v>3556</v>
      </c>
      <c r="C3267" s="33" t="s">
        <v>13192</v>
      </c>
      <c r="D3267" s="61" t="s">
        <v>13193</v>
      </c>
      <c r="E3267" s="68"/>
      <c r="F3267" s="59"/>
      <c r="G3267" s="63" t="s">
        <v>13194</v>
      </c>
      <c r="H3267" s="59">
        <v>0</v>
      </c>
    </row>
    <row r="3268" spans="1:13" ht="112.5" customHeight="1" x14ac:dyDescent="0.15">
      <c r="A3268" s="67">
        <v>239</v>
      </c>
      <c r="B3268" s="33" t="s">
        <v>3814</v>
      </c>
      <c r="C3268" s="33" t="s">
        <v>13195</v>
      </c>
      <c r="D3268" s="61" t="s">
        <v>13196</v>
      </c>
      <c r="E3268" s="68"/>
      <c r="F3268" s="59"/>
      <c r="G3268" s="64" t="s">
        <v>13197</v>
      </c>
      <c r="H3268" s="59">
        <v>0</v>
      </c>
    </row>
    <row r="3269" spans="1:13" ht="112.5" customHeight="1" x14ac:dyDescent="0.15">
      <c r="A3269" s="67">
        <v>3219</v>
      </c>
      <c r="B3269" s="33" t="s">
        <v>12428</v>
      </c>
      <c r="C3269" s="33" t="s">
        <v>13198</v>
      </c>
      <c r="D3269" s="61" t="s">
        <v>13199</v>
      </c>
      <c r="E3269" s="68"/>
      <c r="F3269" s="59"/>
      <c r="G3269" s="63" t="s">
        <v>13200</v>
      </c>
      <c r="H3269" s="59">
        <v>9.9819999999999993</v>
      </c>
    </row>
    <row r="3270" spans="1:13" ht="112.5" customHeight="1" x14ac:dyDescent="0.15">
      <c r="A3270" s="69">
        <v>268</v>
      </c>
      <c r="B3270" s="32" t="s">
        <v>3513</v>
      </c>
      <c r="C3270" s="32" t="s">
        <v>13201</v>
      </c>
      <c r="D3270" s="56" t="s">
        <v>13202</v>
      </c>
      <c r="E3270" s="68"/>
      <c r="F3270" s="59"/>
      <c r="G3270" s="64" t="s">
        <v>4730</v>
      </c>
      <c r="H3270" s="59">
        <v>9.9819999999999993</v>
      </c>
    </row>
    <row r="3271" spans="1:13" ht="112.5" customHeight="1" x14ac:dyDescent="0.15">
      <c r="A3271" s="69">
        <v>3754</v>
      </c>
      <c r="B3271" s="32" t="s">
        <v>3630</v>
      </c>
      <c r="C3271" s="32" t="s">
        <v>13203</v>
      </c>
      <c r="D3271" s="56" t="s">
        <v>13204</v>
      </c>
      <c r="E3271" s="68"/>
      <c r="F3271" s="59"/>
      <c r="G3271" s="63" t="s">
        <v>13205</v>
      </c>
      <c r="H3271" s="59">
        <v>9.9849999999999994</v>
      </c>
    </row>
    <row r="3272" spans="1:13" ht="112.5" customHeight="1" x14ac:dyDescent="0.15">
      <c r="A3272" s="69">
        <v>3662</v>
      </c>
      <c r="B3272" s="32" t="s">
        <v>3818</v>
      </c>
      <c r="C3272" s="32" t="s">
        <v>13206</v>
      </c>
      <c r="D3272" s="56" t="s">
        <v>13207</v>
      </c>
      <c r="E3272" s="68"/>
      <c r="F3272" s="59"/>
      <c r="G3272" s="64" t="s">
        <v>4409</v>
      </c>
      <c r="H3272" s="59">
        <v>9.923</v>
      </c>
    </row>
    <row r="3273" spans="1:13" ht="112.5" customHeight="1" x14ac:dyDescent="0.15">
      <c r="A3273" s="67">
        <v>269</v>
      </c>
      <c r="B3273" s="33" t="s">
        <v>3526</v>
      </c>
      <c r="C3273" s="33" t="s">
        <v>13208</v>
      </c>
      <c r="D3273" s="61" t="s">
        <v>13209</v>
      </c>
      <c r="E3273" s="68"/>
      <c r="F3273" s="59"/>
      <c r="G3273" s="63" t="s">
        <v>13210</v>
      </c>
      <c r="H3273" s="59">
        <v>9.9949999999999992</v>
      </c>
    </row>
    <row r="3274" spans="1:13" ht="112.5" customHeight="1" x14ac:dyDescent="0.15">
      <c r="A3274" s="67">
        <v>3769</v>
      </c>
      <c r="B3274" s="33" t="s">
        <v>3549</v>
      </c>
      <c r="C3274" s="33" t="s">
        <v>13211</v>
      </c>
      <c r="D3274" s="61" t="s">
        <v>13212</v>
      </c>
      <c r="E3274" s="68"/>
      <c r="F3274" s="59"/>
      <c r="G3274" s="64" t="s">
        <v>13213</v>
      </c>
      <c r="H3274" s="59">
        <v>9.9960000000000004</v>
      </c>
    </row>
    <row r="3275" spans="1:13" ht="112.5" customHeight="1" x14ac:dyDescent="0.15">
      <c r="A3275" s="69">
        <v>3546</v>
      </c>
      <c r="B3275" s="32" t="s">
        <v>12428</v>
      </c>
      <c r="C3275" s="32" t="s">
        <v>13214</v>
      </c>
      <c r="D3275" s="56" t="s">
        <v>13215</v>
      </c>
      <c r="E3275" s="68"/>
      <c r="F3275" s="59"/>
      <c r="G3275" s="63" t="s">
        <v>13216</v>
      </c>
      <c r="H3275" s="59">
        <v>9.9949999999999992</v>
      </c>
    </row>
    <row r="3276" spans="1:13" ht="112.5" customHeight="1" x14ac:dyDescent="0.15">
      <c r="A3276" s="67">
        <v>3697</v>
      </c>
      <c r="B3276" s="33" t="s">
        <v>3549</v>
      </c>
      <c r="C3276" s="33" t="s">
        <v>13217</v>
      </c>
      <c r="D3276" s="61" t="s">
        <v>13218</v>
      </c>
      <c r="E3276" s="68"/>
      <c r="F3276" s="59"/>
      <c r="G3276" s="64" t="s">
        <v>13219</v>
      </c>
      <c r="H3276" s="59">
        <v>10</v>
      </c>
    </row>
    <row r="3277" spans="1:13" ht="112.5" customHeight="1" x14ac:dyDescent="0.15">
      <c r="A3277" s="67">
        <v>3643</v>
      </c>
      <c r="B3277" s="33" t="s">
        <v>12428</v>
      </c>
      <c r="C3277" s="33" t="s">
        <v>13220</v>
      </c>
      <c r="D3277" s="61" t="s">
        <v>13221</v>
      </c>
      <c r="E3277" s="68"/>
      <c r="F3277" s="59"/>
      <c r="G3277" s="63" t="s">
        <v>13222</v>
      </c>
      <c r="H3277" s="59">
        <v>9.984</v>
      </c>
    </row>
    <row r="3278" spans="1:13" ht="112.5" customHeight="1" x14ac:dyDescent="0.15">
      <c r="A3278" s="67">
        <v>3441</v>
      </c>
      <c r="B3278" s="33" t="s">
        <v>3630</v>
      </c>
      <c r="C3278" s="33" t="s">
        <v>13223</v>
      </c>
      <c r="D3278" s="61" t="s">
        <v>13224</v>
      </c>
      <c r="E3278" s="68"/>
      <c r="F3278" s="59"/>
      <c r="G3278" s="58" t="s">
        <v>13225</v>
      </c>
      <c r="H3278" s="59">
        <v>0</v>
      </c>
      <c r="I3278" s="29"/>
      <c r="J3278" s="29"/>
      <c r="K3278" s="29"/>
      <c r="L3278" s="29"/>
      <c r="M3278" s="29"/>
    </row>
    <row r="3279" spans="1:13" ht="112.5" customHeight="1" x14ac:dyDescent="0.15">
      <c r="A3279" s="67">
        <v>3509</v>
      </c>
      <c r="B3279" s="33" t="s">
        <v>3822</v>
      </c>
      <c r="C3279" s="33" t="s">
        <v>13226</v>
      </c>
      <c r="D3279" s="61" t="s">
        <v>13227</v>
      </c>
      <c r="E3279" s="68"/>
      <c r="F3279" s="59"/>
      <c r="G3279" s="63" t="s">
        <v>13228</v>
      </c>
      <c r="H3279" s="59">
        <v>9.9979999999999993</v>
      </c>
    </row>
    <row r="3280" spans="1:13" ht="112.5" customHeight="1" x14ac:dyDescent="0.15">
      <c r="A3280" s="69">
        <v>3814</v>
      </c>
      <c r="B3280" s="32" t="s">
        <v>3814</v>
      </c>
      <c r="C3280" s="32" t="s">
        <v>13229</v>
      </c>
      <c r="D3280" s="56" t="s">
        <v>13230</v>
      </c>
      <c r="E3280" s="68"/>
      <c r="F3280" s="59"/>
      <c r="G3280" s="64" t="s">
        <v>13231</v>
      </c>
      <c r="H3280" s="59">
        <v>9.9420000000000002</v>
      </c>
    </row>
    <row r="3281" spans="1:8" ht="112.5" customHeight="1" x14ac:dyDescent="0.15">
      <c r="A3281" s="69">
        <v>3712</v>
      </c>
      <c r="B3281" s="32" t="s">
        <v>3822</v>
      </c>
      <c r="C3281" s="32" t="s">
        <v>13232</v>
      </c>
      <c r="D3281" s="56" t="s">
        <v>13233</v>
      </c>
      <c r="E3281" s="68"/>
      <c r="F3281" s="59"/>
      <c r="G3281" s="63" t="s">
        <v>13234</v>
      </c>
      <c r="H3281" s="59">
        <v>9.8810000000000002</v>
      </c>
    </row>
    <row r="3282" spans="1:8" ht="112.5" customHeight="1" x14ac:dyDescent="0.15">
      <c r="A3282" s="69">
        <v>3638</v>
      </c>
      <c r="B3282" s="32" t="s">
        <v>3496</v>
      </c>
      <c r="C3282" s="32" t="s">
        <v>13235</v>
      </c>
      <c r="D3282" s="56" t="s">
        <v>13236</v>
      </c>
      <c r="E3282" s="68"/>
      <c r="F3282" s="59"/>
      <c r="G3282" s="64" t="s">
        <v>13237</v>
      </c>
      <c r="H3282" s="59">
        <v>9.9619999999999997</v>
      </c>
    </row>
    <row r="3283" spans="1:8" ht="112.5" customHeight="1" x14ac:dyDescent="0.15">
      <c r="A3283" s="69">
        <v>450</v>
      </c>
      <c r="B3283" s="32" t="s">
        <v>3549</v>
      </c>
      <c r="C3283" s="32" t="s">
        <v>13238</v>
      </c>
      <c r="D3283" s="56" t="s">
        <v>13239</v>
      </c>
      <c r="E3283" s="68"/>
      <c r="F3283" s="59"/>
      <c r="G3283" s="63" t="s">
        <v>13240</v>
      </c>
      <c r="H3283" s="59">
        <v>10</v>
      </c>
    </row>
    <row r="3284" spans="1:8" ht="112.5" customHeight="1" x14ac:dyDescent="0.15">
      <c r="A3284" s="67">
        <v>3871</v>
      </c>
      <c r="B3284" s="33" t="s">
        <v>3822</v>
      </c>
      <c r="C3284" s="33" t="s">
        <v>13241</v>
      </c>
      <c r="D3284" s="61" t="s">
        <v>13242</v>
      </c>
      <c r="E3284" s="68"/>
      <c r="F3284" s="59"/>
      <c r="G3284" s="64" t="s">
        <v>13243</v>
      </c>
      <c r="H3284" s="59">
        <v>0</v>
      </c>
    </row>
    <row r="3285" spans="1:8" ht="112.5" customHeight="1" x14ac:dyDescent="0.15">
      <c r="A3285" s="69">
        <v>3726</v>
      </c>
      <c r="B3285" s="32" t="s">
        <v>3822</v>
      </c>
      <c r="C3285" s="32" t="s">
        <v>13244</v>
      </c>
      <c r="D3285" s="56" t="s">
        <v>13245</v>
      </c>
      <c r="E3285" s="68"/>
      <c r="F3285" s="59"/>
      <c r="G3285" s="63" t="s">
        <v>13246</v>
      </c>
      <c r="H3285" s="59">
        <v>0</v>
      </c>
    </row>
    <row r="3286" spans="1:8" ht="112.5" customHeight="1" x14ac:dyDescent="0.15">
      <c r="A3286" s="67">
        <v>3571</v>
      </c>
      <c r="B3286" s="33" t="s">
        <v>3496</v>
      </c>
      <c r="C3286" s="33" t="s">
        <v>13247</v>
      </c>
      <c r="D3286" s="61" t="s">
        <v>13248</v>
      </c>
      <c r="E3286" s="68"/>
      <c r="F3286" s="59"/>
      <c r="G3286" s="64" t="s">
        <v>13249</v>
      </c>
      <c r="H3286" s="59">
        <v>0</v>
      </c>
    </row>
    <row r="3287" spans="1:8" ht="112.5" customHeight="1" x14ac:dyDescent="0.15">
      <c r="A3287" s="69">
        <v>3634</v>
      </c>
      <c r="B3287" s="32" t="s">
        <v>3496</v>
      </c>
      <c r="C3287" s="32" t="s">
        <v>13250</v>
      </c>
      <c r="D3287" s="56" t="s">
        <v>13251</v>
      </c>
      <c r="E3287" s="68"/>
      <c r="F3287" s="59"/>
      <c r="G3287" s="63" t="s">
        <v>13252</v>
      </c>
      <c r="H3287" s="59">
        <v>9.9960000000000004</v>
      </c>
    </row>
    <row r="3288" spans="1:8" ht="112.5" customHeight="1" x14ac:dyDescent="0.15">
      <c r="A3288" s="67">
        <v>3797</v>
      </c>
      <c r="B3288" s="33" t="s">
        <v>3818</v>
      </c>
      <c r="C3288" s="33" t="s">
        <v>13253</v>
      </c>
      <c r="D3288" s="61" t="s">
        <v>13254</v>
      </c>
      <c r="E3288" s="68"/>
      <c r="F3288" s="59"/>
      <c r="G3288" s="64" t="s">
        <v>13255</v>
      </c>
      <c r="H3288" s="59">
        <v>10</v>
      </c>
    </row>
    <row r="3289" spans="1:8" ht="112.5" customHeight="1" x14ac:dyDescent="0.15">
      <c r="A3289" s="67">
        <v>3585</v>
      </c>
      <c r="B3289" s="33" t="s">
        <v>3496</v>
      </c>
      <c r="C3289" s="33" t="s">
        <v>13256</v>
      </c>
      <c r="D3289" s="61" t="s">
        <v>13257</v>
      </c>
      <c r="E3289" s="68"/>
      <c r="F3289" s="59"/>
      <c r="G3289" s="63" t="s">
        <v>4727</v>
      </c>
      <c r="H3289" s="59">
        <v>9.9990000000000006</v>
      </c>
    </row>
    <row r="3290" spans="1:8" ht="112.5" customHeight="1" x14ac:dyDescent="0.15">
      <c r="A3290" s="69">
        <v>3440</v>
      </c>
      <c r="B3290" s="32" t="s">
        <v>3670</v>
      </c>
      <c r="C3290" s="32" t="s">
        <v>13258</v>
      </c>
      <c r="D3290" s="56" t="s">
        <v>13259</v>
      </c>
      <c r="E3290" s="68"/>
      <c r="F3290" s="59"/>
      <c r="G3290" s="64" t="s">
        <v>13260</v>
      </c>
      <c r="H3290" s="59">
        <v>9.9990000000000006</v>
      </c>
    </row>
    <row r="3291" spans="1:8" ht="112.5" customHeight="1" x14ac:dyDescent="0.15">
      <c r="A3291" s="67">
        <v>3459</v>
      </c>
      <c r="B3291" s="33" t="s">
        <v>12428</v>
      </c>
      <c r="C3291" s="33" t="s">
        <v>13261</v>
      </c>
      <c r="D3291" s="61" t="s">
        <v>13262</v>
      </c>
      <c r="E3291" s="68"/>
      <c r="F3291" s="59"/>
      <c r="G3291" s="63" t="s">
        <v>13263</v>
      </c>
      <c r="H3291" s="59">
        <v>0</v>
      </c>
    </row>
    <row r="3292" spans="1:8" ht="112.5" customHeight="1" x14ac:dyDescent="0.15">
      <c r="A3292" s="69">
        <v>124</v>
      </c>
      <c r="B3292" s="32" t="s">
        <v>3533</v>
      </c>
      <c r="C3292" s="32" t="s">
        <v>13264</v>
      </c>
      <c r="D3292" s="56" t="s">
        <v>13265</v>
      </c>
      <c r="E3292" s="68"/>
      <c r="F3292" s="59">
        <v>19000</v>
      </c>
      <c r="G3292" s="64" t="s">
        <v>13266</v>
      </c>
      <c r="H3292" s="59">
        <v>9.9949999999999992</v>
      </c>
    </row>
    <row r="3293" spans="1:8" ht="112.5" customHeight="1" x14ac:dyDescent="0.15">
      <c r="A3293" s="69">
        <v>3322</v>
      </c>
      <c r="B3293" s="32" t="s">
        <v>3822</v>
      </c>
      <c r="C3293" s="32" t="s">
        <v>13267</v>
      </c>
      <c r="D3293" s="56" t="s">
        <v>13268</v>
      </c>
      <c r="E3293" s="68"/>
      <c r="F3293" s="59"/>
      <c r="G3293" s="63" t="s">
        <v>13269</v>
      </c>
      <c r="H3293" s="59">
        <v>9.9459999999999997</v>
      </c>
    </row>
    <row r="3294" spans="1:8" ht="112.5" customHeight="1" x14ac:dyDescent="0.15">
      <c r="A3294" s="69">
        <v>3746</v>
      </c>
      <c r="B3294" s="32" t="s">
        <v>3822</v>
      </c>
      <c r="C3294" s="32" t="s">
        <v>13270</v>
      </c>
      <c r="D3294" s="56" t="s">
        <v>13271</v>
      </c>
      <c r="E3294" s="68"/>
      <c r="F3294" s="59"/>
      <c r="G3294" s="64" t="s">
        <v>13272</v>
      </c>
      <c r="H3294" s="59">
        <v>9.9710000000000001</v>
      </c>
    </row>
    <row r="3295" spans="1:8" ht="112.5" customHeight="1" x14ac:dyDescent="0.15">
      <c r="A3295" s="69">
        <v>3714</v>
      </c>
      <c r="B3295" s="32" t="s">
        <v>12428</v>
      </c>
      <c r="C3295" s="32" t="s">
        <v>13273</v>
      </c>
      <c r="D3295" s="56" t="s">
        <v>13274</v>
      </c>
      <c r="E3295" s="68"/>
      <c r="F3295" s="59"/>
      <c r="G3295" s="63" t="s">
        <v>13275</v>
      </c>
      <c r="H3295" s="59">
        <v>9.9619999999999997</v>
      </c>
    </row>
    <row r="3296" spans="1:8" ht="112.5" customHeight="1" x14ac:dyDescent="0.15">
      <c r="A3296" s="69">
        <v>3752</v>
      </c>
      <c r="B3296" s="32" t="s">
        <v>3630</v>
      </c>
      <c r="C3296" s="32" t="s">
        <v>13276</v>
      </c>
      <c r="D3296" s="56" t="s">
        <v>13277</v>
      </c>
      <c r="E3296" s="68"/>
      <c r="F3296" s="59"/>
      <c r="G3296" s="64" t="s">
        <v>13278</v>
      </c>
      <c r="H3296" s="59">
        <v>0</v>
      </c>
    </row>
    <row r="3297" spans="1:8" ht="112.5" customHeight="1" x14ac:dyDescent="0.15">
      <c r="A3297" s="69">
        <v>3532</v>
      </c>
      <c r="B3297" s="32" t="s">
        <v>3670</v>
      </c>
      <c r="C3297" s="32" t="s">
        <v>13279</v>
      </c>
      <c r="D3297" s="56" t="s">
        <v>13280</v>
      </c>
      <c r="E3297" s="68"/>
      <c r="F3297" s="59"/>
      <c r="G3297" s="63" t="s">
        <v>13281</v>
      </c>
      <c r="H3297" s="59">
        <v>9.9979999999999993</v>
      </c>
    </row>
    <row r="3298" spans="1:8" ht="112.5" customHeight="1" x14ac:dyDescent="0.15">
      <c r="A3298" s="67">
        <v>3927</v>
      </c>
      <c r="B3298" s="33" t="s">
        <v>3549</v>
      </c>
      <c r="C3298" s="33" t="s">
        <v>13282</v>
      </c>
      <c r="D3298" s="61" t="s">
        <v>13283</v>
      </c>
      <c r="E3298" s="68"/>
      <c r="F3298" s="59"/>
      <c r="G3298" s="64" t="s">
        <v>13284</v>
      </c>
      <c r="H3298" s="59">
        <v>10</v>
      </c>
    </row>
    <row r="3299" spans="1:8" ht="112.5" customHeight="1" x14ac:dyDescent="0.15">
      <c r="A3299" s="69">
        <v>3698</v>
      </c>
      <c r="B3299" s="32" t="s">
        <v>3549</v>
      </c>
      <c r="C3299" s="32" t="s">
        <v>13285</v>
      </c>
      <c r="D3299" s="56" t="s">
        <v>13286</v>
      </c>
      <c r="E3299" s="68"/>
      <c r="F3299" s="59"/>
      <c r="G3299" s="63" t="s">
        <v>13287</v>
      </c>
      <c r="H3299" s="59">
        <v>9.99</v>
      </c>
    </row>
    <row r="3300" spans="1:8" ht="112.5" customHeight="1" x14ac:dyDescent="0.15">
      <c r="A3300" s="67">
        <v>447</v>
      </c>
      <c r="B3300" s="33" t="s">
        <v>3556</v>
      </c>
      <c r="C3300" s="33" t="s">
        <v>13288</v>
      </c>
      <c r="D3300" s="61" t="s">
        <v>13289</v>
      </c>
      <c r="E3300" s="68"/>
      <c r="F3300" s="59"/>
      <c r="G3300" s="64" t="s">
        <v>13290</v>
      </c>
      <c r="H3300" s="59">
        <v>10</v>
      </c>
    </row>
    <row r="3301" spans="1:8" ht="112.5" customHeight="1" x14ac:dyDescent="0.15">
      <c r="A3301" s="67">
        <v>3721</v>
      </c>
      <c r="B3301" s="33" t="s">
        <v>3496</v>
      </c>
      <c r="C3301" s="33" t="s">
        <v>13291</v>
      </c>
      <c r="D3301" s="61" t="s">
        <v>13292</v>
      </c>
      <c r="E3301" s="68"/>
      <c r="F3301" s="59"/>
      <c r="G3301" s="63" t="s">
        <v>13293</v>
      </c>
      <c r="H3301" s="59">
        <v>10</v>
      </c>
    </row>
    <row r="3302" spans="1:8" ht="112.5" customHeight="1" x14ac:dyDescent="0.15">
      <c r="A3302" s="67">
        <v>1843</v>
      </c>
      <c r="B3302" s="33" t="s">
        <v>3526</v>
      </c>
      <c r="C3302" s="33" t="s">
        <v>13294</v>
      </c>
      <c r="D3302" s="61" t="s">
        <v>13295</v>
      </c>
      <c r="E3302" s="68"/>
      <c r="F3302" s="59"/>
      <c r="G3302" s="64" t="s">
        <v>13296</v>
      </c>
      <c r="H3302" s="59">
        <v>10</v>
      </c>
    </row>
    <row r="3303" spans="1:8" ht="112.5" customHeight="1" x14ac:dyDescent="0.15">
      <c r="A3303" s="69">
        <v>278</v>
      </c>
      <c r="B3303" s="32" t="s">
        <v>3822</v>
      </c>
      <c r="C3303" s="32" t="s">
        <v>13297</v>
      </c>
      <c r="D3303" s="56" t="s">
        <v>13298</v>
      </c>
      <c r="E3303" s="68"/>
      <c r="F3303" s="59"/>
      <c r="G3303" s="63" t="s">
        <v>13299</v>
      </c>
      <c r="H3303" s="59">
        <v>9.9949999999999992</v>
      </c>
    </row>
    <row r="3304" spans="1:8" ht="112.5" customHeight="1" x14ac:dyDescent="0.15">
      <c r="A3304" s="69">
        <v>3772</v>
      </c>
      <c r="B3304" s="32" t="s">
        <v>12428</v>
      </c>
      <c r="C3304" s="32" t="s">
        <v>13300</v>
      </c>
      <c r="D3304" s="56" t="s">
        <v>13301</v>
      </c>
      <c r="E3304" s="68"/>
      <c r="F3304" s="59"/>
      <c r="G3304" s="64" t="s">
        <v>13302</v>
      </c>
      <c r="H3304" s="59">
        <v>10</v>
      </c>
    </row>
    <row r="3305" spans="1:8" ht="112.5" customHeight="1" x14ac:dyDescent="0.15">
      <c r="A3305" s="69">
        <v>3674</v>
      </c>
      <c r="B3305" s="32" t="s">
        <v>3513</v>
      </c>
      <c r="C3305" s="32" t="s">
        <v>13303</v>
      </c>
      <c r="D3305" s="56" t="s">
        <v>13304</v>
      </c>
      <c r="E3305" s="68"/>
      <c r="F3305" s="59"/>
      <c r="G3305" s="63" t="s">
        <v>13305</v>
      </c>
      <c r="H3305" s="59">
        <v>9.9990000000000006</v>
      </c>
    </row>
    <row r="3306" spans="1:8" ht="112.5" customHeight="1" x14ac:dyDescent="0.15">
      <c r="A3306" s="69">
        <v>3568</v>
      </c>
      <c r="B3306" s="32" t="s">
        <v>12428</v>
      </c>
      <c r="C3306" s="32" t="s">
        <v>13306</v>
      </c>
      <c r="D3306" s="56" t="s">
        <v>13307</v>
      </c>
      <c r="E3306" s="68"/>
      <c r="F3306" s="59"/>
      <c r="G3306" s="64" t="s">
        <v>13308</v>
      </c>
      <c r="H3306" s="59">
        <v>9.9990000000000006</v>
      </c>
    </row>
    <row r="3307" spans="1:8" ht="112.5" customHeight="1" x14ac:dyDescent="0.15">
      <c r="A3307" s="69">
        <v>3574</v>
      </c>
      <c r="B3307" s="32" t="s">
        <v>3496</v>
      </c>
      <c r="C3307" s="32" t="s">
        <v>13309</v>
      </c>
      <c r="D3307" s="56" t="s">
        <v>13310</v>
      </c>
      <c r="E3307" s="68"/>
      <c r="F3307" s="59"/>
      <c r="G3307" s="63" t="s">
        <v>13311</v>
      </c>
      <c r="H3307" s="59">
        <v>0</v>
      </c>
    </row>
    <row r="3308" spans="1:8" ht="112.5" customHeight="1" x14ac:dyDescent="0.15">
      <c r="A3308" s="67">
        <v>3825</v>
      </c>
      <c r="B3308" s="33" t="s">
        <v>12428</v>
      </c>
      <c r="C3308" s="33" t="s">
        <v>13312</v>
      </c>
      <c r="D3308" s="61" t="s">
        <v>13313</v>
      </c>
      <c r="E3308" s="68"/>
      <c r="F3308" s="59"/>
      <c r="G3308" s="64" t="s">
        <v>13314</v>
      </c>
      <c r="H3308" s="59">
        <v>10</v>
      </c>
    </row>
    <row r="3309" spans="1:8" ht="112.5" customHeight="1" x14ac:dyDescent="0.15">
      <c r="A3309" s="69">
        <v>266</v>
      </c>
      <c r="B3309" s="32" t="s">
        <v>3599</v>
      </c>
      <c r="C3309" s="32" t="s">
        <v>13315</v>
      </c>
      <c r="D3309" s="56" t="s">
        <v>13316</v>
      </c>
      <c r="E3309" s="68"/>
      <c r="F3309" s="59"/>
      <c r="G3309" s="63" t="s">
        <v>13317</v>
      </c>
      <c r="H3309" s="59">
        <v>9.9920000000000009</v>
      </c>
    </row>
    <row r="3310" spans="1:8" ht="112.5" customHeight="1" x14ac:dyDescent="0.15">
      <c r="A3310" s="67">
        <v>469</v>
      </c>
      <c r="B3310" s="33" t="s">
        <v>3630</v>
      </c>
      <c r="C3310" s="33" t="s">
        <v>13318</v>
      </c>
      <c r="D3310" s="61" t="s">
        <v>13319</v>
      </c>
      <c r="E3310" s="68"/>
      <c r="F3310" s="59"/>
      <c r="G3310" s="64" t="s">
        <v>13320</v>
      </c>
      <c r="H3310" s="59">
        <v>9.9949999999999992</v>
      </c>
    </row>
    <row r="3311" spans="1:8" ht="112.5" customHeight="1" x14ac:dyDescent="0.15">
      <c r="A3311" s="69">
        <v>3612</v>
      </c>
      <c r="B3311" s="32" t="s">
        <v>12428</v>
      </c>
      <c r="C3311" s="32" t="s">
        <v>13321</v>
      </c>
      <c r="D3311" s="56" t="s">
        <v>13322</v>
      </c>
      <c r="E3311" s="68"/>
      <c r="F3311" s="59"/>
      <c r="G3311" s="63" t="s">
        <v>13323</v>
      </c>
      <c r="H3311" s="59">
        <v>9.9949999999999992</v>
      </c>
    </row>
    <row r="3312" spans="1:8" ht="112.5" customHeight="1" x14ac:dyDescent="0.15">
      <c r="A3312" s="67">
        <v>3677</v>
      </c>
      <c r="B3312" s="33" t="s">
        <v>3822</v>
      </c>
      <c r="C3312" s="33" t="s">
        <v>13324</v>
      </c>
      <c r="D3312" s="61" t="s">
        <v>13325</v>
      </c>
      <c r="E3312" s="68"/>
      <c r="F3312" s="59"/>
      <c r="G3312" s="64" t="s">
        <v>13326</v>
      </c>
      <c r="H3312" s="59">
        <v>9.9649999999999999</v>
      </c>
    </row>
    <row r="3313" spans="1:13" ht="112.5" customHeight="1" x14ac:dyDescent="0.15">
      <c r="A3313" s="69">
        <v>3964</v>
      </c>
      <c r="B3313" s="32" t="s">
        <v>12428</v>
      </c>
      <c r="C3313" s="32" t="s">
        <v>13327</v>
      </c>
      <c r="D3313" s="56" t="s">
        <v>13328</v>
      </c>
      <c r="E3313" s="68"/>
      <c r="F3313" s="59"/>
      <c r="G3313" s="63" t="s">
        <v>13329</v>
      </c>
      <c r="H3313" s="59">
        <v>9.9949999999999992</v>
      </c>
    </row>
    <row r="3314" spans="1:13" ht="112.5" customHeight="1" x14ac:dyDescent="0.15">
      <c r="A3314" s="67">
        <v>567</v>
      </c>
      <c r="B3314" s="33" t="s">
        <v>3822</v>
      </c>
      <c r="C3314" s="33" t="s">
        <v>13330</v>
      </c>
      <c r="D3314" s="61" t="s">
        <v>13331</v>
      </c>
      <c r="E3314" s="68"/>
      <c r="F3314" s="59"/>
      <c r="G3314" s="64" t="s">
        <v>13332</v>
      </c>
      <c r="H3314" s="59">
        <v>9.8819999999999997</v>
      </c>
    </row>
    <row r="3315" spans="1:13" ht="112.5" customHeight="1" x14ac:dyDescent="0.15">
      <c r="A3315" s="69">
        <v>3980</v>
      </c>
      <c r="B3315" s="32" t="s">
        <v>3822</v>
      </c>
      <c r="C3315" s="32" t="s">
        <v>13333</v>
      </c>
      <c r="D3315" s="56" t="s">
        <v>13334</v>
      </c>
      <c r="E3315" s="68"/>
      <c r="F3315" s="59"/>
      <c r="G3315" s="63" t="s">
        <v>13335</v>
      </c>
      <c r="H3315" s="59">
        <v>9.9979999999999993</v>
      </c>
    </row>
    <row r="3316" spans="1:13" ht="112.5" customHeight="1" x14ac:dyDescent="0.15">
      <c r="A3316" s="67">
        <v>3635</v>
      </c>
      <c r="B3316" s="33" t="s">
        <v>3814</v>
      </c>
      <c r="C3316" s="33" t="s">
        <v>13336</v>
      </c>
      <c r="D3316" s="61" t="s">
        <v>13337</v>
      </c>
      <c r="E3316" s="68"/>
      <c r="F3316" s="59"/>
      <c r="G3316" s="64" t="s">
        <v>13338</v>
      </c>
      <c r="H3316" s="59">
        <v>9.9870000000000001</v>
      </c>
    </row>
    <row r="3317" spans="1:13" ht="112.5" customHeight="1" x14ac:dyDescent="0.15">
      <c r="A3317" s="67">
        <v>3813</v>
      </c>
      <c r="B3317" s="33" t="s">
        <v>12428</v>
      </c>
      <c r="C3317" s="33" t="s">
        <v>13339</v>
      </c>
      <c r="D3317" s="61" t="s">
        <v>13340</v>
      </c>
      <c r="E3317" s="68"/>
      <c r="F3317" s="59"/>
      <c r="G3317" s="63" t="s">
        <v>13341</v>
      </c>
      <c r="H3317" s="59">
        <v>9.9930000000000003</v>
      </c>
    </row>
    <row r="3318" spans="1:13" ht="112.5" customHeight="1" x14ac:dyDescent="0.15">
      <c r="A3318" s="69">
        <v>3806</v>
      </c>
      <c r="B3318" s="32" t="s">
        <v>12428</v>
      </c>
      <c r="C3318" s="32" t="s">
        <v>13342</v>
      </c>
      <c r="D3318" s="56" t="s">
        <v>13343</v>
      </c>
      <c r="E3318" s="68"/>
      <c r="F3318" s="59"/>
      <c r="G3318" s="64" t="s">
        <v>13344</v>
      </c>
      <c r="H3318" s="59">
        <v>0</v>
      </c>
    </row>
    <row r="3319" spans="1:13" ht="112.5" customHeight="1" x14ac:dyDescent="0.15">
      <c r="A3319" s="69">
        <v>452</v>
      </c>
      <c r="B3319" s="32" t="s">
        <v>3549</v>
      </c>
      <c r="C3319" s="32" t="s">
        <v>13345</v>
      </c>
      <c r="D3319" s="56" t="s">
        <v>13346</v>
      </c>
      <c r="E3319" s="68"/>
      <c r="F3319" s="59"/>
      <c r="G3319" s="63" t="s">
        <v>13347</v>
      </c>
      <c r="H3319" s="59">
        <v>9.9510000000000005</v>
      </c>
    </row>
    <row r="3320" spans="1:13" ht="112.5" customHeight="1" x14ac:dyDescent="0.15">
      <c r="A3320" s="67">
        <v>451</v>
      </c>
      <c r="B3320" s="33" t="s">
        <v>3549</v>
      </c>
      <c r="C3320" s="33" t="s">
        <v>13348</v>
      </c>
      <c r="D3320" s="61" t="s">
        <v>13349</v>
      </c>
      <c r="E3320" s="68"/>
      <c r="F3320" s="59"/>
      <c r="G3320" s="64" t="s">
        <v>13350</v>
      </c>
      <c r="H3320" s="59">
        <v>9.99</v>
      </c>
    </row>
    <row r="3321" spans="1:13" ht="112.5" customHeight="1" x14ac:dyDescent="0.15">
      <c r="A3321" s="69">
        <v>4050</v>
      </c>
      <c r="B3321" s="32" t="s">
        <v>3496</v>
      </c>
      <c r="C3321" s="32" t="s">
        <v>13351</v>
      </c>
      <c r="D3321" s="56" t="s">
        <v>13352</v>
      </c>
      <c r="E3321" s="68"/>
      <c r="F3321" s="59"/>
      <c r="G3321" s="63" t="s">
        <v>13353</v>
      </c>
      <c r="H3321" s="59">
        <v>9.9879999999999995</v>
      </c>
    </row>
    <row r="3322" spans="1:13" ht="112.5" customHeight="1" x14ac:dyDescent="0.15">
      <c r="A3322" s="69">
        <v>474</v>
      </c>
      <c r="B3322" s="32" t="s">
        <v>3670</v>
      </c>
      <c r="C3322" s="32" t="s">
        <v>13354</v>
      </c>
      <c r="D3322" s="56" t="s">
        <v>13355</v>
      </c>
      <c r="E3322" s="68"/>
      <c r="F3322" s="59"/>
      <c r="G3322" s="64" t="s">
        <v>13356</v>
      </c>
      <c r="H3322" s="59">
        <v>9.984</v>
      </c>
    </row>
    <row r="3323" spans="1:13" ht="112.5" customHeight="1" x14ac:dyDescent="0.15">
      <c r="A3323" s="69">
        <v>478</v>
      </c>
      <c r="B3323" s="32" t="s">
        <v>12428</v>
      </c>
      <c r="C3323" s="32" t="s">
        <v>13357</v>
      </c>
      <c r="D3323" s="56" t="s">
        <v>13358</v>
      </c>
      <c r="E3323" s="68"/>
      <c r="F3323" s="59"/>
      <c r="G3323" s="62" t="s">
        <v>13359</v>
      </c>
      <c r="H3323" s="59">
        <v>662</v>
      </c>
      <c r="I3323" s="29"/>
      <c r="J3323" s="29"/>
      <c r="K3323" s="29"/>
      <c r="L3323" s="29"/>
      <c r="M3323" s="29"/>
    </row>
    <row r="3324" spans="1:13" ht="112.5" customHeight="1" x14ac:dyDescent="0.15">
      <c r="A3324" s="67">
        <v>477</v>
      </c>
      <c r="B3324" s="33" t="s">
        <v>12428</v>
      </c>
      <c r="C3324" s="33" t="s">
        <v>13360</v>
      </c>
      <c r="D3324" s="61" t="s">
        <v>13361</v>
      </c>
      <c r="E3324" s="68"/>
      <c r="F3324" s="59"/>
      <c r="G3324" s="64" t="s">
        <v>4724</v>
      </c>
      <c r="H3324" s="59">
        <v>9.8260000000000005</v>
      </c>
    </row>
    <row r="3325" spans="1:13" ht="112.5" customHeight="1" x14ac:dyDescent="0.15">
      <c r="A3325" s="67">
        <v>3631</v>
      </c>
      <c r="B3325" s="33" t="s">
        <v>3822</v>
      </c>
      <c r="C3325" s="33" t="s">
        <v>13362</v>
      </c>
      <c r="D3325" s="61" t="s">
        <v>13363</v>
      </c>
      <c r="E3325" s="68"/>
      <c r="F3325" s="59"/>
      <c r="G3325" s="63" t="s">
        <v>13364</v>
      </c>
      <c r="H3325" s="59">
        <v>9.9760000000000009</v>
      </c>
    </row>
    <row r="3326" spans="1:13" ht="112.5" customHeight="1" x14ac:dyDescent="0.15">
      <c r="A3326" s="67">
        <v>3907</v>
      </c>
      <c r="B3326" s="33" t="s">
        <v>12428</v>
      </c>
      <c r="C3326" s="33" t="s">
        <v>13365</v>
      </c>
      <c r="D3326" s="61" t="s">
        <v>13366</v>
      </c>
      <c r="E3326" s="68"/>
      <c r="F3326" s="59"/>
      <c r="G3326" s="64" t="s">
        <v>13367</v>
      </c>
      <c r="H3326" s="59">
        <v>9.9629999999999992</v>
      </c>
    </row>
    <row r="3327" spans="1:13" ht="112.5" customHeight="1" x14ac:dyDescent="0.15">
      <c r="A3327" s="67">
        <v>277</v>
      </c>
      <c r="B3327" s="33" t="s">
        <v>3822</v>
      </c>
      <c r="C3327" s="33" t="s">
        <v>13368</v>
      </c>
      <c r="D3327" s="61" t="s">
        <v>13369</v>
      </c>
      <c r="E3327" s="68"/>
      <c r="F3327" s="59"/>
      <c r="G3327" s="63" t="s">
        <v>13370</v>
      </c>
      <c r="H3327" s="59">
        <v>9.8520000000000003</v>
      </c>
    </row>
    <row r="3328" spans="1:13" ht="112.5" customHeight="1" x14ac:dyDescent="0.15">
      <c r="A3328" s="69">
        <v>3896</v>
      </c>
      <c r="B3328" s="32" t="s">
        <v>12428</v>
      </c>
      <c r="C3328" s="32" t="s">
        <v>13371</v>
      </c>
      <c r="D3328" s="56" t="s">
        <v>13372</v>
      </c>
      <c r="E3328" s="68"/>
      <c r="F3328" s="59"/>
      <c r="G3328" s="64" t="s">
        <v>13373</v>
      </c>
      <c r="H3328" s="59">
        <v>9.9969999999999999</v>
      </c>
    </row>
    <row r="3329" spans="1:8" ht="112.5" customHeight="1" x14ac:dyDescent="0.15">
      <c r="A3329" s="69">
        <v>256</v>
      </c>
      <c r="B3329" s="32" t="s">
        <v>3822</v>
      </c>
      <c r="C3329" s="32" t="s">
        <v>13374</v>
      </c>
      <c r="D3329" s="56" t="s">
        <v>13375</v>
      </c>
      <c r="E3329" s="68"/>
      <c r="F3329" s="59"/>
      <c r="G3329" s="63" t="s">
        <v>13376</v>
      </c>
      <c r="H3329" s="59">
        <v>9.9079999999999995</v>
      </c>
    </row>
    <row r="3330" spans="1:8" ht="112.5" customHeight="1" x14ac:dyDescent="0.15">
      <c r="A3330" s="69">
        <v>282</v>
      </c>
      <c r="B3330" s="32" t="s">
        <v>3513</v>
      </c>
      <c r="C3330" s="32" t="s">
        <v>13377</v>
      </c>
      <c r="D3330" s="56" t="s">
        <v>13378</v>
      </c>
      <c r="E3330" s="68"/>
      <c r="F3330" s="59"/>
      <c r="G3330" s="64" t="s">
        <v>13379</v>
      </c>
      <c r="H3330" s="59">
        <v>9.98</v>
      </c>
    </row>
    <row r="3331" spans="1:8" ht="112.5" customHeight="1" x14ac:dyDescent="0.15">
      <c r="A3331" s="67">
        <v>3773</v>
      </c>
      <c r="B3331" s="33" t="s">
        <v>12428</v>
      </c>
      <c r="C3331" s="33" t="s">
        <v>13380</v>
      </c>
      <c r="D3331" s="61" t="s">
        <v>13381</v>
      </c>
      <c r="E3331" s="68"/>
      <c r="F3331" s="59"/>
      <c r="G3331" s="63" t="s">
        <v>13382</v>
      </c>
      <c r="H3331" s="59">
        <v>10</v>
      </c>
    </row>
    <row r="3332" spans="1:8" ht="112.5" customHeight="1" x14ac:dyDescent="0.15">
      <c r="A3332" s="67">
        <v>453</v>
      </c>
      <c r="B3332" s="33" t="s">
        <v>3526</v>
      </c>
      <c r="C3332" s="33" t="s">
        <v>13383</v>
      </c>
      <c r="D3332" s="61" t="s">
        <v>13384</v>
      </c>
      <c r="E3332" s="68"/>
      <c r="F3332" s="59"/>
      <c r="G3332" s="64" t="s">
        <v>13385</v>
      </c>
      <c r="H3332" s="59">
        <v>0</v>
      </c>
    </row>
    <row r="3333" spans="1:8" ht="112.5" customHeight="1" x14ac:dyDescent="0.15">
      <c r="A3333" s="69">
        <v>3852</v>
      </c>
      <c r="B3333" s="32" t="s">
        <v>3556</v>
      </c>
      <c r="C3333" s="32" t="s">
        <v>13386</v>
      </c>
      <c r="D3333" s="56" t="s">
        <v>13387</v>
      </c>
      <c r="E3333" s="68"/>
      <c r="F3333" s="59"/>
      <c r="G3333" s="63" t="s">
        <v>13388</v>
      </c>
      <c r="H3333" s="59">
        <v>0</v>
      </c>
    </row>
    <row r="3334" spans="1:8" ht="112.5" customHeight="1" x14ac:dyDescent="0.15">
      <c r="A3334" s="69">
        <v>3734</v>
      </c>
      <c r="B3334" s="32" t="s">
        <v>12428</v>
      </c>
      <c r="C3334" s="32" t="s">
        <v>13389</v>
      </c>
      <c r="D3334" s="56" t="s">
        <v>13390</v>
      </c>
      <c r="E3334" s="68"/>
      <c r="F3334" s="59"/>
      <c r="G3334" s="64" t="s">
        <v>13391</v>
      </c>
      <c r="H3334" s="59">
        <v>0</v>
      </c>
    </row>
    <row r="3335" spans="1:8" ht="112.5" customHeight="1" x14ac:dyDescent="0.15">
      <c r="A3335" s="67">
        <v>263</v>
      </c>
      <c r="B3335" s="33" t="s">
        <v>3533</v>
      </c>
      <c r="C3335" s="33" t="s">
        <v>13392</v>
      </c>
      <c r="D3335" s="61" t="s">
        <v>13393</v>
      </c>
      <c r="E3335" s="68"/>
      <c r="F3335" s="59"/>
      <c r="G3335" s="63" t="s">
        <v>13394</v>
      </c>
      <c r="H3335" s="59">
        <v>9.9949999999999992</v>
      </c>
    </row>
    <row r="3336" spans="1:8" ht="112.5" customHeight="1" x14ac:dyDescent="0.15">
      <c r="A3336" s="67">
        <v>3713</v>
      </c>
      <c r="B3336" s="33" t="s">
        <v>3533</v>
      </c>
      <c r="C3336" s="33" t="s">
        <v>13395</v>
      </c>
      <c r="D3336" s="61" t="s">
        <v>13396</v>
      </c>
      <c r="E3336" s="68"/>
      <c r="F3336" s="59"/>
      <c r="G3336" s="64" t="s">
        <v>13397</v>
      </c>
      <c r="H3336" s="59">
        <v>9.9489999999999998</v>
      </c>
    </row>
    <row r="3337" spans="1:8" ht="112.5" customHeight="1" x14ac:dyDescent="0.15">
      <c r="A3337" s="67">
        <v>3667</v>
      </c>
      <c r="B3337" s="33" t="s">
        <v>12428</v>
      </c>
      <c r="C3337" s="33" t="s">
        <v>13398</v>
      </c>
      <c r="D3337" s="61" t="s">
        <v>13399</v>
      </c>
      <c r="E3337" s="68"/>
      <c r="F3337" s="59"/>
      <c r="G3337" s="63" t="s">
        <v>13400</v>
      </c>
      <c r="H3337" s="59">
        <v>9.9969999999999999</v>
      </c>
    </row>
    <row r="3338" spans="1:8" ht="112.5" customHeight="1" x14ac:dyDescent="0.15">
      <c r="A3338" s="69">
        <v>3844</v>
      </c>
      <c r="B3338" s="32" t="s">
        <v>3822</v>
      </c>
      <c r="C3338" s="32" t="s">
        <v>13401</v>
      </c>
      <c r="D3338" s="56" t="s">
        <v>13402</v>
      </c>
      <c r="E3338" s="68"/>
      <c r="F3338" s="59"/>
      <c r="G3338" s="64" t="s">
        <v>13403</v>
      </c>
      <c r="H3338" s="59">
        <v>9.8840000000000003</v>
      </c>
    </row>
    <row r="3339" spans="1:8" ht="112.5" customHeight="1" x14ac:dyDescent="0.15">
      <c r="A3339" s="67">
        <v>3759</v>
      </c>
      <c r="B3339" s="33" t="s">
        <v>3513</v>
      </c>
      <c r="C3339" s="33" t="s">
        <v>13404</v>
      </c>
      <c r="D3339" s="61" t="s">
        <v>13405</v>
      </c>
      <c r="E3339" s="68"/>
      <c r="F3339" s="59"/>
      <c r="G3339" s="63" t="s">
        <v>13406</v>
      </c>
      <c r="H3339" s="59">
        <v>0</v>
      </c>
    </row>
    <row r="3340" spans="1:8" ht="112.5" customHeight="1" x14ac:dyDescent="0.15">
      <c r="A3340" s="67">
        <v>457</v>
      </c>
      <c r="B3340" s="33" t="s">
        <v>3556</v>
      </c>
      <c r="C3340" s="33" t="s">
        <v>13407</v>
      </c>
      <c r="D3340" s="61" t="s">
        <v>13408</v>
      </c>
      <c r="E3340" s="68"/>
      <c r="F3340" s="59"/>
      <c r="G3340" s="64" t="s">
        <v>13409</v>
      </c>
      <c r="H3340" s="59">
        <v>99.974000000000004</v>
      </c>
    </row>
    <row r="3341" spans="1:8" ht="112.5" customHeight="1" x14ac:dyDescent="0.15">
      <c r="A3341" s="69">
        <v>3950</v>
      </c>
      <c r="B3341" s="32" t="s">
        <v>3822</v>
      </c>
      <c r="C3341" s="32" t="s">
        <v>13410</v>
      </c>
      <c r="D3341" s="56" t="s">
        <v>13411</v>
      </c>
      <c r="E3341" s="68"/>
      <c r="F3341" s="59"/>
      <c r="G3341" s="63" t="s">
        <v>13412</v>
      </c>
      <c r="H3341" s="59">
        <v>0</v>
      </c>
    </row>
    <row r="3342" spans="1:8" ht="112.5" customHeight="1" x14ac:dyDescent="0.15">
      <c r="A3342" s="69">
        <v>446</v>
      </c>
      <c r="B3342" s="32" t="s">
        <v>12428</v>
      </c>
      <c r="C3342" s="32" t="s">
        <v>13413</v>
      </c>
      <c r="D3342" s="56" t="s">
        <v>13414</v>
      </c>
      <c r="E3342" s="68"/>
      <c r="F3342" s="59"/>
      <c r="G3342" s="64" t="s">
        <v>13415</v>
      </c>
      <c r="H3342" s="59">
        <v>9.3409999999999993</v>
      </c>
    </row>
    <row r="3343" spans="1:8" ht="112.5" customHeight="1" x14ac:dyDescent="0.15">
      <c r="A3343" s="69">
        <v>3788</v>
      </c>
      <c r="B3343" s="32" t="s">
        <v>3814</v>
      </c>
      <c r="C3343" s="32" t="s">
        <v>13416</v>
      </c>
      <c r="D3343" s="56" t="s">
        <v>13417</v>
      </c>
      <c r="E3343" s="68"/>
      <c r="F3343" s="59"/>
      <c r="G3343" s="63" t="s">
        <v>13418</v>
      </c>
      <c r="H3343" s="59">
        <v>9.7370000000000001</v>
      </c>
    </row>
    <row r="3344" spans="1:8" ht="112.5" customHeight="1" x14ac:dyDescent="0.15">
      <c r="A3344" s="69">
        <v>274</v>
      </c>
      <c r="B3344" s="32" t="s">
        <v>3822</v>
      </c>
      <c r="C3344" s="32" t="s">
        <v>13419</v>
      </c>
      <c r="D3344" s="56" t="s">
        <v>13420</v>
      </c>
      <c r="E3344" s="68"/>
      <c r="F3344" s="59"/>
      <c r="G3344" s="64" t="s">
        <v>13421</v>
      </c>
      <c r="H3344" s="59">
        <v>10</v>
      </c>
    </row>
    <row r="3345" spans="1:8" ht="112.5" customHeight="1" x14ac:dyDescent="0.15">
      <c r="A3345" s="67">
        <v>3839</v>
      </c>
      <c r="B3345" s="33" t="s">
        <v>3556</v>
      </c>
      <c r="C3345" s="33" t="s">
        <v>13422</v>
      </c>
      <c r="D3345" s="61" t="s">
        <v>13423</v>
      </c>
      <c r="E3345" s="68"/>
      <c r="F3345" s="59"/>
      <c r="G3345" s="63" t="s">
        <v>13424</v>
      </c>
      <c r="H3345" s="59">
        <v>9.99</v>
      </c>
    </row>
    <row r="3346" spans="1:8" ht="112.5" customHeight="1" x14ac:dyDescent="0.15">
      <c r="A3346" s="69">
        <v>3478</v>
      </c>
      <c r="B3346" s="32" t="s">
        <v>3814</v>
      </c>
      <c r="C3346" s="32" t="s">
        <v>13425</v>
      </c>
      <c r="D3346" s="56" t="s">
        <v>13426</v>
      </c>
      <c r="E3346" s="68"/>
      <c r="F3346" s="59"/>
      <c r="G3346" s="64" t="s">
        <v>13427</v>
      </c>
      <c r="H3346" s="59">
        <v>0</v>
      </c>
    </row>
    <row r="3347" spans="1:8" ht="112.5" customHeight="1" x14ac:dyDescent="0.15">
      <c r="A3347" s="69">
        <v>284</v>
      </c>
      <c r="B3347" s="32" t="s">
        <v>3818</v>
      </c>
      <c r="C3347" s="32" t="s">
        <v>13428</v>
      </c>
      <c r="D3347" s="56" t="s">
        <v>13429</v>
      </c>
      <c r="E3347" s="68"/>
      <c r="F3347" s="59"/>
      <c r="G3347" s="63" t="s">
        <v>13430</v>
      </c>
      <c r="H3347" s="59">
        <v>0</v>
      </c>
    </row>
    <row r="3348" spans="1:8" ht="112.5" customHeight="1" x14ac:dyDescent="0.15">
      <c r="A3348" s="67">
        <v>287</v>
      </c>
      <c r="B3348" s="33" t="s">
        <v>3822</v>
      </c>
      <c r="C3348" s="33" t="s">
        <v>13431</v>
      </c>
      <c r="D3348" s="61" t="s">
        <v>13432</v>
      </c>
      <c r="E3348" s="68"/>
      <c r="F3348" s="59"/>
      <c r="G3348" s="64" t="s">
        <v>13433</v>
      </c>
      <c r="H3348" s="59">
        <v>9.9670000000000005</v>
      </c>
    </row>
    <row r="3349" spans="1:8" ht="112.5" customHeight="1" x14ac:dyDescent="0.15">
      <c r="A3349" s="69">
        <v>3576</v>
      </c>
      <c r="B3349" s="32" t="s">
        <v>3496</v>
      </c>
      <c r="C3349" s="32" t="s">
        <v>13434</v>
      </c>
      <c r="D3349" s="56" t="s">
        <v>13435</v>
      </c>
      <c r="E3349" s="68"/>
      <c r="F3349" s="59"/>
      <c r="G3349" s="63" t="s">
        <v>13436</v>
      </c>
      <c r="H3349" s="59">
        <v>9.9209999999999994</v>
      </c>
    </row>
    <row r="3350" spans="1:8" ht="112.5" customHeight="1" x14ac:dyDescent="0.15">
      <c r="A3350" s="69">
        <v>3570</v>
      </c>
      <c r="B3350" s="32" t="s">
        <v>3513</v>
      </c>
      <c r="C3350" s="32" t="s">
        <v>13437</v>
      </c>
      <c r="D3350" s="56" t="s">
        <v>13438</v>
      </c>
      <c r="E3350" s="68"/>
      <c r="F3350" s="59"/>
      <c r="G3350" s="64" t="s">
        <v>13439</v>
      </c>
      <c r="H3350" s="59">
        <v>9.7729999999999997</v>
      </c>
    </row>
    <row r="3351" spans="1:8" ht="112.5" customHeight="1" x14ac:dyDescent="0.15">
      <c r="A3351" s="69">
        <v>3898</v>
      </c>
      <c r="B3351" s="32" t="s">
        <v>3513</v>
      </c>
      <c r="C3351" s="32" t="s">
        <v>13440</v>
      </c>
      <c r="D3351" s="56" t="s">
        <v>13441</v>
      </c>
      <c r="E3351" s="68"/>
      <c r="F3351" s="59"/>
      <c r="G3351" s="63" t="s">
        <v>13442</v>
      </c>
      <c r="H3351" s="59">
        <v>10</v>
      </c>
    </row>
    <row r="3352" spans="1:8" ht="112.5" customHeight="1" x14ac:dyDescent="0.15">
      <c r="A3352" s="69">
        <v>3098</v>
      </c>
      <c r="B3352" s="32" t="s">
        <v>3556</v>
      </c>
      <c r="C3352" s="32" t="s">
        <v>13443</v>
      </c>
      <c r="D3352" s="56" t="s">
        <v>13444</v>
      </c>
      <c r="E3352" s="68"/>
      <c r="F3352" s="59"/>
      <c r="G3352" s="64" t="s">
        <v>13445</v>
      </c>
      <c r="H3352" s="59">
        <v>9.4949999999999992</v>
      </c>
    </row>
    <row r="3353" spans="1:8" ht="112.5" customHeight="1" x14ac:dyDescent="0.15">
      <c r="A3353" s="67">
        <v>289</v>
      </c>
      <c r="B3353" s="33" t="s">
        <v>3526</v>
      </c>
      <c r="C3353" s="33" t="s">
        <v>13446</v>
      </c>
      <c r="D3353" s="61" t="s">
        <v>13447</v>
      </c>
      <c r="E3353" s="68"/>
      <c r="F3353" s="59"/>
      <c r="G3353" s="63" t="s">
        <v>13448</v>
      </c>
      <c r="H3353" s="59">
        <v>10</v>
      </c>
    </row>
    <row r="3354" spans="1:8" ht="112.5" customHeight="1" x14ac:dyDescent="0.15">
      <c r="A3354" s="67">
        <v>449</v>
      </c>
      <c r="B3354" s="33" t="s">
        <v>3513</v>
      </c>
      <c r="C3354" s="33" t="s">
        <v>13449</v>
      </c>
      <c r="D3354" s="61" t="s">
        <v>13450</v>
      </c>
      <c r="E3354" s="68"/>
      <c r="F3354" s="59"/>
      <c r="G3354" s="64" t="s">
        <v>13451</v>
      </c>
      <c r="H3354" s="59">
        <v>9.9860000000000007</v>
      </c>
    </row>
    <row r="3355" spans="1:8" ht="112.5" customHeight="1" x14ac:dyDescent="0.15">
      <c r="A3355" s="69">
        <v>460</v>
      </c>
      <c r="B3355" s="32" t="s">
        <v>3822</v>
      </c>
      <c r="C3355" s="32" t="s">
        <v>13452</v>
      </c>
      <c r="D3355" s="56" t="s">
        <v>13453</v>
      </c>
      <c r="E3355" s="68"/>
      <c r="F3355" s="59"/>
      <c r="G3355" s="63" t="s">
        <v>13454</v>
      </c>
      <c r="H3355" s="59">
        <v>9.9990000000000006</v>
      </c>
    </row>
    <row r="3356" spans="1:8" ht="112.5" customHeight="1" x14ac:dyDescent="0.15">
      <c r="A3356" s="69">
        <v>4032</v>
      </c>
      <c r="B3356" s="32" t="s">
        <v>3814</v>
      </c>
      <c r="C3356" s="32" t="s">
        <v>13455</v>
      </c>
      <c r="D3356" s="56" t="s">
        <v>13456</v>
      </c>
      <c r="E3356" s="68"/>
      <c r="F3356" s="59"/>
      <c r="G3356" s="64" t="s">
        <v>13457</v>
      </c>
      <c r="H3356" s="59">
        <v>9.9779999999999998</v>
      </c>
    </row>
    <row r="3357" spans="1:8" ht="112.5" customHeight="1" x14ac:dyDescent="0.15">
      <c r="A3357" s="67">
        <v>279</v>
      </c>
      <c r="B3357" s="33" t="s">
        <v>3822</v>
      </c>
      <c r="C3357" s="33" t="s">
        <v>13458</v>
      </c>
      <c r="D3357" s="61" t="s">
        <v>13459</v>
      </c>
      <c r="E3357" s="68"/>
      <c r="F3357" s="59"/>
      <c r="G3357" s="63" t="s">
        <v>13460</v>
      </c>
      <c r="H3357" s="59">
        <v>9.9469999999999992</v>
      </c>
    </row>
    <row r="3358" spans="1:8" ht="112.5" customHeight="1" x14ac:dyDescent="0.15">
      <c r="A3358" s="67">
        <v>275</v>
      </c>
      <c r="B3358" s="33" t="s">
        <v>3549</v>
      </c>
      <c r="C3358" s="33" t="s">
        <v>13461</v>
      </c>
      <c r="D3358" s="61" t="s">
        <v>13462</v>
      </c>
      <c r="E3358" s="68"/>
      <c r="F3358" s="59"/>
      <c r="G3358" s="64" t="s">
        <v>13463</v>
      </c>
      <c r="H3358" s="59">
        <v>930</v>
      </c>
    </row>
    <row r="3359" spans="1:8" ht="112.5" customHeight="1" x14ac:dyDescent="0.15">
      <c r="A3359" s="54">
        <v>690</v>
      </c>
      <c r="B3359" s="55" t="s">
        <v>3513</v>
      </c>
      <c r="C3359" s="55" t="s">
        <v>13464</v>
      </c>
      <c r="D3359" s="56" t="s">
        <v>13465</v>
      </c>
      <c r="E3359" s="2"/>
      <c r="F3359" s="57"/>
      <c r="G3359" s="63" t="s">
        <v>13466</v>
      </c>
      <c r="H3359" s="59">
        <v>9.9939999999999998</v>
      </c>
    </row>
    <row r="3360" spans="1:8" ht="112.5" customHeight="1" x14ac:dyDescent="0.15">
      <c r="A3360" s="69">
        <v>56</v>
      </c>
      <c r="B3360" s="32" t="s">
        <v>12428</v>
      </c>
      <c r="C3360" s="32" t="s">
        <v>51</v>
      </c>
      <c r="D3360" s="56" t="s">
        <v>52</v>
      </c>
      <c r="E3360" s="68"/>
      <c r="F3360" s="59">
        <v>50000</v>
      </c>
      <c r="G3360" s="64" t="s">
        <v>4721</v>
      </c>
      <c r="H3360" s="59">
        <v>9.9819999999999993</v>
      </c>
    </row>
    <row r="3361" spans="1:13" ht="112.5" customHeight="1" x14ac:dyDescent="0.15">
      <c r="A3361" s="69">
        <v>4060</v>
      </c>
      <c r="B3361" s="32" t="s">
        <v>12428</v>
      </c>
      <c r="C3361" s="32" t="s">
        <v>13467</v>
      </c>
      <c r="D3361" s="56" t="s">
        <v>13468</v>
      </c>
      <c r="E3361" s="68"/>
      <c r="F3361" s="59"/>
      <c r="G3361" s="63" t="s">
        <v>13469</v>
      </c>
      <c r="H3361" s="59">
        <v>9.9830000000000005</v>
      </c>
    </row>
    <row r="3362" spans="1:13" ht="112.5" customHeight="1" x14ac:dyDescent="0.15">
      <c r="A3362" s="69">
        <v>242</v>
      </c>
      <c r="B3362" s="32" t="s">
        <v>12428</v>
      </c>
      <c r="C3362" s="32" t="s">
        <v>13470</v>
      </c>
      <c r="D3362" s="56" t="s">
        <v>13471</v>
      </c>
      <c r="E3362" s="68"/>
      <c r="F3362" s="59"/>
      <c r="G3362" s="64" t="s">
        <v>4406</v>
      </c>
      <c r="H3362" s="59">
        <v>9.9990000000000006</v>
      </c>
    </row>
    <row r="3363" spans="1:13" ht="112.5" customHeight="1" x14ac:dyDescent="0.15">
      <c r="A3363" s="67">
        <v>211</v>
      </c>
      <c r="B3363" s="33" t="s">
        <v>12428</v>
      </c>
      <c r="C3363" s="33" t="s">
        <v>13472</v>
      </c>
      <c r="D3363" s="61" t="s">
        <v>13473</v>
      </c>
      <c r="E3363" s="68"/>
      <c r="F3363" s="59"/>
      <c r="G3363" s="63" t="s">
        <v>13474</v>
      </c>
      <c r="H3363" s="59">
        <v>9.9960000000000004</v>
      </c>
    </row>
    <row r="3364" spans="1:13" ht="112.5" customHeight="1" x14ac:dyDescent="0.15">
      <c r="A3364" s="67">
        <v>4059</v>
      </c>
      <c r="B3364" s="33" t="s">
        <v>12428</v>
      </c>
      <c r="C3364" s="33" t="s">
        <v>13475</v>
      </c>
      <c r="D3364" s="61" t="s">
        <v>13476</v>
      </c>
      <c r="E3364" s="68"/>
      <c r="F3364" s="59"/>
      <c r="G3364" s="64" t="s">
        <v>4403</v>
      </c>
      <c r="H3364" s="59">
        <v>9.9969999999999999</v>
      </c>
    </row>
    <row r="3365" spans="1:13" ht="112.5" customHeight="1" x14ac:dyDescent="0.15">
      <c r="A3365" s="69">
        <v>46</v>
      </c>
      <c r="B3365" s="32" t="s">
        <v>12428</v>
      </c>
      <c r="C3365" s="32" t="s">
        <v>13477</v>
      </c>
      <c r="D3365" s="56" t="s">
        <v>13478</v>
      </c>
      <c r="E3365" s="68"/>
      <c r="F3365" s="59">
        <v>44000</v>
      </c>
      <c r="G3365" s="63" t="s">
        <v>4400</v>
      </c>
      <c r="H3365" s="59">
        <v>9.9510000000000005</v>
      </c>
    </row>
    <row r="3366" spans="1:13" ht="112.5" customHeight="1" x14ac:dyDescent="0.15">
      <c r="A3366" s="69">
        <v>148</v>
      </c>
      <c r="B3366" s="32" t="s">
        <v>3801</v>
      </c>
      <c r="C3366" s="32" t="s">
        <v>13479</v>
      </c>
      <c r="D3366" s="56" t="s">
        <v>13480</v>
      </c>
      <c r="E3366" s="68"/>
      <c r="F3366" s="59">
        <v>69000</v>
      </c>
      <c r="G3366" s="64" t="s">
        <v>4718</v>
      </c>
      <c r="H3366" s="59">
        <v>0</v>
      </c>
    </row>
    <row r="3367" spans="1:13" ht="112.5" customHeight="1" x14ac:dyDescent="0.15">
      <c r="A3367" s="69">
        <v>4052</v>
      </c>
      <c r="B3367" s="32" t="s">
        <v>3822</v>
      </c>
      <c r="C3367" s="32" t="s">
        <v>13481</v>
      </c>
      <c r="D3367" s="56" t="s">
        <v>13482</v>
      </c>
      <c r="E3367" s="68"/>
      <c r="F3367" s="59"/>
      <c r="G3367" s="63" t="s">
        <v>4715</v>
      </c>
      <c r="H3367" s="59">
        <v>9.99</v>
      </c>
    </row>
    <row r="3368" spans="1:13" ht="112.5" customHeight="1" x14ac:dyDescent="0.15">
      <c r="A3368" s="69">
        <v>3922</v>
      </c>
      <c r="B3368" s="32" t="s">
        <v>3556</v>
      </c>
      <c r="C3368" s="32" t="s">
        <v>13483</v>
      </c>
      <c r="D3368" s="56" t="s">
        <v>13484</v>
      </c>
      <c r="E3368" s="68"/>
      <c r="F3368" s="59"/>
      <c r="G3368" s="64" t="s">
        <v>4712</v>
      </c>
      <c r="H3368" s="59">
        <v>9.9879999999999995</v>
      </c>
    </row>
    <row r="3369" spans="1:13" ht="112.5" customHeight="1" x14ac:dyDescent="0.15">
      <c r="A3369" s="69">
        <v>14</v>
      </c>
      <c r="B3369" s="32" t="s">
        <v>3822</v>
      </c>
      <c r="C3369" s="32" t="s">
        <v>13485</v>
      </c>
      <c r="D3369" s="56" t="s">
        <v>13486</v>
      </c>
      <c r="E3369" s="68"/>
      <c r="F3369" s="59">
        <v>62000</v>
      </c>
      <c r="G3369" s="63" t="s">
        <v>4709</v>
      </c>
      <c r="H3369" s="59">
        <v>878</v>
      </c>
    </row>
    <row r="3370" spans="1:13" ht="112.5" customHeight="1" x14ac:dyDescent="0.15">
      <c r="A3370" s="69">
        <v>4056</v>
      </c>
      <c r="B3370" s="32" t="s">
        <v>3822</v>
      </c>
      <c r="C3370" s="32" t="s">
        <v>13487</v>
      </c>
      <c r="D3370" s="56" t="s">
        <v>13488</v>
      </c>
      <c r="E3370" s="68"/>
      <c r="F3370" s="59"/>
      <c r="G3370" s="64" t="s">
        <v>4397</v>
      </c>
      <c r="H3370" s="59">
        <v>9.9920000000000009</v>
      </c>
    </row>
    <row r="3371" spans="1:13" ht="112.5" customHeight="1" x14ac:dyDescent="0.15">
      <c r="A3371" s="67">
        <v>4055</v>
      </c>
      <c r="B3371" s="33" t="s">
        <v>3822</v>
      </c>
      <c r="C3371" s="33" t="s">
        <v>13489</v>
      </c>
      <c r="D3371" s="61" t="s">
        <v>13490</v>
      </c>
      <c r="E3371" s="68"/>
      <c r="F3371" s="59"/>
      <c r="G3371" s="63" t="s">
        <v>13491</v>
      </c>
      <c r="H3371" s="59">
        <v>10</v>
      </c>
    </row>
    <row r="3372" spans="1:13" ht="112.5" customHeight="1" x14ac:dyDescent="0.15">
      <c r="A3372" s="69">
        <v>4054</v>
      </c>
      <c r="B3372" s="32" t="s">
        <v>3822</v>
      </c>
      <c r="C3372" s="32" t="s">
        <v>13492</v>
      </c>
      <c r="D3372" s="56" t="s">
        <v>13493</v>
      </c>
      <c r="E3372" s="68"/>
      <c r="F3372" s="59"/>
      <c r="G3372" s="64" t="s">
        <v>13494</v>
      </c>
      <c r="H3372" s="59">
        <v>0</v>
      </c>
    </row>
    <row r="3373" spans="1:13" ht="112.5" customHeight="1" x14ac:dyDescent="0.15">
      <c r="A3373" s="69">
        <v>444</v>
      </c>
      <c r="B3373" s="32" t="s">
        <v>3822</v>
      </c>
      <c r="C3373" s="32" t="s">
        <v>13495</v>
      </c>
      <c r="D3373" s="56" t="s">
        <v>13496</v>
      </c>
      <c r="E3373" s="68"/>
      <c r="F3373" s="59"/>
      <c r="G3373" s="62" t="s">
        <v>13497</v>
      </c>
      <c r="H3373" s="59">
        <v>1</v>
      </c>
      <c r="I3373" s="29"/>
      <c r="J3373" s="29"/>
      <c r="K3373" s="29"/>
      <c r="L3373" s="29"/>
      <c r="M3373" s="29"/>
    </row>
    <row r="3374" spans="1:13" ht="112.5" customHeight="1" x14ac:dyDescent="0.15">
      <c r="A3374" s="67">
        <v>4053</v>
      </c>
      <c r="B3374" s="33" t="s">
        <v>3822</v>
      </c>
      <c r="C3374" s="33" t="s">
        <v>13498</v>
      </c>
      <c r="D3374" s="61" t="s">
        <v>13499</v>
      </c>
      <c r="E3374" s="68"/>
      <c r="F3374" s="59"/>
      <c r="G3374" s="58" t="s">
        <v>13500</v>
      </c>
      <c r="H3374" s="59">
        <v>99.26</v>
      </c>
      <c r="I3374" s="29"/>
      <c r="J3374" s="29"/>
      <c r="K3374" s="29"/>
      <c r="L3374" s="29"/>
      <c r="M3374" s="29"/>
    </row>
    <row r="3375" spans="1:13" ht="112.5" customHeight="1" x14ac:dyDescent="0.15">
      <c r="A3375" s="67">
        <v>4049</v>
      </c>
      <c r="B3375" s="33" t="s">
        <v>3513</v>
      </c>
      <c r="C3375" s="33" t="s">
        <v>13501</v>
      </c>
      <c r="D3375" s="61" t="s">
        <v>13502</v>
      </c>
      <c r="E3375" s="68"/>
      <c r="F3375" s="59"/>
      <c r="G3375" s="63" t="s">
        <v>4706</v>
      </c>
      <c r="H3375" s="59">
        <v>9.9760000000000009</v>
      </c>
    </row>
    <row r="3376" spans="1:13" ht="112.5" customHeight="1" x14ac:dyDescent="0.15">
      <c r="A3376" s="69">
        <v>4048</v>
      </c>
      <c r="B3376" s="32" t="s">
        <v>3630</v>
      </c>
      <c r="C3376" s="32" t="s">
        <v>13503</v>
      </c>
      <c r="D3376" s="56" t="s">
        <v>13504</v>
      </c>
      <c r="E3376" s="68"/>
      <c r="F3376" s="59"/>
      <c r="G3376" s="64" t="s">
        <v>13505</v>
      </c>
      <c r="H3376" s="59">
        <v>9.99</v>
      </c>
    </row>
    <row r="3377" spans="1:8" ht="112.5" customHeight="1" x14ac:dyDescent="0.15">
      <c r="A3377" s="67">
        <v>4047</v>
      </c>
      <c r="B3377" s="33" t="s">
        <v>3526</v>
      </c>
      <c r="C3377" s="33" t="s">
        <v>13506</v>
      </c>
      <c r="D3377" s="61" t="s">
        <v>13507</v>
      </c>
      <c r="E3377" s="68"/>
      <c r="F3377" s="59"/>
      <c r="G3377" s="63" t="s">
        <v>13508</v>
      </c>
      <c r="H3377" s="59">
        <v>94</v>
      </c>
    </row>
    <row r="3378" spans="1:8" ht="112.5" customHeight="1" x14ac:dyDescent="0.15">
      <c r="A3378" s="69">
        <v>4046</v>
      </c>
      <c r="B3378" s="32" t="s">
        <v>3526</v>
      </c>
      <c r="C3378" s="32" t="s">
        <v>13509</v>
      </c>
      <c r="D3378" s="56" t="s">
        <v>13510</v>
      </c>
      <c r="E3378" s="68"/>
      <c r="F3378" s="59"/>
      <c r="G3378" s="64" t="s">
        <v>13511</v>
      </c>
      <c r="H3378" s="59">
        <v>0</v>
      </c>
    </row>
    <row r="3379" spans="1:8" ht="112.5" customHeight="1" x14ac:dyDescent="0.15">
      <c r="A3379" s="69">
        <v>4044</v>
      </c>
      <c r="B3379" s="32" t="s">
        <v>3670</v>
      </c>
      <c r="C3379" s="32" t="s">
        <v>13512</v>
      </c>
      <c r="D3379" s="56" t="s">
        <v>13513</v>
      </c>
      <c r="E3379" s="68"/>
      <c r="F3379" s="59"/>
      <c r="G3379" s="63" t="s">
        <v>4703</v>
      </c>
      <c r="H3379" s="59">
        <v>9.9930000000000003</v>
      </c>
    </row>
    <row r="3380" spans="1:8" ht="112.5" customHeight="1" x14ac:dyDescent="0.15">
      <c r="A3380" s="67">
        <v>4043</v>
      </c>
      <c r="B3380" s="33" t="s">
        <v>3670</v>
      </c>
      <c r="C3380" s="33" t="s">
        <v>13514</v>
      </c>
      <c r="D3380" s="61" t="s">
        <v>13515</v>
      </c>
      <c r="E3380" s="68"/>
      <c r="F3380" s="59"/>
      <c r="G3380" s="64" t="s">
        <v>13516</v>
      </c>
      <c r="H3380" s="59">
        <v>9.9860000000000007</v>
      </c>
    </row>
    <row r="3381" spans="1:8" ht="112.5" customHeight="1" x14ac:dyDescent="0.15">
      <c r="A3381" s="67">
        <v>4041</v>
      </c>
      <c r="B3381" s="33" t="s">
        <v>3509</v>
      </c>
      <c r="C3381" s="33" t="s">
        <v>13517</v>
      </c>
      <c r="D3381" s="61" t="s">
        <v>13518</v>
      </c>
      <c r="E3381" s="68"/>
      <c r="F3381" s="59"/>
      <c r="G3381" s="63" t="s">
        <v>13519</v>
      </c>
      <c r="H3381" s="59">
        <v>9.9570000000000007</v>
      </c>
    </row>
    <row r="3382" spans="1:8" ht="112.5" customHeight="1" x14ac:dyDescent="0.15">
      <c r="A3382" s="69">
        <v>8</v>
      </c>
      <c r="B3382" s="32" t="s">
        <v>3630</v>
      </c>
      <c r="C3382" s="32" t="s">
        <v>13520</v>
      </c>
      <c r="D3382" s="56" t="s">
        <v>13521</v>
      </c>
      <c r="E3382" s="68"/>
      <c r="F3382" s="59">
        <v>86000</v>
      </c>
      <c r="G3382" s="64" t="s">
        <v>4700</v>
      </c>
      <c r="H3382" s="59">
        <v>9.9730000000000008</v>
      </c>
    </row>
    <row r="3383" spans="1:8" ht="112.5" customHeight="1" x14ac:dyDescent="0.15">
      <c r="A3383" s="67">
        <v>4039</v>
      </c>
      <c r="B3383" s="33" t="s">
        <v>3822</v>
      </c>
      <c r="C3383" s="33" t="s">
        <v>13522</v>
      </c>
      <c r="D3383" s="61" t="s">
        <v>13523</v>
      </c>
      <c r="E3383" s="68"/>
      <c r="F3383" s="59"/>
      <c r="G3383" s="63" t="s">
        <v>13524</v>
      </c>
      <c r="H3383" s="59">
        <v>9.9949999999999992</v>
      </c>
    </row>
    <row r="3384" spans="1:8" ht="112.5" customHeight="1" x14ac:dyDescent="0.15">
      <c r="A3384" s="69">
        <v>204</v>
      </c>
      <c r="B3384" s="32" t="s">
        <v>3822</v>
      </c>
      <c r="C3384" s="32" t="s">
        <v>13525</v>
      </c>
      <c r="D3384" s="56" t="s">
        <v>13526</v>
      </c>
      <c r="E3384" s="68"/>
      <c r="F3384" s="59"/>
      <c r="G3384" s="64" t="s">
        <v>13527</v>
      </c>
      <c r="H3384" s="59">
        <v>9.9749999999999996</v>
      </c>
    </row>
    <row r="3385" spans="1:8" ht="112.5" customHeight="1" x14ac:dyDescent="0.15">
      <c r="A3385" s="67">
        <v>4035</v>
      </c>
      <c r="B3385" s="33" t="s">
        <v>3818</v>
      </c>
      <c r="C3385" s="33" t="s">
        <v>13528</v>
      </c>
      <c r="D3385" s="61" t="s">
        <v>13529</v>
      </c>
      <c r="E3385" s="68"/>
      <c r="F3385" s="59"/>
      <c r="G3385" s="63" t="s">
        <v>13530</v>
      </c>
      <c r="H3385" s="59">
        <v>9.9930000000000003</v>
      </c>
    </row>
    <row r="3386" spans="1:8" ht="112.5" customHeight="1" x14ac:dyDescent="0.15">
      <c r="A3386" s="69">
        <v>4034</v>
      </c>
      <c r="B3386" s="32" t="s">
        <v>3509</v>
      </c>
      <c r="C3386" s="32" t="s">
        <v>13531</v>
      </c>
      <c r="D3386" s="56" t="s">
        <v>13532</v>
      </c>
      <c r="E3386" s="68"/>
      <c r="F3386" s="59"/>
      <c r="G3386" s="64" t="s">
        <v>13533</v>
      </c>
      <c r="H3386" s="59">
        <v>9.9949999999999992</v>
      </c>
    </row>
    <row r="3387" spans="1:8" ht="112.5" customHeight="1" x14ac:dyDescent="0.15">
      <c r="A3387" s="67">
        <v>37</v>
      </c>
      <c r="B3387" s="33" t="s">
        <v>3898</v>
      </c>
      <c r="C3387" s="33" t="s">
        <v>13534</v>
      </c>
      <c r="D3387" s="61" t="s">
        <v>13535</v>
      </c>
      <c r="E3387" s="68"/>
      <c r="F3387" s="59">
        <v>46000</v>
      </c>
      <c r="G3387" s="63" t="s">
        <v>13536</v>
      </c>
      <c r="H3387" s="59">
        <v>9.99</v>
      </c>
    </row>
    <row r="3388" spans="1:8" ht="112.5" customHeight="1" x14ac:dyDescent="0.15">
      <c r="A3388" s="67">
        <v>141</v>
      </c>
      <c r="B3388" s="33" t="s">
        <v>13537</v>
      </c>
      <c r="C3388" s="33" t="s">
        <v>13538</v>
      </c>
      <c r="D3388" s="61" t="s">
        <v>13539</v>
      </c>
      <c r="E3388" s="68"/>
      <c r="F3388" s="59">
        <v>115000</v>
      </c>
      <c r="G3388" s="64" t="s">
        <v>4697</v>
      </c>
      <c r="H3388" s="59">
        <v>9.98</v>
      </c>
    </row>
    <row r="3389" spans="1:8" ht="112.5" customHeight="1" x14ac:dyDescent="0.15">
      <c r="A3389" s="67">
        <v>3395</v>
      </c>
      <c r="B3389" s="33" t="s">
        <v>12428</v>
      </c>
      <c r="C3389" s="33" t="s">
        <v>13540</v>
      </c>
      <c r="D3389" s="61" t="s">
        <v>13541</v>
      </c>
      <c r="E3389" s="68"/>
      <c r="F3389" s="59"/>
      <c r="G3389" s="63" t="s">
        <v>13542</v>
      </c>
      <c r="H3389" s="59">
        <v>9.9939999999999998</v>
      </c>
    </row>
    <row r="3390" spans="1:8" ht="112.5" customHeight="1" x14ac:dyDescent="0.15">
      <c r="A3390" s="67">
        <v>99</v>
      </c>
      <c r="B3390" s="33" t="s">
        <v>12428</v>
      </c>
      <c r="C3390" s="33" t="s">
        <v>13543</v>
      </c>
      <c r="D3390" s="61" t="s">
        <v>13544</v>
      </c>
      <c r="E3390" s="68"/>
      <c r="F3390" s="59">
        <v>38000</v>
      </c>
      <c r="G3390" s="64" t="s">
        <v>13545</v>
      </c>
      <c r="H3390" s="59">
        <v>9.9870000000000001</v>
      </c>
    </row>
    <row r="3391" spans="1:8" ht="112.5" customHeight="1" x14ac:dyDescent="0.15">
      <c r="A3391" s="69">
        <v>4030</v>
      </c>
      <c r="B3391" s="32" t="s">
        <v>3509</v>
      </c>
      <c r="C3391" s="32" t="s">
        <v>13546</v>
      </c>
      <c r="D3391" s="56" t="s">
        <v>13547</v>
      </c>
      <c r="E3391" s="68"/>
      <c r="F3391" s="59"/>
      <c r="G3391" s="63" t="s">
        <v>13548</v>
      </c>
      <c r="H3391" s="59">
        <v>9.9529999999999994</v>
      </c>
    </row>
    <row r="3392" spans="1:8" ht="112.5" customHeight="1" x14ac:dyDescent="0.15">
      <c r="A3392" s="67">
        <v>213</v>
      </c>
      <c r="B3392" s="33" t="s">
        <v>12428</v>
      </c>
      <c r="C3392" s="33" t="s">
        <v>13549</v>
      </c>
      <c r="D3392" s="61" t="s">
        <v>13550</v>
      </c>
      <c r="E3392" s="68"/>
      <c r="F3392" s="59"/>
      <c r="G3392" s="64" t="s">
        <v>13551</v>
      </c>
      <c r="H3392" s="59">
        <v>9.3320000000000007</v>
      </c>
    </row>
    <row r="3393" spans="1:13" ht="112.5" customHeight="1" x14ac:dyDescent="0.15">
      <c r="A3393" s="67">
        <v>3499</v>
      </c>
      <c r="B3393" s="33" t="s">
        <v>12428</v>
      </c>
      <c r="C3393" s="33" t="s">
        <v>13552</v>
      </c>
      <c r="D3393" s="61" t="s">
        <v>13553</v>
      </c>
      <c r="E3393" s="68"/>
      <c r="F3393" s="59"/>
      <c r="G3393" s="63" t="s">
        <v>4691</v>
      </c>
      <c r="H3393" s="59">
        <v>9.9710000000000001</v>
      </c>
    </row>
    <row r="3394" spans="1:13" ht="112.5" customHeight="1" x14ac:dyDescent="0.15">
      <c r="A3394" s="69">
        <v>250</v>
      </c>
      <c r="B3394" s="32" t="s">
        <v>3599</v>
      </c>
      <c r="C3394" s="32" t="s">
        <v>13554</v>
      </c>
      <c r="D3394" s="56" t="s">
        <v>13555</v>
      </c>
      <c r="E3394" s="68"/>
      <c r="F3394" s="59"/>
      <c r="G3394" s="64" t="s">
        <v>4688</v>
      </c>
      <c r="H3394" s="59">
        <v>9.9890000000000008</v>
      </c>
    </row>
    <row r="3395" spans="1:13" ht="112.5" customHeight="1" x14ac:dyDescent="0.15">
      <c r="A3395" s="69">
        <v>4028</v>
      </c>
      <c r="B3395" s="32" t="s">
        <v>3599</v>
      </c>
      <c r="C3395" s="32" t="s">
        <v>13556</v>
      </c>
      <c r="D3395" s="56" t="s">
        <v>13557</v>
      </c>
      <c r="E3395" s="68"/>
      <c r="F3395" s="59"/>
      <c r="G3395" s="63" t="s">
        <v>13558</v>
      </c>
      <c r="H3395" s="59">
        <v>9.9890000000000008</v>
      </c>
    </row>
    <row r="3396" spans="1:13" ht="112.5" customHeight="1" x14ac:dyDescent="0.15">
      <c r="A3396" s="67">
        <v>4027</v>
      </c>
      <c r="B3396" s="33" t="s">
        <v>3599</v>
      </c>
      <c r="C3396" s="33" t="s">
        <v>13559</v>
      </c>
      <c r="D3396" s="61" t="s">
        <v>13560</v>
      </c>
      <c r="E3396" s="68"/>
      <c r="F3396" s="59"/>
      <c r="G3396" s="58" t="s">
        <v>13561</v>
      </c>
      <c r="H3396" s="59">
        <v>0</v>
      </c>
      <c r="I3396" s="29"/>
      <c r="J3396" s="29"/>
      <c r="K3396" s="29"/>
      <c r="L3396" s="29"/>
      <c r="M3396" s="29"/>
    </row>
    <row r="3397" spans="1:13" ht="112.5" customHeight="1" x14ac:dyDescent="0.15">
      <c r="A3397" s="69">
        <v>4026</v>
      </c>
      <c r="B3397" s="32" t="s">
        <v>3749</v>
      </c>
      <c r="C3397" s="32" t="s">
        <v>13562</v>
      </c>
      <c r="D3397" s="56" t="s">
        <v>13563</v>
      </c>
      <c r="E3397" s="68"/>
      <c r="F3397" s="59"/>
      <c r="G3397" s="63" t="s">
        <v>13564</v>
      </c>
      <c r="H3397" s="59">
        <v>9.9770000000000003</v>
      </c>
    </row>
    <row r="3398" spans="1:13" ht="112.5" customHeight="1" x14ac:dyDescent="0.15">
      <c r="A3398" s="67">
        <v>4025</v>
      </c>
      <c r="B3398" s="33" t="s">
        <v>3670</v>
      </c>
      <c r="C3398" s="33" t="s">
        <v>13565</v>
      </c>
      <c r="D3398" s="61" t="s">
        <v>13566</v>
      </c>
      <c r="E3398" s="68"/>
      <c r="F3398" s="59"/>
      <c r="G3398" s="64" t="s">
        <v>13567</v>
      </c>
      <c r="H3398" s="59">
        <v>9.9760000000000009</v>
      </c>
    </row>
    <row r="3399" spans="1:13" ht="112.5" customHeight="1" x14ac:dyDescent="0.15">
      <c r="A3399" s="69">
        <v>4024</v>
      </c>
      <c r="B3399" s="32" t="s">
        <v>4330</v>
      </c>
      <c r="C3399" s="32" t="s">
        <v>13568</v>
      </c>
      <c r="D3399" s="56" t="s">
        <v>13569</v>
      </c>
      <c r="E3399" s="68"/>
      <c r="F3399" s="59"/>
      <c r="G3399" s="63" t="s">
        <v>13570</v>
      </c>
      <c r="H3399" s="59">
        <v>9.9649999999999999</v>
      </c>
    </row>
    <row r="3400" spans="1:13" ht="112.5" customHeight="1" x14ac:dyDescent="0.15">
      <c r="A3400" s="69">
        <v>190</v>
      </c>
      <c r="B3400" s="32" t="s">
        <v>4330</v>
      </c>
      <c r="C3400" s="32" t="s">
        <v>13571</v>
      </c>
      <c r="D3400" s="56" t="s">
        <v>13572</v>
      </c>
      <c r="E3400" s="68"/>
      <c r="F3400" s="59">
        <v>69000</v>
      </c>
      <c r="G3400" s="64" t="s">
        <v>4685</v>
      </c>
      <c r="H3400" s="59">
        <v>9.9830000000000005</v>
      </c>
    </row>
    <row r="3401" spans="1:13" ht="112.5" customHeight="1" x14ac:dyDescent="0.15">
      <c r="A3401" s="69">
        <v>3892</v>
      </c>
      <c r="B3401" s="32" t="s">
        <v>3630</v>
      </c>
      <c r="C3401" s="32" t="s">
        <v>13573</v>
      </c>
      <c r="D3401" s="56" t="s">
        <v>13574</v>
      </c>
      <c r="E3401" s="68"/>
      <c r="F3401" s="59"/>
      <c r="G3401" s="63" t="s">
        <v>4394</v>
      </c>
      <c r="H3401" s="59">
        <v>0</v>
      </c>
    </row>
    <row r="3402" spans="1:13" ht="112.5" customHeight="1" x14ac:dyDescent="0.15">
      <c r="A3402" s="69">
        <v>4022</v>
      </c>
      <c r="B3402" s="32" t="s">
        <v>3801</v>
      </c>
      <c r="C3402" s="32" t="s">
        <v>13575</v>
      </c>
      <c r="D3402" s="56" t="s">
        <v>13576</v>
      </c>
      <c r="E3402" s="68"/>
      <c r="F3402" s="59"/>
      <c r="G3402" s="64" t="s">
        <v>13577</v>
      </c>
      <c r="H3402" s="59">
        <v>9.9809999999999999</v>
      </c>
    </row>
    <row r="3403" spans="1:13" ht="112.5" customHeight="1" x14ac:dyDescent="0.15">
      <c r="A3403" s="67">
        <v>4021</v>
      </c>
      <c r="B3403" s="33" t="s">
        <v>3822</v>
      </c>
      <c r="C3403" s="33" t="s">
        <v>13578</v>
      </c>
      <c r="D3403" s="61" t="s">
        <v>13579</v>
      </c>
      <c r="E3403" s="68"/>
      <c r="F3403" s="59"/>
      <c r="G3403" s="63" t="s">
        <v>13580</v>
      </c>
      <c r="H3403" s="59">
        <v>9.99</v>
      </c>
    </row>
    <row r="3404" spans="1:13" ht="112.5" customHeight="1" x14ac:dyDescent="0.15">
      <c r="A3404" s="69">
        <v>4020</v>
      </c>
      <c r="B3404" s="32" t="s">
        <v>3822</v>
      </c>
      <c r="C3404" s="32" t="s">
        <v>13581</v>
      </c>
      <c r="D3404" s="56" t="s">
        <v>13582</v>
      </c>
      <c r="E3404" s="68"/>
      <c r="F3404" s="59"/>
      <c r="G3404" s="64" t="s">
        <v>13583</v>
      </c>
      <c r="H3404" s="59">
        <v>9.4760000000000009</v>
      </c>
    </row>
    <row r="3405" spans="1:13" ht="112.5" customHeight="1" x14ac:dyDescent="0.15">
      <c r="A3405" s="67">
        <v>4019</v>
      </c>
      <c r="B3405" s="33" t="s">
        <v>3822</v>
      </c>
      <c r="C3405" s="33" t="s">
        <v>13584</v>
      </c>
      <c r="D3405" s="61" t="s">
        <v>13585</v>
      </c>
      <c r="E3405" s="68"/>
      <c r="F3405" s="59"/>
      <c r="G3405" s="63" t="s">
        <v>13586</v>
      </c>
      <c r="H3405" s="59">
        <v>0</v>
      </c>
    </row>
    <row r="3406" spans="1:13" ht="112.5" customHeight="1" x14ac:dyDescent="0.15">
      <c r="A3406" s="69">
        <v>4018</v>
      </c>
      <c r="B3406" s="32" t="s">
        <v>3822</v>
      </c>
      <c r="C3406" s="32" t="s">
        <v>13587</v>
      </c>
      <c r="D3406" s="56" t="s">
        <v>13588</v>
      </c>
      <c r="E3406" s="68"/>
      <c r="F3406" s="59"/>
      <c r="G3406" s="64" t="s">
        <v>13589</v>
      </c>
      <c r="H3406" s="59">
        <v>0</v>
      </c>
    </row>
    <row r="3407" spans="1:13" ht="112.5" customHeight="1" x14ac:dyDescent="0.15">
      <c r="A3407" s="69">
        <v>4016</v>
      </c>
      <c r="B3407" s="32" t="s">
        <v>3822</v>
      </c>
      <c r="C3407" s="32" t="s">
        <v>13590</v>
      </c>
      <c r="D3407" s="56" t="s">
        <v>13591</v>
      </c>
      <c r="E3407" s="68"/>
      <c r="F3407" s="59"/>
      <c r="G3407" s="63" t="s">
        <v>13592</v>
      </c>
      <c r="H3407" s="59">
        <v>9.9580000000000002</v>
      </c>
    </row>
    <row r="3408" spans="1:13" ht="112.5" customHeight="1" x14ac:dyDescent="0.15">
      <c r="A3408" s="67">
        <v>4017</v>
      </c>
      <c r="B3408" s="33" t="s">
        <v>3822</v>
      </c>
      <c r="C3408" s="33" t="s">
        <v>13593</v>
      </c>
      <c r="D3408" s="61" t="s">
        <v>13594</v>
      </c>
      <c r="E3408" s="68"/>
      <c r="F3408" s="59"/>
      <c r="G3408" s="64" t="s">
        <v>13595</v>
      </c>
      <c r="H3408" s="59">
        <v>9.9090000000000007</v>
      </c>
    </row>
    <row r="3409" spans="1:13" ht="112.5" customHeight="1" x14ac:dyDescent="0.15">
      <c r="A3409" s="67">
        <v>4015</v>
      </c>
      <c r="B3409" s="33" t="s">
        <v>3492</v>
      </c>
      <c r="C3409" s="33" t="s">
        <v>13596</v>
      </c>
      <c r="D3409" s="61" t="s">
        <v>13597</v>
      </c>
      <c r="E3409" s="68"/>
      <c r="F3409" s="59"/>
      <c r="G3409" s="63" t="s">
        <v>13598</v>
      </c>
      <c r="H3409" s="59">
        <v>9.8670000000000009</v>
      </c>
    </row>
    <row r="3410" spans="1:13" ht="112.5" customHeight="1" x14ac:dyDescent="0.15">
      <c r="A3410" s="67">
        <v>255</v>
      </c>
      <c r="B3410" s="33" t="s">
        <v>3492</v>
      </c>
      <c r="C3410" s="33" t="s">
        <v>13599</v>
      </c>
      <c r="D3410" s="61" t="s">
        <v>13600</v>
      </c>
      <c r="E3410" s="68"/>
      <c r="F3410" s="59"/>
      <c r="G3410" s="64" t="s">
        <v>13601</v>
      </c>
      <c r="H3410" s="59">
        <v>9.9420000000000002</v>
      </c>
    </row>
    <row r="3411" spans="1:13" ht="112.5" customHeight="1" x14ac:dyDescent="0.15">
      <c r="A3411" s="67">
        <v>4013</v>
      </c>
      <c r="B3411" s="33" t="s">
        <v>3556</v>
      </c>
      <c r="C3411" s="33" t="s">
        <v>13602</v>
      </c>
      <c r="D3411" s="61" t="s">
        <v>13603</v>
      </c>
      <c r="E3411" s="68"/>
      <c r="F3411" s="59"/>
      <c r="G3411" s="63" t="s">
        <v>13604</v>
      </c>
      <c r="H3411" s="59">
        <v>9.9870000000000001</v>
      </c>
    </row>
    <row r="3412" spans="1:13" ht="112.5" customHeight="1" x14ac:dyDescent="0.15">
      <c r="A3412" s="69">
        <v>194</v>
      </c>
      <c r="B3412" s="32" t="s">
        <v>3822</v>
      </c>
      <c r="C3412" s="32" t="s">
        <v>13605</v>
      </c>
      <c r="D3412" s="56" t="s">
        <v>13606</v>
      </c>
      <c r="E3412" s="68"/>
      <c r="F3412" s="59">
        <v>15000</v>
      </c>
      <c r="G3412" s="64" t="s">
        <v>13607</v>
      </c>
      <c r="H3412" s="59">
        <v>9.9719999999999995</v>
      </c>
    </row>
    <row r="3413" spans="1:13" ht="112.5" customHeight="1" x14ac:dyDescent="0.15">
      <c r="A3413" s="67">
        <v>4011</v>
      </c>
      <c r="B3413" s="33" t="s">
        <v>3822</v>
      </c>
      <c r="C3413" s="33" t="s">
        <v>13608</v>
      </c>
      <c r="D3413" s="61" t="s">
        <v>13609</v>
      </c>
      <c r="E3413" s="68"/>
      <c r="F3413" s="59"/>
      <c r="G3413" s="63" t="s">
        <v>13610</v>
      </c>
      <c r="H3413" s="59">
        <v>9.8089999999999993</v>
      </c>
    </row>
    <row r="3414" spans="1:13" ht="112.5" customHeight="1" x14ac:dyDescent="0.15">
      <c r="A3414" s="69">
        <v>42</v>
      </c>
      <c r="B3414" s="32" t="s">
        <v>12428</v>
      </c>
      <c r="C3414" s="32" t="s">
        <v>13611</v>
      </c>
      <c r="D3414" s="56" t="s">
        <v>13612</v>
      </c>
      <c r="E3414" s="68"/>
      <c r="F3414" s="59">
        <v>62000</v>
      </c>
      <c r="G3414" s="64" t="s">
        <v>13613</v>
      </c>
      <c r="H3414" s="59">
        <v>0</v>
      </c>
    </row>
    <row r="3415" spans="1:13" ht="112.5" customHeight="1" x14ac:dyDescent="0.15">
      <c r="A3415" s="69">
        <v>68</v>
      </c>
      <c r="B3415" s="32" t="s">
        <v>12428</v>
      </c>
      <c r="C3415" s="32" t="s">
        <v>13614</v>
      </c>
      <c r="D3415" s="56" t="s">
        <v>13615</v>
      </c>
      <c r="E3415" s="68"/>
      <c r="F3415" s="59">
        <v>40000</v>
      </c>
      <c r="G3415" s="63" t="s">
        <v>4682</v>
      </c>
      <c r="H3415" s="59">
        <v>9.9710000000000001</v>
      </c>
    </row>
    <row r="3416" spans="1:13" ht="112.5" customHeight="1" x14ac:dyDescent="0.15">
      <c r="A3416" s="67">
        <v>231</v>
      </c>
      <c r="B3416" s="33" t="s">
        <v>12428</v>
      </c>
      <c r="C3416" s="33" t="s">
        <v>13616</v>
      </c>
      <c r="D3416" s="61" t="s">
        <v>13617</v>
      </c>
      <c r="E3416" s="68"/>
      <c r="F3416" s="59"/>
      <c r="G3416" s="58" t="s">
        <v>13618</v>
      </c>
      <c r="H3416" s="59">
        <v>5.1779999999999999</v>
      </c>
      <c r="I3416" s="29"/>
      <c r="J3416" s="29"/>
      <c r="K3416" s="29"/>
      <c r="L3416" s="29"/>
      <c r="M3416" s="29"/>
    </row>
    <row r="3417" spans="1:13" ht="112.5" customHeight="1" x14ac:dyDescent="0.15">
      <c r="A3417" s="67">
        <v>245</v>
      </c>
      <c r="B3417" s="33" t="s">
        <v>12428</v>
      </c>
      <c r="C3417" s="33" t="s">
        <v>13619</v>
      </c>
      <c r="D3417" s="61" t="s">
        <v>13620</v>
      </c>
      <c r="E3417" s="68"/>
      <c r="F3417" s="59"/>
      <c r="G3417" s="63" t="s">
        <v>13621</v>
      </c>
      <c r="H3417" s="59">
        <v>0</v>
      </c>
    </row>
    <row r="3418" spans="1:13" ht="112.5" customHeight="1" x14ac:dyDescent="0.15">
      <c r="A3418" s="69">
        <v>4010</v>
      </c>
      <c r="B3418" s="32" t="s">
        <v>3513</v>
      </c>
      <c r="C3418" s="32" t="s">
        <v>13622</v>
      </c>
      <c r="D3418" s="56" t="s">
        <v>13623</v>
      </c>
      <c r="E3418" s="68"/>
      <c r="F3418" s="59"/>
      <c r="G3418" s="64" t="s">
        <v>13624</v>
      </c>
      <c r="H3418" s="59">
        <v>5</v>
      </c>
    </row>
    <row r="3419" spans="1:13" ht="112.5" customHeight="1" x14ac:dyDescent="0.15">
      <c r="A3419" s="67">
        <v>4009</v>
      </c>
      <c r="B3419" s="33" t="s">
        <v>3814</v>
      </c>
      <c r="C3419" s="33" t="s">
        <v>13625</v>
      </c>
      <c r="D3419" s="61" t="s">
        <v>13626</v>
      </c>
      <c r="E3419" s="68"/>
      <c r="F3419" s="59"/>
      <c r="G3419" s="63" t="s">
        <v>13627</v>
      </c>
      <c r="H3419" s="59">
        <v>9.7769999999999992</v>
      </c>
    </row>
    <row r="3420" spans="1:13" ht="112.5" customHeight="1" x14ac:dyDescent="0.15">
      <c r="A3420" s="67">
        <v>4007</v>
      </c>
      <c r="B3420" s="33" t="s">
        <v>12428</v>
      </c>
      <c r="C3420" s="33" t="s">
        <v>13628</v>
      </c>
      <c r="D3420" s="61" t="s">
        <v>13629</v>
      </c>
      <c r="E3420" s="68"/>
      <c r="F3420" s="59"/>
      <c r="G3420" s="64" t="s">
        <v>13630</v>
      </c>
      <c r="H3420" s="59">
        <v>9.9930000000000003</v>
      </c>
    </row>
    <row r="3421" spans="1:13" ht="112.5" customHeight="1" x14ac:dyDescent="0.15">
      <c r="A3421" s="69">
        <v>146</v>
      </c>
      <c r="B3421" s="32" t="s">
        <v>3513</v>
      </c>
      <c r="C3421" s="32" t="s">
        <v>13631</v>
      </c>
      <c r="D3421" s="56" t="s">
        <v>13632</v>
      </c>
      <c r="E3421" s="68"/>
      <c r="F3421" s="59">
        <v>13000</v>
      </c>
      <c r="G3421" s="63" t="s">
        <v>13633</v>
      </c>
      <c r="H3421" s="59">
        <v>9.9510000000000005</v>
      </c>
    </row>
    <row r="3422" spans="1:13" ht="112.5" customHeight="1" x14ac:dyDescent="0.15">
      <c r="A3422" s="69">
        <v>156</v>
      </c>
      <c r="B3422" s="32" t="s">
        <v>3818</v>
      </c>
      <c r="C3422" s="32" t="s">
        <v>13634</v>
      </c>
      <c r="D3422" s="56" t="s">
        <v>13635</v>
      </c>
      <c r="E3422" s="68"/>
      <c r="F3422" s="59">
        <v>290000</v>
      </c>
      <c r="G3422" s="64" t="s">
        <v>13636</v>
      </c>
      <c r="H3422" s="59">
        <v>9.9079999999999995</v>
      </c>
    </row>
    <row r="3423" spans="1:13" ht="112.5" customHeight="1" x14ac:dyDescent="0.15">
      <c r="A3423" s="67">
        <v>4005</v>
      </c>
      <c r="B3423" s="33" t="s">
        <v>3818</v>
      </c>
      <c r="C3423" s="33" t="s">
        <v>13637</v>
      </c>
      <c r="D3423" s="61" t="s">
        <v>13638</v>
      </c>
      <c r="E3423" s="68"/>
      <c r="F3423" s="59"/>
      <c r="G3423" s="63" t="s">
        <v>13639</v>
      </c>
      <c r="H3423" s="59">
        <v>9.98</v>
      </c>
    </row>
    <row r="3424" spans="1:13" ht="112.5" customHeight="1" x14ac:dyDescent="0.15">
      <c r="A3424" s="67">
        <v>4003</v>
      </c>
      <c r="B3424" s="33" t="s">
        <v>3822</v>
      </c>
      <c r="C3424" s="33" t="s">
        <v>13640</v>
      </c>
      <c r="D3424" s="61" t="s">
        <v>13641</v>
      </c>
      <c r="E3424" s="68"/>
      <c r="F3424" s="59"/>
      <c r="G3424" s="64" t="s">
        <v>13642</v>
      </c>
      <c r="H3424" s="59">
        <v>9.9090000000000007</v>
      </c>
    </row>
    <row r="3425" spans="1:13" ht="112.5" customHeight="1" x14ac:dyDescent="0.15">
      <c r="A3425" s="67">
        <v>137</v>
      </c>
      <c r="B3425" s="33" t="s">
        <v>12428</v>
      </c>
      <c r="C3425" s="33" t="s">
        <v>13643</v>
      </c>
      <c r="D3425" s="61" t="s">
        <v>13644</v>
      </c>
      <c r="E3425" s="68"/>
      <c r="F3425" s="59">
        <v>40000</v>
      </c>
      <c r="G3425" s="63" t="s">
        <v>13645</v>
      </c>
      <c r="H3425" s="59">
        <v>9.9990000000000006</v>
      </c>
    </row>
    <row r="3426" spans="1:13" ht="112.5" customHeight="1" x14ac:dyDescent="0.15">
      <c r="A3426" s="67">
        <v>23</v>
      </c>
      <c r="B3426" s="33" t="s">
        <v>3513</v>
      </c>
      <c r="C3426" s="33" t="s">
        <v>13646</v>
      </c>
      <c r="D3426" s="61" t="s">
        <v>13647</v>
      </c>
      <c r="E3426" s="68"/>
      <c r="F3426" s="59">
        <v>60000</v>
      </c>
      <c r="G3426" s="64" t="s">
        <v>13648</v>
      </c>
      <c r="H3426" s="59">
        <v>0</v>
      </c>
    </row>
    <row r="3427" spans="1:13" ht="112.5" customHeight="1" x14ac:dyDescent="0.15">
      <c r="A3427" s="69">
        <v>26</v>
      </c>
      <c r="B3427" s="32" t="s">
        <v>3513</v>
      </c>
      <c r="C3427" s="32" t="s">
        <v>13649</v>
      </c>
      <c r="D3427" s="56" t="s">
        <v>13650</v>
      </c>
      <c r="E3427" s="68"/>
      <c r="F3427" s="59">
        <v>52000</v>
      </c>
      <c r="G3427" s="63" t="s">
        <v>13651</v>
      </c>
      <c r="H3427" s="59">
        <v>9.9909999999999997</v>
      </c>
    </row>
    <row r="3428" spans="1:13" ht="112.5" customHeight="1" x14ac:dyDescent="0.15">
      <c r="A3428" s="69">
        <v>160</v>
      </c>
      <c r="B3428" s="32" t="s">
        <v>12428</v>
      </c>
      <c r="C3428" s="32" t="s">
        <v>13652</v>
      </c>
      <c r="D3428" s="56" t="s">
        <v>13653</v>
      </c>
      <c r="E3428" s="68"/>
      <c r="F3428" s="59">
        <v>159000</v>
      </c>
      <c r="G3428" s="64" t="s">
        <v>13654</v>
      </c>
      <c r="H3428" s="59">
        <v>9.9949999999999992</v>
      </c>
    </row>
    <row r="3429" spans="1:13" ht="112.5" customHeight="1" x14ac:dyDescent="0.15">
      <c r="A3429" s="67">
        <v>3999</v>
      </c>
      <c r="B3429" s="33" t="s">
        <v>12428</v>
      </c>
      <c r="C3429" s="33" t="s">
        <v>13655</v>
      </c>
      <c r="D3429" s="61" t="s">
        <v>13656</v>
      </c>
      <c r="E3429" s="68"/>
      <c r="F3429" s="59"/>
      <c r="G3429" s="63" t="s">
        <v>13657</v>
      </c>
      <c r="H3429" s="59">
        <v>99.977999999999994</v>
      </c>
    </row>
    <row r="3430" spans="1:13" ht="112.5" customHeight="1" x14ac:dyDescent="0.15">
      <c r="A3430" s="69">
        <v>112</v>
      </c>
      <c r="B3430" s="32" t="s">
        <v>12428</v>
      </c>
      <c r="C3430" s="32" t="s">
        <v>53</v>
      </c>
      <c r="D3430" s="56" t="s">
        <v>54</v>
      </c>
      <c r="E3430" s="68"/>
      <c r="F3430" s="59">
        <v>226000</v>
      </c>
      <c r="G3430" s="64" t="s">
        <v>13658</v>
      </c>
      <c r="H3430" s="59">
        <v>9.9949999999999992</v>
      </c>
    </row>
    <row r="3431" spans="1:13" ht="112.5" customHeight="1" x14ac:dyDescent="0.15">
      <c r="A3431" s="67">
        <v>3997</v>
      </c>
      <c r="B3431" s="33" t="s">
        <v>3822</v>
      </c>
      <c r="C3431" s="33" t="s">
        <v>13659</v>
      </c>
      <c r="D3431" s="61" t="s">
        <v>13660</v>
      </c>
      <c r="E3431" s="68"/>
      <c r="F3431" s="59"/>
      <c r="G3431" s="63" t="s">
        <v>13661</v>
      </c>
      <c r="H3431" s="59">
        <v>0</v>
      </c>
    </row>
    <row r="3432" spans="1:13" ht="112.5" customHeight="1" x14ac:dyDescent="0.15">
      <c r="A3432" s="67">
        <v>3987</v>
      </c>
      <c r="B3432" s="33" t="s">
        <v>3492</v>
      </c>
      <c r="C3432" s="33" t="s">
        <v>13662</v>
      </c>
      <c r="D3432" s="61" t="s">
        <v>13663</v>
      </c>
      <c r="E3432" s="68"/>
      <c r="F3432" s="59"/>
      <c r="G3432" s="64" t="s">
        <v>13664</v>
      </c>
      <c r="H3432" s="59">
        <v>9.9879999999999995</v>
      </c>
    </row>
    <row r="3433" spans="1:13" ht="112.5" customHeight="1" x14ac:dyDescent="0.15">
      <c r="A3433" s="67">
        <v>3985</v>
      </c>
      <c r="B3433" s="33" t="s">
        <v>3492</v>
      </c>
      <c r="C3433" s="33" t="s">
        <v>13665</v>
      </c>
      <c r="D3433" s="61" t="s">
        <v>13666</v>
      </c>
      <c r="E3433" s="68"/>
      <c r="F3433" s="59"/>
      <c r="G3433" s="63" t="s">
        <v>13667</v>
      </c>
      <c r="H3433" s="59">
        <v>9.9960000000000004</v>
      </c>
    </row>
    <row r="3434" spans="1:13" ht="112.5" customHeight="1" x14ac:dyDescent="0.15">
      <c r="A3434" s="69">
        <v>3986</v>
      </c>
      <c r="B3434" s="32" t="s">
        <v>3492</v>
      </c>
      <c r="C3434" s="32" t="s">
        <v>13668</v>
      </c>
      <c r="D3434" s="56" t="s">
        <v>13669</v>
      </c>
      <c r="E3434" s="68"/>
      <c r="F3434" s="59"/>
      <c r="G3434" s="64" t="s">
        <v>13670</v>
      </c>
      <c r="H3434" s="59">
        <v>0</v>
      </c>
    </row>
    <row r="3435" spans="1:13" ht="112.5" customHeight="1" x14ac:dyDescent="0.15">
      <c r="A3435" s="69">
        <v>3984</v>
      </c>
      <c r="B3435" s="32" t="s">
        <v>3492</v>
      </c>
      <c r="C3435" s="32" t="s">
        <v>13671</v>
      </c>
      <c r="D3435" s="56" t="s">
        <v>13672</v>
      </c>
      <c r="E3435" s="68"/>
      <c r="F3435" s="59"/>
      <c r="G3435" s="63" t="s">
        <v>13673</v>
      </c>
      <c r="H3435" s="59">
        <v>9.9770000000000003</v>
      </c>
    </row>
    <row r="3436" spans="1:13" ht="112.5" customHeight="1" x14ac:dyDescent="0.15">
      <c r="A3436" s="69">
        <v>32</v>
      </c>
      <c r="B3436" s="32" t="s">
        <v>3822</v>
      </c>
      <c r="C3436" s="32" t="s">
        <v>13674</v>
      </c>
      <c r="D3436" s="56" t="s">
        <v>13675</v>
      </c>
      <c r="E3436" s="68"/>
      <c r="F3436" s="59">
        <v>52000</v>
      </c>
      <c r="G3436" s="64" t="s">
        <v>13676</v>
      </c>
      <c r="H3436" s="59">
        <v>9.9789999999999992</v>
      </c>
    </row>
    <row r="3437" spans="1:13" ht="112.5" customHeight="1" x14ac:dyDescent="0.15">
      <c r="A3437" s="67">
        <v>31</v>
      </c>
      <c r="B3437" s="33" t="s">
        <v>3822</v>
      </c>
      <c r="C3437" s="33" t="s">
        <v>13677</v>
      </c>
      <c r="D3437" s="61" t="s">
        <v>13678</v>
      </c>
      <c r="E3437" s="68"/>
      <c r="F3437" s="59">
        <v>64000</v>
      </c>
      <c r="G3437" s="63" t="s">
        <v>13679</v>
      </c>
      <c r="H3437" s="59">
        <v>9.9819999999999993</v>
      </c>
    </row>
    <row r="3438" spans="1:13" ht="112.5" customHeight="1" x14ac:dyDescent="0.15">
      <c r="A3438" s="69">
        <v>3982</v>
      </c>
      <c r="B3438" s="32" t="s">
        <v>3533</v>
      </c>
      <c r="C3438" s="32" t="s">
        <v>13680</v>
      </c>
      <c r="D3438" s="56" t="s">
        <v>13681</v>
      </c>
      <c r="E3438" s="68"/>
      <c r="F3438" s="59"/>
      <c r="G3438" s="64" t="s">
        <v>13682</v>
      </c>
      <c r="H3438" s="59">
        <v>9.91</v>
      </c>
    </row>
    <row r="3439" spans="1:13" ht="112.5" customHeight="1" x14ac:dyDescent="0.15">
      <c r="A3439" s="67">
        <v>111</v>
      </c>
      <c r="B3439" s="33" t="s">
        <v>3630</v>
      </c>
      <c r="C3439" s="33" t="s">
        <v>13683</v>
      </c>
      <c r="D3439" s="61" t="s">
        <v>13684</v>
      </c>
      <c r="E3439" s="68"/>
      <c r="F3439" s="59">
        <v>30000</v>
      </c>
      <c r="G3439" s="62" t="s">
        <v>13685</v>
      </c>
      <c r="H3439" s="59">
        <v>0</v>
      </c>
      <c r="I3439" s="29"/>
      <c r="J3439" s="29"/>
      <c r="K3439" s="29"/>
      <c r="L3439" s="29"/>
      <c r="M3439" s="29"/>
    </row>
    <row r="3440" spans="1:13" ht="112.5" customHeight="1" x14ac:dyDescent="0.15">
      <c r="A3440" s="67">
        <v>131</v>
      </c>
      <c r="B3440" s="33" t="s">
        <v>3513</v>
      </c>
      <c r="C3440" s="33" t="s">
        <v>13686</v>
      </c>
      <c r="D3440" s="61" t="s">
        <v>13687</v>
      </c>
      <c r="E3440" s="68"/>
      <c r="F3440" s="59">
        <v>120000</v>
      </c>
      <c r="G3440" s="64" t="s">
        <v>13688</v>
      </c>
      <c r="H3440" s="59">
        <v>9.7279999999999998</v>
      </c>
    </row>
    <row r="3441" spans="1:13" ht="112.5" customHeight="1" x14ac:dyDescent="0.15">
      <c r="A3441" s="67">
        <v>123</v>
      </c>
      <c r="B3441" s="33" t="s">
        <v>12428</v>
      </c>
      <c r="C3441" s="33" t="s">
        <v>13689</v>
      </c>
      <c r="D3441" s="61" t="s">
        <v>13690</v>
      </c>
      <c r="E3441" s="68"/>
      <c r="F3441" s="59">
        <v>25000</v>
      </c>
      <c r="G3441" s="62" t="s">
        <v>13691</v>
      </c>
      <c r="H3441" s="59">
        <v>0</v>
      </c>
      <c r="I3441" s="29"/>
      <c r="J3441" s="29"/>
      <c r="K3441" s="29"/>
      <c r="L3441" s="29"/>
      <c r="M3441" s="29"/>
    </row>
    <row r="3442" spans="1:13" ht="112.5" customHeight="1" x14ac:dyDescent="0.15">
      <c r="A3442" s="69">
        <v>78</v>
      </c>
      <c r="B3442" s="32" t="s">
        <v>12428</v>
      </c>
      <c r="C3442" s="32" t="s">
        <v>13692</v>
      </c>
      <c r="D3442" s="56" t="s">
        <v>13693</v>
      </c>
      <c r="E3442" s="68"/>
      <c r="F3442" s="59">
        <v>140000</v>
      </c>
      <c r="G3442" s="58" t="s">
        <v>13694</v>
      </c>
      <c r="H3442" s="59">
        <v>0</v>
      </c>
      <c r="I3442" s="29"/>
      <c r="J3442" s="29"/>
      <c r="K3442" s="29"/>
      <c r="L3442" s="29"/>
      <c r="M3442" s="29"/>
    </row>
    <row r="3443" spans="1:13" ht="112.5" customHeight="1" x14ac:dyDescent="0.15">
      <c r="A3443" s="69">
        <v>3996</v>
      </c>
      <c r="B3443" s="32" t="s">
        <v>3670</v>
      </c>
      <c r="C3443" s="32" t="s">
        <v>13695</v>
      </c>
      <c r="D3443" s="56" t="s">
        <v>13696</v>
      </c>
      <c r="E3443" s="68"/>
      <c r="F3443" s="59"/>
      <c r="G3443" s="63" t="s">
        <v>13697</v>
      </c>
      <c r="H3443" s="59">
        <v>0</v>
      </c>
    </row>
    <row r="3444" spans="1:13" ht="112.5" customHeight="1" x14ac:dyDescent="0.15">
      <c r="A3444" s="67">
        <v>3995</v>
      </c>
      <c r="B3444" s="33" t="s">
        <v>3670</v>
      </c>
      <c r="C3444" s="33" t="s">
        <v>13698</v>
      </c>
      <c r="D3444" s="61" t="s">
        <v>13699</v>
      </c>
      <c r="E3444" s="68"/>
      <c r="F3444" s="59"/>
      <c r="G3444" s="64" t="s">
        <v>13700</v>
      </c>
      <c r="H3444" s="59">
        <v>0</v>
      </c>
    </row>
    <row r="3445" spans="1:13" ht="112.5" customHeight="1" x14ac:dyDescent="0.15">
      <c r="A3445" s="69">
        <v>3994</v>
      </c>
      <c r="B3445" s="32" t="s">
        <v>3670</v>
      </c>
      <c r="C3445" s="32" t="s">
        <v>13701</v>
      </c>
      <c r="D3445" s="56" t="s">
        <v>13702</v>
      </c>
      <c r="E3445" s="68"/>
      <c r="F3445" s="59"/>
      <c r="G3445" s="63" t="s">
        <v>4679</v>
      </c>
      <c r="H3445" s="59">
        <v>9.9789999999999992</v>
      </c>
    </row>
    <row r="3446" spans="1:13" ht="112.5" customHeight="1" x14ac:dyDescent="0.15">
      <c r="A3446" s="67">
        <v>3993</v>
      </c>
      <c r="B3446" s="33" t="s">
        <v>3814</v>
      </c>
      <c r="C3446" s="33" t="s">
        <v>13703</v>
      </c>
      <c r="D3446" s="61" t="s">
        <v>13704</v>
      </c>
      <c r="E3446" s="68"/>
      <c r="F3446" s="59"/>
      <c r="G3446" s="64" t="s">
        <v>13705</v>
      </c>
      <c r="H3446" s="59">
        <v>9.9949999999999992</v>
      </c>
    </row>
    <row r="3447" spans="1:13" ht="112.5" customHeight="1" x14ac:dyDescent="0.15">
      <c r="A3447" s="67">
        <v>3989</v>
      </c>
      <c r="B3447" s="33" t="s">
        <v>12428</v>
      </c>
      <c r="C3447" s="33" t="s">
        <v>13706</v>
      </c>
      <c r="D3447" s="61" t="s">
        <v>13707</v>
      </c>
      <c r="E3447" s="68"/>
      <c r="F3447" s="59"/>
      <c r="G3447" s="63" t="s">
        <v>4391</v>
      </c>
      <c r="H3447" s="59">
        <v>9.9039999999999999</v>
      </c>
    </row>
    <row r="3448" spans="1:13" ht="112.5" customHeight="1" x14ac:dyDescent="0.15">
      <c r="A3448" s="69">
        <v>3988</v>
      </c>
      <c r="B3448" s="32" t="s">
        <v>12428</v>
      </c>
      <c r="C3448" s="32" t="s">
        <v>13708</v>
      </c>
      <c r="D3448" s="56" t="s">
        <v>13709</v>
      </c>
      <c r="E3448" s="68"/>
      <c r="F3448" s="59"/>
      <c r="G3448" s="64" t="s">
        <v>13710</v>
      </c>
      <c r="H3448" s="59">
        <v>9.9429999999999996</v>
      </c>
    </row>
    <row r="3449" spans="1:13" ht="112.5" customHeight="1" x14ac:dyDescent="0.15">
      <c r="A3449" s="69">
        <v>3992</v>
      </c>
      <c r="B3449" s="32" t="s">
        <v>3814</v>
      </c>
      <c r="C3449" s="32" t="s">
        <v>13711</v>
      </c>
      <c r="D3449" s="56" t="s">
        <v>13712</v>
      </c>
      <c r="E3449" s="68"/>
      <c r="F3449" s="59"/>
      <c r="G3449" s="63" t="s">
        <v>13713</v>
      </c>
      <c r="H3449" s="59">
        <v>9.9949999999999992</v>
      </c>
    </row>
    <row r="3450" spans="1:13" ht="112.5" customHeight="1" x14ac:dyDescent="0.15">
      <c r="A3450" s="67">
        <v>3991</v>
      </c>
      <c r="B3450" s="33" t="s">
        <v>3814</v>
      </c>
      <c r="C3450" s="33" t="s">
        <v>13714</v>
      </c>
      <c r="D3450" s="61" t="s">
        <v>13715</v>
      </c>
      <c r="E3450" s="68"/>
      <c r="F3450" s="59"/>
      <c r="G3450" s="64" t="s">
        <v>13716</v>
      </c>
      <c r="H3450" s="59">
        <v>9.7330000000000005</v>
      </c>
    </row>
    <row r="3451" spans="1:13" ht="112.5" customHeight="1" x14ac:dyDescent="0.15">
      <c r="A3451" s="67">
        <v>3983</v>
      </c>
      <c r="B3451" s="33" t="s">
        <v>3749</v>
      </c>
      <c r="C3451" s="33" t="s">
        <v>13717</v>
      </c>
      <c r="D3451" s="61" t="s">
        <v>13718</v>
      </c>
      <c r="E3451" s="68"/>
      <c r="F3451" s="59"/>
      <c r="G3451" s="63" t="s">
        <v>13719</v>
      </c>
      <c r="H3451" s="59">
        <v>9.9600000000000009</v>
      </c>
    </row>
    <row r="3452" spans="1:13" ht="112.5" customHeight="1" x14ac:dyDescent="0.15">
      <c r="A3452" s="67">
        <v>3977</v>
      </c>
      <c r="B3452" s="33" t="s">
        <v>3822</v>
      </c>
      <c r="C3452" s="33" t="s">
        <v>13720</v>
      </c>
      <c r="D3452" s="61" t="s">
        <v>13721</v>
      </c>
      <c r="E3452" s="68"/>
      <c r="F3452" s="59"/>
      <c r="G3452" s="64" t="s">
        <v>13722</v>
      </c>
      <c r="H3452" s="59">
        <v>9.9619999999999997</v>
      </c>
    </row>
    <row r="3453" spans="1:13" ht="112.5" customHeight="1" x14ac:dyDescent="0.15">
      <c r="A3453" s="67">
        <v>3973</v>
      </c>
      <c r="B3453" s="33" t="s">
        <v>3822</v>
      </c>
      <c r="C3453" s="33" t="s">
        <v>13723</v>
      </c>
      <c r="D3453" s="61" t="s">
        <v>13724</v>
      </c>
      <c r="E3453" s="68"/>
      <c r="F3453" s="59"/>
      <c r="G3453" s="63" t="s">
        <v>13725</v>
      </c>
      <c r="H3453" s="59">
        <v>9.9689999999999994</v>
      </c>
    </row>
    <row r="3454" spans="1:13" ht="112.5" customHeight="1" x14ac:dyDescent="0.15">
      <c r="A3454" s="69">
        <v>3974</v>
      </c>
      <c r="B3454" s="32" t="s">
        <v>3822</v>
      </c>
      <c r="C3454" s="32" t="s">
        <v>13726</v>
      </c>
      <c r="D3454" s="56" t="s">
        <v>13727</v>
      </c>
      <c r="E3454" s="68"/>
      <c r="F3454" s="59"/>
      <c r="G3454" s="64" t="s">
        <v>13728</v>
      </c>
      <c r="H3454" s="59">
        <v>9.9779999999999998</v>
      </c>
    </row>
    <row r="3455" spans="1:13" ht="112.5" customHeight="1" x14ac:dyDescent="0.15">
      <c r="A3455" s="69">
        <v>3972</v>
      </c>
      <c r="B3455" s="32" t="s">
        <v>3822</v>
      </c>
      <c r="C3455" s="32" t="s">
        <v>13729</v>
      </c>
      <c r="D3455" s="56" t="s">
        <v>13730</v>
      </c>
      <c r="E3455" s="68"/>
      <c r="F3455" s="59"/>
      <c r="G3455" s="63" t="s">
        <v>13731</v>
      </c>
      <c r="H3455" s="59">
        <v>9.9809999999999999</v>
      </c>
    </row>
    <row r="3456" spans="1:13" ht="112.5" customHeight="1" x14ac:dyDescent="0.15">
      <c r="A3456" s="67">
        <v>3971</v>
      </c>
      <c r="B3456" s="33" t="s">
        <v>3822</v>
      </c>
      <c r="C3456" s="33" t="s">
        <v>13732</v>
      </c>
      <c r="D3456" s="61" t="s">
        <v>13733</v>
      </c>
      <c r="E3456" s="68"/>
      <c r="F3456" s="59"/>
      <c r="G3456" s="64" t="s">
        <v>13734</v>
      </c>
      <c r="H3456" s="59">
        <v>9.9920000000000009</v>
      </c>
    </row>
    <row r="3457" spans="1:13" ht="112.5" customHeight="1" x14ac:dyDescent="0.15">
      <c r="A3457" s="67">
        <v>103</v>
      </c>
      <c r="B3457" s="33" t="s">
        <v>12428</v>
      </c>
      <c r="C3457" s="33" t="s">
        <v>13735</v>
      </c>
      <c r="D3457" s="61" t="s">
        <v>13736</v>
      </c>
      <c r="E3457" s="68"/>
      <c r="F3457" s="59">
        <v>61000</v>
      </c>
      <c r="G3457" s="63" t="s">
        <v>13737</v>
      </c>
      <c r="H3457" s="59">
        <v>9.9809999999999999</v>
      </c>
    </row>
    <row r="3458" spans="1:13" ht="112.5" customHeight="1" x14ac:dyDescent="0.15">
      <c r="A3458" s="69">
        <v>3968</v>
      </c>
      <c r="B3458" s="32" t="s">
        <v>12428</v>
      </c>
      <c r="C3458" s="32" t="s">
        <v>13738</v>
      </c>
      <c r="D3458" s="56" t="s">
        <v>13739</v>
      </c>
      <c r="E3458" s="68"/>
      <c r="F3458" s="59"/>
      <c r="G3458" s="64" t="s">
        <v>13740</v>
      </c>
      <c r="H3458" s="59">
        <v>9.984</v>
      </c>
    </row>
    <row r="3459" spans="1:13" ht="112.5" customHeight="1" x14ac:dyDescent="0.15">
      <c r="A3459" s="69">
        <v>3970</v>
      </c>
      <c r="B3459" s="32" t="s">
        <v>12428</v>
      </c>
      <c r="C3459" s="32" t="s">
        <v>13741</v>
      </c>
      <c r="D3459" s="56" t="s">
        <v>13742</v>
      </c>
      <c r="E3459" s="68"/>
      <c r="F3459" s="59"/>
      <c r="G3459" s="63" t="s">
        <v>13743</v>
      </c>
      <c r="H3459" s="59">
        <v>9.9909999999999997</v>
      </c>
    </row>
    <row r="3460" spans="1:13" ht="112.5" customHeight="1" x14ac:dyDescent="0.15">
      <c r="A3460" s="67">
        <v>3969</v>
      </c>
      <c r="B3460" s="33" t="s">
        <v>12428</v>
      </c>
      <c r="C3460" s="33" t="s">
        <v>13744</v>
      </c>
      <c r="D3460" s="61" t="s">
        <v>13745</v>
      </c>
      <c r="E3460" s="68"/>
      <c r="F3460" s="59"/>
      <c r="G3460" s="58" t="s">
        <v>13746</v>
      </c>
      <c r="H3460" s="59">
        <v>0</v>
      </c>
      <c r="I3460" s="29"/>
      <c r="J3460" s="29"/>
      <c r="K3460" s="29"/>
      <c r="L3460" s="29"/>
      <c r="M3460" s="29"/>
    </row>
    <row r="3461" spans="1:13" ht="112.5" customHeight="1" x14ac:dyDescent="0.15">
      <c r="A3461" s="67">
        <v>3967</v>
      </c>
      <c r="B3461" s="33" t="s">
        <v>12428</v>
      </c>
      <c r="C3461" s="33" t="s">
        <v>13747</v>
      </c>
      <c r="D3461" s="61" t="s">
        <v>13748</v>
      </c>
      <c r="E3461" s="68"/>
      <c r="F3461" s="59"/>
      <c r="G3461" s="63" t="s">
        <v>13749</v>
      </c>
      <c r="H3461" s="59">
        <v>20</v>
      </c>
    </row>
    <row r="3462" spans="1:13" ht="112.5" customHeight="1" x14ac:dyDescent="0.15">
      <c r="A3462" s="69">
        <v>116</v>
      </c>
      <c r="B3462" s="32" t="s">
        <v>12428</v>
      </c>
      <c r="C3462" s="32" t="s">
        <v>49</v>
      </c>
      <c r="D3462" s="56" t="s">
        <v>50</v>
      </c>
      <c r="E3462" s="68"/>
      <c r="F3462" s="59">
        <v>52000</v>
      </c>
      <c r="G3462" s="64" t="s">
        <v>13750</v>
      </c>
      <c r="H3462" s="59">
        <v>0</v>
      </c>
    </row>
    <row r="3463" spans="1:13" ht="112.5" customHeight="1" x14ac:dyDescent="0.15">
      <c r="A3463" s="69">
        <v>3966</v>
      </c>
      <c r="B3463" s="32" t="s">
        <v>3822</v>
      </c>
      <c r="C3463" s="32" t="s">
        <v>13751</v>
      </c>
      <c r="D3463" s="56" t="s">
        <v>13752</v>
      </c>
      <c r="E3463" s="68"/>
      <c r="F3463" s="59"/>
      <c r="G3463" s="63" t="s">
        <v>13753</v>
      </c>
      <c r="H3463" s="59">
        <v>9.9359999999999999</v>
      </c>
    </row>
    <row r="3464" spans="1:13" ht="112.5" customHeight="1" x14ac:dyDescent="0.15">
      <c r="A3464" s="67">
        <v>129</v>
      </c>
      <c r="B3464" s="33" t="s">
        <v>12428</v>
      </c>
      <c r="C3464" s="33" t="s">
        <v>13754</v>
      </c>
      <c r="D3464" s="61" t="s">
        <v>13755</v>
      </c>
      <c r="E3464" s="68"/>
      <c r="F3464" s="59">
        <v>56000</v>
      </c>
      <c r="G3464" s="64" t="s">
        <v>13756</v>
      </c>
      <c r="H3464" s="59">
        <v>9.9830000000000005</v>
      </c>
    </row>
    <row r="3465" spans="1:13" ht="112.5" customHeight="1" x14ac:dyDescent="0.15">
      <c r="A3465" s="69">
        <v>214</v>
      </c>
      <c r="B3465" s="32" t="s">
        <v>12428</v>
      </c>
      <c r="C3465" s="32" t="s">
        <v>13757</v>
      </c>
      <c r="D3465" s="56" t="s">
        <v>13758</v>
      </c>
      <c r="E3465" s="68"/>
      <c r="F3465" s="59"/>
      <c r="G3465" s="63" t="s">
        <v>13759</v>
      </c>
      <c r="H3465" s="59">
        <v>9.99</v>
      </c>
    </row>
    <row r="3466" spans="1:13" ht="112.5" customHeight="1" x14ac:dyDescent="0.15">
      <c r="A3466" s="69">
        <v>74</v>
      </c>
      <c r="B3466" s="32" t="s">
        <v>12428</v>
      </c>
      <c r="C3466" s="32" t="s">
        <v>13760</v>
      </c>
      <c r="D3466" s="56" t="s">
        <v>13761</v>
      </c>
      <c r="E3466" s="68"/>
      <c r="F3466" s="59">
        <v>54000</v>
      </c>
      <c r="G3466" s="64" t="s">
        <v>13762</v>
      </c>
      <c r="H3466" s="59">
        <v>9.92</v>
      </c>
    </row>
    <row r="3467" spans="1:13" ht="112.5" customHeight="1" x14ac:dyDescent="0.15">
      <c r="A3467" s="67">
        <v>89</v>
      </c>
      <c r="B3467" s="33" t="s">
        <v>12428</v>
      </c>
      <c r="C3467" s="33" t="s">
        <v>13763</v>
      </c>
      <c r="D3467" s="61" t="s">
        <v>13764</v>
      </c>
      <c r="E3467" s="68"/>
      <c r="F3467" s="59">
        <v>41000</v>
      </c>
      <c r="G3467" s="63" t="s">
        <v>4388</v>
      </c>
      <c r="H3467" s="59">
        <v>9.9809999999999999</v>
      </c>
    </row>
    <row r="3468" spans="1:13" ht="112.5" customHeight="1" x14ac:dyDescent="0.15">
      <c r="A3468" s="67">
        <v>69</v>
      </c>
      <c r="B3468" s="33" t="s">
        <v>3876</v>
      </c>
      <c r="C3468" s="33" t="s">
        <v>13765</v>
      </c>
      <c r="D3468" s="61" t="s">
        <v>13766</v>
      </c>
      <c r="E3468" s="68"/>
      <c r="F3468" s="59">
        <v>48000</v>
      </c>
      <c r="G3468" s="64" t="s">
        <v>13767</v>
      </c>
      <c r="H3468" s="59">
        <v>9.8840000000000003</v>
      </c>
    </row>
    <row r="3469" spans="1:13" ht="112.5" customHeight="1" x14ac:dyDescent="0.15">
      <c r="A3469" s="67">
        <v>77</v>
      </c>
      <c r="B3469" s="33" t="s">
        <v>12428</v>
      </c>
      <c r="C3469" s="33" t="s">
        <v>13768</v>
      </c>
      <c r="D3469" s="61" t="s">
        <v>13769</v>
      </c>
      <c r="E3469" s="68"/>
      <c r="F3469" s="59">
        <v>140000</v>
      </c>
      <c r="G3469" s="63" t="s">
        <v>13770</v>
      </c>
      <c r="H3469" s="59">
        <v>9.952</v>
      </c>
    </row>
    <row r="3470" spans="1:13" ht="112.5" customHeight="1" x14ac:dyDescent="0.15">
      <c r="A3470" s="69">
        <v>60</v>
      </c>
      <c r="B3470" s="32" t="s">
        <v>3876</v>
      </c>
      <c r="C3470" s="32" t="s">
        <v>13771</v>
      </c>
      <c r="D3470" s="56" t="s">
        <v>13772</v>
      </c>
      <c r="E3470" s="68"/>
      <c r="F3470" s="59">
        <v>40000</v>
      </c>
      <c r="G3470" s="64" t="s">
        <v>13773</v>
      </c>
      <c r="H3470" s="59">
        <v>9.98</v>
      </c>
    </row>
    <row r="3471" spans="1:13" ht="112.5" customHeight="1" x14ac:dyDescent="0.15">
      <c r="A3471" s="69">
        <v>100</v>
      </c>
      <c r="B3471" s="32" t="s">
        <v>12428</v>
      </c>
      <c r="C3471" s="32" t="s">
        <v>13774</v>
      </c>
      <c r="D3471" s="56" t="s">
        <v>13775</v>
      </c>
      <c r="E3471" s="68"/>
      <c r="F3471" s="59">
        <v>42000</v>
      </c>
      <c r="G3471" s="63" t="s">
        <v>13776</v>
      </c>
      <c r="H3471" s="59">
        <v>9.8369999999999997</v>
      </c>
    </row>
    <row r="3472" spans="1:13" ht="112.5" customHeight="1" x14ac:dyDescent="0.15">
      <c r="A3472" s="67">
        <v>17</v>
      </c>
      <c r="B3472" s="33" t="s">
        <v>3749</v>
      </c>
      <c r="C3472" s="33" t="s">
        <v>13777</v>
      </c>
      <c r="D3472" s="61" t="s">
        <v>13778</v>
      </c>
      <c r="E3472" s="68"/>
      <c r="F3472" s="59">
        <v>24000</v>
      </c>
      <c r="G3472" s="64" t="s">
        <v>13779</v>
      </c>
      <c r="H3472" s="59">
        <v>9.6489999999999991</v>
      </c>
    </row>
    <row r="3473" spans="1:13" ht="112.5" customHeight="1" x14ac:dyDescent="0.15">
      <c r="A3473" s="67">
        <v>43</v>
      </c>
      <c r="B3473" s="33" t="s">
        <v>3822</v>
      </c>
      <c r="C3473" s="33" t="s">
        <v>13780</v>
      </c>
      <c r="D3473" s="61" t="s">
        <v>13781</v>
      </c>
      <c r="E3473" s="68"/>
      <c r="F3473" s="59">
        <v>90000</v>
      </c>
      <c r="G3473" s="62" t="s">
        <v>13782</v>
      </c>
      <c r="H3473" s="59">
        <v>9.0510000000000002</v>
      </c>
      <c r="I3473" s="29"/>
      <c r="J3473" s="29"/>
      <c r="K3473" s="29"/>
      <c r="L3473" s="29"/>
      <c r="M3473" s="29"/>
    </row>
    <row r="3474" spans="1:13" ht="112.5" customHeight="1" x14ac:dyDescent="0.15">
      <c r="A3474" s="69">
        <v>150</v>
      </c>
      <c r="B3474" s="32" t="s">
        <v>3822</v>
      </c>
      <c r="C3474" s="32" t="s">
        <v>13783</v>
      </c>
      <c r="D3474" s="56" t="s">
        <v>13784</v>
      </c>
      <c r="E3474" s="68"/>
      <c r="F3474" s="59">
        <v>70000</v>
      </c>
      <c r="G3474" s="64" t="s">
        <v>13785</v>
      </c>
      <c r="H3474" s="59">
        <v>0</v>
      </c>
    </row>
    <row r="3475" spans="1:13" ht="112.5" customHeight="1" x14ac:dyDescent="0.15">
      <c r="A3475" s="69">
        <v>3494</v>
      </c>
      <c r="B3475" s="32" t="s">
        <v>3822</v>
      </c>
      <c r="C3475" s="32" t="s">
        <v>13786</v>
      </c>
      <c r="D3475" s="56" t="s">
        <v>13787</v>
      </c>
      <c r="E3475" s="68"/>
      <c r="F3475" s="59"/>
      <c r="G3475" s="62" t="s">
        <v>13788</v>
      </c>
      <c r="H3475" s="59">
        <v>0</v>
      </c>
      <c r="I3475" s="29"/>
      <c r="J3475" s="29"/>
      <c r="K3475" s="29"/>
      <c r="L3475" s="29"/>
      <c r="M3475" s="29"/>
    </row>
    <row r="3476" spans="1:13" ht="112.5" customHeight="1" x14ac:dyDescent="0.15">
      <c r="A3476" s="69">
        <v>168</v>
      </c>
      <c r="B3476" s="32" t="s">
        <v>3822</v>
      </c>
      <c r="C3476" s="32" t="s">
        <v>13789</v>
      </c>
      <c r="D3476" s="56" t="s">
        <v>13790</v>
      </c>
      <c r="E3476" s="68"/>
      <c r="F3476" s="59">
        <v>90000</v>
      </c>
      <c r="G3476" s="58" t="s">
        <v>13791</v>
      </c>
      <c r="H3476" s="59">
        <v>0</v>
      </c>
      <c r="I3476" s="29"/>
      <c r="J3476" s="29"/>
      <c r="K3476" s="29"/>
      <c r="L3476" s="29"/>
      <c r="M3476" s="29"/>
    </row>
    <row r="3477" spans="1:13" ht="112.5" customHeight="1" x14ac:dyDescent="0.15">
      <c r="A3477" s="67">
        <v>3959</v>
      </c>
      <c r="B3477" s="33" t="s">
        <v>3822</v>
      </c>
      <c r="C3477" s="33" t="s">
        <v>13792</v>
      </c>
      <c r="D3477" s="61" t="s">
        <v>13793</v>
      </c>
      <c r="E3477" s="68"/>
      <c r="F3477" s="59"/>
      <c r="G3477" s="62" t="s">
        <v>13794</v>
      </c>
      <c r="H3477" s="59">
        <v>0</v>
      </c>
      <c r="I3477" s="29"/>
      <c r="J3477" s="29"/>
      <c r="K3477" s="29"/>
      <c r="L3477" s="29"/>
      <c r="M3477" s="29"/>
    </row>
    <row r="3478" spans="1:13" ht="112.5" customHeight="1" x14ac:dyDescent="0.15">
      <c r="A3478" s="69">
        <v>3958</v>
      </c>
      <c r="B3478" s="32" t="s">
        <v>3822</v>
      </c>
      <c r="C3478" s="32" t="s">
        <v>13795</v>
      </c>
      <c r="D3478" s="56" t="s">
        <v>13796</v>
      </c>
      <c r="E3478" s="68"/>
      <c r="F3478" s="59"/>
      <c r="G3478" s="58" t="s">
        <v>13797</v>
      </c>
      <c r="H3478" s="59">
        <v>990</v>
      </c>
      <c r="I3478" s="29"/>
      <c r="J3478" s="29"/>
      <c r="K3478" s="29"/>
      <c r="L3478" s="29"/>
      <c r="M3478" s="29"/>
    </row>
    <row r="3479" spans="1:13" ht="112.5" customHeight="1" x14ac:dyDescent="0.15">
      <c r="A3479" s="67">
        <v>3955</v>
      </c>
      <c r="B3479" s="33" t="s">
        <v>3822</v>
      </c>
      <c r="C3479" s="33" t="s">
        <v>13798</v>
      </c>
      <c r="D3479" s="61" t="s">
        <v>13799</v>
      </c>
      <c r="E3479" s="68"/>
      <c r="F3479" s="59"/>
      <c r="G3479" s="62" t="s">
        <v>13800</v>
      </c>
      <c r="H3479" s="59">
        <v>0</v>
      </c>
      <c r="I3479" s="29"/>
      <c r="J3479" s="29"/>
      <c r="K3479" s="29"/>
      <c r="L3479" s="29"/>
      <c r="M3479" s="29"/>
    </row>
    <row r="3480" spans="1:13" ht="112.5" customHeight="1" x14ac:dyDescent="0.15">
      <c r="A3480" s="69">
        <v>3954</v>
      </c>
      <c r="B3480" s="32" t="s">
        <v>3822</v>
      </c>
      <c r="C3480" s="32" t="s">
        <v>13801</v>
      </c>
      <c r="D3480" s="56" t="s">
        <v>13802</v>
      </c>
      <c r="E3480" s="68"/>
      <c r="F3480" s="59"/>
      <c r="G3480" s="58" t="s">
        <v>13803</v>
      </c>
      <c r="H3480" s="59">
        <v>0</v>
      </c>
      <c r="I3480" s="29"/>
      <c r="J3480" s="29"/>
      <c r="K3480" s="29"/>
      <c r="L3480" s="29"/>
      <c r="M3480" s="29"/>
    </row>
    <row r="3481" spans="1:13" ht="112.5" customHeight="1" x14ac:dyDescent="0.15">
      <c r="A3481" s="69">
        <v>200</v>
      </c>
      <c r="B3481" s="32" t="s">
        <v>3818</v>
      </c>
      <c r="C3481" s="32" t="s">
        <v>13804</v>
      </c>
      <c r="D3481" s="56" t="s">
        <v>13805</v>
      </c>
      <c r="E3481" s="68"/>
      <c r="F3481" s="59"/>
      <c r="G3481" s="62" t="s">
        <v>13806</v>
      </c>
      <c r="H3481" s="59">
        <v>955</v>
      </c>
      <c r="I3481" s="29"/>
      <c r="J3481" s="29"/>
      <c r="K3481" s="29"/>
      <c r="L3481" s="29"/>
      <c r="M3481" s="29"/>
    </row>
    <row r="3482" spans="1:13" ht="112.5" customHeight="1" x14ac:dyDescent="0.15">
      <c r="A3482" s="67">
        <v>3949</v>
      </c>
      <c r="B3482" s="33" t="s">
        <v>3822</v>
      </c>
      <c r="C3482" s="33" t="s">
        <v>13807</v>
      </c>
      <c r="D3482" s="61" t="s">
        <v>13808</v>
      </c>
      <c r="E3482" s="68"/>
      <c r="F3482" s="59"/>
      <c r="G3482" s="58" t="s">
        <v>13809</v>
      </c>
      <c r="H3482" s="59">
        <v>8.15</v>
      </c>
      <c r="I3482" s="29"/>
      <c r="J3482" s="29"/>
      <c r="K3482" s="29"/>
      <c r="L3482" s="29"/>
      <c r="M3482" s="29"/>
    </row>
    <row r="3483" spans="1:13" ht="112.5" customHeight="1" x14ac:dyDescent="0.15">
      <c r="A3483" s="67">
        <v>3947</v>
      </c>
      <c r="B3483" s="33" t="s">
        <v>3822</v>
      </c>
      <c r="C3483" s="33" t="s">
        <v>13810</v>
      </c>
      <c r="D3483" s="61" t="s">
        <v>13811</v>
      </c>
      <c r="E3483" s="68"/>
      <c r="F3483" s="59"/>
      <c r="G3483" s="62" t="s">
        <v>13812</v>
      </c>
      <c r="H3483" s="59">
        <v>0</v>
      </c>
      <c r="I3483" s="29"/>
      <c r="J3483" s="29"/>
      <c r="K3483" s="29"/>
      <c r="L3483" s="29"/>
      <c r="M3483" s="29"/>
    </row>
    <row r="3484" spans="1:13" ht="112.5" customHeight="1" x14ac:dyDescent="0.15">
      <c r="A3484" s="69">
        <v>3944</v>
      </c>
      <c r="B3484" s="32" t="s">
        <v>3822</v>
      </c>
      <c r="C3484" s="32" t="s">
        <v>13813</v>
      </c>
      <c r="D3484" s="56" t="s">
        <v>13814</v>
      </c>
      <c r="E3484" s="68"/>
      <c r="F3484" s="59"/>
      <c r="G3484" s="58" t="s">
        <v>13815</v>
      </c>
      <c r="H3484" s="59">
        <v>706</v>
      </c>
      <c r="I3484" s="29"/>
      <c r="J3484" s="29"/>
      <c r="K3484" s="29"/>
      <c r="L3484" s="29"/>
      <c r="M3484" s="29"/>
    </row>
    <row r="3485" spans="1:13" ht="112.5" customHeight="1" x14ac:dyDescent="0.15">
      <c r="A3485" s="67">
        <v>3945</v>
      </c>
      <c r="B3485" s="33" t="s">
        <v>3822</v>
      </c>
      <c r="C3485" s="33" t="s">
        <v>13816</v>
      </c>
      <c r="D3485" s="61" t="s">
        <v>13817</v>
      </c>
      <c r="E3485" s="68"/>
      <c r="F3485" s="59"/>
      <c r="G3485" s="62" t="s">
        <v>13818</v>
      </c>
      <c r="H3485" s="59">
        <v>0</v>
      </c>
      <c r="I3485" s="29"/>
      <c r="J3485" s="29"/>
      <c r="K3485" s="29"/>
      <c r="L3485" s="29"/>
      <c r="M3485" s="29"/>
    </row>
    <row r="3486" spans="1:13" ht="112.5" customHeight="1" x14ac:dyDescent="0.15">
      <c r="A3486" s="67">
        <v>3943</v>
      </c>
      <c r="B3486" s="33" t="s">
        <v>3822</v>
      </c>
      <c r="C3486" s="33" t="s">
        <v>13819</v>
      </c>
      <c r="D3486" s="61" t="s">
        <v>13820</v>
      </c>
      <c r="E3486" s="68"/>
      <c r="F3486" s="59"/>
      <c r="G3486" s="58" t="s">
        <v>13821</v>
      </c>
      <c r="H3486" s="59">
        <v>0</v>
      </c>
      <c r="I3486" s="29"/>
      <c r="J3486" s="29"/>
      <c r="K3486" s="29"/>
      <c r="L3486" s="29"/>
      <c r="M3486" s="29"/>
    </row>
    <row r="3487" spans="1:13" ht="112.5" customHeight="1" x14ac:dyDescent="0.15">
      <c r="A3487" s="69">
        <v>3942</v>
      </c>
      <c r="B3487" s="32" t="s">
        <v>3822</v>
      </c>
      <c r="C3487" s="32" t="s">
        <v>13822</v>
      </c>
      <c r="D3487" s="56" t="s">
        <v>13823</v>
      </c>
      <c r="E3487" s="68"/>
      <c r="F3487" s="59"/>
      <c r="G3487" s="62" t="s">
        <v>13824</v>
      </c>
      <c r="H3487" s="59">
        <v>0</v>
      </c>
      <c r="I3487" s="29"/>
      <c r="J3487" s="29"/>
      <c r="K3487" s="29"/>
      <c r="L3487" s="29"/>
      <c r="M3487" s="29"/>
    </row>
    <row r="3488" spans="1:13" ht="112.5" customHeight="1" x14ac:dyDescent="0.15">
      <c r="A3488" s="67">
        <v>3941</v>
      </c>
      <c r="B3488" s="33" t="s">
        <v>3876</v>
      </c>
      <c r="C3488" s="33" t="s">
        <v>13825</v>
      </c>
      <c r="D3488" s="61" t="s">
        <v>13826</v>
      </c>
      <c r="E3488" s="68"/>
      <c r="F3488" s="59"/>
      <c r="G3488" s="58" t="s">
        <v>13827</v>
      </c>
      <c r="H3488" s="59">
        <v>0</v>
      </c>
      <c r="I3488" s="29"/>
      <c r="J3488" s="29"/>
      <c r="K3488" s="29"/>
      <c r="L3488" s="29"/>
      <c r="M3488" s="29"/>
    </row>
    <row r="3489" spans="1:13" ht="112.5" customHeight="1" x14ac:dyDescent="0.15">
      <c r="A3489" s="69">
        <v>3940</v>
      </c>
      <c r="B3489" s="32" t="s">
        <v>3822</v>
      </c>
      <c r="C3489" s="32" t="s">
        <v>13828</v>
      </c>
      <c r="D3489" s="56" t="s">
        <v>13829</v>
      </c>
      <c r="E3489" s="68"/>
      <c r="F3489" s="59"/>
      <c r="G3489" s="62" t="s">
        <v>13830</v>
      </c>
      <c r="H3489" s="59">
        <v>17</v>
      </c>
      <c r="I3489" s="29"/>
      <c r="J3489" s="29"/>
      <c r="K3489" s="29"/>
      <c r="L3489" s="29"/>
      <c r="M3489" s="29"/>
    </row>
    <row r="3490" spans="1:13" ht="112.5" customHeight="1" x14ac:dyDescent="0.15">
      <c r="A3490" s="67">
        <v>9</v>
      </c>
      <c r="B3490" s="33" t="s">
        <v>3876</v>
      </c>
      <c r="C3490" s="33" t="s">
        <v>13831</v>
      </c>
      <c r="D3490" s="61" t="s">
        <v>13832</v>
      </c>
      <c r="E3490" s="68"/>
      <c r="F3490" s="59">
        <v>26000</v>
      </c>
      <c r="G3490" s="58" t="s">
        <v>13833</v>
      </c>
      <c r="H3490" s="59">
        <v>0</v>
      </c>
      <c r="I3490" s="29"/>
      <c r="J3490" s="29"/>
      <c r="K3490" s="29"/>
      <c r="L3490" s="29"/>
      <c r="M3490" s="29"/>
    </row>
    <row r="3491" spans="1:13" ht="112.5" customHeight="1" x14ac:dyDescent="0.15">
      <c r="A3491" s="67">
        <v>723</v>
      </c>
      <c r="B3491" s="33" t="s">
        <v>3822</v>
      </c>
      <c r="C3491" s="33" t="s">
        <v>13834</v>
      </c>
      <c r="D3491" s="61" t="s">
        <v>13835</v>
      </c>
      <c r="E3491" s="68"/>
      <c r="F3491" s="59"/>
      <c r="G3491" s="62" t="s">
        <v>13836</v>
      </c>
      <c r="H3491" s="59">
        <v>0</v>
      </c>
      <c r="I3491" s="29"/>
      <c r="J3491" s="29"/>
      <c r="K3491" s="29"/>
      <c r="L3491" s="29"/>
      <c r="M3491" s="29"/>
    </row>
    <row r="3492" spans="1:13" ht="112.5" customHeight="1" x14ac:dyDescent="0.15">
      <c r="A3492" s="69">
        <v>3482</v>
      </c>
      <c r="B3492" s="32" t="s">
        <v>3496</v>
      </c>
      <c r="C3492" s="32" t="s">
        <v>13837</v>
      </c>
      <c r="D3492" s="56" t="s">
        <v>13838</v>
      </c>
      <c r="E3492" s="68"/>
      <c r="F3492" s="59"/>
      <c r="G3492" s="58" t="s">
        <v>13839</v>
      </c>
      <c r="H3492" s="59">
        <v>0</v>
      </c>
      <c r="I3492" s="29"/>
      <c r="J3492" s="29"/>
      <c r="K3492" s="29"/>
      <c r="L3492" s="29"/>
      <c r="M3492" s="29"/>
    </row>
    <row r="3493" spans="1:13" ht="112.5" customHeight="1" x14ac:dyDescent="0.15">
      <c r="A3493" s="69">
        <v>472</v>
      </c>
      <c r="B3493" s="32" t="s">
        <v>3822</v>
      </c>
      <c r="C3493" s="32" t="s">
        <v>13840</v>
      </c>
      <c r="D3493" s="56" t="s">
        <v>13841</v>
      </c>
      <c r="E3493" s="68"/>
      <c r="F3493" s="59"/>
      <c r="G3493" s="62" t="s">
        <v>13842</v>
      </c>
      <c r="H3493" s="59">
        <v>0</v>
      </c>
      <c r="I3493" s="29"/>
      <c r="J3493" s="29"/>
      <c r="K3493" s="29"/>
      <c r="L3493" s="29"/>
      <c r="M3493" s="29"/>
    </row>
    <row r="3494" spans="1:13" ht="112.5" customHeight="1" x14ac:dyDescent="0.15">
      <c r="A3494" s="67">
        <v>3939</v>
      </c>
      <c r="B3494" s="33" t="s">
        <v>3818</v>
      </c>
      <c r="C3494" s="33" t="s">
        <v>13843</v>
      </c>
      <c r="D3494" s="61" t="s">
        <v>13844</v>
      </c>
      <c r="E3494" s="68"/>
      <c r="F3494" s="59"/>
      <c r="G3494" s="58" t="s">
        <v>13845</v>
      </c>
      <c r="H3494" s="59">
        <v>0</v>
      </c>
      <c r="I3494" s="29"/>
      <c r="J3494" s="29"/>
      <c r="K3494" s="29"/>
      <c r="L3494" s="29"/>
      <c r="M3494" s="29"/>
    </row>
    <row r="3495" spans="1:13" ht="112.5" customHeight="1" x14ac:dyDescent="0.15">
      <c r="A3495" s="69">
        <v>3938</v>
      </c>
      <c r="B3495" s="32" t="s">
        <v>3822</v>
      </c>
      <c r="C3495" s="32" t="s">
        <v>13846</v>
      </c>
      <c r="D3495" s="56" t="s">
        <v>13847</v>
      </c>
      <c r="E3495" s="68"/>
      <c r="F3495" s="59"/>
      <c r="G3495" s="62" t="s">
        <v>13848</v>
      </c>
      <c r="H3495" s="59">
        <v>9.3699999999999992</v>
      </c>
      <c r="I3495" s="29"/>
      <c r="J3495" s="29"/>
      <c r="K3495" s="29"/>
      <c r="L3495" s="29"/>
      <c r="M3495" s="29"/>
    </row>
    <row r="3496" spans="1:13" ht="112.5" customHeight="1" x14ac:dyDescent="0.15">
      <c r="A3496" s="67">
        <v>3937</v>
      </c>
      <c r="B3496" s="33" t="s">
        <v>3630</v>
      </c>
      <c r="C3496" s="33" t="s">
        <v>13849</v>
      </c>
      <c r="D3496" s="61" t="s">
        <v>13850</v>
      </c>
      <c r="E3496" s="68"/>
      <c r="F3496" s="59"/>
      <c r="G3496" s="58" t="s">
        <v>13851</v>
      </c>
      <c r="H3496" s="59">
        <v>0</v>
      </c>
      <c r="I3496" s="29"/>
      <c r="J3496" s="29"/>
      <c r="K3496" s="29"/>
      <c r="L3496" s="29"/>
      <c r="M3496" s="29"/>
    </row>
    <row r="3497" spans="1:13" ht="112.5" customHeight="1" x14ac:dyDescent="0.15">
      <c r="A3497" s="69">
        <v>244</v>
      </c>
      <c r="B3497" s="32" t="s">
        <v>12428</v>
      </c>
      <c r="C3497" s="32" t="s">
        <v>13852</v>
      </c>
      <c r="D3497" s="56" t="s">
        <v>13853</v>
      </c>
      <c r="E3497" s="68"/>
      <c r="F3497" s="59"/>
      <c r="G3497" s="62" t="s">
        <v>13854</v>
      </c>
      <c r="H3497" s="59">
        <v>0</v>
      </c>
      <c r="I3497" s="29"/>
      <c r="J3497" s="29"/>
      <c r="K3497" s="29"/>
      <c r="L3497" s="29"/>
      <c r="M3497" s="29"/>
    </row>
    <row r="3498" spans="1:13" ht="112.5" customHeight="1" x14ac:dyDescent="0.15">
      <c r="A3498" s="69">
        <v>3934</v>
      </c>
      <c r="B3498" s="32" t="s">
        <v>3533</v>
      </c>
      <c r="C3498" s="32" t="s">
        <v>13855</v>
      </c>
      <c r="D3498" s="56" t="s">
        <v>13856</v>
      </c>
      <c r="E3498" s="68"/>
      <c r="F3498" s="59"/>
      <c r="G3498" s="64" t="s">
        <v>13857</v>
      </c>
      <c r="H3498" s="59">
        <v>9.9429999999999996</v>
      </c>
    </row>
    <row r="3499" spans="1:13" ht="112.5" customHeight="1" x14ac:dyDescent="0.15">
      <c r="A3499" s="67">
        <v>3493</v>
      </c>
      <c r="B3499" s="33" t="s">
        <v>12428</v>
      </c>
      <c r="C3499" s="33" t="s">
        <v>13858</v>
      </c>
      <c r="D3499" s="61" t="s">
        <v>13859</v>
      </c>
      <c r="E3499" s="68"/>
      <c r="F3499" s="59"/>
      <c r="G3499" s="62" t="s">
        <v>13860</v>
      </c>
      <c r="H3499" s="59">
        <v>0</v>
      </c>
      <c r="I3499" s="29"/>
      <c r="J3499" s="29"/>
      <c r="K3499" s="29"/>
      <c r="L3499" s="29"/>
      <c r="M3499" s="29"/>
    </row>
    <row r="3500" spans="1:13" ht="112.5" customHeight="1" x14ac:dyDescent="0.15">
      <c r="A3500" s="67">
        <v>3931</v>
      </c>
      <c r="B3500" s="33" t="s">
        <v>3822</v>
      </c>
      <c r="C3500" s="33" t="s">
        <v>13861</v>
      </c>
      <c r="D3500" s="61" t="s">
        <v>13862</v>
      </c>
      <c r="E3500" s="68"/>
      <c r="F3500" s="59"/>
      <c r="G3500" s="58" t="s">
        <v>13863</v>
      </c>
      <c r="H3500" s="59">
        <v>0</v>
      </c>
      <c r="I3500" s="29"/>
      <c r="J3500" s="29"/>
      <c r="K3500" s="29"/>
      <c r="L3500" s="29"/>
      <c r="M3500" s="29"/>
    </row>
    <row r="3501" spans="1:13" ht="112.5" customHeight="1" x14ac:dyDescent="0.15">
      <c r="A3501" s="69">
        <v>3976</v>
      </c>
      <c r="B3501" s="32" t="s">
        <v>3822</v>
      </c>
      <c r="C3501" s="32" t="s">
        <v>13864</v>
      </c>
      <c r="D3501" s="56" t="s">
        <v>13862</v>
      </c>
      <c r="E3501" s="68"/>
      <c r="F3501" s="59"/>
      <c r="G3501" s="63" t="s">
        <v>13865</v>
      </c>
      <c r="H3501" s="59">
        <v>9.9890000000000008</v>
      </c>
    </row>
    <row r="3502" spans="1:13" ht="112.5" customHeight="1" x14ac:dyDescent="0.15">
      <c r="A3502" s="69">
        <v>3930</v>
      </c>
      <c r="B3502" s="32" t="s">
        <v>12428</v>
      </c>
      <c r="C3502" s="32" t="s">
        <v>13866</v>
      </c>
      <c r="D3502" s="56" t="s">
        <v>13867</v>
      </c>
      <c r="E3502" s="68"/>
      <c r="F3502" s="59"/>
      <c r="G3502" s="58" t="s">
        <v>13868</v>
      </c>
      <c r="H3502" s="59">
        <v>0</v>
      </c>
      <c r="I3502" s="29"/>
      <c r="J3502" s="29"/>
      <c r="K3502" s="29"/>
      <c r="L3502" s="29"/>
      <c r="M3502" s="29"/>
    </row>
    <row r="3503" spans="1:13" ht="112.5" customHeight="1" x14ac:dyDescent="0.15">
      <c r="A3503" s="67">
        <v>201</v>
      </c>
      <c r="B3503" s="33" t="s">
        <v>3822</v>
      </c>
      <c r="C3503" s="33" t="s">
        <v>13869</v>
      </c>
      <c r="D3503" s="61" t="s">
        <v>13870</v>
      </c>
      <c r="E3503" s="68"/>
      <c r="F3503" s="59"/>
      <c r="G3503" s="62" t="s">
        <v>13871</v>
      </c>
      <c r="H3503" s="59">
        <v>0</v>
      </c>
      <c r="I3503" s="29"/>
      <c r="J3503" s="29"/>
      <c r="K3503" s="29"/>
      <c r="L3503" s="29"/>
      <c r="M3503" s="29"/>
    </row>
    <row r="3504" spans="1:13" ht="112.5" customHeight="1" x14ac:dyDescent="0.15">
      <c r="A3504" s="69">
        <v>3928</v>
      </c>
      <c r="B3504" s="32" t="s">
        <v>3822</v>
      </c>
      <c r="C3504" s="32" t="s">
        <v>13872</v>
      </c>
      <c r="D3504" s="56" t="s">
        <v>13873</v>
      </c>
      <c r="E3504" s="68"/>
      <c r="F3504" s="59"/>
      <c r="G3504" s="64" t="s">
        <v>13874</v>
      </c>
      <c r="H3504" s="59">
        <v>9.7959999999999994</v>
      </c>
    </row>
    <row r="3505" spans="1:13" ht="112.5" customHeight="1" x14ac:dyDescent="0.15">
      <c r="A3505" s="67">
        <v>167</v>
      </c>
      <c r="B3505" s="33" t="s">
        <v>3822</v>
      </c>
      <c r="C3505" s="33" t="s">
        <v>13875</v>
      </c>
      <c r="D3505" s="61" t="s">
        <v>13876</v>
      </c>
      <c r="E3505" s="68"/>
      <c r="F3505" s="59">
        <v>335000</v>
      </c>
      <c r="G3505" s="63" t="s">
        <v>13877</v>
      </c>
      <c r="H3505" s="59">
        <v>9.91</v>
      </c>
    </row>
    <row r="3506" spans="1:13" ht="112.5" customHeight="1" x14ac:dyDescent="0.15">
      <c r="A3506" s="67">
        <v>3925</v>
      </c>
      <c r="B3506" s="33" t="s">
        <v>3630</v>
      </c>
      <c r="C3506" s="33" t="s">
        <v>13878</v>
      </c>
      <c r="D3506" s="61" t="s">
        <v>13879</v>
      </c>
      <c r="E3506" s="68"/>
      <c r="F3506" s="59"/>
      <c r="G3506" s="64" t="s">
        <v>13880</v>
      </c>
      <c r="H3506" s="59">
        <v>9.9580000000000002</v>
      </c>
    </row>
    <row r="3507" spans="1:13" ht="112.5" customHeight="1" x14ac:dyDescent="0.15">
      <c r="A3507" s="67">
        <v>3921</v>
      </c>
      <c r="B3507" s="33" t="s">
        <v>3526</v>
      </c>
      <c r="C3507" s="33" t="s">
        <v>13881</v>
      </c>
      <c r="D3507" s="61" t="s">
        <v>13882</v>
      </c>
      <c r="E3507" s="68"/>
      <c r="F3507" s="59"/>
      <c r="G3507" s="63" t="s">
        <v>13883</v>
      </c>
      <c r="H3507" s="59">
        <v>774</v>
      </c>
    </row>
    <row r="3508" spans="1:13" ht="112.5" customHeight="1" x14ac:dyDescent="0.15">
      <c r="A3508" s="69">
        <v>3920</v>
      </c>
      <c r="B3508" s="32" t="s">
        <v>12428</v>
      </c>
      <c r="C3508" s="32" t="s">
        <v>13884</v>
      </c>
      <c r="D3508" s="56" t="s">
        <v>13885</v>
      </c>
      <c r="E3508" s="68"/>
      <c r="F3508" s="59"/>
      <c r="G3508" s="64" t="s">
        <v>13886</v>
      </c>
      <c r="H3508" s="59">
        <v>9.6199999999999992</v>
      </c>
    </row>
    <row r="3509" spans="1:13" ht="112.5" customHeight="1" x14ac:dyDescent="0.15">
      <c r="A3509" s="67">
        <v>3097</v>
      </c>
      <c r="B3509" s="33" t="s">
        <v>12428</v>
      </c>
      <c r="C3509" s="33" t="s">
        <v>13887</v>
      </c>
      <c r="D3509" s="61" t="s">
        <v>13888</v>
      </c>
      <c r="E3509" s="68"/>
      <c r="F3509" s="59"/>
      <c r="G3509" s="62" t="s">
        <v>13889</v>
      </c>
      <c r="H3509" s="59">
        <v>98.013000000000005</v>
      </c>
      <c r="I3509" s="29"/>
      <c r="J3509" s="29"/>
      <c r="K3509" s="29"/>
      <c r="L3509" s="29"/>
      <c r="M3509" s="29"/>
    </row>
    <row r="3510" spans="1:13" ht="112.5" customHeight="1" x14ac:dyDescent="0.15">
      <c r="A3510" s="67">
        <v>3919</v>
      </c>
      <c r="B3510" s="33" t="s">
        <v>3822</v>
      </c>
      <c r="C3510" s="33" t="s">
        <v>13890</v>
      </c>
      <c r="D3510" s="61" t="s">
        <v>13891</v>
      </c>
      <c r="E3510" s="68"/>
      <c r="F3510" s="59"/>
      <c r="G3510" s="58" t="s">
        <v>13892</v>
      </c>
      <c r="H3510" s="59">
        <v>0</v>
      </c>
      <c r="I3510" s="29"/>
      <c r="J3510" s="29"/>
      <c r="K3510" s="29"/>
      <c r="L3510" s="29"/>
      <c r="M3510" s="29"/>
    </row>
    <row r="3511" spans="1:13" ht="112.5" customHeight="1" x14ac:dyDescent="0.15">
      <c r="A3511" s="69">
        <v>158</v>
      </c>
      <c r="B3511" s="32" t="s">
        <v>3630</v>
      </c>
      <c r="C3511" s="32" t="s">
        <v>13893</v>
      </c>
      <c r="D3511" s="56" t="s">
        <v>13894</v>
      </c>
      <c r="E3511" s="68"/>
      <c r="F3511" s="59">
        <v>37000</v>
      </c>
      <c r="G3511" s="62" t="s">
        <v>13895</v>
      </c>
      <c r="H3511" s="59">
        <v>0</v>
      </c>
      <c r="I3511" s="29"/>
      <c r="J3511" s="29"/>
      <c r="K3511" s="29"/>
      <c r="L3511" s="29"/>
      <c r="M3511" s="29"/>
    </row>
    <row r="3512" spans="1:13" ht="112.5" customHeight="1" x14ac:dyDescent="0.15">
      <c r="A3512" s="67">
        <v>3917</v>
      </c>
      <c r="B3512" s="33" t="s">
        <v>12428</v>
      </c>
      <c r="C3512" s="33" t="s">
        <v>13896</v>
      </c>
      <c r="D3512" s="61" t="s">
        <v>13897</v>
      </c>
      <c r="E3512" s="68"/>
      <c r="F3512" s="59"/>
      <c r="G3512" s="58" t="s">
        <v>13898</v>
      </c>
      <c r="H3512" s="59">
        <v>0</v>
      </c>
      <c r="I3512" s="29"/>
      <c r="J3512" s="29"/>
      <c r="K3512" s="29"/>
      <c r="L3512" s="29"/>
      <c r="M3512" s="29"/>
    </row>
    <row r="3513" spans="1:13" ht="112.5" customHeight="1" x14ac:dyDescent="0.15">
      <c r="A3513" s="69">
        <v>3914</v>
      </c>
      <c r="B3513" s="32" t="s">
        <v>12428</v>
      </c>
      <c r="C3513" s="32" t="s">
        <v>13899</v>
      </c>
      <c r="D3513" s="56" t="s">
        <v>13900</v>
      </c>
      <c r="E3513" s="68"/>
      <c r="F3513" s="59"/>
      <c r="G3513" s="63" t="s">
        <v>13901</v>
      </c>
      <c r="H3513" s="59">
        <v>9.9749999999999996</v>
      </c>
    </row>
    <row r="3514" spans="1:13" ht="112.5" customHeight="1" x14ac:dyDescent="0.15">
      <c r="A3514" s="67">
        <v>179</v>
      </c>
      <c r="B3514" s="33" t="s">
        <v>12428</v>
      </c>
      <c r="C3514" s="33" t="s">
        <v>13902</v>
      </c>
      <c r="D3514" s="61" t="s">
        <v>13903</v>
      </c>
      <c r="E3514" s="68"/>
      <c r="F3514" s="59">
        <v>58000</v>
      </c>
      <c r="G3514" s="58" t="s">
        <v>13904</v>
      </c>
      <c r="H3514" s="59">
        <v>0</v>
      </c>
      <c r="I3514" s="29"/>
      <c r="J3514" s="29"/>
      <c r="K3514" s="29"/>
      <c r="L3514" s="29"/>
      <c r="M3514" s="29"/>
    </row>
    <row r="3515" spans="1:13" ht="112.5" customHeight="1" x14ac:dyDescent="0.15">
      <c r="A3515" s="69">
        <v>3912</v>
      </c>
      <c r="B3515" s="32" t="s">
        <v>12428</v>
      </c>
      <c r="C3515" s="32" t="s">
        <v>13905</v>
      </c>
      <c r="D3515" s="56" t="s">
        <v>13906</v>
      </c>
      <c r="E3515" s="68"/>
      <c r="F3515" s="59"/>
      <c r="G3515" s="62" t="s">
        <v>13907</v>
      </c>
      <c r="H3515" s="59">
        <v>0</v>
      </c>
      <c r="I3515" s="29"/>
      <c r="J3515" s="29"/>
      <c r="K3515" s="29"/>
      <c r="L3515" s="29"/>
      <c r="M3515" s="29"/>
    </row>
    <row r="3516" spans="1:13" ht="112.5" customHeight="1" x14ac:dyDescent="0.15">
      <c r="A3516" s="69">
        <v>3910</v>
      </c>
      <c r="B3516" s="32" t="s">
        <v>12428</v>
      </c>
      <c r="C3516" s="32" t="s">
        <v>13908</v>
      </c>
      <c r="D3516" s="56" t="s">
        <v>13909</v>
      </c>
      <c r="E3516" s="68"/>
      <c r="F3516" s="59"/>
      <c r="G3516" s="58" t="s">
        <v>13910</v>
      </c>
      <c r="H3516" s="59">
        <v>0</v>
      </c>
      <c r="I3516" s="29"/>
      <c r="J3516" s="29"/>
      <c r="K3516" s="29"/>
      <c r="L3516" s="29"/>
      <c r="M3516" s="29"/>
    </row>
    <row r="3517" spans="1:13" ht="112.5" customHeight="1" x14ac:dyDescent="0.15">
      <c r="A3517" s="67">
        <v>3909</v>
      </c>
      <c r="B3517" s="33" t="s">
        <v>12428</v>
      </c>
      <c r="C3517" s="33" t="s">
        <v>13911</v>
      </c>
      <c r="D3517" s="61" t="s">
        <v>13912</v>
      </c>
      <c r="E3517" s="68"/>
      <c r="F3517" s="59"/>
      <c r="G3517" s="63" t="s">
        <v>4676</v>
      </c>
      <c r="H3517" s="59">
        <v>9.9960000000000004</v>
      </c>
    </row>
    <row r="3518" spans="1:13" ht="112.5" customHeight="1" x14ac:dyDescent="0.15">
      <c r="A3518" s="69">
        <v>3908</v>
      </c>
      <c r="B3518" s="32" t="s">
        <v>12428</v>
      </c>
      <c r="C3518" s="32" t="s">
        <v>13913</v>
      </c>
      <c r="D3518" s="56" t="s">
        <v>13914</v>
      </c>
      <c r="E3518" s="68"/>
      <c r="F3518" s="59"/>
      <c r="G3518" s="64" t="s">
        <v>13915</v>
      </c>
      <c r="H3518" s="59">
        <v>9.9740000000000002</v>
      </c>
    </row>
    <row r="3519" spans="1:13" ht="112.5" customHeight="1" x14ac:dyDescent="0.15">
      <c r="A3519" s="60">
        <v>309</v>
      </c>
      <c r="B3519" s="30" t="s">
        <v>3749</v>
      </c>
      <c r="C3519" s="30" t="s">
        <v>13916</v>
      </c>
      <c r="D3519" s="61" t="s">
        <v>13917</v>
      </c>
      <c r="E3519" s="2"/>
      <c r="F3519" s="57"/>
      <c r="G3519" s="63" t="s">
        <v>13918</v>
      </c>
      <c r="H3519" s="59">
        <v>0</v>
      </c>
    </row>
    <row r="3520" spans="1:13" ht="112.5" customHeight="1" x14ac:dyDescent="0.15">
      <c r="A3520" s="60">
        <v>303</v>
      </c>
      <c r="B3520" s="30" t="s">
        <v>3502</v>
      </c>
      <c r="C3520" s="30" t="s">
        <v>13919</v>
      </c>
      <c r="D3520" s="61" t="s">
        <v>13920</v>
      </c>
      <c r="E3520" s="2"/>
      <c r="F3520" s="57"/>
      <c r="G3520" s="64" t="s">
        <v>13921</v>
      </c>
      <c r="H3520" s="59">
        <v>9.9209999999999994</v>
      </c>
    </row>
    <row r="3521" spans="1:13" ht="112.5" customHeight="1" x14ac:dyDescent="0.15">
      <c r="A3521" s="60">
        <v>369</v>
      </c>
      <c r="B3521" s="30" t="s">
        <v>3822</v>
      </c>
      <c r="C3521" s="30" t="s">
        <v>13922</v>
      </c>
      <c r="D3521" s="61" t="s">
        <v>13923</v>
      </c>
      <c r="E3521" s="2"/>
      <c r="F3521" s="57"/>
      <c r="G3521" s="62" t="s">
        <v>13924</v>
      </c>
      <c r="H3521" s="59">
        <v>0</v>
      </c>
      <c r="I3521" s="29"/>
      <c r="J3521" s="29"/>
      <c r="K3521" s="29"/>
      <c r="L3521" s="29"/>
      <c r="M3521" s="29"/>
    </row>
    <row r="3522" spans="1:13" ht="112.5" customHeight="1" x14ac:dyDescent="0.15">
      <c r="A3522" s="54">
        <v>304</v>
      </c>
      <c r="B3522" s="55" t="s">
        <v>3749</v>
      </c>
      <c r="C3522" s="55" t="s">
        <v>13925</v>
      </c>
      <c r="D3522" s="56" t="s">
        <v>13926</v>
      </c>
      <c r="E3522" s="2"/>
      <c r="F3522" s="57"/>
      <c r="G3522" s="58" t="s">
        <v>13927</v>
      </c>
      <c r="H3522" s="59">
        <v>0</v>
      </c>
      <c r="I3522" s="29"/>
      <c r="J3522" s="29"/>
      <c r="K3522" s="29"/>
      <c r="L3522" s="29"/>
      <c r="M3522" s="29"/>
    </row>
    <row r="3523" spans="1:13" ht="112.5" customHeight="1" x14ac:dyDescent="0.15">
      <c r="A3523" s="60">
        <v>377</v>
      </c>
      <c r="B3523" s="30" t="s">
        <v>3556</v>
      </c>
      <c r="C3523" s="30" t="s">
        <v>13928</v>
      </c>
      <c r="D3523" s="61" t="s">
        <v>13929</v>
      </c>
      <c r="E3523" s="2"/>
      <c r="F3523" s="57"/>
      <c r="G3523" s="62" t="s">
        <v>13930</v>
      </c>
      <c r="H3523" s="59">
        <v>5.8079999999999998</v>
      </c>
      <c r="I3523" s="29"/>
      <c r="J3523" s="29"/>
      <c r="K3523" s="29"/>
      <c r="L3523" s="29"/>
      <c r="M3523" s="29"/>
    </row>
    <row r="3524" spans="1:13" ht="112.5" customHeight="1" x14ac:dyDescent="0.15">
      <c r="A3524" s="54">
        <v>378</v>
      </c>
      <c r="B3524" s="55" t="s">
        <v>3492</v>
      </c>
      <c r="C3524" s="55" t="s">
        <v>13931</v>
      </c>
      <c r="D3524" s="56" t="s">
        <v>13932</v>
      </c>
      <c r="E3524" s="2"/>
      <c r="F3524" s="57"/>
      <c r="G3524" s="58" t="s">
        <v>13933</v>
      </c>
      <c r="H3524" s="59">
        <v>99.611999999999995</v>
      </c>
      <c r="I3524" s="29"/>
      <c r="J3524" s="29"/>
      <c r="K3524" s="29"/>
      <c r="L3524" s="29"/>
      <c r="M3524" s="29"/>
    </row>
    <row r="3525" spans="1:13" ht="112.5" customHeight="1" x14ac:dyDescent="0.15">
      <c r="A3525" s="54">
        <v>368</v>
      </c>
      <c r="B3525" s="55" t="s">
        <v>3630</v>
      </c>
      <c r="C3525" s="55" t="s">
        <v>13934</v>
      </c>
      <c r="D3525" s="56" t="s">
        <v>13935</v>
      </c>
      <c r="E3525" s="2"/>
      <c r="F3525" s="57"/>
      <c r="G3525" s="62" t="s">
        <v>13936</v>
      </c>
      <c r="H3525" s="59">
        <v>99.474999999999994</v>
      </c>
      <c r="I3525" s="29"/>
      <c r="J3525" s="29"/>
      <c r="K3525" s="29"/>
      <c r="L3525" s="29"/>
      <c r="M3525" s="29"/>
    </row>
    <row r="3526" spans="1:13" ht="112.5" customHeight="1" x14ac:dyDescent="0.15">
      <c r="A3526" s="54">
        <v>364</v>
      </c>
      <c r="B3526" s="55" t="s">
        <v>3492</v>
      </c>
      <c r="C3526" s="55" t="s">
        <v>13937</v>
      </c>
      <c r="D3526" s="56" t="s">
        <v>13938</v>
      </c>
      <c r="E3526" s="2"/>
      <c r="F3526" s="57"/>
      <c r="G3526" s="58" t="s">
        <v>13939</v>
      </c>
      <c r="H3526" s="59">
        <v>0</v>
      </c>
      <c r="I3526" s="29"/>
      <c r="J3526" s="29"/>
      <c r="K3526" s="29"/>
      <c r="L3526" s="29"/>
      <c r="M3526" s="29"/>
    </row>
    <row r="3527" spans="1:13" ht="112.5" customHeight="1" x14ac:dyDescent="0.15">
      <c r="A3527" s="60">
        <v>339</v>
      </c>
      <c r="B3527" s="30" t="s">
        <v>3492</v>
      </c>
      <c r="C3527" s="30" t="s">
        <v>13940</v>
      </c>
      <c r="D3527" s="61" t="s">
        <v>13941</v>
      </c>
      <c r="E3527" s="2"/>
      <c r="F3527" s="57"/>
      <c r="G3527" s="62" t="s">
        <v>13942</v>
      </c>
      <c r="H3527" s="59">
        <v>0</v>
      </c>
      <c r="I3527" s="29"/>
      <c r="J3527" s="29"/>
      <c r="K3527" s="29"/>
      <c r="L3527" s="29"/>
      <c r="M3527" s="29"/>
    </row>
    <row r="3528" spans="1:13" ht="112.5" customHeight="1" x14ac:dyDescent="0.15">
      <c r="A3528" s="60">
        <v>361</v>
      </c>
      <c r="B3528" s="30" t="s">
        <v>3502</v>
      </c>
      <c r="C3528" s="30" t="s">
        <v>13943</v>
      </c>
      <c r="D3528" s="61" t="s">
        <v>13944</v>
      </c>
      <c r="E3528" s="2"/>
      <c r="F3528" s="57"/>
      <c r="G3528" s="58" t="s">
        <v>13945</v>
      </c>
      <c r="H3528" s="59">
        <v>0</v>
      </c>
      <c r="I3528" s="29"/>
      <c r="J3528" s="29"/>
      <c r="K3528" s="29"/>
      <c r="L3528" s="29"/>
      <c r="M3528" s="29"/>
    </row>
    <row r="3529" spans="1:13" ht="112.5" customHeight="1" x14ac:dyDescent="0.15">
      <c r="A3529" s="54">
        <v>360</v>
      </c>
      <c r="B3529" s="55" t="s">
        <v>3549</v>
      </c>
      <c r="C3529" s="55" t="s">
        <v>13946</v>
      </c>
      <c r="D3529" s="56" t="s">
        <v>13947</v>
      </c>
      <c r="E3529" s="2"/>
      <c r="F3529" s="57"/>
      <c r="G3529" s="62" t="s">
        <v>13948</v>
      </c>
      <c r="H3529" s="59">
        <v>0</v>
      </c>
      <c r="I3529" s="29"/>
      <c r="J3529" s="29"/>
      <c r="K3529" s="29"/>
      <c r="L3529" s="29"/>
      <c r="M3529" s="29"/>
    </row>
    <row r="3530" spans="1:13" ht="112.5" customHeight="1" x14ac:dyDescent="0.15">
      <c r="A3530" s="60">
        <v>353</v>
      </c>
      <c r="B3530" s="30" t="s">
        <v>3513</v>
      </c>
      <c r="C3530" s="30" t="s">
        <v>13949</v>
      </c>
      <c r="D3530" s="61" t="s">
        <v>13950</v>
      </c>
      <c r="E3530" s="2"/>
      <c r="F3530" s="57"/>
      <c r="G3530" s="58" t="s">
        <v>13951</v>
      </c>
      <c r="H3530" s="59">
        <v>0</v>
      </c>
      <c r="I3530" s="29"/>
      <c r="J3530" s="29"/>
      <c r="K3530" s="29"/>
      <c r="L3530" s="29"/>
      <c r="M3530" s="29"/>
    </row>
    <row r="3531" spans="1:13" ht="112.5" customHeight="1" x14ac:dyDescent="0.15">
      <c r="A3531" s="60">
        <v>345</v>
      </c>
      <c r="B3531" s="30" t="s">
        <v>3526</v>
      </c>
      <c r="C3531" s="30" t="s">
        <v>13952</v>
      </c>
      <c r="D3531" s="61" t="s">
        <v>13953</v>
      </c>
      <c r="E3531" s="2"/>
      <c r="F3531" s="57"/>
      <c r="G3531" s="62" t="s">
        <v>13954</v>
      </c>
      <c r="H3531" s="59">
        <v>0</v>
      </c>
      <c r="I3531" s="29"/>
      <c r="J3531" s="29"/>
      <c r="K3531" s="29"/>
      <c r="L3531" s="29"/>
      <c r="M3531" s="29"/>
    </row>
    <row r="3532" spans="1:13" ht="112.5" customHeight="1" x14ac:dyDescent="0.15">
      <c r="A3532" s="54">
        <v>342</v>
      </c>
      <c r="B3532" s="55" t="s">
        <v>3513</v>
      </c>
      <c r="C3532" s="55" t="s">
        <v>13955</v>
      </c>
      <c r="D3532" s="56" t="s">
        <v>13956</v>
      </c>
      <c r="E3532" s="2"/>
      <c r="F3532" s="57"/>
      <c r="G3532" s="58" t="s">
        <v>13957</v>
      </c>
      <c r="H3532" s="59">
        <v>99.99</v>
      </c>
      <c r="I3532" s="29"/>
      <c r="J3532" s="29"/>
      <c r="K3532" s="29"/>
      <c r="L3532" s="29"/>
      <c r="M3532" s="29"/>
    </row>
    <row r="3533" spans="1:13" ht="112.5" customHeight="1" x14ac:dyDescent="0.15">
      <c r="A3533" s="54">
        <v>338</v>
      </c>
      <c r="B3533" s="55" t="s">
        <v>3801</v>
      </c>
      <c r="C3533" s="55" t="s">
        <v>13958</v>
      </c>
      <c r="D3533" s="56" t="s">
        <v>13959</v>
      </c>
      <c r="E3533" s="2"/>
      <c r="F3533" s="57"/>
      <c r="G3533" s="62" t="s">
        <v>13960</v>
      </c>
      <c r="H3533" s="59">
        <v>0</v>
      </c>
      <c r="I3533" s="29"/>
      <c r="J3533" s="29"/>
      <c r="K3533" s="29"/>
      <c r="L3533" s="29"/>
      <c r="M3533" s="29"/>
    </row>
    <row r="3534" spans="1:13" ht="112.5" customHeight="1" x14ac:dyDescent="0.15">
      <c r="A3534" s="60">
        <v>429</v>
      </c>
      <c r="B3534" s="30" t="s">
        <v>3533</v>
      </c>
      <c r="C3534" s="30" t="s">
        <v>13961</v>
      </c>
      <c r="D3534" s="61" t="s">
        <v>13962</v>
      </c>
      <c r="E3534" s="2"/>
      <c r="F3534" s="57"/>
      <c r="G3534" s="58" t="s">
        <v>13963</v>
      </c>
      <c r="H3534" s="59">
        <v>0</v>
      </c>
      <c r="I3534" s="29"/>
      <c r="J3534" s="29"/>
      <c r="K3534" s="29"/>
      <c r="L3534" s="29"/>
      <c r="M3534" s="29"/>
    </row>
    <row r="3535" spans="1:13" ht="112.5" customHeight="1" x14ac:dyDescent="0.15">
      <c r="A3535" s="60">
        <v>323</v>
      </c>
      <c r="B3535" s="30" t="s">
        <v>3502</v>
      </c>
      <c r="C3535" s="30" t="s">
        <v>13964</v>
      </c>
      <c r="D3535" s="61" t="s">
        <v>13965</v>
      </c>
      <c r="E3535" s="2"/>
      <c r="F3535" s="57"/>
      <c r="G3535" s="62" t="s">
        <v>13966</v>
      </c>
      <c r="H3535" s="59">
        <v>99.915999999999997</v>
      </c>
      <c r="I3535" s="29"/>
      <c r="J3535" s="29"/>
      <c r="K3535" s="29"/>
      <c r="L3535" s="29"/>
      <c r="M3535" s="29"/>
    </row>
    <row r="3536" spans="1:13" ht="112.5" customHeight="1" x14ac:dyDescent="0.15">
      <c r="A3536" s="54">
        <v>302</v>
      </c>
      <c r="B3536" s="55" t="s">
        <v>3549</v>
      </c>
      <c r="C3536" s="55" t="s">
        <v>13967</v>
      </c>
      <c r="D3536" s="56" t="s">
        <v>13968</v>
      </c>
      <c r="E3536" s="2"/>
      <c r="F3536" s="57"/>
      <c r="G3536" s="58" t="s">
        <v>13969</v>
      </c>
      <c r="H3536" s="59">
        <v>9.7880000000000003</v>
      </c>
      <c r="I3536" s="29"/>
      <c r="J3536" s="29"/>
      <c r="K3536" s="29"/>
      <c r="L3536" s="29"/>
      <c r="M3536" s="29"/>
    </row>
    <row r="3537" spans="1:13" ht="112.5" customHeight="1" x14ac:dyDescent="0.15">
      <c r="A3537" s="60">
        <v>395</v>
      </c>
      <c r="B3537" s="30" t="s">
        <v>3513</v>
      </c>
      <c r="C3537" s="30" t="s">
        <v>13970</v>
      </c>
      <c r="D3537" s="61" t="s">
        <v>13971</v>
      </c>
      <c r="E3537" s="2"/>
      <c r="F3537" s="57"/>
      <c r="G3537" s="62" t="s">
        <v>13972</v>
      </c>
      <c r="H3537" s="59">
        <v>10</v>
      </c>
      <c r="I3537" s="29"/>
      <c r="J3537" s="29"/>
      <c r="K3537" s="29"/>
      <c r="L3537" s="29"/>
      <c r="M3537" s="29"/>
    </row>
    <row r="3538" spans="1:13" ht="112.5" customHeight="1" x14ac:dyDescent="0.15">
      <c r="A3538" s="54">
        <v>314</v>
      </c>
      <c r="B3538" s="55" t="s">
        <v>3749</v>
      </c>
      <c r="C3538" s="55" t="s">
        <v>13973</v>
      </c>
      <c r="D3538" s="56" t="s">
        <v>13974</v>
      </c>
      <c r="E3538" s="2"/>
      <c r="F3538" s="57"/>
      <c r="G3538" s="58" t="s">
        <v>13975</v>
      </c>
      <c r="H3538" s="59">
        <v>98.275000000000006</v>
      </c>
      <c r="I3538" s="29"/>
      <c r="J3538" s="29"/>
      <c r="K3538" s="29"/>
      <c r="L3538" s="29"/>
      <c r="M3538" s="29"/>
    </row>
    <row r="3539" spans="1:13" ht="112.5" customHeight="1" x14ac:dyDescent="0.15">
      <c r="A3539" s="60">
        <v>313</v>
      </c>
      <c r="B3539" s="30" t="s">
        <v>3749</v>
      </c>
      <c r="C3539" s="30" t="s">
        <v>13976</v>
      </c>
      <c r="D3539" s="61" t="s">
        <v>13977</v>
      </c>
      <c r="E3539" s="2"/>
      <c r="F3539" s="57"/>
      <c r="G3539" s="63" t="s">
        <v>13978</v>
      </c>
      <c r="H3539" s="59">
        <v>970</v>
      </c>
    </row>
    <row r="3540" spans="1:13" ht="112.5" customHeight="1" x14ac:dyDescent="0.15">
      <c r="A3540" s="60">
        <v>425</v>
      </c>
      <c r="B3540" s="30" t="s">
        <v>3513</v>
      </c>
      <c r="C3540" s="30" t="s">
        <v>13979</v>
      </c>
      <c r="D3540" s="61" t="s">
        <v>13980</v>
      </c>
      <c r="E3540" s="2"/>
      <c r="F3540" s="57"/>
      <c r="G3540" s="58" t="s">
        <v>13981</v>
      </c>
      <c r="H3540" s="59">
        <v>574</v>
      </c>
      <c r="I3540" s="29"/>
      <c r="J3540" s="29"/>
      <c r="K3540" s="29"/>
      <c r="L3540" s="29"/>
      <c r="M3540" s="29"/>
    </row>
    <row r="3541" spans="1:13" ht="112.5" customHeight="1" x14ac:dyDescent="0.15">
      <c r="A3541" s="54">
        <v>424</v>
      </c>
      <c r="B3541" s="55" t="s">
        <v>3513</v>
      </c>
      <c r="C3541" s="55" t="s">
        <v>13982</v>
      </c>
      <c r="D3541" s="56" t="s">
        <v>13983</v>
      </c>
      <c r="E3541" s="2"/>
      <c r="F3541" s="57"/>
      <c r="G3541" s="62" t="s">
        <v>13984</v>
      </c>
      <c r="H3541" s="59">
        <v>0</v>
      </c>
      <c r="I3541" s="29"/>
      <c r="J3541" s="29"/>
      <c r="K3541" s="29"/>
      <c r="L3541" s="29"/>
      <c r="M3541" s="29"/>
    </row>
    <row r="3542" spans="1:13" ht="112.5" customHeight="1" x14ac:dyDescent="0.15">
      <c r="A3542" s="67">
        <v>227</v>
      </c>
      <c r="B3542" s="33" t="s">
        <v>3513</v>
      </c>
      <c r="C3542" s="33" t="s">
        <v>13985</v>
      </c>
      <c r="D3542" s="61" t="s">
        <v>13986</v>
      </c>
      <c r="E3542" s="68"/>
      <c r="F3542" s="59"/>
      <c r="G3542" s="58" t="s">
        <v>13987</v>
      </c>
      <c r="H3542" s="59">
        <v>0</v>
      </c>
      <c r="I3542" s="29"/>
      <c r="J3542" s="29"/>
      <c r="K3542" s="29"/>
      <c r="L3542" s="29"/>
      <c r="M3542" s="29"/>
    </row>
    <row r="3543" spans="1:13" ht="112.5" customHeight="1" x14ac:dyDescent="0.15">
      <c r="A3543" s="69">
        <v>382</v>
      </c>
      <c r="B3543" s="32" t="s">
        <v>3822</v>
      </c>
      <c r="C3543" s="32" t="s">
        <v>13988</v>
      </c>
      <c r="D3543" s="56" t="s">
        <v>13989</v>
      </c>
      <c r="E3543" s="68"/>
      <c r="F3543" s="59"/>
      <c r="G3543" s="62" t="s">
        <v>13990</v>
      </c>
      <c r="H3543" s="59">
        <v>632</v>
      </c>
      <c r="I3543" s="29"/>
      <c r="J3543" s="29"/>
      <c r="K3543" s="29"/>
      <c r="L3543" s="29"/>
      <c r="M3543" s="29"/>
    </row>
    <row r="3544" spans="1:13" ht="112.5" customHeight="1" x14ac:dyDescent="0.15">
      <c r="A3544" s="69">
        <v>440</v>
      </c>
      <c r="B3544" s="32" t="s">
        <v>3492</v>
      </c>
      <c r="C3544" s="32" t="s">
        <v>13991</v>
      </c>
      <c r="D3544" s="56" t="s">
        <v>13992</v>
      </c>
      <c r="E3544" s="68"/>
      <c r="F3544" s="59"/>
      <c r="G3544" s="58" t="s">
        <v>13993</v>
      </c>
      <c r="H3544" s="59">
        <v>0</v>
      </c>
      <c r="I3544" s="29"/>
      <c r="J3544" s="29"/>
      <c r="K3544" s="29"/>
      <c r="L3544" s="29"/>
      <c r="M3544" s="29"/>
    </row>
    <row r="3545" spans="1:13" ht="112.5" customHeight="1" x14ac:dyDescent="0.15">
      <c r="A3545" s="69">
        <v>292</v>
      </c>
      <c r="B3545" s="32" t="s">
        <v>3492</v>
      </c>
      <c r="C3545" s="32" t="s">
        <v>13994</v>
      </c>
      <c r="D3545" s="56" t="s">
        <v>13995</v>
      </c>
      <c r="E3545" s="68"/>
      <c r="F3545" s="59"/>
      <c r="G3545" s="62" t="s">
        <v>13996</v>
      </c>
      <c r="H3545" s="59">
        <v>0</v>
      </c>
      <c r="I3545" s="29"/>
      <c r="J3545" s="29"/>
      <c r="K3545" s="29"/>
      <c r="L3545" s="29"/>
      <c r="M3545" s="29"/>
    </row>
    <row r="3546" spans="1:13" ht="112.5" customHeight="1" x14ac:dyDescent="0.15">
      <c r="A3546" s="67">
        <v>423</v>
      </c>
      <c r="B3546" s="33" t="s">
        <v>3492</v>
      </c>
      <c r="C3546" s="33" t="s">
        <v>13997</v>
      </c>
      <c r="D3546" s="61" t="s">
        <v>13998</v>
      </c>
      <c r="E3546" s="68"/>
      <c r="F3546" s="59"/>
      <c r="G3546" s="64" t="s">
        <v>13999</v>
      </c>
      <c r="H3546" s="59">
        <v>9.9049999999999994</v>
      </c>
    </row>
    <row r="3547" spans="1:13" ht="112.5" customHeight="1" x14ac:dyDescent="0.15">
      <c r="A3547" s="54">
        <v>352</v>
      </c>
      <c r="B3547" s="55" t="s">
        <v>3492</v>
      </c>
      <c r="C3547" s="55" t="s">
        <v>14000</v>
      </c>
      <c r="D3547" s="56" t="s">
        <v>14001</v>
      </c>
      <c r="E3547" s="2"/>
      <c r="F3547" s="57"/>
      <c r="G3547" s="62" t="s">
        <v>14002</v>
      </c>
      <c r="H3547" s="59">
        <v>0</v>
      </c>
      <c r="I3547" s="29"/>
      <c r="J3547" s="29"/>
      <c r="K3547" s="29"/>
      <c r="L3547" s="29"/>
      <c r="M3547" s="29"/>
    </row>
    <row r="3548" spans="1:13" ht="112.5" customHeight="1" x14ac:dyDescent="0.15">
      <c r="A3548" s="54">
        <v>412</v>
      </c>
      <c r="B3548" s="55" t="s">
        <v>3549</v>
      </c>
      <c r="C3548" s="55" t="s">
        <v>14003</v>
      </c>
      <c r="D3548" s="56" t="s">
        <v>14004</v>
      </c>
      <c r="E3548" s="2"/>
      <c r="F3548" s="57"/>
      <c r="G3548" s="58" t="s">
        <v>14005</v>
      </c>
      <c r="H3548" s="59">
        <v>0</v>
      </c>
      <c r="I3548" s="29"/>
      <c r="J3548" s="29"/>
      <c r="K3548" s="29"/>
      <c r="L3548" s="29"/>
      <c r="M3548" s="29"/>
    </row>
    <row r="3549" spans="1:13" ht="112.5" customHeight="1" x14ac:dyDescent="0.15">
      <c r="A3549" s="54">
        <v>306</v>
      </c>
      <c r="B3549" s="55" t="s">
        <v>3549</v>
      </c>
      <c r="C3549" s="55" t="s">
        <v>14006</v>
      </c>
      <c r="D3549" s="56" t="s">
        <v>14007</v>
      </c>
      <c r="E3549" s="2"/>
      <c r="F3549" s="57"/>
      <c r="G3549" s="62" t="s">
        <v>14008</v>
      </c>
      <c r="H3549" s="59">
        <v>0</v>
      </c>
      <c r="I3549" s="29"/>
      <c r="J3549" s="29"/>
      <c r="K3549" s="29"/>
      <c r="L3549" s="29"/>
      <c r="M3549" s="29"/>
    </row>
    <row r="3550" spans="1:13" ht="112.5" customHeight="1" x14ac:dyDescent="0.15">
      <c r="A3550" s="54">
        <v>344</v>
      </c>
      <c r="B3550" s="55" t="s">
        <v>3513</v>
      </c>
      <c r="C3550" s="55" t="s">
        <v>14009</v>
      </c>
      <c r="D3550" s="56" t="s">
        <v>14010</v>
      </c>
      <c r="E3550" s="2"/>
      <c r="F3550" s="57"/>
      <c r="G3550" s="58" t="s">
        <v>14011</v>
      </c>
      <c r="H3550" s="59">
        <v>0</v>
      </c>
      <c r="I3550" s="29"/>
      <c r="J3550" s="29"/>
      <c r="K3550" s="29"/>
      <c r="L3550" s="29"/>
      <c r="M3550" s="29"/>
    </row>
    <row r="3551" spans="1:13" ht="112.5" customHeight="1" x14ac:dyDescent="0.15">
      <c r="A3551" s="60">
        <v>407</v>
      </c>
      <c r="B3551" s="30" t="s">
        <v>3496</v>
      </c>
      <c r="C3551" s="30" t="s">
        <v>14012</v>
      </c>
      <c r="D3551" s="61" t="s">
        <v>14013</v>
      </c>
      <c r="E3551" s="2"/>
      <c r="F3551" s="57"/>
      <c r="G3551" s="62" t="s">
        <v>14014</v>
      </c>
      <c r="H3551" s="59">
        <v>0</v>
      </c>
      <c r="I3551" s="29"/>
      <c r="J3551" s="29"/>
      <c r="K3551" s="29"/>
      <c r="L3551" s="29"/>
      <c r="M3551" s="29"/>
    </row>
    <row r="3552" spans="1:13" ht="112.5" customHeight="1" x14ac:dyDescent="0.15">
      <c r="A3552" s="60">
        <v>295</v>
      </c>
      <c r="B3552" s="30" t="s">
        <v>3549</v>
      </c>
      <c r="C3552" s="30" t="s">
        <v>14015</v>
      </c>
      <c r="D3552" s="61" t="s">
        <v>14016</v>
      </c>
      <c r="E3552" s="2"/>
      <c r="F3552" s="57"/>
      <c r="G3552" s="58" t="s">
        <v>14017</v>
      </c>
      <c r="H3552" s="59">
        <v>99.96</v>
      </c>
      <c r="I3552" s="29"/>
      <c r="J3552" s="29"/>
      <c r="K3552" s="29"/>
      <c r="L3552" s="29"/>
      <c r="M3552" s="29"/>
    </row>
    <row r="3553" spans="1:13" ht="112.5" customHeight="1" x14ac:dyDescent="0.15">
      <c r="A3553" s="60">
        <v>331</v>
      </c>
      <c r="B3553" s="30" t="s">
        <v>3556</v>
      </c>
      <c r="C3553" s="30" t="s">
        <v>14018</v>
      </c>
      <c r="D3553" s="61" t="s">
        <v>14019</v>
      </c>
      <c r="E3553" s="2"/>
      <c r="F3553" s="57"/>
      <c r="G3553" s="62" t="s">
        <v>14020</v>
      </c>
      <c r="H3553" s="59">
        <v>9.9619999999999997</v>
      </c>
      <c r="I3553" s="29"/>
      <c r="J3553" s="29"/>
      <c r="K3553" s="29"/>
      <c r="L3553" s="29"/>
      <c r="M3553" s="29"/>
    </row>
    <row r="3554" spans="1:13" ht="112.5" customHeight="1" x14ac:dyDescent="0.15">
      <c r="A3554" s="54">
        <v>366</v>
      </c>
      <c r="B3554" s="55" t="s">
        <v>3749</v>
      </c>
      <c r="C3554" s="55" t="s">
        <v>14021</v>
      </c>
      <c r="D3554" s="56" t="s">
        <v>14022</v>
      </c>
      <c r="E3554" s="2"/>
      <c r="F3554" s="57"/>
      <c r="G3554" s="58" t="s">
        <v>14023</v>
      </c>
      <c r="H3554" s="59">
        <v>0</v>
      </c>
      <c r="I3554" s="29"/>
      <c r="J3554" s="29"/>
      <c r="K3554" s="29"/>
      <c r="L3554" s="29"/>
      <c r="M3554" s="29"/>
    </row>
    <row r="3555" spans="1:13" ht="112.5" customHeight="1" x14ac:dyDescent="0.15">
      <c r="A3555" s="54">
        <v>354</v>
      </c>
      <c r="B3555" s="55" t="s">
        <v>3549</v>
      </c>
      <c r="C3555" s="55" t="s">
        <v>14024</v>
      </c>
      <c r="D3555" s="56" t="s">
        <v>14025</v>
      </c>
      <c r="E3555" s="2"/>
      <c r="F3555" s="57"/>
      <c r="G3555" s="62" t="s">
        <v>14026</v>
      </c>
      <c r="H3555" s="59">
        <v>99.986000000000004</v>
      </c>
      <c r="I3555" s="29"/>
      <c r="J3555" s="29"/>
      <c r="K3555" s="29"/>
      <c r="L3555" s="29"/>
      <c r="M3555" s="29"/>
    </row>
    <row r="3556" spans="1:13" ht="112.5" customHeight="1" x14ac:dyDescent="0.15">
      <c r="A3556" s="60">
        <v>355</v>
      </c>
      <c r="B3556" s="30" t="s">
        <v>3549</v>
      </c>
      <c r="C3556" s="30" t="s">
        <v>14027</v>
      </c>
      <c r="D3556" s="61" t="s">
        <v>14028</v>
      </c>
      <c r="E3556" s="2"/>
      <c r="F3556" s="57"/>
      <c r="G3556" s="58" t="s">
        <v>14029</v>
      </c>
      <c r="H3556" s="59">
        <v>0</v>
      </c>
      <c r="I3556" s="29"/>
      <c r="J3556" s="29"/>
      <c r="K3556" s="29"/>
      <c r="L3556" s="29"/>
      <c r="M3556" s="29"/>
    </row>
    <row r="3557" spans="1:13" ht="112.5" customHeight="1" x14ac:dyDescent="0.15">
      <c r="A3557" s="54">
        <v>356</v>
      </c>
      <c r="B3557" s="55" t="s">
        <v>3549</v>
      </c>
      <c r="C3557" s="55" t="s">
        <v>14030</v>
      </c>
      <c r="D3557" s="56" t="s">
        <v>14031</v>
      </c>
      <c r="E3557" s="2"/>
      <c r="F3557" s="57"/>
      <c r="G3557" s="62" t="s">
        <v>14032</v>
      </c>
      <c r="H3557" s="59">
        <v>0</v>
      </c>
      <c r="I3557" s="29"/>
      <c r="J3557" s="29"/>
      <c r="K3557" s="29"/>
      <c r="L3557" s="29"/>
      <c r="M3557" s="29"/>
    </row>
    <row r="3558" spans="1:13" ht="112.5" customHeight="1" x14ac:dyDescent="0.15">
      <c r="A3558" s="60">
        <v>357</v>
      </c>
      <c r="B3558" s="30" t="s">
        <v>3549</v>
      </c>
      <c r="C3558" s="30" t="s">
        <v>14033</v>
      </c>
      <c r="D3558" s="61" t="s">
        <v>14034</v>
      </c>
      <c r="E3558" s="2"/>
      <c r="F3558" s="57"/>
      <c r="G3558" s="58" t="s">
        <v>14035</v>
      </c>
      <c r="H3558" s="59">
        <v>0</v>
      </c>
      <c r="I3558" s="29"/>
      <c r="J3558" s="29"/>
      <c r="K3558" s="29"/>
      <c r="L3558" s="29"/>
      <c r="M3558" s="29"/>
    </row>
    <row r="3559" spans="1:13" ht="112.5" customHeight="1" x14ac:dyDescent="0.15">
      <c r="A3559" s="54">
        <v>358</v>
      </c>
      <c r="B3559" s="55" t="s">
        <v>3549</v>
      </c>
      <c r="C3559" s="55" t="s">
        <v>14036</v>
      </c>
      <c r="D3559" s="56" t="s">
        <v>14037</v>
      </c>
      <c r="E3559" s="2"/>
      <c r="F3559" s="57"/>
      <c r="G3559" s="62" t="s">
        <v>14038</v>
      </c>
      <c r="H3559" s="59">
        <v>0</v>
      </c>
      <c r="I3559" s="29"/>
      <c r="J3559" s="29"/>
      <c r="K3559" s="29"/>
      <c r="L3559" s="29"/>
      <c r="M3559" s="29"/>
    </row>
    <row r="3560" spans="1:13" ht="112.5" customHeight="1" x14ac:dyDescent="0.15">
      <c r="A3560" s="54">
        <v>400</v>
      </c>
      <c r="B3560" s="55" t="s">
        <v>3549</v>
      </c>
      <c r="C3560" s="55" t="s">
        <v>14039</v>
      </c>
      <c r="D3560" s="56" t="s">
        <v>14040</v>
      </c>
      <c r="E3560" s="2"/>
      <c r="F3560" s="57"/>
      <c r="G3560" s="58" t="s">
        <v>14041</v>
      </c>
      <c r="H3560" s="59">
        <v>0</v>
      </c>
      <c r="I3560" s="29"/>
      <c r="J3560" s="29"/>
      <c r="K3560" s="29"/>
      <c r="L3560" s="29"/>
      <c r="M3560" s="29"/>
    </row>
    <row r="3561" spans="1:13" ht="112.5" customHeight="1" x14ac:dyDescent="0.15">
      <c r="A3561" s="54">
        <v>350</v>
      </c>
      <c r="B3561" s="55" t="s">
        <v>3549</v>
      </c>
      <c r="C3561" s="55" t="s">
        <v>14042</v>
      </c>
      <c r="D3561" s="56" t="s">
        <v>14043</v>
      </c>
      <c r="E3561" s="2"/>
      <c r="F3561" s="57"/>
      <c r="G3561" s="62" t="s">
        <v>14044</v>
      </c>
      <c r="H3561" s="59">
        <v>0</v>
      </c>
      <c r="I3561" s="29"/>
      <c r="J3561" s="29"/>
      <c r="K3561" s="29"/>
      <c r="L3561" s="29"/>
      <c r="M3561" s="29"/>
    </row>
    <row r="3562" spans="1:13" ht="112.5" customHeight="1" x14ac:dyDescent="0.15">
      <c r="A3562" s="54">
        <v>432</v>
      </c>
      <c r="B3562" s="55" t="s">
        <v>3513</v>
      </c>
      <c r="C3562" s="55" t="s">
        <v>14045</v>
      </c>
      <c r="D3562" s="56" t="s">
        <v>14046</v>
      </c>
      <c r="E3562" s="2"/>
      <c r="F3562" s="57"/>
      <c r="G3562" s="58" t="s">
        <v>14047</v>
      </c>
      <c r="H3562" s="59">
        <v>95.917000000000002</v>
      </c>
      <c r="I3562" s="29"/>
      <c r="J3562" s="29"/>
      <c r="K3562" s="29"/>
      <c r="L3562" s="29"/>
      <c r="M3562" s="29"/>
    </row>
    <row r="3563" spans="1:13" ht="112.5" customHeight="1" x14ac:dyDescent="0.15">
      <c r="A3563" s="54">
        <v>348</v>
      </c>
      <c r="B3563" s="55" t="s">
        <v>3749</v>
      </c>
      <c r="C3563" s="55" t="s">
        <v>14048</v>
      </c>
      <c r="D3563" s="56" t="s">
        <v>14049</v>
      </c>
      <c r="E3563" s="2"/>
      <c r="F3563" s="57"/>
      <c r="G3563" s="62" t="s">
        <v>14050</v>
      </c>
      <c r="H3563" s="59">
        <v>610</v>
      </c>
      <c r="I3563" s="29"/>
      <c r="J3563" s="29"/>
      <c r="K3563" s="29"/>
      <c r="L3563" s="29"/>
      <c r="M3563" s="29"/>
    </row>
    <row r="3564" spans="1:13" ht="112.5" customHeight="1" x14ac:dyDescent="0.15">
      <c r="A3564" s="60">
        <v>349</v>
      </c>
      <c r="B3564" s="30" t="s">
        <v>3749</v>
      </c>
      <c r="C3564" s="30" t="s">
        <v>14051</v>
      </c>
      <c r="D3564" s="61" t="s">
        <v>14052</v>
      </c>
      <c r="E3564" s="2"/>
      <c r="F3564" s="57"/>
      <c r="G3564" s="58" t="s">
        <v>14053</v>
      </c>
      <c r="H3564" s="59">
        <v>0</v>
      </c>
      <c r="I3564" s="29"/>
      <c r="J3564" s="29"/>
      <c r="K3564" s="29"/>
      <c r="L3564" s="29"/>
      <c r="M3564" s="29"/>
    </row>
    <row r="3565" spans="1:13" ht="112.5" customHeight="1" x14ac:dyDescent="0.15">
      <c r="A3565" s="54">
        <v>332</v>
      </c>
      <c r="B3565" s="55" t="s">
        <v>3549</v>
      </c>
      <c r="C3565" s="55" t="s">
        <v>14054</v>
      </c>
      <c r="D3565" s="56" t="s">
        <v>14055</v>
      </c>
      <c r="E3565" s="2"/>
      <c r="F3565" s="57"/>
      <c r="G3565" s="62" t="s">
        <v>14056</v>
      </c>
      <c r="H3565" s="59">
        <v>687</v>
      </c>
      <c r="I3565" s="29"/>
      <c r="J3565" s="29"/>
      <c r="K3565" s="29"/>
      <c r="L3565" s="29"/>
      <c r="M3565" s="29"/>
    </row>
    <row r="3566" spans="1:13" ht="112.5" customHeight="1" x14ac:dyDescent="0.15">
      <c r="A3566" s="54">
        <v>340</v>
      </c>
      <c r="B3566" s="55" t="s">
        <v>3549</v>
      </c>
      <c r="C3566" s="55" t="s">
        <v>14057</v>
      </c>
      <c r="D3566" s="56" t="s">
        <v>14058</v>
      </c>
      <c r="E3566" s="2"/>
      <c r="F3566" s="57"/>
      <c r="G3566" s="58" t="s">
        <v>14059</v>
      </c>
      <c r="H3566" s="59">
        <v>0</v>
      </c>
      <c r="I3566" s="29"/>
      <c r="J3566" s="29"/>
      <c r="K3566" s="29"/>
      <c r="L3566" s="29"/>
      <c r="M3566" s="29"/>
    </row>
    <row r="3567" spans="1:13" ht="112.5" customHeight="1" x14ac:dyDescent="0.15">
      <c r="A3567" s="60">
        <v>333</v>
      </c>
      <c r="B3567" s="30" t="s">
        <v>3749</v>
      </c>
      <c r="C3567" s="30" t="s">
        <v>14060</v>
      </c>
      <c r="D3567" s="61" t="s">
        <v>14061</v>
      </c>
      <c r="E3567" s="2"/>
      <c r="F3567" s="57"/>
      <c r="G3567" s="62" t="s">
        <v>14062</v>
      </c>
      <c r="H3567" s="59">
        <v>0</v>
      </c>
      <c r="I3567" s="29"/>
      <c r="J3567" s="29"/>
      <c r="K3567" s="29"/>
      <c r="L3567" s="29"/>
      <c r="M3567" s="29"/>
    </row>
    <row r="3568" spans="1:13" ht="112.5" customHeight="1" x14ac:dyDescent="0.15">
      <c r="A3568" s="54">
        <v>320</v>
      </c>
      <c r="B3568" s="55" t="s">
        <v>3556</v>
      </c>
      <c r="C3568" s="55" t="s">
        <v>14063</v>
      </c>
      <c r="D3568" s="56" t="s">
        <v>14064</v>
      </c>
      <c r="E3568" s="2"/>
      <c r="F3568" s="57"/>
      <c r="G3568" s="58" t="s">
        <v>14065</v>
      </c>
      <c r="H3568" s="59">
        <v>0</v>
      </c>
      <c r="I3568" s="29"/>
      <c r="J3568" s="29"/>
      <c r="K3568" s="29"/>
      <c r="L3568" s="29"/>
      <c r="M3568" s="29"/>
    </row>
    <row r="3569" spans="1:13" ht="112.5" customHeight="1" x14ac:dyDescent="0.15">
      <c r="A3569" s="54">
        <v>318</v>
      </c>
      <c r="B3569" s="55" t="s">
        <v>3549</v>
      </c>
      <c r="C3569" s="55" t="s">
        <v>14066</v>
      </c>
      <c r="D3569" s="56" t="s">
        <v>14067</v>
      </c>
      <c r="E3569" s="2"/>
      <c r="F3569" s="57"/>
      <c r="G3569" s="62" t="s">
        <v>14068</v>
      </c>
      <c r="H3569" s="59">
        <v>0</v>
      </c>
      <c r="I3569" s="29"/>
      <c r="J3569" s="29"/>
      <c r="K3569" s="29"/>
      <c r="L3569" s="29"/>
      <c r="M3569" s="29"/>
    </row>
    <row r="3570" spans="1:13" ht="112.5" customHeight="1" x14ac:dyDescent="0.15">
      <c r="A3570" s="60">
        <v>317</v>
      </c>
      <c r="B3570" s="30" t="s">
        <v>3549</v>
      </c>
      <c r="C3570" s="30" t="s">
        <v>14069</v>
      </c>
      <c r="D3570" s="61" t="s">
        <v>14070</v>
      </c>
      <c r="E3570" s="2"/>
      <c r="F3570" s="57"/>
      <c r="G3570" s="58" t="s">
        <v>14071</v>
      </c>
      <c r="H3570" s="59">
        <v>371</v>
      </c>
      <c r="I3570" s="29"/>
      <c r="J3570" s="29"/>
      <c r="K3570" s="29"/>
      <c r="L3570" s="29"/>
      <c r="M3570" s="29"/>
    </row>
    <row r="3571" spans="1:13" ht="112.5" customHeight="1" x14ac:dyDescent="0.15">
      <c r="A3571" s="60">
        <v>401</v>
      </c>
      <c r="B3571" s="30" t="s">
        <v>3549</v>
      </c>
      <c r="C3571" s="30" t="s">
        <v>14072</v>
      </c>
      <c r="D3571" s="61" t="s">
        <v>14073</v>
      </c>
      <c r="E3571" s="2"/>
      <c r="F3571" s="57"/>
      <c r="G3571" s="62" t="s">
        <v>14074</v>
      </c>
      <c r="H3571" s="59">
        <v>0</v>
      </c>
      <c r="I3571" s="29"/>
      <c r="J3571" s="29"/>
      <c r="K3571" s="29"/>
      <c r="L3571" s="29"/>
      <c r="M3571" s="29"/>
    </row>
    <row r="3572" spans="1:13" ht="112.5" customHeight="1" x14ac:dyDescent="0.15">
      <c r="A3572" s="54">
        <v>390</v>
      </c>
      <c r="B3572" s="55" t="s">
        <v>3549</v>
      </c>
      <c r="C3572" s="55" t="s">
        <v>14075</v>
      </c>
      <c r="D3572" s="56" t="s">
        <v>14076</v>
      </c>
      <c r="E3572" s="2"/>
      <c r="F3572" s="57"/>
      <c r="G3572" s="58" t="s">
        <v>14077</v>
      </c>
      <c r="H3572" s="59">
        <v>0</v>
      </c>
      <c r="I3572" s="29"/>
      <c r="J3572" s="29"/>
      <c r="K3572" s="29"/>
      <c r="L3572" s="29"/>
      <c r="M3572" s="29"/>
    </row>
    <row r="3573" spans="1:13" ht="112.5" customHeight="1" x14ac:dyDescent="0.15">
      <c r="A3573" s="54">
        <v>402</v>
      </c>
      <c r="B3573" s="55" t="s">
        <v>3549</v>
      </c>
      <c r="C3573" s="55" t="s">
        <v>14078</v>
      </c>
      <c r="D3573" s="56" t="s">
        <v>14079</v>
      </c>
      <c r="E3573" s="2"/>
      <c r="F3573" s="57"/>
      <c r="G3573" s="62" t="s">
        <v>14080</v>
      </c>
      <c r="H3573" s="59">
        <v>0</v>
      </c>
      <c r="I3573" s="29"/>
      <c r="J3573" s="29"/>
      <c r="K3573" s="29"/>
      <c r="L3573" s="29"/>
      <c r="M3573" s="29"/>
    </row>
    <row r="3574" spans="1:13" ht="112.5" customHeight="1" x14ac:dyDescent="0.15">
      <c r="A3574" s="60">
        <v>393</v>
      </c>
      <c r="B3574" s="30" t="s">
        <v>3549</v>
      </c>
      <c r="C3574" s="30" t="s">
        <v>14081</v>
      </c>
      <c r="D3574" s="61" t="s">
        <v>14082</v>
      </c>
      <c r="E3574" s="2"/>
      <c r="F3574" s="57"/>
      <c r="G3574" s="58" t="s">
        <v>14083</v>
      </c>
      <c r="H3574" s="59">
        <v>0</v>
      </c>
      <c r="I3574" s="29"/>
      <c r="J3574" s="29"/>
      <c r="K3574" s="29"/>
      <c r="L3574" s="29"/>
      <c r="M3574" s="29"/>
    </row>
    <row r="3575" spans="1:13" ht="112.5" customHeight="1" x14ac:dyDescent="0.15">
      <c r="A3575" s="60">
        <v>403</v>
      </c>
      <c r="B3575" s="30" t="s">
        <v>3549</v>
      </c>
      <c r="C3575" s="30" t="s">
        <v>14084</v>
      </c>
      <c r="D3575" s="61" t="s">
        <v>14085</v>
      </c>
      <c r="E3575" s="2"/>
      <c r="F3575" s="57"/>
      <c r="G3575" s="62" t="s">
        <v>14086</v>
      </c>
      <c r="H3575" s="59">
        <v>0</v>
      </c>
      <c r="I3575" s="29"/>
      <c r="J3575" s="29"/>
      <c r="K3575" s="29"/>
      <c r="L3575" s="29"/>
      <c r="M3575" s="29"/>
    </row>
    <row r="3576" spans="1:13" ht="112.5" customHeight="1" x14ac:dyDescent="0.15">
      <c r="A3576" s="60">
        <v>409</v>
      </c>
      <c r="B3576" s="30" t="s">
        <v>3549</v>
      </c>
      <c r="C3576" s="30" t="s">
        <v>14087</v>
      </c>
      <c r="D3576" s="61" t="s">
        <v>14088</v>
      </c>
      <c r="E3576" s="2"/>
      <c r="F3576" s="57"/>
      <c r="G3576" s="58" t="s">
        <v>14089</v>
      </c>
      <c r="H3576" s="59" t="s">
        <v>4171</v>
      </c>
      <c r="I3576" s="29"/>
      <c r="J3576" s="29"/>
      <c r="K3576" s="29"/>
      <c r="L3576" s="29"/>
      <c r="M3576" s="29"/>
    </row>
    <row r="3577" spans="1:13" ht="112.5" customHeight="1" x14ac:dyDescent="0.15">
      <c r="A3577" s="54">
        <v>392</v>
      </c>
      <c r="B3577" s="55" t="s">
        <v>3549</v>
      </c>
      <c r="C3577" s="55" t="s">
        <v>14090</v>
      </c>
      <c r="D3577" s="56" t="s">
        <v>14091</v>
      </c>
      <c r="E3577" s="2"/>
      <c r="F3577" s="57"/>
      <c r="G3577" s="62" t="s">
        <v>14092</v>
      </c>
      <c r="H3577" s="59">
        <v>0</v>
      </c>
      <c r="I3577" s="29"/>
      <c r="J3577" s="29"/>
      <c r="K3577" s="29"/>
      <c r="L3577" s="29"/>
      <c r="M3577" s="29"/>
    </row>
    <row r="3578" spans="1:13" ht="112.5" customHeight="1" x14ac:dyDescent="0.15">
      <c r="A3578" s="60">
        <v>397</v>
      </c>
      <c r="B3578" s="30" t="s">
        <v>3496</v>
      </c>
      <c r="C3578" s="30" t="s">
        <v>14093</v>
      </c>
      <c r="D3578" s="61" t="s">
        <v>14094</v>
      </c>
      <c r="E3578" s="2"/>
      <c r="F3578" s="57"/>
      <c r="G3578" s="58" t="s">
        <v>14095</v>
      </c>
      <c r="H3578" s="59">
        <v>0</v>
      </c>
      <c r="I3578" s="29"/>
      <c r="J3578" s="29"/>
      <c r="K3578" s="29"/>
      <c r="L3578" s="29"/>
      <c r="M3578" s="29"/>
    </row>
    <row r="3579" spans="1:13" ht="112.5" customHeight="1" x14ac:dyDescent="0.15">
      <c r="A3579" s="60">
        <v>293</v>
      </c>
      <c r="B3579" s="30" t="s">
        <v>3749</v>
      </c>
      <c r="C3579" s="30" t="s">
        <v>14096</v>
      </c>
      <c r="D3579" s="61" t="s">
        <v>14097</v>
      </c>
      <c r="E3579" s="2"/>
      <c r="F3579" s="57"/>
      <c r="G3579" s="62" t="s">
        <v>14098</v>
      </c>
      <c r="H3579" s="59">
        <v>108.877</v>
      </c>
      <c r="I3579" s="29"/>
      <c r="J3579" s="29"/>
      <c r="K3579" s="29"/>
      <c r="L3579" s="29"/>
      <c r="M3579" s="29"/>
    </row>
    <row r="3580" spans="1:13" ht="112.5" customHeight="1" x14ac:dyDescent="0.15">
      <c r="A3580" s="54">
        <v>322</v>
      </c>
      <c r="B3580" s="55" t="s">
        <v>3549</v>
      </c>
      <c r="C3580" s="55" t="s">
        <v>14099</v>
      </c>
      <c r="D3580" s="56" t="s">
        <v>14100</v>
      </c>
      <c r="E3580" s="2"/>
      <c r="F3580" s="57"/>
      <c r="G3580" s="58" t="s">
        <v>14101</v>
      </c>
      <c r="H3580" s="59">
        <v>0</v>
      </c>
      <c r="I3580" s="29"/>
      <c r="J3580" s="29"/>
      <c r="K3580" s="29"/>
      <c r="L3580" s="29"/>
      <c r="M3580" s="29"/>
    </row>
    <row r="3581" spans="1:13" ht="112.5" customHeight="1" x14ac:dyDescent="0.15">
      <c r="A3581" s="60">
        <v>315</v>
      </c>
      <c r="B3581" s="30" t="s">
        <v>3549</v>
      </c>
      <c r="C3581" s="30" t="s">
        <v>14102</v>
      </c>
      <c r="D3581" s="61" t="s">
        <v>14103</v>
      </c>
      <c r="E3581" s="2"/>
      <c r="F3581" s="57"/>
      <c r="G3581" s="62" t="s">
        <v>14104</v>
      </c>
      <c r="H3581" s="59">
        <v>8.8049999999999997</v>
      </c>
      <c r="I3581" s="29"/>
      <c r="J3581" s="29"/>
      <c r="K3581" s="29"/>
      <c r="L3581" s="29"/>
      <c r="M3581" s="29"/>
    </row>
    <row r="3582" spans="1:13" ht="112.5" customHeight="1" x14ac:dyDescent="0.15">
      <c r="A3582" s="54">
        <v>316</v>
      </c>
      <c r="B3582" s="55" t="s">
        <v>3549</v>
      </c>
      <c r="C3582" s="55" t="s">
        <v>14105</v>
      </c>
      <c r="D3582" s="56" t="s">
        <v>14106</v>
      </c>
      <c r="E3582" s="2"/>
      <c r="F3582" s="57"/>
      <c r="G3582" s="58" t="s">
        <v>14107</v>
      </c>
      <c r="H3582" s="59">
        <v>2.4220000000000002</v>
      </c>
      <c r="I3582" s="29"/>
      <c r="J3582" s="29"/>
      <c r="K3582" s="29"/>
      <c r="L3582" s="29"/>
      <c r="M3582" s="29"/>
    </row>
    <row r="3583" spans="1:13" ht="112.5" customHeight="1" x14ac:dyDescent="0.15">
      <c r="A3583" s="60">
        <v>311</v>
      </c>
      <c r="B3583" s="30" t="s">
        <v>3549</v>
      </c>
      <c r="C3583" s="30" t="s">
        <v>14108</v>
      </c>
      <c r="D3583" s="61" t="s">
        <v>14109</v>
      </c>
      <c r="E3583" s="2"/>
      <c r="F3583" s="57"/>
      <c r="G3583" s="63" t="s">
        <v>4670</v>
      </c>
      <c r="H3583" s="59">
        <v>9.9969999999999999</v>
      </c>
    </row>
    <row r="3584" spans="1:13" ht="112.5" customHeight="1" x14ac:dyDescent="0.15">
      <c r="A3584" s="54">
        <v>394</v>
      </c>
      <c r="B3584" s="55" t="s">
        <v>3502</v>
      </c>
      <c r="C3584" s="55" t="s">
        <v>14110</v>
      </c>
      <c r="D3584" s="56" t="s">
        <v>14111</v>
      </c>
      <c r="E3584" s="2"/>
      <c r="F3584" s="57"/>
      <c r="G3584" s="58" t="s">
        <v>14112</v>
      </c>
      <c r="H3584" s="59">
        <v>0</v>
      </c>
      <c r="I3584" s="29"/>
      <c r="J3584" s="29"/>
      <c r="K3584" s="29"/>
      <c r="L3584" s="29"/>
      <c r="M3584" s="29"/>
    </row>
    <row r="3585" spans="1:13" ht="112.5" customHeight="1" x14ac:dyDescent="0.15">
      <c r="A3585" s="54">
        <v>422</v>
      </c>
      <c r="B3585" s="55" t="s">
        <v>3502</v>
      </c>
      <c r="C3585" s="55" t="s">
        <v>14113</v>
      </c>
      <c r="D3585" s="56" t="s">
        <v>14114</v>
      </c>
      <c r="E3585" s="2"/>
      <c r="F3585" s="57"/>
      <c r="G3585" s="62" t="s">
        <v>14115</v>
      </c>
      <c r="H3585" s="59">
        <v>0</v>
      </c>
      <c r="I3585" s="29"/>
      <c r="J3585" s="29"/>
      <c r="K3585" s="29"/>
      <c r="L3585" s="29"/>
      <c r="M3585" s="29"/>
    </row>
    <row r="3586" spans="1:13" ht="112.5" customHeight="1" x14ac:dyDescent="0.15">
      <c r="A3586" s="60">
        <v>419</v>
      </c>
      <c r="B3586" s="30" t="s">
        <v>3502</v>
      </c>
      <c r="C3586" s="30" t="s">
        <v>14116</v>
      </c>
      <c r="D3586" s="61" t="s">
        <v>14117</v>
      </c>
      <c r="E3586" s="2"/>
      <c r="F3586" s="57"/>
      <c r="G3586" s="58" t="s">
        <v>14118</v>
      </c>
      <c r="H3586" s="59">
        <v>0</v>
      </c>
      <c r="I3586" s="29"/>
      <c r="J3586" s="29"/>
      <c r="K3586" s="29"/>
      <c r="L3586" s="29"/>
      <c r="M3586" s="29"/>
    </row>
    <row r="3587" spans="1:13" ht="112.5" customHeight="1" x14ac:dyDescent="0.15">
      <c r="A3587" s="60">
        <v>421</v>
      </c>
      <c r="B3587" s="30" t="s">
        <v>3549</v>
      </c>
      <c r="C3587" s="30" t="s">
        <v>14119</v>
      </c>
      <c r="D3587" s="61" t="s">
        <v>14120</v>
      </c>
      <c r="E3587" s="2"/>
      <c r="F3587" s="57"/>
      <c r="G3587" s="62" t="s">
        <v>14121</v>
      </c>
      <c r="H3587" s="59">
        <v>0</v>
      </c>
      <c r="I3587" s="29"/>
      <c r="J3587" s="29"/>
      <c r="K3587" s="29"/>
      <c r="L3587" s="29"/>
      <c r="M3587" s="29"/>
    </row>
    <row r="3588" spans="1:13" ht="112.5" customHeight="1" x14ac:dyDescent="0.15">
      <c r="A3588" s="54">
        <v>418</v>
      </c>
      <c r="B3588" s="55" t="s">
        <v>3549</v>
      </c>
      <c r="C3588" s="55" t="s">
        <v>14122</v>
      </c>
      <c r="D3588" s="56" t="s">
        <v>14123</v>
      </c>
      <c r="E3588" s="2"/>
      <c r="F3588" s="57"/>
      <c r="G3588" s="58" t="s">
        <v>14124</v>
      </c>
      <c r="H3588" s="59">
        <v>0</v>
      </c>
      <c r="I3588" s="29"/>
      <c r="J3588" s="29"/>
      <c r="K3588" s="29"/>
      <c r="L3588" s="29"/>
      <c r="M3588" s="29"/>
    </row>
    <row r="3589" spans="1:13" ht="112.5" customHeight="1" x14ac:dyDescent="0.15">
      <c r="A3589" s="60">
        <v>417</v>
      </c>
      <c r="B3589" s="30" t="s">
        <v>3549</v>
      </c>
      <c r="C3589" s="30" t="s">
        <v>14125</v>
      </c>
      <c r="D3589" s="61" t="s">
        <v>14126</v>
      </c>
      <c r="E3589" s="2"/>
      <c r="F3589" s="57"/>
      <c r="G3589" s="62" t="s">
        <v>14127</v>
      </c>
      <c r="H3589" s="59" t="s">
        <v>4171</v>
      </c>
      <c r="I3589" s="29"/>
      <c r="J3589" s="29"/>
      <c r="K3589" s="29"/>
      <c r="L3589" s="29"/>
      <c r="M3589" s="29"/>
    </row>
    <row r="3590" spans="1:13" ht="112.5" customHeight="1" x14ac:dyDescent="0.15">
      <c r="A3590" s="54">
        <v>416</v>
      </c>
      <c r="B3590" s="55" t="s">
        <v>3549</v>
      </c>
      <c r="C3590" s="55" t="s">
        <v>14128</v>
      </c>
      <c r="D3590" s="56" t="s">
        <v>14129</v>
      </c>
      <c r="E3590" s="2"/>
      <c r="F3590" s="57"/>
      <c r="G3590" s="58" t="s">
        <v>14130</v>
      </c>
      <c r="H3590" s="59">
        <v>99.817999999999998</v>
      </c>
      <c r="I3590" s="29"/>
      <c r="J3590" s="29"/>
      <c r="K3590" s="29"/>
      <c r="L3590" s="29"/>
      <c r="M3590" s="29"/>
    </row>
    <row r="3591" spans="1:13" ht="112.5" customHeight="1" x14ac:dyDescent="0.15">
      <c r="A3591" s="54">
        <v>414</v>
      </c>
      <c r="B3591" s="55" t="s">
        <v>3749</v>
      </c>
      <c r="C3591" s="55" t="s">
        <v>14131</v>
      </c>
      <c r="D3591" s="56" t="s">
        <v>14132</v>
      </c>
      <c r="E3591" s="2"/>
      <c r="F3591" s="57"/>
      <c r="G3591" s="62" t="s">
        <v>14133</v>
      </c>
      <c r="H3591" s="59">
        <v>0</v>
      </c>
      <c r="I3591" s="29"/>
      <c r="J3591" s="29"/>
      <c r="K3591" s="29"/>
      <c r="L3591" s="29"/>
      <c r="M3591" s="29"/>
    </row>
    <row r="3592" spans="1:13" ht="112.5" customHeight="1" x14ac:dyDescent="0.15">
      <c r="A3592" s="54">
        <v>308</v>
      </c>
      <c r="B3592" s="55" t="s">
        <v>3749</v>
      </c>
      <c r="C3592" s="55" t="s">
        <v>14134</v>
      </c>
      <c r="D3592" s="56" t="s">
        <v>14135</v>
      </c>
      <c r="E3592" s="2"/>
      <c r="F3592" s="57"/>
      <c r="G3592" s="58" t="s">
        <v>14136</v>
      </c>
      <c r="H3592" s="59">
        <v>5.2140000000000004</v>
      </c>
      <c r="I3592" s="29"/>
      <c r="J3592" s="29"/>
      <c r="K3592" s="29"/>
      <c r="L3592" s="29"/>
      <c r="M3592" s="29"/>
    </row>
    <row r="3593" spans="1:13" ht="112.5" customHeight="1" x14ac:dyDescent="0.15">
      <c r="A3593" s="67">
        <v>381</v>
      </c>
      <c r="B3593" s="33" t="s">
        <v>3549</v>
      </c>
      <c r="C3593" s="33" t="s">
        <v>14137</v>
      </c>
      <c r="D3593" s="61" t="s">
        <v>14138</v>
      </c>
      <c r="E3593" s="68"/>
      <c r="F3593" s="59"/>
      <c r="G3593" s="62" t="s">
        <v>4667</v>
      </c>
      <c r="H3593" s="59">
        <v>999.66</v>
      </c>
      <c r="I3593" s="29"/>
      <c r="J3593" s="29"/>
      <c r="K3593" s="29"/>
      <c r="L3593" s="29"/>
      <c r="M3593" s="29"/>
    </row>
    <row r="3594" spans="1:13" ht="112.5" customHeight="1" x14ac:dyDescent="0.15">
      <c r="A3594" s="69">
        <v>434</v>
      </c>
      <c r="B3594" s="32" t="s">
        <v>3549</v>
      </c>
      <c r="C3594" s="32" t="s">
        <v>14139</v>
      </c>
      <c r="D3594" s="56" t="s">
        <v>14140</v>
      </c>
      <c r="E3594" s="68"/>
      <c r="F3594" s="59"/>
      <c r="G3594" s="64" t="s">
        <v>14141</v>
      </c>
      <c r="H3594" s="59">
        <v>9.9079999999999995</v>
      </c>
    </row>
    <row r="3595" spans="1:13" ht="112.5" customHeight="1" x14ac:dyDescent="0.15">
      <c r="A3595" s="69">
        <v>386</v>
      </c>
      <c r="B3595" s="32" t="s">
        <v>3549</v>
      </c>
      <c r="C3595" s="32" t="s">
        <v>14142</v>
      </c>
      <c r="D3595" s="56" t="s">
        <v>14143</v>
      </c>
      <c r="E3595" s="68"/>
      <c r="F3595" s="59"/>
      <c r="G3595" s="62" t="s">
        <v>14144</v>
      </c>
      <c r="H3595" s="59">
        <v>0</v>
      </c>
      <c r="I3595" s="29"/>
      <c r="J3595" s="29"/>
      <c r="K3595" s="29"/>
      <c r="L3595" s="29"/>
      <c r="M3595" s="29"/>
    </row>
    <row r="3596" spans="1:13" ht="112.5" customHeight="1" x14ac:dyDescent="0.15">
      <c r="A3596" s="67">
        <v>383</v>
      </c>
      <c r="B3596" s="33" t="s">
        <v>3549</v>
      </c>
      <c r="C3596" s="33" t="s">
        <v>14145</v>
      </c>
      <c r="D3596" s="61" t="s">
        <v>14146</v>
      </c>
      <c r="E3596" s="68"/>
      <c r="F3596" s="59"/>
      <c r="G3596" s="64" t="s">
        <v>4664</v>
      </c>
      <c r="H3596" s="59">
        <v>9.9930000000000003</v>
      </c>
    </row>
    <row r="3597" spans="1:13" ht="112.5" customHeight="1" x14ac:dyDescent="0.15">
      <c r="A3597" s="69">
        <v>384</v>
      </c>
      <c r="B3597" s="32" t="s">
        <v>3549</v>
      </c>
      <c r="C3597" s="32" t="s">
        <v>14147</v>
      </c>
      <c r="D3597" s="56" t="s">
        <v>14148</v>
      </c>
      <c r="E3597" s="68"/>
      <c r="F3597" s="59"/>
      <c r="G3597" s="62" t="s">
        <v>14149</v>
      </c>
      <c r="H3597" s="59">
        <v>9.9350000000000005</v>
      </c>
      <c r="I3597" s="29"/>
      <c r="J3597" s="29"/>
      <c r="K3597" s="29"/>
      <c r="L3597" s="29"/>
      <c r="M3597" s="29"/>
    </row>
    <row r="3598" spans="1:13" ht="112.5" customHeight="1" x14ac:dyDescent="0.15">
      <c r="A3598" s="67">
        <v>379</v>
      </c>
      <c r="B3598" s="33" t="s">
        <v>3549</v>
      </c>
      <c r="C3598" s="33" t="s">
        <v>14150</v>
      </c>
      <c r="D3598" s="61" t="s">
        <v>14151</v>
      </c>
      <c r="E3598" s="68"/>
      <c r="F3598" s="59"/>
      <c r="G3598" s="58" t="s">
        <v>14152</v>
      </c>
      <c r="H3598" s="59">
        <v>90.241</v>
      </c>
      <c r="I3598" s="29"/>
      <c r="J3598" s="29"/>
      <c r="K3598" s="29"/>
      <c r="L3598" s="29"/>
      <c r="M3598" s="29"/>
    </row>
    <row r="3599" spans="1:13" ht="112.5" customHeight="1" x14ac:dyDescent="0.15">
      <c r="A3599" s="69">
        <v>380</v>
      </c>
      <c r="B3599" s="32" t="s">
        <v>3549</v>
      </c>
      <c r="C3599" s="32" t="s">
        <v>14153</v>
      </c>
      <c r="D3599" s="56" t="s">
        <v>14154</v>
      </c>
      <c r="E3599" s="68"/>
      <c r="F3599" s="59"/>
      <c r="G3599" s="62" t="s">
        <v>14155</v>
      </c>
      <c r="H3599" s="59">
        <v>0</v>
      </c>
      <c r="I3599" s="29"/>
      <c r="J3599" s="29"/>
      <c r="K3599" s="29"/>
      <c r="L3599" s="29"/>
      <c r="M3599" s="29"/>
    </row>
    <row r="3600" spans="1:13" ht="112.5" customHeight="1" x14ac:dyDescent="0.15">
      <c r="A3600" s="60">
        <v>405</v>
      </c>
      <c r="B3600" s="30" t="s">
        <v>3549</v>
      </c>
      <c r="C3600" s="30" t="s">
        <v>14156</v>
      </c>
      <c r="D3600" s="61" t="s">
        <v>14157</v>
      </c>
      <c r="E3600" s="2"/>
      <c r="F3600" s="57"/>
      <c r="G3600" s="58" t="s">
        <v>14158</v>
      </c>
      <c r="H3600" s="59">
        <v>8.8140000000000001</v>
      </c>
      <c r="I3600" s="29"/>
      <c r="J3600" s="29"/>
      <c r="K3600" s="29"/>
      <c r="L3600" s="29"/>
      <c r="M3600" s="29"/>
    </row>
    <row r="3601" spans="1:13" ht="112.5" customHeight="1" x14ac:dyDescent="0.15">
      <c r="A3601" s="54">
        <v>420</v>
      </c>
      <c r="B3601" s="55" t="s">
        <v>3502</v>
      </c>
      <c r="C3601" s="55" t="s">
        <v>14159</v>
      </c>
      <c r="D3601" s="56" t="s">
        <v>14160</v>
      </c>
      <c r="E3601" s="2"/>
      <c r="F3601" s="57"/>
      <c r="G3601" s="63" t="s">
        <v>14161</v>
      </c>
      <c r="H3601" s="59">
        <v>99.789000000000001</v>
      </c>
    </row>
    <row r="3602" spans="1:13" ht="112.5" customHeight="1" x14ac:dyDescent="0.15">
      <c r="A3602" s="54">
        <v>396</v>
      </c>
      <c r="B3602" s="55" t="s">
        <v>3502</v>
      </c>
      <c r="C3602" s="55" t="s">
        <v>14162</v>
      </c>
      <c r="D3602" s="56" t="s">
        <v>14163</v>
      </c>
      <c r="E3602" s="2"/>
      <c r="F3602" s="57"/>
      <c r="G3602" s="58" t="s">
        <v>14164</v>
      </c>
      <c r="H3602" s="59">
        <v>99.834000000000003</v>
      </c>
      <c r="I3602" s="29"/>
      <c r="J3602" s="29"/>
      <c r="K3602" s="29"/>
      <c r="L3602" s="29"/>
      <c r="M3602" s="29"/>
    </row>
    <row r="3603" spans="1:13" ht="112.5" customHeight="1" x14ac:dyDescent="0.15">
      <c r="A3603" s="60">
        <v>389</v>
      </c>
      <c r="B3603" s="30" t="s">
        <v>3502</v>
      </c>
      <c r="C3603" s="30" t="s">
        <v>14165</v>
      </c>
      <c r="D3603" s="61" t="s">
        <v>14166</v>
      </c>
      <c r="E3603" s="2"/>
      <c r="F3603" s="57"/>
      <c r="G3603" s="62" t="s">
        <v>14167</v>
      </c>
      <c r="H3603" s="59">
        <v>0</v>
      </c>
      <c r="I3603" s="29"/>
      <c r="J3603" s="29"/>
      <c r="K3603" s="29"/>
      <c r="L3603" s="29"/>
      <c r="M3603" s="29"/>
    </row>
    <row r="3604" spans="1:13" ht="112.5" customHeight="1" x14ac:dyDescent="0.15">
      <c r="A3604" s="54">
        <v>410</v>
      </c>
      <c r="B3604" s="55" t="s">
        <v>3556</v>
      </c>
      <c r="C3604" s="55" t="s">
        <v>14168</v>
      </c>
      <c r="D3604" s="56" t="s">
        <v>14169</v>
      </c>
      <c r="E3604" s="2"/>
      <c r="F3604" s="57"/>
      <c r="G3604" s="58" t="s">
        <v>14170</v>
      </c>
      <c r="H3604" s="59">
        <v>0</v>
      </c>
      <c r="I3604" s="29"/>
      <c r="J3604" s="29"/>
      <c r="K3604" s="29"/>
      <c r="L3604" s="29"/>
      <c r="M3604" s="29"/>
    </row>
    <row r="3605" spans="1:13" ht="112.5" customHeight="1" x14ac:dyDescent="0.15">
      <c r="A3605" s="60">
        <v>305</v>
      </c>
      <c r="B3605" s="30" t="s">
        <v>3556</v>
      </c>
      <c r="C3605" s="30" t="s">
        <v>14171</v>
      </c>
      <c r="D3605" s="61" t="s">
        <v>14172</v>
      </c>
      <c r="E3605" s="2"/>
      <c r="F3605" s="57"/>
      <c r="G3605" s="62" t="s">
        <v>14173</v>
      </c>
      <c r="H3605" s="59">
        <v>0</v>
      </c>
      <c r="I3605" s="29"/>
      <c r="J3605" s="29"/>
      <c r="K3605" s="29"/>
      <c r="L3605" s="29"/>
      <c r="M3605" s="29"/>
    </row>
    <row r="3606" spans="1:13" ht="112.5" customHeight="1" x14ac:dyDescent="0.15">
      <c r="A3606" s="60">
        <v>411</v>
      </c>
      <c r="B3606" s="30" t="s">
        <v>3556</v>
      </c>
      <c r="C3606" s="30" t="s">
        <v>14174</v>
      </c>
      <c r="D3606" s="61" t="s">
        <v>14175</v>
      </c>
      <c r="E3606" s="2"/>
      <c r="F3606" s="57"/>
      <c r="G3606" s="58" t="s">
        <v>14176</v>
      </c>
      <c r="H3606" s="59">
        <v>99.259</v>
      </c>
      <c r="I3606" s="29"/>
      <c r="J3606" s="29"/>
      <c r="K3606" s="29"/>
      <c r="L3606" s="29"/>
      <c r="M3606" s="29"/>
    </row>
    <row r="3607" spans="1:13" ht="112.5" customHeight="1" x14ac:dyDescent="0.15">
      <c r="A3607" s="54">
        <v>430</v>
      </c>
      <c r="B3607" s="55" t="s">
        <v>3556</v>
      </c>
      <c r="C3607" s="55" t="s">
        <v>14177</v>
      </c>
      <c r="D3607" s="56" t="s">
        <v>14178</v>
      </c>
      <c r="E3607" s="2"/>
      <c r="F3607" s="57"/>
      <c r="G3607" s="62" t="s">
        <v>14179</v>
      </c>
      <c r="H3607" s="59">
        <v>9.9600000000000009</v>
      </c>
      <c r="I3607" s="29"/>
      <c r="J3607" s="29"/>
      <c r="K3607" s="29"/>
      <c r="L3607" s="29"/>
      <c r="M3607" s="29"/>
    </row>
    <row r="3608" spans="1:13" ht="112.5" customHeight="1" x14ac:dyDescent="0.15">
      <c r="A3608" s="60">
        <v>433</v>
      </c>
      <c r="B3608" s="30" t="s">
        <v>3556</v>
      </c>
      <c r="C3608" s="30" t="s">
        <v>14180</v>
      </c>
      <c r="D3608" s="61" t="s">
        <v>14181</v>
      </c>
      <c r="E3608" s="2"/>
      <c r="F3608" s="57"/>
      <c r="G3608" s="58" t="s">
        <v>14182</v>
      </c>
      <c r="H3608" s="59">
        <v>995</v>
      </c>
      <c r="I3608" s="29"/>
      <c r="J3608" s="29"/>
      <c r="K3608" s="29"/>
      <c r="L3608" s="29"/>
      <c r="M3608" s="29"/>
    </row>
    <row r="3609" spans="1:13" ht="112.5" customHeight="1" x14ac:dyDescent="0.15">
      <c r="A3609" s="60">
        <v>351</v>
      </c>
      <c r="B3609" s="30" t="s">
        <v>3556</v>
      </c>
      <c r="C3609" s="30" t="s">
        <v>14183</v>
      </c>
      <c r="D3609" s="61" t="s">
        <v>14184</v>
      </c>
      <c r="E3609" s="2"/>
      <c r="F3609" s="57"/>
      <c r="G3609" s="62" t="s">
        <v>14185</v>
      </c>
      <c r="H3609" s="59">
        <v>0</v>
      </c>
      <c r="I3609" s="29"/>
      <c r="J3609" s="29"/>
      <c r="K3609" s="29"/>
      <c r="L3609" s="29"/>
      <c r="M3609" s="29"/>
    </row>
    <row r="3610" spans="1:13" ht="112.5" customHeight="1" x14ac:dyDescent="0.15">
      <c r="A3610" s="54">
        <v>370</v>
      </c>
      <c r="B3610" s="55" t="s">
        <v>3556</v>
      </c>
      <c r="C3610" s="55" t="s">
        <v>14186</v>
      </c>
      <c r="D3610" s="56" t="s">
        <v>14187</v>
      </c>
      <c r="E3610" s="2"/>
      <c r="F3610" s="57"/>
      <c r="G3610" s="64" t="s">
        <v>14188</v>
      </c>
      <c r="H3610" s="59">
        <v>0</v>
      </c>
    </row>
    <row r="3611" spans="1:13" ht="112.5" customHeight="1" x14ac:dyDescent="0.15">
      <c r="A3611" s="60">
        <v>337</v>
      </c>
      <c r="B3611" s="30" t="s">
        <v>3556</v>
      </c>
      <c r="C3611" s="30" t="s">
        <v>14189</v>
      </c>
      <c r="D3611" s="61" t="s">
        <v>14190</v>
      </c>
      <c r="E3611" s="2"/>
      <c r="F3611" s="57"/>
      <c r="G3611" s="62" t="s">
        <v>14191</v>
      </c>
      <c r="H3611" s="59">
        <v>0</v>
      </c>
      <c r="I3611" s="29"/>
      <c r="J3611" s="29"/>
      <c r="K3611" s="29"/>
      <c r="L3611" s="29"/>
      <c r="M3611" s="29"/>
    </row>
    <row r="3612" spans="1:13" ht="112.5" customHeight="1" x14ac:dyDescent="0.15">
      <c r="A3612" s="54">
        <v>406</v>
      </c>
      <c r="B3612" s="55" t="s">
        <v>3556</v>
      </c>
      <c r="C3612" s="55" t="s">
        <v>14192</v>
      </c>
      <c r="D3612" s="56" t="s">
        <v>14193</v>
      </c>
      <c r="E3612" s="2"/>
      <c r="F3612" s="57"/>
      <c r="G3612" s="58" t="s">
        <v>14194</v>
      </c>
      <c r="H3612" s="59">
        <v>0</v>
      </c>
      <c r="I3612" s="29"/>
      <c r="J3612" s="29"/>
      <c r="K3612" s="29"/>
      <c r="L3612" s="29"/>
      <c r="M3612" s="29"/>
    </row>
    <row r="3613" spans="1:13" ht="112.5" customHeight="1" x14ac:dyDescent="0.15">
      <c r="A3613" s="54">
        <v>398</v>
      </c>
      <c r="B3613" s="55" t="s">
        <v>3556</v>
      </c>
      <c r="C3613" s="55" t="s">
        <v>14195</v>
      </c>
      <c r="D3613" s="56" t="s">
        <v>14196</v>
      </c>
      <c r="E3613" s="2"/>
      <c r="F3613" s="57"/>
      <c r="G3613" s="62" t="s">
        <v>14197</v>
      </c>
      <c r="H3613" s="59">
        <v>0</v>
      </c>
      <c r="I3613" s="29"/>
      <c r="J3613" s="29"/>
      <c r="K3613" s="29"/>
      <c r="L3613" s="29"/>
      <c r="M3613" s="29"/>
    </row>
    <row r="3614" spans="1:13" ht="112.5" customHeight="1" x14ac:dyDescent="0.15">
      <c r="A3614" s="54">
        <v>388</v>
      </c>
      <c r="B3614" s="55" t="s">
        <v>3556</v>
      </c>
      <c r="C3614" s="55" t="s">
        <v>14198</v>
      </c>
      <c r="D3614" s="56" t="s">
        <v>14199</v>
      </c>
      <c r="E3614" s="2"/>
      <c r="F3614" s="57"/>
      <c r="G3614" s="64" t="s">
        <v>14200</v>
      </c>
      <c r="H3614" s="59">
        <v>9.9429999999999996</v>
      </c>
    </row>
    <row r="3615" spans="1:13" ht="112.5" customHeight="1" x14ac:dyDescent="0.15">
      <c r="A3615" s="60">
        <v>299</v>
      </c>
      <c r="B3615" s="30" t="s">
        <v>3556</v>
      </c>
      <c r="C3615" s="30" t="s">
        <v>14201</v>
      </c>
      <c r="D3615" s="61" t="s">
        <v>14202</v>
      </c>
      <c r="E3615" s="2"/>
      <c r="F3615" s="57"/>
      <c r="G3615" s="62" t="s">
        <v>14203</v>
      </c>
      <c r="H3615" s="59">
        <v>0</v>
      </c>
      <c r="I3615" s="29"/>
      <c r="J3615" s="29"/>
      <c r="K3615" s="29"/>
      <c r="L3615" s="29"/>
      <c r="M3615" s="29"/>
    </row>
    <row r="3616" spans="1:13" ht="112.5" customHeight="1" x14ac:dyDescent="0.15">
      <c r="A3616" s="54">
        <v>404</v>
      </c>
      <c r="B3616" s="55" t="s">
        <v>3556</v>
      </c>
      <c r="C3616" s="55" t="s">
        <v>14204</v>
      </c>
      <c r="D3616" s="56" t="s">
        <v>14205</v>
      </c>
      <c r="E3616" s="2"/>
      <c r="F3616" s="57"/>
      <c r="G3616" s="58" t="s">
        <v>14206</v>
      </c>
      <c r="H3616" s="59">
        <v>0</v>
      </c>
      <c r="I3616" s="29"/>
      <c r="J3616" s="29"/>
      <c r="K3616" s="29"/>
      <c r="L3616" s="29"/>
      <c r="M3616" s="29"/>
    </row>
    <row r="3617" spans="1:13" ht="112.5" customHeight="1" x14ac:dyDescent="0.15">
      <c r="A3617" s="54">
        <v>438</v>
      </c>
      <c r="B3617" s="55" t="s">
        <v>3556</v>
      </c>
      <c r="C3617" s="55" t="s">
        <v>14207</v>
      </c>
      <c r="D3617" s="56" t="s">
        <v>14208</v>
      </c>
      <c r="E3617" s="2"/>
      <c r="F3617" s="57"/>
      <c r="G3617" s="62" t="s">
        <v>14209</v>
      </c>
      <c r="H3617" s="59">
        <v>327</v>
      </c>
      <c r="I3617" s="29"/>
      <c r="J3617" s="29"/>
      <c r="K3617" s="29"/>
      <c r="L3617" s="29"/>
      <c r="M3617" s="29"/>
    </row>
    <row r="3618" spans="1:13" ht="112.5" customHeight="1" x14ac:dyDescent="0.15">
      <c r="A3618" s="60">
        <v>437</v>
      </c>
      <c r="B3618" s="30" t="s">
        <v>3749</v>
      </c>
      <c r="C3618" s="30" t="s">
        <v>14210</v>
      </c>
      <c r="D3618" s="61" t="s">
        <v>14211</v>
      </c>
      <c r="E3618" s="2"/>
      <c r="F3618" s="57"/>
      <c r="G3618" s="58" t="s">
        <v>14212</v>
      </c>
      <c r="H3618" s="59">
        <v>109.76</v>
      </c>
      <c r="I3618" s="29"/>
      <c r="J3618" s="29"/>
      <c r="K3618" s="29"/>
      <c r="L3618" s="29"/>
      <c r="M3618" s="29"/>
    </row>
    <row r="3619" spans="1:13" ht="112.5" customHeight="1" x14ac:dyDescent="0.15">
      <c r="A3619" s="60">
        <v>373</v>
      </c>
      <c r="B3619" s="30" t="s">
        <v>3670</v>
      </c>
      <c r="C3619" s="30" t="s">
        <v>14213</v>
      </c>
      <c r="D3619" s="61" t="s">
        <v>14214</v>
      </c>
      <c r="E3619" s="2"/>
      <c r="F3619" s="57"/>
      <c r="G3619" s="62" t="s">
        <v>14215</v>
      </c>
      <c r="H3619" s="59">
        <v>0</v>
      </c>
      <c r="I3619" s="29"/>
      <c r="J3619" s="29"/>
      <c r="K3619" s="29"/>
      <c r="L3619" s="29"/>
      <c r="M3619" s="29"/>
    </row>
    <row r="3620" spans="1:13" ht="112.5" customHeight="1" x14ac:dyDescent="0.15">
      <c r="A3620" s="54">
        <v>372</v>
      </c>
      <c r="B3620" s="55" t="s">
        <v>3556</v>
      </c>
      <c r="C3620" s="55" t="s">
        <v>14216</v>
      </c>
      <c r="D3620" s="56" t="s">
        <v>14217</v>
      </c>
      <c r="E3620" s="2"/>
      <c r="F3620" s="57"/>
      <c r="G3620" s="58" t="s">
        <v>14218</v>
      </c>
      <c r="H3620" s="59">
        <v>0</v>
      </c>
      <c r="I3620" s="29"/>
      <c r="J3620" s="29"/>
      <c r="K3620" s="29"/>
      <c r="L3620" s="29"/>
      <c r="M3620" s="29"/>
    </row>
    <row r="3621" spans="1:13" ht="112.5" customHeight="1" x14ac:dyDescent="0.15">
      <c r="A3621" s="54">
        <v>436</v>
      </c>
      <c r="B3621" s="55" t="s">
        <v>3556</v>
      </c>
      <c r="C3621" s="55" t="s">
        <v>14219</v>
      </c>
      <c r="D3621" s="56" t="s">
        <v>14220</v>
      </c>
      <c r="E3621" s="2"/>
      <c r="F3621" s="57"/>
      <c r="G3621" s="62" t="s">
        <v>14221</v>
      </c>
      <c r="H3621" s="59">
        <v>9.234</v>
      </c>
      <c r="I3621" s="29"/>
      <c r="J3621" s="29"/>
      <c r="K3621" s="29"/>
      <c r="L3621" s="29"/>
      <c r="M3621" s="29"/>
    </row>
    <row r="3622" spans="1:13" ht="112.5" customHeight="1" x14ac:dyDescent="0.15">
      <c r="A3622" s="60">
        <v>367</v>
      </c>
      <c r="B3622" s="30" t="s">
        <v>3556</v>
      </c>
      <c r="C3622" s="30" t="s">
        <v>14222</v>
      </c>
      <c r="D3622" s="61" t="s">
        <v>14223</v>
      </c>
      <c r="E3622" s="2"/>
      <c r="F3622" s="57"/>
      <c r="G3622" s="58" t="s">
        <v>14224</v>
      </c>
      <c r="H3622" s="59">
        <v>0</v>
      </c>
      <c r="I3622" s="29"/>
      <c r="J3622" s="29"/>
      <c r="K3622" s="29"/>
      <c r="L3622" s="29"/>
      <c r="M3622" s="29"/>
    </row>
    <row r="3623" spans="1:13" ht="112.5" customHeight="1" x14ac:dyDescent="0.15">
      <c r="A3623" s="54">
        <v>362</v>
      </c>
      <c r="B3623" s="55" t="s">
        <v>3502</v>
      </c>
      <c r="C3623" s="55" t="s">
        <v>14225</v>
      </c>
      <c r="D3623" s="56" t="s">
        <v>14226</v>
      </c>
      <c r="E3623" s="2"/>
      <c r="F3623" s="57"/>
      <c r="G3623" s="62" t="s">
        <v>14227</v>
      </c>
      <c r="H3623" s="59">
        <v>0</v>
      </c>
      <c r="I3623" s="29"/>
      <c r="J3623" s="29"/>
      <c r="K3623" s="29"/>
      <c r="L3623" s="29"/>
      <c r="M3623" s="29"/>
    </row>
    <row r="3624" spans="1:13" ht="112.5" customHeight="1" x14ac:dyDescent="0.15">
      <c r="A3624" s="60">
        <v>363</v>
      </c>
      <c r="B3624" s="30" t="s">
        <v>3502</v>
      </c>
      <c r="C3624" s="30" t="s">
        <v>14228</v>
      </c>
      <c r="D3624" s="61" t="s">
        <v>14229</v>
      </c>
      <c r="E3624" s="2"/>
      <c r="F3624" s="57"/>
      <c r="G3624" s="58" t="s">
        <v>14230</v>
      </c>
      <c r="H3624" s="59">
        <v>108.38800000000001</v>
      </c>
      <c r="I3624" s="29"/>
      <c r="J3624" s="29"/>
      <c r="K3624" s="29"/>
      <c r="L3624" s="29"/>
      <c r="M3624" s="29"/>
    </row>
    <row r="3625" spans="1:13" ht="112.5" customHeight="1" x14ac:dyDescent="0.15">
      <c r="A3625" s="60">
        <v>359</v>
      </c>
      <c r="B3625" s="30" t="s">
        <v>3556</v>
      </c>
      <c r="C3625" s="30" t="s">
        <v>14231</v>
      </c>
      <c r="D3625" s="61" t="s">
        <v>14232</v>
      </c>
      <c r="E3625" s="2"/>
      <c r="F3625" s="57"/>
      <c r="G3625" s="62" t="s">
        <v>14233</v>
      </c>
      <c r="H3625" s="59">
        <v>0</v>
      </c>
      <c r="I3625" s="29"/>
      <c r="J3625" s="29"/>
      <c r="K3625" s="29"/>
      <c r="L3625" s="29"/>
      <c r="M3625" s="29"/>
    </row>
    <row r="3626" spans="1:13" ht="112.5" customHeight="1" x14ac:dyDescent="0.15">
      <c r="A3626" s="54">
        <v>300</v>
      </c>
      <c r="B3626" s="55" t="s">
        <v>3556</v>
      </c>
      <c r="C3626" s="55" t="s">
        <v>14234</v>
      </c>
      <c r="D3626" s="56" t="s">
        <v>14235</v>
      </c>
      <c r="E3626" s="2"/>
      <c r="F3626" s="57"/>
      <c r="G3626" s="58" t="s">
        <v>14236</v>
      </c>
      <c r="H3626" s="59">
        <v>930</v>
      </c>
      <c r="I3626" s="29"/>
      <c r="J3626" s="29"/>
      <c r="K3626" s="29"/>
      <c r="L3626" s="29"/>
      <c r="M3626" s="29"/>
    </row>
    <row r="3627" spans="1:13" ht="112.5" customHeight="1" x14ac:dyDescent="0.15">
      <c r="A3627" s="60">
        <v>435</v>
      </c>
      <c r="B3627" s="30" t="s">
        <v>3556</v>
      </c>
      <c r="C3627" s="30" t="s">
        <v>14237</v>
      </c>
      <c r="D3627" s="61" t="s">
        <v>14238</v>
      </c>
      <c r="E3627" s="2"/>
      <c r="F3627" s="57"/>
      <c r="G3627" s="62" t="s">
        <v>14239</v>
      </c>
      <c r="H3627" s="59">
        <v>0</v>
      </c>
      <c r="I3627" s="29"/>
      <c r="J3627" s="29"/>
      <c r="K3627" s="29"/>
      <c r="L3627" s="29"/>
      <c r="M3627" s="29"/>
    </row>
    <row r="3628" spans="1:13" ht="112.5" customHeight="1" x14ac:dyDescent="0.15">
      <c r="A3628" s="60">
        <v>341</v>
      </c>
      <c r="B3628" s="30" t="s">
        <v>3556</v>
      </c>
      <c r="C3628" s="30" t="s">
        <v>14240</v>
      </c>
      <c r="D3628" s="61" t="s">
        <v>14241</v>
      </c>
      <c r="E3628" s="2"/>
      <c r="F3628" s="57"/>
      <c r="G3628" s="58" t="s">
        <v>14242</v>
      </c>
      <c r="H3628" s="59">
        <v>98.728999999999999</v>
      </c>
      <c r="I3628" s="29"/>
      <c r="J3628" s="29"/>
      <c r="K3628" s="29"/>
      <c r="L3628" s="29"/>
      <c r="M3628" s="29"/>
    </row>
    <row r="3629" spans="1:13" ht="112.5" customHeight="1" x14ac:dyDescent="0.15">
      <c r="A3629" s="60">
        <v>335</v>
      </c>
      <c r="B3629" s="30" t="s">
        <v>3556</v>
      </c>
      <c r="C3629" s="30" t="s">
        <v>14243</v>
      </c>
      <c r="D3629" s="61" t="s">
        <v>14244</v>
      </c>
      <c r="E3629" s="2"/>
      <c r="F3629" s="57"/>
      <c r="G3629" s="62" t="s">
        <v>14245</v>
      </c>
      <c r="H3629" s="59">
        <v>99.36</v>
      </c>
      <c r="I3629" s="29"/>
      <c r="J3629" s="29"/>
      <c r="K3629" s="29"/>
      <c r="L3629" s="29"/>
      <c r="M3629" s="29"/>
    </row>
    <row r="3630" spans="1:13" ht="112.5" customHeight="1" x14ac:dyDescent="0.15">
      <c r="A3630" s="54">
        <v>336</v>
      </c>
      <c r="B3630" s="55" t="s">
        <v>3556</v>
      </c>
      <c r="C3630" s="55" t="s">
        <v>14246</v>
      </c>
      <c r="D3630" s="56" t="s">
        <v>14247</v>
      </c>
      <c r="E3630" s="2"/>
      <c r="F3630" s="57"/>
      <c r="G3630" s="58" t="s">
        <v>14248</v>
      </c>
      <c r="H3630" s="59">
        <v>9.4600000000000009</v>
      </c>
      <c r="I3630" s="29"/>
      <c r="J3630" s="29"/>
      <c r="K3630" s="29"/>
      <c r="L3630" s="29"/>
      <c r="M3630" s="29"/>
    </row>
    <row r="3631" spans="1:13" ht="112.5" customHeight="1" x14ac:dyDescent="0.15">
      <c r="A3631" s="54">
        <v>334</v>
      </c>
      <c r="B3631" s="55" t="s">
        <v>3556</v>
      </c>
      <c r="C3631" s="55" t="s">
        <v>14249</v>
      </c>
      <c r="D3631" s="56" t="s">
        <v>14250</v>
      </c>
      <c r="E3631" s="2"/>
      <c r="F3631" s="57"/>
      <c r="G3631" s="62" t="s">
        <v>14251</v>
      </c>
      <c r="H3631" s="59">
        <v>0</v>
      </c>
      <c r="I3631" s="29"/>
      <c r="J3631" s="29"/>
      <c r="K3631" s="29"/>
      <c r="L3631" s="29"/>
      <c r="M3631" s="29"/>
    </row>
    <row r="3632" spans="1:13" ht="112.5" customHeight="1" x14ac:dyDescent="0.15">
      <c r="A3632" s="54">
        <v>324</v>
      </c>
      <c r="B3632" s="55" t="s">
        <v>3502</v>
      </c>
      <c r="C3632" s="55" t="s">
        <v>14252</v>
      </c>
      <c r="D3632" s="56" t="s">
        <v>14253</v>
      </c>
      <c r="E3632" s="2"/>
      <c r="F3632" s="57"/>
      <c r="G3632" s="58" t="s">
        <v>14254</v>
      </c>
      <c r="H3632" s="59">
        <v>0</v>
      </c>
      <c r="I3632" s="29"/>
      <c r="J3632" s="29"/>
      <c r="K3632" s="29"/>
      <c r="L3632" s="29"/>
      <c r="M3632" s="29"/>
    </row>
    <row r="3633" spans="1:13" ht="112.5" customHeight="1" x14ac:dyDescent="0.15">
      <c r="A3633" s="60">
        <v>325</v>
      </c>
      <c r="B3633" s="30" t="s">
        <v>3502</v>
      </c>
      <c r="C3633" s="30" t="s">
        <v>14255</v>
      </c>
      <c r="D3633" s="61" t="s">
        <v>14256</v>
      </c>
      <c r="E3633" s="2"/>
      <c r="F3633" s="57"/>
      <c r="G3633" s="62" t="s">
        <v>14257</v>
      </c>
      <c r="H3633" s="59">
        <v>0</v>
      </c>
      <c r="I3633" s="29"/>
      <c r="J3633" s="29"/>
      <c r="K3633" s="29"/>
      <c r="L3633" s="29"/>
      <c r="M3633" s="29"/>
    </row>
    <row r="3634" spans="1:13" ht="112.5" customHeight="1" x14ac:dyDescent="0.15">
      <c r="A3634" s="54">
        <v>326</v>
      </c>
      <c r="B3634" s="55" t="s">
        <v>3502</v>
      </c>
      <c r="C3634" s="55" t="s">
        <v>14258</v>
      </c>
      <c r="D3634" s="56" t="s">
        <v>14259</v>
      </c>
      <c r="E3634" s="2"/>
      <c r="F3634" s="57"/>
      <c r="G3634" s="58" t="s">
        <v>14260</v>
      </c>
      <c r="H3634" s="59">
        <v>94.510999999999996</v>
      </c>
      <c r="I3634" s="29"/>
      <c r="J3634" s="29"/>
      <c r="K3634" s="29"/>
      <c r="L3634" s="29"/>
      <c r="M3634" s="29"/>
    </row>
    <row r="3635" spans="1:13" ht="112.5" customHeight="1" x14ac:dyDescent="0.15">
      <c r="A3635" s="60">
        <v>327</v>
      </c>
      <c r="B3635" s="30" t="s">
        <v>3502</v>
      </c>
      <c r="C3635" s="30" t="s">
        <v>14261</v>
      </c>
      <c r="D3635" s="61" t="s">
        <v>14262</v>
      </c>
      <c r="E3635" s="2"/>
      <c r="F3635" s="57"/>
      <c r="G3635" s="62" t="s">
        <v>14263</v>
      </c>
      <c r="H3635" s="59">
        <v>0</v>
      </c>
      <c r="I3635" s="29"/>
      <c r="J3635" s="29"/>
      <c r="K3635" s="29"/>
      <c r="L3635" s="29"/>
      <c r="M3635" s="29"/>
    </row>
    <row r="3636" spans="1:13" ht="112.5" customHeight="1" x14ac:dyDescent="0.15">
      <c r="A3636" s="54">
        <v>328</v>
      </c>
      <c r="B3636" s="55" t="s">
        <v>3502</v>
      </c>
      <c r="C3636" s="55" t="s">
        <v>14264</v>
      </c>
      <c r="D3636" s="56" t="s">
        <v>14265</v>
      </c>
      <c r="E3636" s="2"/>
      <c r="F3636" s="57"/>
      <c r="G3636" s="58" t="s">
        <v>14266</v>
      </c>
      <c r="H3636" s="59">
        <v>0</v>
      </c>
      <c r="I3636" s="29"/>
      <c r="J3636" s="29"/>
      <c r="K3636" s="29"/>
      <c r="L3636" s="29"/>
      <c r="M3636" s="29"/>
    </row>
    <row r="3637" spans="1:13" ht="112.5" customHeight="1" x14ac:dyDescent="0.15">
      <c r="A3637" s="60">
        <v>329</v>
      </c>
      <c r="B3637" s="30" t="s">
        <v>3502</v>
      </c>
      <c r="C3637" s="30" t="s">
        <v>14267</v>
      </c>
      <c r="D3637" s="61" t="s">
        <v>14268</v>
      </c>
      <c r="E3637" s="2"/>
      <c r="F3637" s="57"/>
      <c r="G3637" s="62" t="s">
        <v>14269</v>
      </c>
      <c r="H3637" s="59">
        <v>0</v>
      </c>
      <c r="I3637" s="29"/>
      <c r="J3637" s="29"/>
      <c r="K3637" s="29"/>
      <c r="L3637" s="29"/>
      <c r="M3637" s="29"/>
    </row>
    <row r="3638" spans="1:13" ht="112.5" customHeight="1" x14ac:dyDescent="0.15">
      <c r="A3638" s="60">
        <v>319</v>
      </c>
      <c r="B3638" s="30" t="s">
        <v>3556</v>
      </c>
      <c r="C3638" s="30" t="s">
        <v>14270</v>
      </c>
      <c r="D3638" s="61" t="s">
        <v>14271</v>
      </c>
      <c r="E3638" s="2"/>
      <c r="F3638" s="57"/>
      <c r="G3638" s="58" t="s">
        <v>14272</v>
      </c>
      <c r="H3638" s="59">
        <v>0</v>
      </c>
      <c r="I3638" s="29"/>
      <c r="J3638" s="29"/>
      <c r="K3638" s="29"/>
      <c r="L3638" s="29"/>
      <c r="M3638" s="29"/>
    </row>
    <row r="3639" spans="1:13" ht="112.5" customHeight="1" x14ac:dyDescent="0.15">
      <c r="A3639" s="60">
        <v>385</v>
      </c>
      <c r="B3639" s="30" t="s">
        <v>3556</v>
      </c>
      <c r="C3639" s="30" t="s">
        <v>14273</v>
      </c>
      <c r="D3639" s="61" t="s">
        <v>14274</v>
      </c>
      <c r="E3639" s="2"/>
      <c r="F3639" s="57"/>
      <c r="G3639" s="62" t="s">
        <v>14275</v>
      </c>
      <c r="H3639" s="59">
        <v>0</v>
      </c>
      <c r="I3639" s="29"/>
      <c r="J3639" s="29"/>
      <c r="K3639" s="29"/>
      <c r="L3639" s="29"/>
      <c r="M3639" s="29"/>
    </row>
    <row r="3640" spans="1:13" ht="112.5" customHeight="1" x14ac:dyDescent="0.15">
      <c r="A3640" s="60">
        <v>387</v>
      </c>
      <c r="B3640" s="30" t="s">
        <v>3556</v>
      </c>
      <c r="C3640" s="30" t="s">
        <v>14276</v>
      </c>
      <c r="D3640" s="61" t="s">
        <v>14277</v>
      </c>
      <c r="E3640" s="2"/>
      <c r="F3640" s="57"/>
      <c r="G3640" s="58" t="s">
        <v>14278</v>
      </c>
      <c r="H3640" s="59">
        <v>0</v>
      </c>
      <c r="I3640" s="29"/>
      <c r="J3640" s="29"/>
      <c r="K3640" s="29"/>
      <c r="L3640" s="29"/>
      <c r="M3640" s="29"/>
    </row>
    <row r="3641" spans="1:13" ht="112.5" customHeight="1" x14ac:dyDescent="0.15">
      <c r="A3641" s="60">
        <v>427</v>
      </c>
      <c r="B3641" s="30" t="s">
        <v>3556</v>
      </c>
      <c r="C3641" s="30" t="s">
        <v>14279</v>
      </c>
      <c r="D3641" s="61" t="s">
        <v>14280</v>
      </c>
      <c r="E3641" s="2"/>
      <c r="F3641" s="57"/>
      <c r="G3641" s="62" t="s">
        <v>14281</v>
      </c>
      <c r="H3641" s="59">
        <v>0</v>
      </c>
      <c r="I3641" s="29"/>
      <c r="J3641" s="29"/>
      <c r="K3641" s="29"/>
      <c r="L3641" s="29"/>
      <c r="M3641" s="29"/>
    </row>
    <row r="3642" spans="1:13" ht="112.5" customHeight="1" x14ac:dyDescent="0.15">
      <c r="A3642" s="54">
        <v>294</v>
      </c>
      <c r="B3642" s="55" t="s">
        <v>3556</v>
      </c>
      <c r="C3642" s="55" t="s">
        <v>14282</v>
      </c>
      <c r="D3642" s="56" t="s">
        <v>14283</v>
      </c>
      <c r="E3642" s="2"/>
      <c r="F3642" s="57"/>
      <c r="G3642" s="58" t="s">
        <v>14284</v>
      </c>
      <c r="H3642" s="59">
        <v>0</v>
      </c>
      <c r="I3642" s="29"/>
      <c r="J3642" s="29"/>
      <c r="K3642" s="29"/>
      <c r="L3642" s="29"/>
      <c r="M3642" s="29"/>
    </row>
    <row r="3643" spans="1:13" ht="112.5" customHeight="1" x14ac:dyDescent="0.15">
      <c r="A3643" s="60">
        <v>391</v>
      </c>
      <c r="B3643" s="30" t="s">
        <v>3556</v>
      </c>
      <c r="C3643" s="30" t="s">
        <v>14285</v>
      </c>
      <c r="D3643" s="61" t="s">
        <v>14286</v>
      </c>
      <c r="E3643" s="2"/>
      <c r="F3643" s="57"/>
      <c r="G3643" s="62" t="s">
        <v>14287</v>
      </c>
      <c r="H3643" s="59">
        <v>89.89</v>
      </c>
      <c r="I3643" s="29"/>
      <c r="J3643" s="29"/>
      <c r="K3643" s="29"/>
      <c r="L3643" s="29"/>
      <c r="M3643" s="29"/>
    </row>
    <row r="3644" spans="1:13" ht="112.5" customHeight="1" x14ac:dyDescent="0.15">
      <c r="A3644" s="60">
        <v>415</v>
      </c>
      <c r="B3644" s="30" t="s">
        <v>3556</v>
      </c>
      <c r="C3644" s="30" t="s">
        <v>14288</v>
      </c>
      <c r="D3644" s="61" t="s">
        <v>14289</v>
      </c>
      <c r="E3644" s="2"/>
      <c r="F3644" s="57"/>
      <c r="G3644" s="58" t="s">
        <v>14290</v>
      </c>
      <c r="H3644" s="59">
        <v>0</v>
      </c>
      <c r="I3644" s="29"/>
      <c r="J3644" s="29"/>
      <c r="K3644" s="29"/>
      <c r="L3644" s="29"/>
      <c r="M3644" s="29"/>
    </row>
    <row r="3645" spans="1:13" ht="112.5" customHeight="1" x14ac:dyDescent="0.15">
      <c r="A3645" s="60">
        <v>307</v>
      </c>
      <c r="B3645" s="30" t="s">
        <v>3556</v>
      </c>
      <c r="C3645" s="30" t="s">
        <v>14291</v>
      </c>
      <c r="D3645" s="61" t="s">
        <v>14292</v>
      </c>
      <c r="E3645" s="2"/>
      <c r="F3645" s="57"/>
      <c r="G3645" s="62" t="s">
        <v>14293</v>
      </c>
      <c r="H3645" s="59">
        <v>0</v>
      </c>
      <c r="I3645" s="29"/>
      <c r="J3645" s="29"/>
      <c r="K3645" s="29"/>
      <c r="L3645" s="29"/>
      <c r="M3645" s="29"/>
    </row>
    <row r="3646" spans="1:13" ht="112.5" customHeight="1" x14ac:dyDescent="0.15">
      <c r="A3646" s="60">
        <v>413</v>
      </c>
      <c r="B3646" s="30" t="s">
        <v>3556</v>
      </c>
      <c r="C3646" s="30" t="s">
        <v>14294</v>
      </c>
      <c r="D3646" s="61" t="s">
        <v>14295</v>
      </c>
      <c r="E3646" s="2"/>
      <c r="F3646" s="57"/>
      <c r="G3646" s="58" t="s">
        <v>14296</v>
      </c>
      <c r="H3646" s="59">
        <v>0</v>
      </c>
      <c r="I3646" s="29"/>
      <c r="J3646" s="29"/>
      <c r="K3646" s="29"/>
      <c r="L3646" s="29"/>
      <c r="M3646" s="29"/>
    </row>
    <row r="3647" spans="1:13" ht="112.5" customHeight="1" x14ac:dyDescent="0.15">
      <c r="A3647" s="54">
        <v>428</v>
      </c>
      <c r="B3647" s="55" t="s">
        <v>3556</v>
      </c>
      <c r="C3647" s="55" t="s">
        <v>14297</v>
      </c>
      <c r="D3647" s="56" t="s">
        <v>14298</v>
      </c>
      <c r="E3647" s="2"/>
      <c r="F3647" s="57"/>
      <c r="G3647" s="62" t="s">
        <v>14299</v>
      </c>
      <c r="H3647" s="59">
        <v>0</v>
      </c>
      <c r="I3647" s="29"/>
      <c r="J3647" s="29"/>
      <c r="K3647" s="29"/>
      <c r="L3647" s="29"/>
      <c r="M3647" s="29"/>
    </row>
    <row r="3648" spans="1:13" ht="112.5" customHeight="1" x14ac:dyDescent="0.15">
      <c r="A3648" s="69">
        <v>290</v>
      </c>
      <c r="B3648" s="32" t="s">
        <v>3556</v>
      </c>
      <c r="C3648" s="32" t="s">
        <v>14300</v>
      </c>
      <c r="D3648" s="56" t="s">
        <v>14301</v>
      </c>
      <c r="E3648" s="68"/>
      <c r="F3648" s="59"/>
      <c r="G3648" s="58" t="s">
        <v>14302</v>
      </c>
      <c r="H3648" s="59">
        <v>0</v>
      </c>
      <c r="I3648" s="29"/>
      <c r="J3648" s="29"/>
      <c r="K3648" s="29"/>
      <c r="L3648" s="29"/>
      <c r="M3648" s="29"/>
    </row>
    <row r="3649" spans="1:13" ht="112.5" customHeight="1" x14ac:dyDescent="0.15">
      <c r="A3649" s="67">
        <v>291</v>
      </c>
      <c r="B3649" s="33" t="s">
        <v>3556</v>
      </c>
      <c r="C3649" s="33" t="s">
        <v>14303</v>
      </c>
      <c r="D3649" s="61" t="s">
        <v>14304</v>
      </c>
      <c r="E3649" s="68"/>
      <c r="F3649" s="59"/>
      <c r="G3649" s="62" t="s">
        <v>14305</v>
      </c>
      <c r="H3649" s="59">
        <v>0</v>
      </c>
      <c r="I3649" s="29"/>
      <c r="J3649" s="29"/>
      <c r="K3649" s="29"/>
      <c r="L3649" s="29"/>
      <c r="M3649" s="29"/>
    </row>
    <row r="3650" spans="1:13" ht="112.5" customHeight="1" x14ac:dyDescent="0.15">
      <c r="A3650" s="67">
        <v>439</v>
      </c>
      <c r="B3650" s="33" t="s">
        <v>3556</v>
      </c>
      <c r="C3650" s="33" t="s">
        <v>14306</v>
      </c>
      <c r="D3650" s="61" t="s">
        <v>14307</v>
      </c>
      <c r="E3650" s="68"/>
      <c r="F3650" s="59"/>
      <c r="G3650" s="58" t="s">
        <v>14308</v>
      </c>
      <c r="H3650" s="59">
        <v>88.317999999999998</v>
      </c>
      <c r="I3650" s="29"/>
      <c r="J3650" s="29"/>
      <c r="K3650" s="29"/>
      <c r="L3650" s="29"/>
      <c r="M3650" s="29"/>
    </row>
    <row r="3651" spans="1:13" ht="112.5" customHeight="1" x14ac:dyDescent="0.15">
      <c r="A3651" s="69">
        <v>408</v>
      </c>
      <c r="B3651" s="32" t="s">
        <v>12428</v>
      </c>
      <c r="C3651" s="32" t="s">
        <v>14309</v>
      </c>
      <c r="D3651" s="56" t="s">
        <v>14310</v>
      </c>
      <c r="E3651" s="68"/>
      <c r="F3651" s="59"/>
      <c r="G3651" s="62" t="s">
        <v>14311</v>
      </c>
      <c r="H3651" s="59">
        <v>999</v>
      </c>
      <c r="I3651" s="29"/>
      <c r="J3651" s="29"/>
      <c r="K3651" s="29"/>
      <c r="L3651" s="29"/>
      <c r="M3651" s="29"/>
    </row>
    <row r="3652" spans="1:13" ht="112.5" customHeight="1" x14ac:dyDescent="0.15">
      <c r="A3652" s="54">
        <v>310</v>
      </c>
      <c r="B3652" s="55" t="s">
        <v>3749</v>
      </c>
      <c r="C3652" s="55" t="s">
        <v>14312</v>
      </c>
      <c r="D3652" s="56" t="s">
        <v>14313</v>
      </c>
      <c r="E3652" s="2"/>
      <c r="F3652" s="57"/>
      <c r="G3652" s="58" t="s">
        <v>14314</v>
      </c>
      <c r="H3652" s="59">
        <v>0</v>
      </c>
      <c r="I3652" s="29"/>
      <c r="J3652" s="29"/>
      <c r="K3652" s="29"/>
      <c r="L3652" s="29"/>
      <c r="M3652" s="29"/>
    </row>
    <row r="3653" spans="1:13" ht="112.5" customHeight="1" x14ac:dyDescent="0.15">
      <c r="A3653" s="60">
        <v>399</v>
      </c>
      <c r="B3653" s="30" t="s">
        <v>3502</v>
      </c>
      <c r="C3653" s="30" t="s">
        <v>14315</v>
      </c>
      <c r="D3653" s="61" t="s">
        <v>14316</v>
      </c>
      <c r="E3653" s="2"/>
      <c r="F3653" s="57"/>
      <c r="G3653" s="62" t="s">
        <v>14317</v>
      </c>
      <c r="H3653" s="59">
        <v>0</v>
      </c>
      <c r="I3653" s="29"/>
      <c r="J3653" s="29"/>
      <c r="K3653" s="29"/>
      <c r="L3653" s="29"/>
      <c r="M3653" s="29"/>
    </row>
    <row r="3654" spans="1:13" ht="112.5" customHeight="1" x14ac:dyDescent="0.15">
      <c r="A3654" s="60">
        <v>343</v>
      </c>
      <c r="B3654" s="30" t="s">
        <v>3749</v>
      </c>
      <c r="C3654" s="30" t="s">
        <v>14318</v>
      </c>
      <c r="D3654" s="61" t="s">
        <v>14319</v>
      </c>
      <c r="E3654" s="2"/>
      <c r="F3654" s="57"/>
      <c r="G3654" s="58" t="s">
        <v>14320</v>
      </c>
      <c r="H3654" s="59">
        <v>0</v>
      </c>
      <c r="I3654" s="29"/>
      <c r="J3654" s="29"/>
      <c r="K3654" s="29"/>
      <c r="L3654" s="29"/>
      <c r="M3654" s="29"/>
    </row>
    <row r="3655" spans="1:13" ht="112.5" customHeight="1" x14ac:dyDescent="0.15">
      <c r="A3655" s="54">
        <v>330</v>
      </c>
      <c r="B3655" s="55" t="s">
        <v>3502</v>
      </c>
      <c r="C3655" s="55" t="s">
        <v>14321</v>
      </c>
      <c r="D3655" s="56" t="s">
        <v>14322</v>
      </c>
      <c r="E3655" s="2"/>
      <c r="F3655" s="57"/>
      <c r="G3655" s="62" t="s">
        <v>14323</v>
      </c>
      <c r="H3655" s="59" t="s">
        <v>4171</v>
      </c>
      <c r="I3655" s="29"/>
      <c r="J3655" s="29"/>
      <c r="K3655" s="29"/>
      <c r="L3655" s="29"/>
      <c r="M3655" s="29"/>
    </row>
    <row r="3656" spans="1:13" ht="112.5" customHeight="1" x14ac:dyDescent="0.15">
      <c r="A3656" s="54">
        <v>346</v>
      </c>
      <c r="B3656" s="55" t="s">
        <v>3502</v>
      </c>
      <c r="C3656" s="55" t="s">
        <v>14324</v>
      </c>
      <c r="D3656" s="56" t="s">
        <v>14325</v>
      </c>
      <c r="E3656" s="2"/>
      <c r="F3656" s="57"/>
      <c r="G3656" s="58" t="s">
        <v>14326</v>
      </c>
      <c r="H3656" s="59">
        <v>0</v>
      </c>
      <c r="I3656" s="29"/>
      <c r="J3656" s="29"/>
      <c r="K3656" s="29"/>
      <c r="L3656" s="29"/>
      <c r="M3656" s="29"/>
    </row>
    <row r="3657" spans="1:13" ht="112.5" customHeight="1" x14ac:dyDescent="0.15">
      <c r="A3657" s="60">
        <v>347</v>
      </c>
      <c r="B3657" s="30" t="s">
        <v>3502</v>
      </c>
      <c r="C3657" s="30" t="s">
        <v>14327</v>
      </c>
      <c r="D3657" s="61" t="s">
        <v>14328</v>
      </c>
      <c r="E3657" s="2"/>
      <c r="F3657" s="57"/>
      <c r="G3657" s="62" t="s">
        <v>14329</v>
      </c>
      <c r="H3657" s="59">
        <v>0</v>
      </c>
      <c r="I3657" s="29"/>
      <c r="J3657" s="29"/>
      <c r="K3657" s="29"/>
      <c r="L3657" s="29"/>
      <c r="M3657" s="29"/>
    </row>
    <row r="3658" spans="1:13" ht="112.5" customHeight="1" x14ac:dyDescent="0.15">
      <c r="A3658" s="54">
        <v>312</v>
      </c>
      <c r="B3658" s="55" t="s">
        <v>3749</v>
      </c>
      <c r="C3658" s="55" t="s">
        <v>14330</v>
      </c>
      <c r="D3658" s="56" t="s">
        <v>14331</v>
      </c>
      <c r="E3658" s="2"/>
      <c r="F3658" s="57"/>
      <c r="G3658" s="58" t="s">
        <v>14332</v>
      </c>
      <c r="H3658" s="59">
        <v>0</v>
      </c>
      <c r="I3658" s="29"/>
      <c r="J3658" s="29"/>
      <c r="K3658" s="29"/>
      <c r="L3658" s="29"/>
      <c r="M3658" s="29"/>
    </row>
    <row r="3659" spans="1:13" ht="112.5" customHeight="1" x14ac:dyDescent="0.15">
      <c r="A3659" s="60">
        <v>365</v>
      </c>
      <c r="B3659" s="30" t="s">
        <v>3492</v>
      </c>
      <c r="C3659" s="30" t="s">
        <v>14333</v>
      </c>
      <c r="D3659" s="61" t="s">
        <v>14334</v>
      </c>
      <c r="E3659" s="2"/>
      <c r="F3659" s="57"/>
      <c r="G3659" s="62" t="s">
        <v>14335</v>
      </c>
      <c r="H3659" s="59">
        <v>99.915000000000006</v>
      </c>
      <c r="I3659" s="29"/>
      <c r="J3659" s="29"/>
      <c r="K3659" s="29"/>
      <c r="L3659" s="29"/>
      <c r="M3659" s="29"/>
    </row>
    <row r="3660" spans="1:13" ht="112.5" customHeight="1" x14ac:dyDescent="0.15">
      <c r="A3660" s="60">
        <v>371</v>
      </c>
      <c r="B3660" s="30" t="s">
        <v>3822</v>
      </c>
      <c r="C3660" s="30" t="s">
        <v>14336</v>
      </c>
      <c r="D3660" s="61" t="s">
        <v>14337</v>
      </c>
      <c r="E3660" s="2"/>
      <c r="F3660" s="57"/>
      <c r="G3660" s="58" t="s">
        <v>14338</v>
      </c>
      <c r="H3660" s="59">
        <v>0</v>
      </c>
      <c r="I3660" s="29"/>
      <c r="J3660" s="29"/>
      <c r="K3660" s="29"/>
      <c r="L3660" s="29"/>
      <c r="M3660" s="29"/>
    </row>
    <row r="3661" spans="1:13" ht="112.5" customHeight="1" x14ac:dyDescent="0.15">
      <c r="A3661" s="54">
        <v>376</v>
      </c>
      <c r="B3661" s="55" t="s">
        <v>3801</v>
      </c>
      <c r="C3661" s="55" t="s">
        <v>14339</v>
      </c>
      <c r="D3661" s="56" t="s">
        <v>14340</v>
      </c>
      <c r="E3661" s="2"/>
      <c r="F3661" s="57"/>
      <c r="G3661" s="62" t="s">
        <v>14341</v>
      </c>
      <c r="H3661" s="59">
        <v>997</v>
      </c>
      <c r="I3661" s="29"/>
      <c r="J3661" s="29"/>
      <c r="K3661" s="29"/>
      <c r="L3661" s="29"/>
      <c r="M3661" s="29"/>
    </row>
    <row r="3662" spans="1:13" ht="112.5" customHeight="1" x14ac:dyDescent="0.15">
      <c r="A3662" s="60">
        <v>375</v>
      </c>
      <c r="B3662" s="30" t="s">
        <v>3670</v>
      </c>
      <c r="C3662" s="30" t="s">
        <v>14342</v>
      </c>
      <c r="D3662" s="61" t="s">
        <v>14343</v>
      </c>
      <c r="E3662" s="2"/>
      <c r="F3662" s="57"/>
      <c r="G3662" s="58" t="s">
        <v>14344</v>
      </c>
      <c r="H3662" s="59">
        <v>1</v>
      </c>
      <c r="I3662" s="29"/>
      <c r="J3662" s="29"/>
      <c r="K3662" s="29"/>
      <c r="L3662" s="29"/>
      <c r="M3662" s="29"/>
    </row>
    <row r="3663" spans="1:13" ht="112.5" customHeight="1" x14ac:dyDescent="0.15">
      <c r="A3663" s="60">
        <v>285</v>
      </c>
      <c r="B3663" s="30" t="s">
        <v>3670</v>
      </c>
      <c r="C3663" s="30" t="s">
        <v>14345</v>
      </c>
      <c r="D3663" s="61" t="s">
        <v>14346</v>
      </c>
      <c r="E3663" s="2"/>
      <c r="F3663" s="57"/>
      <c r="G3663" s="62" t="s">
        <v>14347</v>
      </c>
      <c r="H3663" s="59">
        <v>12.895</v>
      </c>
      <c r="I3663" s="29"/>
      <c r="J3663" s="29"/>
      <c r="K3663" s="29"/>
      <c r="L3663" s="29"/>
      <c r="M3663" s="29"/>
    </row>
    <row r="3664" spans="1:13" ht="112.5" customHeight="1" x14ac:dyDescent="0.15">
      <c r="A3664" s="60">
        <v>301</v>
      </c>
      <c r="B3664" s="30" t="s">
        <v>3549</v>
      </c>
      <c r="C3664" s="30" t="s">
        <v>14348</v>
      </c>
      <c r="D3664" s="61" t="s">
        <v>14349</v>
      </c>
      <c r="E3664" s="2"/>
      <c r="F3664" s="57"/>
      <c r="G3664" s="58" t="s">
        <v>14350</v>
      </c>
      <c r="H3664" s="59">
        <v>0</v>
      </c>
      <c r="I3664" s="29"/>
      <c r="J3664" s="29"/>
      <c r="K3664" s="29"/>
      <c r="L3664" s="29"/>
      <c r="M3664" s="29"/>
    </row>
    <row r="3665" spans="1:13" ht="112.5" customHeight="1" x14ac:dyDescent="0.15">
      <c r="A3665" s="60">
        <v>297</v>
      </c>
      <c r="B3665" s="30" t="s">
        <v>3549</v>
      </c>
      <c r="C3665" s="30" t="s">
        <v>14351</v>
      </c>
      <c r="D3665" s="61" t="s">
        <v>14352</v>
      </c>
      <c r="E3665" s="2"/>
      <c r="F3665" s="57"/>
      <c r="G3665" s="62" t="s">
        <v>14353</v>
      </c>
      <c r="H3665" s="59">
        <v>0</v>
      </c>
      <c r="I3665" s="29"/>
      <c r="J3665" s="29"/>
      <c r="K3665" s="29"/>
      <c r="L3665" s="29"/>
      <c r="M3665" s="29"/>
    </row>
    <row r="3666" spans="1:13" ht="112.5" customHeight="1" x14ac:dyDescent="0.15">
      <c r="A3666" s="54">
        <v>298</v>
      </c>
      <c r="B3666" s="55" t="s">
        <v>3549</v>
      </c>
      <c r="C3666" s="55" t="s">
        <v>14354</v>
      </c>
      <c r="D3666" s="56" t="s">
        <v>14355</v>
      </c>
      <c r="E3666" s="2"/>
      <c r="F3666" s="57"/>
      <c r="G3666" s="58" t="s">
        <v>14356</v>
      </c>
      <c r="H3666" s="59">
        <v>0</v>
      </c>
      <c r="I3666" s="29"/>
      <c r="J3666" s="29"/>
      <c r="K3666" s="29"/>
      <c r="L3666" s="29"/>
      <c r="M3666" s="29"/>
    </row>
    <row r="3667" spans="1:13" ht="112.5" customHeight="1" x14ac:dyDescent="0.15">
      <c r="A3667" s="60">
        <v>321</v>
      </c>
      <c r="B3667" s="30" t="s">
        <v>3556</v>
      </c>
      <c r="C3667" s="30" t="s">
        <v>14357</v>
      </c>
      <c r="D3667" s="61" t="s">
        <v>14358</v>
      </c>
      <c r="E3667" s="2"/>
      <c r="F3667" s="57"/>
      <c r="G3667" s="63" t="s">
        <v>14359</v>
      </c>
      <c r="H3667" s="59">
        <v>9.9779999999999998</v>
      </c>
    </row>
    <row r="3668" spans="1:13" ht="112.5" customHeight="1" x14ac:dyDescent="0.15">
      <c r="A3668" s="60">
        <v>431</v>
      </c>
      <c r="B3668" s="30" t="s">
        <v>3549</v>
      </c>
      <c r="C3668" s="30" t="s">
        <v>14360</v>
      </c>
      <c r="D3668" s="61" t="s">
        <v>14361</v>
      </c>
      <c r="E3668" s="2"/>
      <c r="F3668" s="57"/>
      <c r="G3668" s="58" t="s">
        <v>14362</v>
      </c>
      <c r="H3668" s="59">
        <v>0</v>
      </c>
      <c r="I3668" s="29"/>
      <c r="J3668" s="29"/>
      <c r="K3668" s="29"/>
      <c r="L3668" s="29"/>
      <c r="M3668" s="29"/>
    </row>
    <row r="3669" spans="1:13" ht="112.5" customHeight="1" x14ac:dyDescent="0.15">
      <c r="A3669" s="54">
        <v>296</v>
      </c>
      <c r="B3669" s="55" t="s">
        <v>3749</v>
      </c>
      <c r="C3669" s="55" t="s">
        <v>14363</v>
      </c>
      <c r="D3669" s="56" t="s">
        <v>14364</v>
      </c>
      <c r="E3669" s="2"/>
      <c r="F3669" s="57"/>
      <c r="G3669" s="62" t="s">
        <v>14365</v>
      </c>
      <c r="H3669" s="59">
        <v>0</v>
      </c>
      <c r="I3669" s="29"/>
      <c r="J3669" s="29"/>
      <c r="K3669" s="29"/>
      <c r="L3669" s="29"/>
      <c r="M3669" s="29"/>
    </row>
    <row r="3670" spans="1:13" ht="112.5" customHeight="1" x14ac:dyDescent="0.15">
      <c r="A3670" s="54">
        <v>426</v>
      </c>
      <c r="B3670" s="55" t="s">
        <v>3513</v>
      </c>
      <c r="C3670" s="55" t="s">
        <v>14366</v>
      </c>
      <c r="D3670" s="56" t="s">
        <v>14367</v>
      </c>
      <c r="E3670" s="2"/>
      <c r="F3670" s="57"/>
      <c r="G3670" s="58" t="s">
        <v>14368</v>
      </c>
      <c r="H3670" s="59">
        <v>0</v>
      </c>
      <c r="I3670" s="29"/>
      <c r="J3670" s="29"/>
      <c r="K3670" s="29"/>
      <c r="L3670" s="29"/>
      <c r="M3670" s="29"/>
    </row>
    <row r="3671" spans="1:13" ht="112.5" customHeight="1" x14ac:dyDescent="0.15">
      <c r="A3671" s="54">
        <v>374</v>
      </c>
      <c r="B3671" s="55" t="s">
        <v>3814</v>
      </c>
      <c r="C3671" s="55" t="s">
        <v>14369</v>
      </c>
      <c r="D3671" s="56" t="s">
        <v>14370</v>
      </c>
      <c r="E3671" s="2"/>
      <c r="F3671" s="57"/>
      <c r="G3671" s="62" t="s">
        <v>14371</v>
      </c>
      <c r="H3671" s="59">
        <v>99.403000000000006</v>
      </c>
      <c r="I3671" s="29"/>
      <c r="J3671" s="29"/>
      <c r="K3671" s="29"/>
      <c r="L3671" s="29"/>
      <c r="M3671" s="29"/>
    </row>
    <row r="3672" spans="1:13" ht="112.5" customHeight="1" x14ac:dyDescent="0.15">
      <c r="A3672" s="69">
        <v>80</v>
      </c>
      <c r="B3672" s="32" t="s">
        <v>3876</v>
      </c>
      <c r="C3672" s="32" t="s">
        <v>14372</v>
      </c>
      <c r="D3672" s="56" t="s">
        <v>14373</v>
      </c>
      <c r="E3672" s="68"/>
      <c r="F3672" s="59">
        <v>47000</v>
      </c>
      <c r="G3672" s="58" t="s">
        <v>14374</v>
      </c>
      <c r="H3672" s="59">
        <v>77</v>
      </c>
      <c r="I3672" s="29"/>
      <c r="J3672" s="29"/>
      <c r="K3672" s="29"/>
      <c r="L3672" s="29"/>
      <c r="M3672" s="29"/>
    </row>
    <row r="3673" spans="1:13" ht="112.5" customHeight="1" x14ac:dyDescent="0.15">
      <c r="A3673" s="69">
        <v>3904</v>
      </c>
      <c r="B3673" s="32" t="s">
        <v>12428</v>
      </c>
      <c r="C3673" s="32" t="s">
        <v>14375</v>
      </c>
      <c r="D3673" s="56" t="s">
        <v>14376</v>
      </c>
      <c r="E3673" s="68"/>
      <c r="F3673" s="59"/>
      <c r="G3673" s="62" t="s">
        <v>14377</v>
      </c>
      <c r="H3673" s="59">
        <v>0</v>
      </c>
      <c r="I3673" s="29"/>
      <c r="J3673" s="29"/>
      <c r="K3673" s="29"/>
      <c r="L3673" s="29"/>
      <c r="M3673" s="29"/>
    </row>
    <row r="3674" spans="1:13" ht="112.5" customHeight="1" x14ac:dyDescent="0.15">
      <c r="A3674" s="67">
        <v>3903</v>
      </c>
      <c r="B3674" s="33" t="s">
        <v>12428</v>
      </c>
      <c r="C3674" s="33" t="s">
        <v>14378</v>
      </c>
      <c r="D3674" s="61" t="s">
        <v>14379</v>
      </c>
      <c r="E3674" s="68"/>
      <c r="F3674" s="59"/>
      <c r="G3674" s="58" t="s">
        <v>14380</v>
      </c>
      <c r="H3674" s="59">
        <v>99.66</v>
      </c>
      <c r="I3674" s="29"/>
      <c r="J3674" s="29"/>
      <c r="K3674" s="29"/>
      <c r="L3674" s="29"/>
      <c r="M3674" s="29"/>
    </row>
    <row r="3675" spans="1:13" ht="112.5" customHeight="1" x14ac:dyDescent="0.15">
      <c r="A3675" s="69">
        <v>40</v>
      </c>
      <c r="B3675" s="32" t="s">
        <v>12428</v>
      </c>
      <c r="C3675" s="32" t="s">
        <v>14381</v>
      </c>
      <c r="D3675" s="56" t="s">
        <v>14382</v>
      </c>
      <c r="E3675" s="68"/>
      <c r="F3675" s="59">
        <v>79000</v>
      </c>
      <c r="G3675" s="62" t="s">
        <v>14383</v>
      </c>
      <c r="H3675" s="59">
        <v>0</v>
      </c>
      <c r="I3675" s="29"/>
      <c r="J3675" s="29"/>
      <c r="K3675" s="29"/>
      <c r="L3675" s="29"/>
      <c r="M3675" s="29"/>
    </row>
    <row r="3676" spans="1:13" ht="112.5" customHeight="1" x14ac:dyDescent="0.15">
      <c r="A3676" s="69">
        <v>170</v>
      </c>
      <c r="B3676" s="32" t="s">
        <v>13537</v>
      </c>
      <c r="C3676" s="32" t="s">
        <v>14384</v>
      </c>
      <c r="D3676" s="56" t="s">
        <v>14385</v>
      </c>
      <c r="E3676" s="68"/>
      <c r="F3676" s="59">
        <v>15000</v>
      </c>
      <c r="G3676" s="58" t="s">
        <v>14386</v>
      </c>
      <c r="H3676" s="59">
        <v>98.400999999999996</v>
      </c>
      <c r="I3676" s="29"/>
      <c r="J3676" s="29"/>
      <c r="K3676" s="29"/>
      <c r="L3676" s="29"/>
      <c r="M3676" s="29"/>
    </row>
    <row r="3677" spans="1:13" ht="112.5" customHeight="1" x14ac:dyDescent="0.15">
      <c r="A3677" s="67">
        <v>49</v>
      </c>
      <c r="B3677" s="33" t="s">
        <v>12428</v>
      </c>
      <c r="C3677" s="33" t="s">
        <v>14387</v>
      </c>
      <c r="D3677" s="61" t="s">
        <v>14388</v>
      </c>
      <c r="E3677" s="68"/>
      <c r="F3677" s="59">
        <v>45000</v>
      </c>
      <c r="G3677" s="62" t="s">
        <v>14389</v>
      </c>
      <c r="H3677" s="59">
        <v>0</v>
      </c>
      <c r="I3677" s="29"/>
      <c r="J3677" s="29"/>
      <c r="K3677" s="29"/>
      <c r="L3677" s="29"/>
      <c r="M3677" s="29"/>
    </row>
    <row r="3678" spans="1:13" ht="112.5" customHeight="1" x14ac:dyDescent="0.15">
      <c r="A3678" s="67">
        <v>135</v>
      </c>
      <c r="B3678" s="33" t="s">
        <v>12428</v>
      </c>
      <c r="C3678" s="33" t="s">
        <v>14390</v>
      </c>
      <c r="D3678" s="61" t="s">
        <v>14391</v>
      </c>
      <c r="E3678" s="68"/>
      <c r="F3678" s="59">
        <v>37000</v>
      </c>
      <c r="G3678" s="58" t="s">
        <v>14392</v>
      </c>
      <c r="H3678" s="59">
        <v>9.9700000000000006</v>
      </c>
      <c r="I3678" s="29"/>
      <c r="J3678" s="29"/>
      <c r="K3678" s="29"/>
      <c r="L3678" s="29"/>
      <c r="M3678" s="29"/>
    </row>
    <row r="3679" spans="1:13" ht="112.5" customHeight="1" x14ac:dyDescent="0.15">
      <c r="A3679" s="69">
        <v>3768</v>
      </c>
      <c r="B3679" s="32" t="s">
        <v>3822</v>
      </c>
      <c r="C3679" s="32" t="s">
        <v>14393</v>
      </c>
      <c r="D3679" s="56" t="s">
        <v>14394</v>
      </c>
      <c r="E3679" s="68"/>
      <c r="F3679" s="59"/>
      <c r="G3679" s="63" t="s">
        <v>14395</v>
      </c>
      <c r="H3679" s="59">
        <v>0</v>
      </c>
    </row>
    <row r="3680" spans="1:13" ht="112.5" customHeight="1" x14ac:dyDescent="0.15">
      <c r="A3680" s="67">
        <v>183</v>
      </c>
      <c r="B3680" s="33" t="s">
        <v>3526</v>
      </c>
      <c r="C3680" s="33" t="s">
        <v>14396</v>
      </c>
      <c r="D3680" s="61" t="s">
        <v>14397</v>
      </c>
      <c r="E3680" s="68"/>
      <c r="F3680" s="59">
        <v>350000</v>
      </c>
      <c r="G3680" s="64" t="s">
        <v>14398</v>
      </c>
      <c r="H3680" s="59">
        <v>0</v>
      </c>
    </row>
    <row r="3681" spans="1:13" ht="112.5" customHeight="1" x14ac:dyDescent="0.15">
      <c r="A3681" s="69">
        <v>108</v>
      </c>
      <c r="B3681" s="32" t="s">
        <v>12428</v>
      </c>
      <c r="C3681" s="32" t="s">
        <v>14399</v>
      </c>
      <c r="D3681" s="56" t="s">
        <v>14400</v>
      </c>
      <c r="E3681" s="68"/>
      <c r="F3681" s="59">
        <v>180000</v>
      </c>
      <c r="G3681" s="62" t="s">
        <v>14401</v>
      </c>
      <c r="H3681" s="59">
        <v>999.97</v>
      </c>
      <c r="I3681" s="29"/>
      <c r="J3681" s="29"/>
      <c r="K3681" s="29"/>
      <c r="L3681" s="29"/>
      <c r="M3681" s="29"/>
    </row>
    <row r="3682" spans="1:13" ht="112.5" customHeight="1" x14ac:dyDescent="0.15">
      <c r="A3682" s="67">
        <v>3895</v>
      </c>
      <c r="B3682" s="33" t="s">
        <v>3749</v>
      </c>
      <c r="C3682" s="33" t="s">
        <v>14402</v>
      </c>
      <c r="D3682" s="61" t="s">
        <v>14403</v>
      </c>
      <c r="E3682" s="68"/>
      <c r="F3682" s="59"/>
      <c r="G3682" s="58" t="s">
        <v>14404</v>
      </c>
      <c r="H3682" s="59">
        <v>0</v>
      </c>
      <c r="I3682" s="29"/>
      <c r="J3682" s="29"/>
      <c r="K3682" s="29"/>
      <c r="L3682" s="29"/>
      <c r="M3682" s="29"/>
    </row>
    <row r="3683" spans="1:13" ht="112.5" customHeight="1" x14ac:dyDescent="0.15">
      <c r="A3683" s="67">
        <v>203</v>
      </c>
      <c r="B3683" s="33" t="s">
        <v>12428</v>
      </c>
      <c r="C3683" s="33">
        <v>8936123890667</v>
      </c>
      <c r="D3683" s="61" t="s">
        <v>14405</v>
      </c>
      <c r="E3683" s="68"/>
      <c r="F3683" s="59"/>
      <c r="G3683" s="62" t="s">
        <v>14406</v>
      </c>
      <c r="H3683" s="59">
        <v>10</v>
      </c>
      <c r="I3683" s="29"/>
      <c r="J3683" s="29"/>
      <c r="K3683" s="29"/>
      <c r="L3683" s="29"/>
      <c r="M3683" s="29"/>
    </row>
    <row r="3684" spans="1:13" ht="112.5" customHeight="1" x14ac:dyDescent="0.15">
      <c r="A3684" s="67">
        <v>3627</v>
      </c>
      <c r="B3684" s="33" t="s">
        <v>3749</v>
      </c>
      <c r="C3684" s="33" t="s">
        <v>14407</v>
      </c>
      <c r="D3684" s="61" t="s">
        <v>14408</v>
      </c>
      <c r="E3684" s="68"/>
      <c r="F3684" s="59"/>
      <c r="G3684" s="58" t="s">
        <v>14409</v>
      </c>
      <c r="H3684" s="59">
        <v>109.64</v>
      </c>
      <c r="I3684" s="29"/>
      <c r="J3684" s="29"/>
      <c r="K3684" s="29"/>
      <c r="L3684" s="29"/>
      <c r="M3684" s="29"/>
    </row>
    <row r="3685" spans="1:13" ht="112.5" customHeight="1" x14ac:dyDescent="0.15">
      <c r="A3685" s="67">
        <v>177</v>
      </c>
      <c r="B3685" s="33" t="s">
        <v>14410</v>
      </c>
      <c r="C3685" s="33" t="s">
        <v>14411</v>
      </c>
      <c r="D3685" s="61" t="s">
        <v>14412</v>
      </c>
      <c r="E3685" s="68"/>
      <c r="F3685" s="59">
        <v>55000</v>
      </c>
      <c r="G3685" s="62" t="s">
        <v>14413</v>
      </c>
      <c r="H3685" s="59">
        <v>941</v>
      </c>
      <c r="I3685" s="29"/>
      <c r="J3685" s="29"/>
      <c r="K3685" s="29"/>
      <c r="L3685" s="29"/>
      <c r="M3685" s="29"/>
    </row>
    <row r="3686" spans="1:13" ht="112.5" customHeight="1" x14ac:dyDescent="0.15">
      <c r="A3686" s="69">
        <v>3764</v>
      </c>
      <c r="B3686" s="32" t="s">
        <v>3818</v>
      </c>
      <c r="C3686" s="32" t="s">
        <v>14414</v>
      </c>
      <c r="D3686" s="56" t="s">
        <v>14415</v>
      </c>
      <c r="E3686" s="68"/>
      <c r="F3686" s="59"/>
      <c r="G3686" s="58" t="s">
        <v>14416</v>
      </c>
      <c r="H3686" s="59">
        <v>0</v>
      </c>
      <c r="I3686" s="29"/>
      <c r="J3686" s="29"/>
      <c r="K3686" s="29"/>
      <c r="L3686" s="29"/>
      <c r="M3686" s="29"/>
    </row>
    <row r="3687" spans="1:13" ht="112.5" customHeight="1" x14ac:dyDescent="0.15">
      <c r="A3687" s="67">
        <v>55</v>
      </c>
      <c r="B3687" s="33" t="s">
        <v>3496</v>
      </c>
      <c r="C3687" s="33" t="s">
        <v>14417</v>
      </c>
      <c r="D3687" s="61" t="s">
        <v>14418</v>
      </c>
      <c r="E3687" s="68"/>
      <c r="F3687" s="59">
        <v>17000</v>
      </c>
      <c r="G3687" s="62" t="s">
        <v>14419</v>
      </c>
      <c r="H3687" s="59">
        <v>0</v>
      </c>
      <c r="I3687" s="29"/>
      <c r="J3687" s="29"/>
      <c r="K3687" s="29"/>
      <c r="L3687" s="29"/>
      <c r="M3687" s="29"/>
    </row>
    <row r="3688" spans="1:13" ht="112.5" customHeight="1" x14ac:dyDescent="0.15">
      <c r="A3688" s="67">
        <v>3891</v>
      </c>
      <c r="B3688" s="33" t="s">
        <v>3630</v>
      </c>
      <c r="C3688" s="33" t="s">
        <v>14420</v>
      </c>
      <c r="D3688" s="61" t="s">
        <v>14421</v>
      </c>
      <c r="E3688" s="68"/>
      <c r="F3688" s="59"/>
      <c r="G3688" s="58" t="s">
        <v>14422</v>
      </c>
      <c r="H3688" s="59">
        <v>5.1559999999999997</v>
      </c>
      <c r="I3688" s="29"/>
      <c r="J3688" s="29"/>
      <c r="K3688" s="29"/>
      <c r="L3688" s="29"/>
      <c r="M3688" s="29"/>
    </row>
    <row r="3689" spans="1:13" ht="112.5" customHeight="1" x14ac:dyDescent="0.15">
      <c r="A3689" s="69">
        <v>138</v>
      </c>
      <c r="B3689" s="32" t="s">
        <v>12428</v>
      </c>
      <c r="C3689" s="32" t="s">
        <v>14423</v>
      </c>
      <c r="D3689" s="56" t="s">
        <v>14424</v>
      </c>
      <c r="E3689" s="68"/>
      <c r="F3689" s="59">
        <v>46000</v>
      </c>
      <c r="G3689" s="62" t="s">
        <v>14425</v>
      </c>
      <c r="H3689" s="59">
        <v>0</v>
      </c>
      <c r="I3689" s="29"/>
      <c r="J3689" s="29"/>
      <c r="K3689" s="29"/>
      <c r="L3689" s="29"/>
      <c r="M3689" s="29"/>
    </row>
    <row r="3690" spans="1:13" ht="112.5" customHeight="1" x14ac:dyDescent="0.15">
      <c r="A3690" s="67">
        <v>3489</v>
      </c>
      <c r="B3690" s="33" t="s">
        <v>12428</v>
      </c>
      <c r="C3690" s="33" t="s">
        <v>14426</v>
      </c>
      <c r="D3690" s="61" t="s">
        <v>14427</v>
      </c>
      <c r="E3690" s="68"/>
      <c r="F3690" s="59"/>
      <c r="G3690" s="58" t="s">
        <v>14428</v>
      </c>
      <c r="H3690" s="59">
        <v>9.5489999999999995</v>
      </c>
      <c r="I3690" s="29"/>
      <c r="J3690" s="29"/>
      <c r="K3690" s="29"/>
      <c r="L3690" s="29"/>
      <c r="M3690" s="29"/>
    </row>
    <row r="3691" spans="1:13" ht="112.5" customHeight="1" x14ac:dyDescent="0.15">
      <c r="A3691" s="67">
        <v>3889</v>
      </c>
      <c r="B3691" s="33" t="s">
        <v>3818</v>
      </c>
      <c r="C3691" s="33" t="s">
        <v>14429</v>
      </c>
      <c r="D3691" s="61" t="s">
        <v>14430</v>
      </c>
      <c r="E3691" s="68"/>
      <c r="F3691" s="59"/>
      <c r="G3691" s="62" t="s">
        <v>14431</v>
      </c>
      <c r="H3691" s="59">
        <v>0</v>
      </c>
      <c r="I3691" s="29"/>
      <c r="J3691" s="29"/>
      <c r="K3691" s="29"/>
      <c r="L3691" s="29"/>
      <c r="M3691" s="29"/>
    </row>
    <row r="3692" spans="1:13" ht="112.5" customHeight="1" x14ac:dyDescent="0.15">
      <c r="A3692" s="67">
        <v>3887</v>
      </c>
      <c r="B3692" s="33" t="s">
        <v>3526</v>
      </c>
      <c r="C3692" s="33" t="s">
        <v>14432</v>
      </c>
      <c r="D3692" s="61" t="s">
        <v>14433</v>
      </c>
      <c r="E3692" s="68"/>
      <c r="F3692" s="59"/>
      <c r="G3692" s="58" t="s">
        <v>14434</v>
      </c>
      <c r="H3692" s="59">
        <v>0</v>
      </c>
      <c r="I3692" s="29"/>
      <c r="J3692" s="29"/>
      <c r="K3692" s="29"/>
      <c r="L3692" s="29"/>
      <c r="M3692" s="29"/>
    </row>
    <row r="3693" spans="1:13" ht="112.5" customHeight="1" x14ac:dyDescent="0.15">
      <c r="A3693" s="67">
        <v>65</v>
      </c>
      <c r="B3693" s="33" t="s">
        <v>12428</v>
      </c>
      <c r="C3693" s="33" t="s">
        <v>14435</v>
      </c>
      <c r="D3693" s="61" t="s">
        <v>14436</v>
      </c>
      <c r="E3693" s="68"/>
      <c r="F3693" s="59">
        <v>40000</v>
      </c>
      <c r="G3693" s="62" t="s">
        <v>14437</v>
      </c>
      <c r="H3693" s="59">
        <v>97.334999999999994</v>
      </c>
      <c r="I3693" s="29"/>
      <c r="J3693" s="29"/>
      <c r="K3693" s="29"/>
      <c r="L3693" s="29"/>
      <c r="M3693" s="29"/>
    </row>
    <row r="3694" spans="1:13" ht="112.5" customHeight="1" x14ac:dyDescent="0.15">
      <c r="A3694" s="67">
        <v>39</v>
      </c>
      <c r="B3694" s="33" t="s">
        <v>12428</v>
      </c>
      <c r="C3694" s="33" t="s">
        <v>14438</v>
      </c>
      <c r="D3694" s="61" t="s">
        <v>14439</v>
      </c>
      <c r="E3694" s="68"/>
      <c r="F3694" s="59">
        <v>40000</v>
      </c>
      <c r="G3694" s="58" t="s">
        <v>14440</v>
      </c>
      <c r="H3694" s="59">
        <v>0</v>
      </c>
      <c r="I3694" s="29"/>
      <c r="J3694" s="29"/>
      <c r="K3694" s="29"/>
      <c r="L3694" s="29"/>
      <c r="M3694" s="29"/>
    </row>
    <row r="3695" spans="1:13" ht="112.5" customHeight="1" x14ac:dyDescent="0.15">
      <c r="A3695" s="69">
        <v>3886</v>
      </c>
      <c r="B3695" s="32" t="s">
        <v>3533</v>
      </c>
      <c r="C3695" s="32" t="s">
        <v>14441</v>
      </c>
      <c r="D3695" s="56" t="s">
        <v>14442</v>
      </c>
      <c r="E3695" s="68"/>
      <c r="F3695" s="59"/>
      <c r="G3695" s="62" t="s">
        <v>14443</v>
      </c>
      <c r="H3695" s="59">
        <v>0</v>
      </c>
      <c r="I3695" s="29"/>
      <c r="J3695" s="29"/>
      <c r="K3695" s="29"/>
      <c r="L3695" s="29"/>
      <c r="M3695" s="29"/>
    </row>
    <row r="3696" spans="1:13" ht="112.5" customHeight="1" x14ac:dyDescent="0.15">
      <c r="A3696" s="67">
        <v>185</v>
      </c>
      <c r="B3696" s="33" t="s">
        <v>12428</v>
      </c>
      <c r="C3696" s="33" t="s">
        <v>14444</v>
      </c>
      <c r="D3696" s="61" t="s">
        <v>14445</v>
      </c>
      <c r="E3696" s="68"/>
      <c r="F3696" s="59">
        <v>296000</v>
      </c>
      <c r="G3696" s="58" t="s">
        <v>14446</v>
      </c>
      <c r="H3696" s="59">
        <v>5.1619999999999999</v>
      </c>
      <c r="I3696" s="29"/>
      <c r="J3696" s="29"/>
      <c r="K3696" s="29"/>
      <c r="L3696" s="29"/>
      <c r="M3696" s="29"/>
    </row>
    <row r="3697" spans="1:13" ht="112.5" customHeight="1" x14ac:dyDescent="0.15">
      <c r="A3697" s="69">
        <v>188</v>
      </c>
      <c r="B3697" s="32" t="s">
        <v>12428</v>
      </c>
      <c r="C3697" s="32" t="s">
        <v>14447</v>
      </c>
      <c r="D3697" s="56" t="s">
        <v>14448</v>
      </c>
      <c r="E3697" s="68"/>
      <c r="F3697" s="59">
        <v>330000</v>
      </c>
      <c r="G3697" s="62" t="s">
        <v>14449</v>
      </c>
      <c r="H3697" s="59">
        <v>0</v>
      </c>
      <c r="I3697" s="29"/>
      <c r="J3697" s="29"/>
      <c r="K3697" s="29"/>
      <c r="L3697" s="29"/>
      <c r="M3697" s="29"/>
    </row>
    <row r="3698" spans="1:13" ht="112.5" customHeight="1" x14ac:dyDescent="0.15">
      <c r="A3698" s="67">
        <v>189</v>
      </c>
      <c r="B3698" s="33" t="s">
        <v>12428</v>
      </c>
      <c r="C3698" s="33" t="s">
        <v>14450</v>
      </c>
      <c r="D3698" s="61" t="s">
        <v>14451</v>
      </c>
      <c r="E3698" s="68"/>
      <c r="F3698" s="59">
        <v>320000</v>
      </c>
      <c r="G3698" s="58" t="s">
        <v>14452</v>
      </c>
      <c r="H3698" s="59">
        <v>0</v>
      </c>
      <c r="I3698" s="29"/>
      <c r="J3698" s="29"/>
      <c r="K3698" s="29"/>
      <c r="L3698" s="29"/>
      <c r="M3698" s="29"/>
    </row>
    <row r="3699" spans="1:13" ht="112.5" customHeight="1" x14ac:dyDescent="0.15">
      <c r="A3699" s="67">
        <v>191</v>
      </c>
      <c r="B3699" s="33" t="s">
        <v>12428</v>
      </c>
      <c r="C3699" s="33" t="s">
        <v>14453</v>
      </c>
      <c r="D3699" s="61" t="s">
        <v>14454</v>
      </c>
      <c r="E3699" s="68"/>
      <c r="F3699" s="59">
        <v>289000</v>
      </c>
      <c r="G3699" s="62" t="s">
        <v>14455</v>
      </c>
      <c r="H3699" s="59">
        <v>0</v>
      </c>
      <c r="I3699" s="29"/>
      <c r="J3699" s="29"/>
      <c r="K3699" s="29"/>
      <c r="L3699" s="29"/>
      <c r="M3699" s="29"/>
    </row>
    <row r="3700" spans="1:13" ht="112.5" customHeight="1" x14ac:dyDescent="0.15">
      <c r="A3700" s="67">
        <v>265</v>
      </c>
      <c r="B3700" s="33" t="s">
        <v>3670</v>
      </c>
      <c r="C3700" s="33" t="s">
        <v>14456</v>
      </c>
      <c r="D3700" s="61" t="s">
        <v>14457</v>
      </c>
      <c r="E3700" s="68"/>
      <c r="F3700" s="59"/>
      <c r="G3700" s="58" t="s">
        <v>14458</v>
      </c>
      <c r="H3700" s="59">
        <v>0</v>
      </c>
      <c r="I3700" s="29"/>
      <c r="J3700" s="29"/>
      <c r="K3700" s="29"/>
      <c r="L3700" s="29"/>
      <c r="M3700" s="29"/>
    </row>
    <row r="3701" spans="1:13" ht="112.5" customHeight="1" x14ac:dyDescent="0.15">
      <c r="A3701" s="67">
        <v>3883</v>
      </c>
      <c r="B3701" s="33" t="s">
        <v>3749</v>
      </c>
      <c r="C3701" s="33" t="s">
        <v>14459</v>
      </c>
      <c r="D3701" s="61" t="s">
        <v>14460</v>
      </c>
      <c r="E3701" s="68"/>
      <c r="F3701" s="59"/>
      <c r="G3701" s="62" t="s">
        <v>14461</v>
      </c>
      <c r="H3701" s="59">
        <v>0</v>
      </c>
      <c r="I3701" s="29"/>
      <c r="J3701" s="29"/>
      <c r="K3701" s="29"/>
      <c r="L3701" s="29"/>
      <c r="M3701" s="29"/>
    </row>
    <row r="3702" spans="1:13" ht="112.5" customHeight="1" x14ac:dyDescent="0.15">
      <c r="A3702" s="67">
        <v>169</v>
      </c>
      <c r="B3702" s="33" t="s">
        <v>3549</v>
      </c>
      <c r="C3702" s="33" t="s">
        <v>14462</v>
      </c>
      <c r="D3702" s="61" t="s">
        <v>14463</v>
      </c>
      <c r="E3702" s="68"/>
      <c r="F3702" s="59">
        <v>12000</v>
      </c>
      <c r="G3702" s="58" t="s">
        <v>14464</v>
      </c>
      <c r="H3702" s="59">
        <v>8.7289999999999992</v>
      </c>
      <c r="I3702" s="29"/>
      <c r="J3702" s="29"/>
      <c r="K3702" s="29"/>
      <c r="L3702" s="29"/>
      <c r="M3702" s="29"/>
    </row>
    <row r="3703" spans="1:13" ht="112.5" customHeight="1" x14ac:dyDescent="0.15">
      <c r="A3703" s="67">
        <v>175</v>
      </c>
      <c r="B3703" s="33" t="s">
        <v>14410</v>
      </c>
      <c r="C3703" s="33" t="s">
        <v>14465</v>
      </c>
      <c r="D3703" s="61" t="s">
        <v>14466</v>
      </c>
      <c r="E3703" s="68"/>
      <c r="F3703" s="59">
        <v>43000</v>
      </c>
      <c r="G3703" s="62" t="s">
        <v>14467</v>
      </c>
      <c r="H3703" s="59">
        <v>7.4279999999999999</v>
      </c>
      <c r="I3703" s="29"/>
      <c r="J3703" s="29"/>
      <c r="K3703" s="29"/>
      <c r="L3703" s="29"/>
      <c r="M3703" s="29"/>
    </row>
    <row r="3704" spans="1:13" ht="112.5" customHeight="1" x14ac:dyDescent="0.15">
      <c r="A3704" s="67">
        <v>151</v>
      </c>
      <c r="B3704" s="33" t="s">
        <v>3898</v>
      </c>
      <c r="C3704" s="33" t="s">
        <v>14468</v>
      </c>
      <c r="D3704" s="61" t="s">
        <v>14469</v>
      </c>
      <c r="E3704" s="68"/>
      <c r="F3704" s="59">
        <v>42000</v>
      </c>
      <c r="G3704" s="58" t="s">
        <v>14470</v>
      </c>
      <c r="H3704" s="59">
        <v>1</v>
      </c>
      <c r="I3704" s="29"/>
      <c r="J3704" s="29"/>
      <c r="K3704" s="29"/>
      <c r="L3704" s="29"/>
      <c r="M3704" s="29"/>
    </row>
    <row r="3705" spans="1:13" ht="112.5" customHeight="1" x14ac:dyDescent="0.15">
      <c r="A3705" s="69">
        <v>62</v>
      </c>
      <c r="B3705" s="32" t="s">
        <v>3513</v>
      </c>
      <c r="C3705" s="32" t="s">
        <v>57</v>
      </c>
      <c r="D3705" s="56" t="s">
        <v>58</v>
      </c>
      <c r="E3705" s="68"/>
      <c r="F3705" s="59">
        <v>60000</v>
      </c>
      <c r="G3705" s="62" t="s">
        <v>14471</v>
      </c>
      <c r="H3705" s="59">
        <v>91.59</v>
      </c>
      <c r="I3705" s="29"/>
      <c r="J3705" s="29"/>
      <c r="K3705" s="29"/>
      <c r="L3705" s="29"/>
      <c r="M3705" s="29"/>
    </row>
    <row r="3706" spans="1:13" ht="112.5" customHeight="1" x14ac:dyDescent="0.15">
      <c r="A3706" s="67">
        <v>3897</v>
      </c>
      <c r="B3706" s="33" t="s">
        <v>12428</v>
      </c>
      <c r="C3706" s="33" t="s">
        <v>14472</v>
      </c>
      <c r="D3706" s="61" t="s">
        <v>14473</v>
      </c>
      <c r="E3706" s="68"/>
      <c r="F3706" s="59"/>
      <c r="G3706" s="58" t="s">
        <v>14474</v>
      </c>
      <c r="H3706" s="59">
        <v>85</v>
      </c>
      <c r="I3706" s="29"/>
      <c r="J3706" s="29"/>
      <c r="K3706" s="29"/>
      <c r="L3706" s="29"/>
      <c r="M3706" s="29"/>
    </row>
    <row r="3707" spans="1:13" ht="112.5" customHeight="1" x14ac:dyDescent="0.15">
      <c r="A3707" s="69">
        <v>3488</v>
      </c>
      <c r="B3707" s="32" t="s">
        <v>12428</v>
      </c>
      <c r="C3707" s="32" t="s">
        <v>14475</v>
      </c>
      <c r="D3707" s="56" t="s">
        <v>14476</v>
      </c>
      <c r="E3707" s="68"/>
      <c r="F3707" s="59"/>
      <c r="G3707" s="62" t="s">
        <v>14477</v>
      </c>
      <c r="H3707" s="59">
        <v>88</v>
      </c>
      <c r="I3707" s="29"/>
      <c r="J3707" s="29"/>
      <c r="K3707" s="29"/>
      <c r="L3707" s="29"/>
      <c r="M3707" s="29"/>
    </row>
    <row r="3708" spans="1:13" ht="112.5" customHeight="1" x14ac:dyDescent="0.15">
      <c r="A3708" s="69">
        <v>3882</v>
      </c>
      <c r="B3708" s="32" t="s">
        <v>12428</v>
      </c>
      <c r="C3708" s="32" t="s">
        <v>14478</v>
      </c>
      <c r="D3708" s="56" t="s">
        <v>14479</v>
      </c>
      <c r="E3708" s="68"/>
      <c r="F3708" s="59"/>
      <c r="G3708" s="58" t="s">
        <v>14480</v>
      </c>
      <c r="H3708" s="59">
        <v>9.048</v>
      </c>
      <c r="I3708" s="29"/>
      <c r="J3708" s="29"/>
      <c r="K3708" s="29"/>
      <c r="L3708" s="29"/>
      <c r="M3708" s="29"/>
    </row>
    <row r="3709" spans="1:13" ht="112.5" customHeight="1" x14ac:dyDescent="0.15">
      <c r="A3709" s="67">
        <v>3879</v>
      </c>
      <c r="B3709" s="33" t="s">
        <v>3801</v>
      </c>
      <c r="C3709" s="33" t="s">
        <v>14481</v>
      </c>
      <c r="D3709" s="61" t="s">
        <v>14482</v>
      </c>
      <c r="E3709" s="68"/>
      <c r="F3709" s="59"/>
      <c r="G3709" s="62" t="s">
        <v>14483</v>
      </c>
      <c r="H3709" s="59">
        <v>0</v>
      </c>
      <c r="I3709" s="29"/>
      <c r="J3709" s="29"/>
      <c r="K3709" s="29"/>
      <c r="L3709" s="29"/>
      <c r="M3709" s="29"/>
    </row>
    <row r="3710" spans="1:13" ht="112.5" customHeight="1" x14ac:dyDescent="0.15">
      <c r="A3710" s="69">
        <v>3878</v>
      </c>
      <c r="B3710" s="32" t="s">
        <v>3801</v>
      </c>
      <c r="C3710" s="32" t="s">
        <v>14484</v>
      </c>
      <c r="D3710" s="56" t="s">
        <v>14485</v>
      </c>
      <c r="E3710" s="68"/>
      <c r="F3710" s="59"/>
      <c r="G3710" s="58" t="s">
        <v>14486</v>
      </c>
      <c r="H3710" s="59">
        <v>960</v>
      </c>
      <c r="I3710" s="29"/>
      <c r="J3710" s="29"/>
      <c r="K3710" s="29"/>
      <c r="L3710" s="29"/>
      <c r="M3710" s="29"/>
    </row>
    <row r="3711" spans="1:13" ht="112.5" customHeight="1" x14ac:dyDescent="0.15">
      <c r="A3711" s="67">
        <v>3877</v>
      </c>
      <c r="B3711" s="33" t="s">
        <v>3801</v>
      </c>
      <c r="C3711" s="33" t="s">
        <v>14487</v>
      </c>
      <c r="D3711" s="61" t="s">
        <v>14488</v>
      </c>
      <c r="E3711" s="68"/>
      <c r="F3711" s="59"/>
      <c r="G3711" s="62" t="s">
        <v>14489</v>
      </c>
      <c r="H3711" s="59">
        <v>99.475999999999999</v>
      </c>
      <c r="I3711" s="29"/>
      <c r="J3711" s="29"/>
      <c r="K3711" s="29"/>
      <c r="L3711" s="29"/>
      <c r="M3711" s="29"/>
    </row>
    <row r="3712" spans="1:13" ht="112.5" customHeight="1" x14ac:dyDescent="0.15">
      <c r="A3712" s="67">
        <v>3875</v>
      </c>
      <c r="B3712" s="33" t="s">
        <v>12428</v>
      </c>
      <c r="C3712" s="33" t="s">
        <v>14490</v>
      </c>
      <c r="D3712" s="61" t="s">
        <v>14491</v>
      </c>
      <c r="E3712" s="68"/>
      <c r="F3712" s="59"/>
      <c r="G3712" s="58" t="s">
        <v>14492</v>
      </c>
      <c r="H3712" s="59">
        <v>0</v>
      </c>
      <c r="I3712" s="29"/>
      <c r="J3712" s="29"/>
      <c r="K3712" s="29"/>
      <c r="L3712" s="29"/>
      <c r="M3712" s="29"/>
    </row>
    <row r="3713" spans="1:13" ht="112.5" customHeight="1" x14ac:dyDescent="0.15">
      <c r="A3713" s="69">
        <v>3874</v>
      </c>
      <c r="B3713" s="32" t="s">
        <v>3822</v>
      </c>
      <c r="C3713" s="32" t="s">
        <v>14493</v>
      </c>
      <c r="D3713" s="56" t="s">
        <v>14494</v>
      </c>
      <c r="E3713" s="68"/>
      <c r="F3713" s="59"/>
      <c r="G3713" s="62" t="s">
        <v>14495</v>
      </c>
      <c r="H3713" s="59">
        <v>0</v>
      </c>
      <c r="I3713" s="29"/>
      <c r="J3713" s="29"/>
      <c r="K3713" s="29"/>
      <c r="L3713" s="29"/>
      <c r="M3713" s="29"/>
    </row>
    <row r="3714" spans="1:13" ht="112.5" customHeight="1" x14ac:dyDescent="0.15">
      <c r="A3714" s="69">
        <v>20</v>
      </c>
      <c r="B3714" s="32" t="s">
        <v>3513</v>
      </c>
      <c r="C3714" s="32" t="s">
        <v>14496</v>
      </c>
      <c r="D3714" s="56" t="s">
        <v>14497</v>
      </c>
      <c r="E3714" s="68"/>
      <c r="F3714" s="59">
        <v>30000</v>
      </c>
      <c r="G3714" s="58" t="s">
        <v>14498</v>
      </c>
      <c r="H3714" s="59">
        <v>0</v>
      </c>
      <c r="I3714" s="29"/>
      <c r="J3714" s="29"/>
      <c r="K3714" s="29"/>
      <c r="L3714" s="29"/>
      <c r="M3714" s="29"/>
    </row>
    <row r="3715" spans="1:13" ht="112.5" customHeight="1" x14ac:dyDescent="0.15">
      <c r="A3715" s="67">
        <v>21</v>
      </c>
      <c r="B3715" s="33" t="s">
        <v>3513</v>
      </c>
      <c r="C3715" s="33" t="s">
        <v>14499</v>
      </c>
      <c r="D3715" s="61" t="s">
        <v>14500</v>
      </c>
      <c r="E3715" s="68"/>
      <c r="F3715" s="59">
        <v>47000</v>
      </c>
      <c r="G3715" s="62" t="s">
        <v>14501</v>
      </c>
      <c r="H3715" s="59">
        <v>50</v>
      </c>
      <c r="I3715" s="29"/>
      <c r="J3715" s="29"/>
      <c r="K3715" s="29"/>
      <c r="L3715" s="29"/>
      <c r="M3715" s="29"/>
    </row>
    <row r="3716" spans="1:13" ht="112.5" customHeight="1" x14ac:dyDescent="0.15">
      <c r="A3716" s="69">
        <v>172</v>
      </c>
      <c r="B3716" s="32" t="s">
        <v>3876</v>
      </c>
      <c r="C3716" s="32" t="s">
        <v>14502</v>
      </c>
      <c r="D3716" s="56" t="s">
        <v>14503</v>
      </c>
      <c r="E3716" s="68"/>
      <c r="F3716" s="59">
        <v>43000</v>
      </c>
      <c r="G3716" s="58" t="s">
        <v>14504</v>
      </c>
      <c r="H3716" s="59">
        <v>0</v>
      </c>
      <c r="I3716" s="29"/>
      <c r="J3716" s="29"/>
      <c r="K3716" s="29"/>
      <c r="L3716" s="29"/>
      <c r="M3716" s="29"/>
    </row>
    <row r="3717" spans="1:13" ht="112.5" customHeight="1" x14ac:dyDescent="0.15">
      <c r="A3717" s="67">
        <v>467</v>
      </c>
      <c r="B3717" s="33" t="s">
        <v>3876</v>
      </c>
      <c r="C3717" s="33" t="s">
        <v>14505</v>
      </c>
      <c r="D3717" s="61" t="s">
        <v>14506</v>
      </c>
      <c r="E3717" s="68"/>
      <c r="F3717" s="59"/>
      <c r="G3717" s="62" t="s">
        <v>14507</v>
      </c>
      <c r="H3717" s="59">
        <v>0</v>
      </c>
      <c r="I3717" s="29"/>
      <c r="J3717" s="29"/>
      <c r="K3717" s="29"/>
      <c r="L3717" s="29"/>
      <c r="M3717" s="29"/>
    </row>
    <row r="3718" spans="1:13" ht="112.5" customHeight="1" x14ac:dyDescent="0.15">
      <c r="A3718" s="67">
        <v>3869</v>
      </c>
      <c r="B3718" s="33" t="s">
        <v>12428</v>
      </c>
      <c r="C3718" s="33" t="s">
        <v>14508</v>
      </c>
      <c r="D3718" s="61" t="s">
        <v>14509</v>
      </c>
      <c r="E3718" s="68"/>
      <c r="F3718" s="59"/>
      <c r="G3718" s="58" t="s">
        <v>14510</v>
      </c>
      <c r="H3718" s="59">
        <v>97.394000000000005</v>
      </c>
      <c r="I3718" s="29"/>
      <c r="J3718" s="29"/>
      <c r="K3718" s="29"/>
      <c r="L3718" s="29"/>
      <c r="M3718" s="29"/>
    </row>
    <row r="3719" spans="1:13" ht="112.5" customHeight="1" x14ac:dyDescent="0.15">
      <c r="A3719" s="69">
        <v>3868</v>
      </c>
      <c r="B3719" s="32" t="s">
        <v>3513</v>
      </c>
      <c r="C3719" s="32" t="s">
        <v>14511</v>
      </c>
      <c r="D3719" s="56" t="s">
        <v>14512</v>
      </c>
      <c r="E3719" s="68"/>
      <c r="F3719" s="59"/>
      <c r="G3719" s="62" t="s">
        <v>14513</v>
      </c>
      <c r="H3719" s="59">
        <v>0</v>
      </c>
      <c r="I3719" s="29"/>
      <c r="J3719" s="29"/>
      <c r="K3719" s="29"/>
      <c r="L3719" s="29"/>
      <c r="M3719" s="29"/>
    </row>
    <row r="3720" spans="1:13" ht="112.5" customHeight="1" x14ac:dyDescent="0.15">
      <c r="A3720" s="67">
        <v>209</v>
      </c>
      <c r="B3720" s="33" t="s">
        <v>3814</v>
      </c>
      <c r="C3720" s="33" t="s">
        <v>14514</v>
      </c>
      <c r="D3720" s="61" t="s">
        <v>14515</v>
      </c>
      <c r="E3720" s="68"/>
      <c r="F3720" s="59"/>
      <c r="G3720" s="58" t="s">
        <v>14516</v>
      </c>
      <c r="H3720" s="59">
        <v>0</v>
      </c>
      <c r="I3720" s="29"/>
      <c r="J3720" s="29"/>
      <c r="K3720" s="29"/>
      <c r="L3720" s="29"/>
      <c r="M3720" s="29"/>
    </row>
    <row r="3721" spans="1:13" ht="112.5" customHeight="1" x14ac:dyDescent="0.15">
      <c r="A3721" s="67">
        <v>3867</v>
      </c>
      <c r="B3721" s="33" t="s">
        <v>12428</v>
      </c>
      <c r="C3721" s="33" t="s">
        <v>14517</v>
      </c>
      <c r="D3721" s="61" t="s">
        <v>14518</v>
      </c>
      <c r="E3721" s="68"/>
      <c r="F3721" s="59"/>
      <c r="G3721" s="62" t="s">
        <v>14519</v>
      </c>
      <c r="H3721" s="59">
        <v>999.97</v>
      </c>
      <c r="I3721" s="29"/>
      <c r="J3721" s="29"/>
      <c r="K3721" s="29"/>
      <c r="L3721" s="29"/>
      <c r="M3721" s="29"/>
    </row>
    <row r="3722" spans="1:13" ht="112.5" customHeight="1" x14ac:dyDescent="0.15">
      <c r="A3722" s="69">
        <v>3866</v>
      </c>
      <c r="B3722" s="32" t="s">
        <v>3670</v>
      </c>
      <c r="C3722" s="32" t="s">
        <v>14520</v>
      </c>
      <c r="D3722" s="56" t="s">
        <v>14521</v>
      </c>
      <c r="E3722" s="68"/>
      <c r="F3722" s="59"/>
      <c r="G3722" s="58" t="s">
        <v>14522</v>
      </c>
      <c r="H3722" s="59">
        <v>0</v>
      </c>
      <c r="I3722" s="29"/>
      <c r="J3722" s="29"/>
      <c r="K3722" s="29"/>
      <c r="L3722" s="29"/>
      <c r="M3722" s="29"/>
    </row>
    <row r="3723" spans="1:13" ht="112.5" customHeight="1" x14ac:dyDescent="0.15">
      <c r="A3723" s="67">
        <v>249</v>
      </c>
      <c r="B3723" s="33" t="s">
        <v>3670</v>
      </c>
      <c r="C3723" s="33" t="s">
        <v>14523</v>
      </c>
      <c r="D3723" s="61" t="s">
        <v>14524</v>
      </c>
      <c r="E3723" s="68"/>
      <c r="F3723" s="59"/>
      <c r="G3723" s="62" t="s">
        <v>14525</v>
      </c>
      <c r="H3723" s="59">
        <v>0</v>
      </c>
      <c r="I3723" s="29"/>
      <c r="J3723" s="29"/>
      <c r="K3723" s="29"/>
      <c r="L3723" s="29"/>
      <c r="M3723" s="29"/>
    </row>
    <row r="3724" spans="1:13" ht="112.5" customHeight="1" x14ac:dyDescent="0.15">
      <c r="A3724" s="67">
        <v>3865</v>
      </c>
      <c r="B3724" s="33" t="s">
        <v>12428</v>
      </c>
      <c r="C3724" s="33" t="s">
        <v>14526</v>
      </c>
      <c r="D3724" s="61" t="s">
        <v>14527</v>
      </c>
      <c r="E3724" s="68"/>
      <c r="F3724" s="59"/>
      <c r="G3724" s="58" t="s">
        <v>14528</v>
      </c>
      <c r="H3724" s="59">
        <v>0</v>
      </c>
      <c r="I3724" s="29"/>
      <c r="J3724" s="29"/>
      <c r="K3724" s="29"/>
      <c r="L3724" s="29"/>
      <c r="M3724" s="29"/>
    </row>
    <row r="3725" spans="1:13" ht="112.5" customHeight="1" x14ac:dyDescent="0.15">
      <c r="A3725" s="69">
        <v>3864</v>
      </c>
      <c r="B3725" s="32" t="s">
        <v>3670</v>
      </c>
      <c r="C3725" s="32" t="s">
        <v>14529</v>
      </c>
      <c r="D3725" s="56" t="s">
        <v>14530</v>
      </c>
      <c r="E3725" s="68"/>
      <c r="F3725" s="59"/>
      <c r="G3725" s="62" t="s">
        <v>14531</v>
      </c>
      <c r="H3725" s="59">
        <v>94.748000000000005</v>
      </c>
      <c r="I3725" s="29"/>
      <c r="J3725" s="29"/>
      <c r="K3725" s="29"/>
      <c r="L3725" s="29"/>
      <c r="M3725" s="29"/>
    </row>
    <row r="3726" spans="1:13" ht="112.5" customHeight="1" x14ac:dyDescent="0.15">
      <c r="A3726" s="67">
        <v>3863</v>
      </c>
      <c r="B3726" s="33" t="s">
        <v>3822</v>
      </c>
      <c r="C3726" s="33" t="s">
        <v>14532</v>
      </c>
      <c r="D3726" s="61" t="s">
        <v>14533</v>
      </c>
      <c r="E3726" s="68"/>
      <c r="F3726" s="59"/>
      <c r="G3726" s="58" t="s">
        <v>14534</v>
      </c>
      <c r="H3726" s="59">
        <v>910</v>
      </c>
      <c r="I3726" s="29"/>
      <c r="J3726" s="29"/>
      <c r="K3726" s="29"/>
      <c r="L3726" s="29"/>
      <c r="M3726" s="29"/>
    </row>
    <row r="3727" spans="1:13" ht="112.5" customHeight="1" x14ac:dyDescent="0.15">
      <c r="A3727" s="69">
        <v>102</v>
      </c>
      <c r="B3727" s="32" t="s">
        <v>3749</v>
      </c>
      <c r="C3727" s="32" t="s">
        <v>14535</v>
      </c>
      <c r="D3727" s="56" t="s">
        <v>14536</v>
      </c>
      <c r="E3727" s="68"/>
      <c r="F3727" s="59">
        <v>455000</v>
      </c>
      <c r="G3727" s="62" t="s">
        <v>14537</v>
      </c>
      <c r="H3727" s="59">
        <v>8.2880000000000003</v>
      </c>
      <c r="I3727" s="29"/>
      <c r="J3727" s="29"/>
      <c r="K3727" s="29"/>
      <c r="L3727" s="29"/>
      <c r="M3727" s="29"/>
    </row>
    <row r="3728" spans="1:13" ht="112.5" customHeight="1" x14ac:dyDescent="0.15">
      <c r="A3728" s="67">
        <v>3861</v>
      </c>
      <c r="B3728" s="33" t="s">
        <v>12428</v>
      </c>
      <c r="C3728" s="33" t="s">
        <v>14538</v>
      </c>
      <c r="D3728" s="61" t="s">
        <v>14539</v>
      </c>
      <c r="E3728" s="68"/>
      <c r="F3728" s="59"/>
      <c r="G3728" s="58" t="s">
        <v>14540</v>
      </c>
      <c r="H3728" s="59">
        <v>0</v>
      </c>
      <c r="I3728" s="29"/>
      <c r="J3728" s="29"/>
      <c r="K3728" s="29"/>
      <c r="L3728" s="29"/>
      <c r="M3728" s="29"/>
    </row>
    <row r="3729" spans="1:13" ht="112.5" customHeight="1" x14ac:dyDescent="0.15">
      <c r="A3729" s="69">
        <v>3860</v>
      </c>
      <c r="B3729" s="32" t="s">
        <v>12428</v>
      </c>
      <c r="C3729" s="32" t="s">
        <v>14541</v>
      </c>
      <c r="D3729" s="56" t="s">
        <v>14542</v>
      </c>
      <c r="E3729" s="68"/>
      <c r="F3729" s="59"/>
      <c r="G3729" s="62" t="s">
        <v>14543</v>
      </c>
      <c r="H3729" s="59">
        <v>9.7870000000000008</v>
      </c>
      <c r="I3729" s="29"/>
      <c r="J3729" s="29"/>
      <c r="K3729" s="29"/>
      <c r="L3729" s="29"/>
      <c r="M3729" s="29"/>
    </row>
    <row r="3730" spans="1:13" ht="112.5" customHeight="1" x14ac:dyDescent="0.15">
      <c r="A3730" s="67">
        <v>3859</v>
      </c>
      <c r="B3730" s="33" t="s">
        <v>12428</v>
      </c>
      <c r="C3730" s="33" t="s">
        <v>14544</v>
      </c>
      <c r="D3730" s="61" t="s">
        <v>14545</v>
      </c>
      <c r="E3730" s="68"/>
      <c r="F3730" s="59"/>
      <c r="G3730" s="58" t="s">
        <v>14546</v>
      </c>
      <c r="H3730" s="59">
        <v>98.494</v>
      </c>
      <c r="I3730" s="29"/>
      <c r="J3730" s="29"/>
      <c r="K3730" s="29"/>
      <c r="L3730" s="29"/>
      <c r="M3730" s="29"/>
    </row>
    <row r="3731" spans="1:13" ht="112.5" customHeight="1" x14ac:dyDescent="0.15">
      <c r="A3731" s="69">
        <v>3858</v>
      </c>
      <c r="B3731" s="32" t="s">
        <v>3822</v>
      </c>
      <c r="C3731" s="32" t="s">
        <v>14547</v>
      </c>
      <c r="D3731" s="56" t="s">
        <v>14548</v>
      </c>
      <c r="E3731" s="68"/>
      <c r="F3731" s="59"/>
      <c r="G3731" s="62" t="s">
        <v>14549</v>
      </c>
      <c r="H3731" s="59" t="s">
        <v>4171</v>
      </c>
      <c r="I3731" s="29"/>
      <c r="J3731" s="29"/>
      <c r="K3731" s="29"/>
      <c r="L3731" s="29"/>
      <c r="M3731" s="29"/>
    </row>
    <row r="3732" spans="1:13" ht="112.5" customHeight="1" x14ac:dyDescent="0.15">
      <c r="A3732" s="67">
        <v>3857</v>
      </c>
      <c r="B3732" s="33" t="s">
        <v>12428</v>
      </c>
      <c r="C3732" s="33" t="s">
        <v>14550</v>
      </c>
      <c r="D3732" s="61" t="s">
        <v>14551</v>
      </c>
      <c r="E3732" s="68"/>
      <c r="F3732" s="59"/>
      <c r="G3732" s="58" t="s">
        <v>14552</v>
      </c>
      <c r="H3732" s="59">
        <v>970</v>
      </c>
      <c r="I3732" s="29"/>
      <c r="J3732" s="29"/>
      <c r="K3732" s="29"/>
      <c r="L3732" s="29"/>
      <c r="M3732" s="29"/>
    </row>
    <row r="3733" spans="1:13" ht="112.5" customHeight="1" x14ac:dyDescent="0.15">
      <c r="A3733" s="69">
        <v>3854</v>
      </c>
      <c r="B3733" s="32" t="s">
        <v>12428</v>
      </c>
      <c r="C3733" s="32" t="s">
        <v>14553</v>
      </c>
      <c r="D3733" s="56" t="s">
        <v>14554</v>
      </c>
      <c r="E3733" s="68"/>
      <c r="F3733" s="59"/>
      <c r="G3733" s="62" t="s">
        <v>14555</v>
      </c>
      <c r="H3733" s="59">
        <v>0</v>
      </c>
      <c r="I3733" s="29"/>
      <c r="J3733" s="29"/>
      <c r="K3733" s="29"/>
      <c r="L3733" s="29"/>
      <c r="M3733" s="29"/>
    </row>
    <row r="3734" spans="1:13" ht="112.5" customHeight="1" x14ac:dyDescent="0.15">
      <c r="A3734" s="67">
        <v>3855</v>
      </c>
      <c r="B3734" s="33" t="s">
        <v>12428</v>
      </c>
      <c r="C3734" s="33" t="s">
        <v>14556</v>
      </c>
      <c r="D3734" s="61" t="s">
        <v>14557</v>
      </c>
      <c r="E3734" s="68"/>
      <c r="F3734" s="59"/>
      <c r="G3734" s="58" t="s">
        <v>14558</v>
      </c>
      <c r="H3734" s="59">
        <v>980.73</v>
      </c>
      <c r="I3734" s="29"/>
      <c r="J3734" s="29"/>
      <c r="K3734" s="29"/>
      <c r="L3734" s="29"/>
      <c r="M3734" s="29"/>
    </row>
    <row r="3735" spans="1:13" ht="112.5" customHeight="1" x14ac:dyDescent="0.15">
      <c r="A3735" s="67">
        <v>3853</v>
      </c>
      <c r="B3735" s="33" t="s">
        <v>3822</v>
      </c>
      <c r="C3735" s="33" t="s">
        <v>14559</v>
      </c>
      <c r="D3735" s="61" t="s">
        <v>14560</v>
      </c>
      <c r="E3735" s="68"/>
      <c r="F3735" s="59"/>
      <c r="G3735" s="62" t="s">
        <v>14561</v>
      </c>
      <c r="H3735" s="59">
        <v>0</v>
      </c>
      <c r="I3735" s="29"/>
      <c r="J3735" s="29"/>
      <c r="K3735" s="29"/>
      <c r="L3735" s="29"/>
      <c r="M3735" s="29"/>
    </row>
    <row r="3736" spans="1:13" ht="112.5" customHeight="1" x14ac:dyDescent="0.15">
      <c r="A3736" s="69">
        <v>202</v>
      </c>
      <c r="B3736" s="32" t="s">
        <v>3630</v>
      </c>
      <c r="C3736" s="32" t="s">
        <v>14562</v>
      </c>
      <c r="D3736" s="56" t="s">
        <v>14563</v>
      </c>
      <c r="E3736" s="68"/>
      <c r="F3736" s="59"/>
      <c r="G3736" s="58" t="s">
        <v>14564</v>
      </c>
      <c r="H3736" s="59">
        <v>0</v>
      </c>
      <c r="I3736" s="29"/>
      <c r="J3736" s="29"/>
      <c r="K3736" s="29"/>
      <c r="L3736" s="29"/>
      <c r="M3736" s="29"/>
    </row>
    <row r="3737" spans="1:13" ht="112.5" customHeight="1" x14ac:dyDescent="0.15">
      <c r="A3737" s="69">
        <v>96</v>
      </c>
      <c r="B3737" s="32" t="s">
        <v>12428</v>
      </c>
      <c r="C3737" s="32" t="s">
        <v>14565</v>
      </c>
      <c r="D3737" s="56" t="s">
        <v>14566</v>
      </c>
      <c r="E3737" s="68"/>
      <c r="F3737" s="59">
        <v>32000</v>
      </c>
      <c r="G3737" s="62" t="s">
        <v>14567</v>
      </c>
      <c r="H3737" s="59">
        <v>975</v>
      </c>
      <c r="I3737" s="29"/>
      <c r="J3737" s="29"/>
      <c r="K3737" s="29"/>
      <c r="L3737" s="29"/>
      <c r="M3737" s="29"/>
    </row>
    <row r="3738" spans="1:13" ht="112.5" customHeight="1" x14ac:dyDescent="0.15">
      <c r="A3738" s="67">
        <v>205</v>
      </c>
      <c r="B3738" s="33" t="s">
        <v>12428</v>
      </c>
      <c r="C3738" s="33" t="s">
        <v>14568</v>
      </c>
      <c r="D3738" s="61" t="s">
        <v>14569</v>
      </c>
      <c r="E3738" s="68"/>
      <c r="F3738" s="59"/>
      <c r="G3738" s="58" t="s">
        <v>14570</v>
      </c>
      <c r="H3738" s="59">
        <v>0</v>
      </c>
      <c r="I3738" s="29"/>
      <c r="J3738" s="29"/>
      <c r="K3738" s="29"/>
      <c r="L3738" s="29"/>
      <c r="M3738" s="29"/>
    </row>
    <row r="3739" spans="1:13" ht="112.5" customHeight="1" x14ac:dyDescent="0.15">
      <c r="A3739" s="69">
        <v>3850</v>
      </c>
      <c r="B3739" s="32" t="s">
        <v>3822</v>
      </c>
      <c r="C3739" s="32" t="s">
        <v>14571</v>
      </c>
      <c r="D3739" s="56" t="s">
        <v>14572</v>
      </c>
      <c r="E3739" s="68"/>
      <c r="F3739" s="59"/>
      <c r="G3739" s="62" t="s">
        <v>14573</v>
      </c>
      <c r="H3739" s="59">
        <v>0</v>
      </c>
      <c r="I3739" s="29"/>
      <c r="J3739" s="29"/>
      <c r="K3739" s="29"/>
      <c r="L3739" s="29"/>
      <c r="M3739" s="29"/>
    </row>
    <row r="3740" spans="1:13" ht="112.5" customHeight="1" x14ac:dyDescent="0.15">
      <c r="A3740" s="67">
        <v>25</v>
      </c>
      <c r="B3740" s="33" t="s">
        <v>3822</v>
      </c>
      <c r="C3740" s="33" t="s">
        <v>14574</v>
      </c>
      <c r="D3740" s="61" t="s">
        <v>14575</v>
      </c>
      <c r="E3740" s="68"/>
      <c r="F3740" s="59">
        <v>116000</v>
      </c>
      <c r="G3740" s="58" t="s">
        <v>14576</v>
      </c>
      <c r="H3740" s="59">
        <v>0</v>
      </c>
      <c r="I3740" s="29"/>
      <c r="J3740" s="29"/>
      <c r="K3740" s="29"/>
      <c r="L3740" s="29"/>
      <c r="M3740" s="29"/>
    </row>
    <row r="3741" spans="1:13" ht="112.5" customHeight="1" x14ac:dyDescent="0.15">
      <c r="A3741" s="69">
        <v>3848</v>
      </c>
      <c r="B3741" s="32" t="s">
        <v>3556</v>
      </c>
      <c r="C3741" s="32" t="s">
        <v>14577</v>
      </c>
      <c r="D3741" s="56" t="s">
        <v>14578</v>
      </c>
      <c r="E3741" s="68"/>
      <c r="F3741" s="59"/>
      <c r="G3741" s="62" t="s">
        <v>14579</v>
      </c>
      <c r="H3741" s="59">
        <v>9.7010000000000005</v>
      </c>
      <c r="I3741" s="29"/>
      <c r="J3741" s="29"/>
      <c r="K3741" s="29"/>
      <c r="L3741" s="29"/>
      <c r="M3741" s="29"/>
    </row>
    <row r="3742" spans="1:13" ht="112.5" customHeight="1" x14ac:dyDescent="0.15">
      <c r="A3742" s="69">
        <v>3846</v>
      </c>
      <c r="B3742" s="32" t="s">
        <v>3814</v>
      </c>
      <c r="C3742" s="32" t="s">
        <v>14580</v>
      </c>
      <c r="D3742" s="56" t="s">
        <v>14581</v>
      </c>
      <c r="E3742" s="68"/>
      <c r="F3742" s="59"/>
      <c r="G3742" s="58" t="s">
        <v>14582</v>
      </c>
      <c r="H3742" s="59">
        <v>0</v>
      </c>
      <c r="I3742" s="29"/>
      <c r="J3742" s="29"/>
      <c r="K3742" s="29"/>
      <c r="L3742" s="29"/>
      <c r="M3742" s="29"/>
    </row>
    <row r="3743" spans="1:13" ht="112.5" customHeight="1" x14ac:dyDescent="0.15">
      <c r="A3743" s="69">
        <v>206</v>
      </c>
      <c r="B3743" s="32" t="s">
        <v>3513</v>
      </c>
      <c r="C3743" s="32" t="s">
        <v>14583</v>
      </c>
      <c r="D3743" s="56" t="s">
        <v>14584</v>
      </c>
      <c r="E3743" s="68"/>
      <c r="F3743" s="59"/>
      <c r="G3743" s="63" t="s">
        <v>14585</v>
      </c>
      <c r="H3743" s="59">
        <v>9.8209999999999997</v>
      </c>
    </row>
    <row r="3744" spans="1:13" ht="112.5" customHeight="1" x14ac:dyDescent="0.15">
      <c r="A3744" s="69">
        <v>3840</v>
      </c>
      <c r="B3744" s="32" t="s">
        <v>3822</v>
      </c>
      <c r="C3744" s="32" t="s">
        <v>14586</v>
      </c>
      <c r="D3744" s="56" t="s">
        <v>14587</v>
      </c>
      <c r="E3744" s="68"/>
      <c r="F3744" s="59"/>
      <c r="G3744" s="58" t="s">
        <v>14588</v>
      </c>
      <c r="H3744" s="59">
        <v>0</v>
      </c>
      <c r="I3744" s="29"/>
      <c r="J3744" s="29"/>
      <c r="K3744" s="29"/>
      <c r="L3744" s="29"/>
      <c r="M3744" s="29"/>
    </row>
    <row r="3745" spans="1:13" ht="112.5" customHeight="1" x14ac:dyDescent="0.15">
      <c r="A3745" s="67">
        <v>125</v>
      </c>
      <c r="B3745" s="33" t="s">
        <v>12428</v>
      </c>
      <c r="C3745" s="33" t="s">
        <v>14589</v>
      </c>
      <c r="D3745" s="61" t="s">
        <v>14590</v>
      </c>
      <c r="E3745" s="68"/>
      <c r="F3745" s="59">
        <v>45000</v>
      </c>
      <c r="G3745" s="62" t="s">
        <v>14591</v>
      </c>
      <c r="H3745" s="59">
        <v>0</v>
      </c>
      <c r="I3745" s="29"/>
      <c r="J3745" s="29"/>
      <c r="K3745" s="29"/>
      <c r="L3745" s="29"/>
      <c r="M3745" s="29"/>
    </row>
    <row r="3746" spans="1:13" ht="112.5" customHeight="1" x14ac:dyDescent="0.15">
      <c r="A3746" s="69">
        <v>3838</v>
      </c>
      <c r="B3746" s="32" t="s">
        <v>3822</v>
      </c>
      <c r="C3746" s="32" t="s">
        <v>14592</v>
      </c>
      <c r="D3746" s="56" t="s">
        <v>14593</v>
      </c>
      <c r="E3746" s="68"/>
      <c r="F3746" s="59"/>
      <c r="G3746" s="58" t="s">
        <v>14594</v>
      </c>
      <c r="H3746" s="59">
        <v>608</v>
      </c>
      <c r="I3746" s="29"/>
      <c r="J3746" s="29"/>
      <c r="K3746" s="29"/>
      <c r="L3746" s="29"/>
      <c r="M3746" s="29"/>
    </row>
    <row r="3747" spans="1:13" ht="112.5" customHeight="1" x14ac:dyDescent="0.15">
      <c r="A3747" s="69">
        <v>3836</v>
      </c>
      <c r="B3747" s="32" t="s">
        <v>3818</v>
      </c>
      <c r="C3747" s="32" t="s">
        <v>14595</v>
      </c>
      <c r="D3747" s="56" t="s">
        <v>14596</v>
      </c>
      <c r="E3747" s="68"/>
      <c r="F3747" s="59"/>
      <c r="G3747" s="62" t="s">
        <v>14597</v>
      </c>
      <c r="H3747" s="59">
        <v>307</v>
      </c>
      <c r="I3747" s="29"/>
      <c r="J3747" s="29"/>
      <c r="K3747" s="29"/>
      <c r="L3747" s="29"/>
      <c r="M3747" s="29"/>
    </row>
    <row r="3748" spans="1:13" ht="112.5" customHeight="1" x14ac:dyDescent="0.15">
      <c r="A3748" s="69">
        <v>3834</v>
      </c>
      <c r="B3748" s="32" t="s">
        <v>3556</v>
      </c>
      <c r="C3748" s="32" t="s">
        <v>14598</v>
      </c>
      <c r="D3748" s="56" t="s">
        <v>14599</v>
      </c>
      <c r="E3748" s="68"/>
      <c r="F3748" s="59"/>
      <c r="G3748" s="58" t="s">
        <v>14600</v>
      </c>
      <c r="H3748" s="59">
        <v>0</v>
      </c>
      <c r="I3748" s="29"/>
      <c r="J3748" s="29"/>
      <c r="K3748" s="29"/>
      <c r="L3748" s="29"/>
      <c r="M3748" s="29"/>
    </row>
    <row r="3749" spans="1:13" ht="112.5" customHeight="1" x14ac:dyDescent="0.15">
      <c r="A3749" s="67">
        <v>3833</v>
      </c>
      <c r="B3749" s="33" t="s">
        <v>12428</v>
      </c>
      <c r="C3749" s="33" t="s">
        <v>14601</v>
      </c>
      <c r="D3749" s="61" t="s">
        <v>14602</v>
      </c>
      <c r="E3749" s="68"/>
      <c r="F3749" s="59"/>
      <c r="G3749" s="62" t="s">
        <v>14603</v>
      </c>
      <c r="H3749" s="59">
        <v>109.76</v>
      </c>
      <c r="I3749" s="29"/>
      <c r="J3749" s="29"/>
      <c r="K3749" s="29"/>
      <c r="L3749" s="29"/>
      <c r="M3749" s="29"/>
    </row>
    <row r="3750" spans="1:13" ht="112.5" customHeight="1" x14ac:dyDescent="0.15">
      <c r="A3750" s="69">
        <v>3832</v>
      </c>
      <c r="B3750" s="32" t="s">
        <v>12428</v>
      </c>
      <c r="C3750" s="32" t="s">
        <v>14604</v>
      </c>
      <c r="D3750" s="56" t="s">
        <v>14605</v>
      </c>
      <c r="E3750" s="68"/>
      <c r="F3750" s="59"/>
      <c r="G3750" s="58" t="s">
        <v>14606</v>
      </c>
      <c r="H3750" s="59">
        <v>0</v>
      </c>
      <c r="I3750" s="29"/>
      <c r="J3750" s="29"/>
      <c r="K3750" s="29"/>
      <c r="L3750" s="29"/>
      <c r="M3750" s="29"/>
    </row>
    <row r="3751" spans="1:13" ht="112.5" customHeight="1" x14ac:dyDescent="0.15">
      <c r="A3751" s="69">
        <v>54</v>
      </c>
      <c r="B3751" s="32" t="s">
        <v>3533</v>
      </c>
      <c r="C3751" s="32" t="s">
        <v>14607</v>
      </c>
      <c r="D3751" s="56" t="s">
        <v>14608</v>
      </c>
      <c r="E3751" s="68"/>
      <c r="F3751" s="59">
        <v>42000</v>
      </c>
      <c r="G3751" s="62" t="s">
        <v>14609</v>
      </c>
      <c r="H3751" s="59">
        <v>0</v>
      </c>
      <c r="I3751" s="29"/>
      <c r="J3751" s="29"/>
      <c r="K3751" s="29"/>
      <c r="L3751" s="29"/>
      <c r="M3751" s="29"/>
    </row>
    <row r="3752" spans="1:13" ht="112.5" customHeight="1" x14ac:dyDescent="0.15">
      <c r="A3752" s="67">
        <v>85</v>
      </c>
      <c r="B3752" s="33" t="s">
        <v>12428</v>
      </c>
      <c r="C3752" s="33" t="s">
        <v>14610</v>
      </c>
      <c r="D3752" s="61" t="s">
        <v>14611</v>
      </c>
      <c r="E3752" s="68"/>
      <c r="F3752" s="59">
        <v>77000</v>
      </c>
      <c r="G3752" s="58" t="s">
        <v>14612</v>
      </c>
      <c r="H3752" s="59">
        <v>0</v>
      </c>
      <c r="I3752" s="29"/>
      <c r="J3752" s="29"/>
      <c r="K3752" s="29"/>
      <c r="L3752" s="29"/>
      <c r="M3752" s="29"/>
    </row>
    <row r="3753" spans="1:13" ht="112.5" customHeight="1" x14ac:dyDescent="0.15">
      <c r="A3753" s="69">
        <v>98</v>
      </c>
      <c r="B3753" s="32" t="s">
        <v>12428</v>
      </c>
      <c r="C3753" s="32" t="s">
        <v>14613</v>
      </c>
      <c r="D3753" s="56" t="s">
        <v>14614</v>
      </c>
      <c r="E3753" s="68"/>
      <c r="F3753" s="59">
        <v>45000</v>
      </c>
      <c r="G3753" s="62" t="s">
        <v>14615</v>
      </c>
      <c r="H3753" s="59">
        <v>1</v>
      </c>
      <c r="I3753" s="29"/>
      <c r="J3753" s="29"/>
      <c r="K3753" s="29"/>
      <c r="L3753" s="29"/>
      <c r="M3753" s="29"/>
    </row>
    <row r="3754" spans="1:13" ht="112.5" customHeight="1" x14ac:dyDescent="0.15">
      <c r="A3754" s="69">
        <v>134</v>
      </c>
      <c r="B3754" s="32" t="s">
        <v>12428</v>
      </c>
      <c r="C3754" s="32" t="s">
        <v>14616</v>
      </c>
      <c r="D3754" s="56" t="s">
        <v>14617</v>
      </c>
      <c r="E3754" s="68"/>
      <c r="F3754" s="59">
        <v>43000</v>
      </c>
      <c r="G3754" s="58" t="s">
        <v>14618</v>
      </c>
      <c r="H3754" s="59">
        <v>0</v>
      </c>
      <c r="I3754" s="29"/>
      <c r="J3754" s="29"/>
      <c r="K3754" s="29"/>
      <c r="L3754" s="29"/>
      <c r="M3754" s="29"/>
    </row>
    <row r="3755" spans="1:13" ht="112.5" customHeight="1" x14ac:dyDescent="0.15">
      <c r="A3755" s="67">
        <v>59</v>
      </c>
      <c r="B3755" s="33" t="s">
        <v>3533</v>
      </c>
      <c r="C3755" s="33" t="s">
        <v>14619</v>
      </c>
      <c r="D3755" s="61" t="s">
        <v>14620</v>
      </c>
      <c r="E3755" s="68"/>
      <c r="F3755" s="59">
        <v>52000</v>
      </c>
      <c r="G3755" s="62" t="s">
        <v>14621</v>
      </c>
      <c r="H3755" s="59">
        <v>9.1129999999999995</v>
      </c>
      <c r="I3755" s="29"/>
      <c r="J3755" s="29"/>
      <c r="K3755" s="29"/>
      <c r="L3755" s="29"/>
      <c r="M3755" s="29"/>
    </row>
    <row r="3756" spans="1:13" ht="112.5" customHeight="1" x14ac:dyDescent="0.15">
      <c r="A3756" s="69">
        <v>248</v>
      </c>
      <c r="B3756" s="32" t="s">
        <v>12428</v>
      </c>
      <c r="C3756" s="32" t="s">
        <v>14622</v>
      </c>
      <c r="D3756" s="56" t="s">
        <v>14623</v>
      </c>
      <c r="E3756" s="68"/>
      <c r="F3756" s="59"/>
      <c r="G3756" s="58" t="s">
        <v>14624</v>
      </c>
      <c r="H3756" s="59">
        <v>109.319</v>
      </c>
      <c r="I3756" s="29"/>
      <c r="J3756" s="29"/>
      <c r="K3756" s="29"/>
      <c r="L3756" s="29"/>
      <c r="M3756" s="29"/>
    </row>
    <row r="3757" spans="1:13" ht="112.5" customHeight="1" x14ac:dyDescent="0.15">
      <c r="A3757" s="69">
        <v>3828</v>
      </c>
      <c r="B3757" s="32" t="s">
        <v>3533</v>
      </c>
      <c r="C3757" s="32" t="s">
        <v>14625</v>
      </c>
      <c r="D3757" s="56" t="s">
        <v>14626</v>
      </c>
      <c r="E3757" s="68"/>
      <c r="F3757" s="59"/>
      <c r="G3757" s="62" t="s">
        <v>14627</v>
      </c>
      <c r="H3757" s="59">
        <v>0</v>
      </c>
      <c r="I3757" s="29"/>
      <c r="J3757" s="29"/>
      <c r="K3757" s="29"/>
      <c r="L3757" s="29"/>
      <c r="M3757" s="29"/>
    </row>
    <row r="3758" spans="1:13" ht="112.5" customHeight="1" x14ac:dyDescent="0.15">
      <c r="A3758" s="67">
        <v>247</v>
      </c>
      <c r="B3758" s="33" t="s">
        <v>12428</v>
      </c>
      <c r="C3758" s="33" t="s">
        <v>14628</v>
      </c>
      <c r="D3758" s="61" t="s">
        <v>14629</v>
      </c>
      <c r="E3758" s="68"/>
      <c r="F3758" s="59"/>
      <c r="G3758" s="64" t="s">
        <v>14630</v>
      </c>
      <c r="H3758" s="59">
        <v>93</v>
      </c>
    </row>
    <row r="3759" spans="1:13" ht="112.5" customHeight="1" x14ac:dyDescent="0.15">
      <c r="A3759" s="69">
        <v>92</v>
      </c>
      <c r="B3759" s="32" t="s">
        <v>12428</v>
      </c>
      <c r="C3759" s="32" t="s">
        <v>14631</v>
      </c>
      <c r="D3759" s="56" t="s">
        <v>14632</v>
      </c>
      <c r="E3759" s="68"/>
      <c r="F3759" s="59">
        <v>47000</v>
      </c>
      <c r="G3759" s="62" t="s">
        <v>14633</v>
      </c>
      <c r="H3759" s="59">
        <v>0</v>
      </c>
      <c r="I3759" s="29"/>
      <c r="J3759" s="29"/>
      <c r="K3759" s="29"/>
      <c r="L3759" s="29"/>
      <c r="M3759" s="29"/>
    </row>
    <row r="3760" spans="1:13" ht="112.5" customHeight="1" x14ac:dyDescent="0.15">
      <c r="A3760" s="67">
        <v>1911</v>
      </c>
      <c r="B3760" s="33" t="s">
        <v>3492</v>
      </c>
      <c r="C3760" s="33" t="s">
        <v>14634</v>
      </c>
      <c r="D3760" s="61" t="s">
        <v>14635</v>
      </c>
      <c r="E3760" s="68"/>
      <c r="F3760" s="59"/>
      <c r="G3760" s="58" t="s">
        <v>14636</v>
      </c>
      <c r="H3760" s="59">
        <v>0</v>
      </c>
      <c r="I3760" s="29"/>
      <c r="J3760" s="29"/>
      <c r="K3760" s="29"/>
      <c r="L3760" s="29"/>
      <c r="M3760" s="29"/>
    </row>
    <row r="3761" spans="1:13" ht="112.5" customHeight="1" x14ac:dyDescent="0.15">
      <c r="A3761" s="69">
        <v>28</v>
      </c>
      <c r="B3761" s="32" t="s">
        <v>3822</v>
      </c>
      <c r="C3761" s="32" t="s">
        <v>14637</v>
      </c>
      <c r="D3761" s="56" t="s">
        <v>14638</v>
      </c>
      <c r="E3761" s="68"/>
      <c r="F3761" s="59">
        <v>43000</v>
      </c>
      <c r="G3761" s="62" t="s">
        <v>14639</v>
      </c>
      <c r="H3761" s="59">
        <v>998</v>
      </c>
      <c r="I3761" s="29"/>
      <c r="J3761" s="29"/>
      <c r="K3761" s="29"/>
      <c r="L3761" s="29"/>
      <c r="M3761" s="29"/>
    </row>
    <row r="3762" spans="1:13" ht="112.5" customHeight="1" x14ac:dyDescent="0.15">
      <c r="A3762" s="67">
        <v>97</v>
      </c>
      <c r="B3762" s="33" t="s">
        <v>12428</v>
      </c>
      <c r="C3762" s="33" t="s">
        <v>14640</v>
      </c>
      <c r="D3762" s="61" t="s">
        <v>14641</v>
      </c>
      <c r="E3762" s="68"/>
      <c r="F3762" s="59">
        <v>55000</v>
      </c>
      <c r="G3762" s="58" t="s">
        <v>14642</v>
      </c>
      <c r="H3762" s="59">
        <v>91.605000000000004</v>
      </c>
      <c r="I3762" s="29"/>
      <c r="J3762" s="29"/>
      <c r="K3762" s="29"/>
      <c r="L3762" s="29"/>
      <c r="M3762" s="29"/>
    </row>
    <row r="3763" spans="1:13" ht="112.5" customHeight="1" x14ac:dyDescent="0.15">
      <c r="A3763" s="67">
        <v>3827</v>
      </c>
      <c r="B3763" s="33" t="s">
        <v>3876</v>
      </c>
      <c r="C3763" s="33" t="s">
        <v>14643</v>
      </c>
      <c r="D3763" s="61" t="s">
        <v>14644</v>
      </c>
      <c r="E3763" s="68"/>
      <c r="F3763" s="59"/>
      <c r="G3763" s="62" t="s">
        <v>14645</v>
      </c>
      <c r="H3763" s="59">
        <v>0</v>
      </c>
      <c r="I3763" s="29"/>
      <c r="J3763" s="29"/>
      <c r="K3763" s="29"/>
      <c r="L3763" s="29"/>
      <c r="M3763" s="29"/>
    </row>
    <row r="3764" spans="1:13" ht="112.5" customHeight="1" x14ac:dyDescent="0.15">
      <c r="A3764" s="69">
        <v>3826</v>
      </c>
      <c r="B3764" s="32" t="s">
        <v>3533</v>
      </c>
      <c r="C3764" s="32" t="s">
        <v>14646</v>
      </c>
      <c r="D3764" s="56" t="s">
        <v>14647</v>
      </c>
      <c r="E3764" s="68"/>
      <c r="F3764" s="59"/>
      <c r="G3764" s="58" t="s">
        <v>14648</v>
      </c>
      <c r="H3764" s="59">
        <v>0</v>
      </c>
      <c r="I3764" s="29"/>
      <c r="J3764" s="29"/>
      <c r="K3764" s="29"/>
      <c r="L3764" s="29"/>
      <c r="M3764" s="29"/>
    </row>
    <row r="3765" spans="1:13" ht="112.5" customHeight="1" x14ac:dyDescent="0.15">
      <c r="A3765" s="69">
        <v>120</v>
      </c>
      <c r="B3765" s="32" t="s">
        <v>12428</v>
      </c>
      <c r="C3765" s="32" t="s">
        <v>14649</v>
      </c>
      <c r="D3765" s="56" t="s">
        <v>14650</v>
      </c>
      <c r="E3765" s="68"/>
      <c r="F3765" s="59">
        <v>41000</v>
      </c>
      <c r="G3765" s="62" t="s">
        <v>14651</v>
      </c>
      <c r="H3765" s="59">
        <v>0</v>
      </c>
      <c r="I3765" s="29"/>
      <c r="J3765" s="29"/>
      <c r="K3765" s="29"/>
      <c r="L3765" s="29"/>
      <c r="M3765" s="29"/>
    </row>
    <row r="3766" spans="1:13" ht="112.5" customHeight="1" x14ac:dyDescent="0.15">
      <c r="A3766" s="69">
        <v>38</v>
      </c>
      <c r="B3766" s="32" t="s">
        <v>12428</v>
      </c>
      <c r="C3766" s="32" t="s">
        <v>14652</v>
      </c>
      <c r="D3766" s="56" t="s">
        <v>14653</v>
      </c>
      <c r="E3766" s="68"/>
      <c r="F3766" s="59">
        <v>89000</v>
      </c>
      <c r="G3766" s="58" t="s">
        <v>14654</v>
      </c>
      <c r="H3766" s="59">
        <v>99.995000000000005</v>
      </c>
      <c r="I3766" s="29"/>
      <c r="J3766" s="29"/>
      <c r="K3766" s="29"/>
      <c r="L3766" s="29"/>
      <c r="M3766" s="29"/>
    </row>
    <row r="3767" spans="1:13" ht="112.5" customHeight="1" x14ac:dyDescent="0.15">
      <c r="A3767" s="67">
        <v>3823</v>
      </c>
      <c r="B3767" s="33" t="s">
        <v>3630</v>
      </c>
      <c r="C3767" s="33" t="s">
        <v>14655</v>
      </c>
      <c r="D3767" s="61" t="s">
        <v>14656</v>
      </c>
      <c r="E3767" s="68"/>
      <c r="F3767" s="59"/>
      <c r="G3767" s="62" t="s">
        <v>14657</v>
      </c>
      <c r="H3767" s="59">
        <v>195</v>
      </c>
      <c r="I3767" s="29"/>
      <c r="J3767" s="29"/>
      <c r="K3767" s="29"/>
      <c r="L3767" s="29"/>
      <c r="M3767" s="29"/>
    </row>
    <row r="3768" spans="1:13" ht="112.5" customHeight="1" x14ac:dyDescent="0.15">
      <c r="A3768" s="69">
        <v>3822</v>
      </c>
      <c r="B3768" s="32" t="s">
        <v>3513</v>
      </c>
      <c r="C3768" s="32" t="s">
        <v>14658</v>
      </c>
      <c r="D3768" s="56" t="s">
        <v>14659</v>
      </c>
      <c r="E3768" s="68"/>
      <c r="F3768" s="59"/>
      <c r="G3768" s="58" t="s">
        <v>14660</v>
      </c>
      <c r="H3768" s="59">
        <v>0</v>
      </c>
      <c r="I3768" s="29"/>
      <c r="J3768" s="29"/>
      <c r="K3768" s="29"/>
      <c r="L3768" s="29"/>
      <c r="M3768" s="29"/>
    </row>
    <row r="3769" spans="1:13" ht="112.5" customHeight="1" x14ac:dyDescent="0.15">
      <c r="A3769" s="67">
        <v>3821</v>
      </c>
      <c r="B3769" s="33" t="s">
        <v>3801</v>
      </c>
      <c r="C3769" s="33" t="s">
        <v>14661</v>
      </c>
      <c r="D3769" s="61" t="s">
        <v>14662</v>
      </c>
      <c r="E3769" s="68"/>
      <c r="F3769" s="59"/>
      <c r="G3769" s="62" t="s">
        <v>14663</v>
      </c>
      <c r="H3769" s="59">
        <v>0</v>
      </c>
      <c r="I3769" s="29"/>
      <c r="J3769" s="29"/>
      <c r="K3769" s="29"/>
      <c r="L3769" s="29"/>
      <c r="M3769" s="29"/>
    </row>
    <row r="3770" spans="1:13" ht="112.5" customHeight="1" x14ac:dyDescent="0.15">
      <c r="A3770" s="69">
        <v>3820</v>
      </c>
      <c r="B3770" s="32" t="s">
        <v>3513</v>
      </c>
      <c r="C3770" s="32" t="s">
        <v>14664</v>
      </c>
      <c r="D3770" s="56" t="s">
        <v>14665</v>
      </c>
      <c r="E3770" s="68"/>
      <c r="F3770" s="59"/>
      <c r="G3770" s="58" t="s">
        <v>14666</v>
      </c>
      <c r="H3770" s="59">
        <v>965</v>
      </c>
      <c r="I3770" s="29"/>
      <c r="J3770" s="29"/>
      <c r="K3770" s="29"/>
      <c r="L3770" s="29"/>
      <c r="M3770" s="29"/>
    </row>
    <row r="3771" spans="1:13" ht="112.5" customHeight="1" x14ac:dyDescent="0.15">
      <c r="A3771" s="67">
        <v>3819</v>
      </c>
      <c r="B3771" s="33" t="s">
        <v>3513</v>
      </c>
      <c r="C3771" s="33" t="s">
        <v>14667</v>
      </c>
      <c r="D3771" s="61" t="s">
        <v>14668</v>
      </c>
      <c r="E3771" s="68"/>
      <c r="F3771" s="59"/>
      <c r="G3771" s="62" t="s">
        <v>14669</v>
      </c>
      <c r="H3771" s="59">
        <v>0</v>
      </c>
      <c r="I3771" s="29"/>
      <c r="J3771" s="29"/>
      <c r="K3771" s="29"/>
      <c r="L3771" s="29"/>
      <c r="M3771" s="29"/>
    </row>
    <row r="3772" spans="1:13" ht="112.5" customHeight="1" x14ac:dyDescent="0.15">
      <c r="A3772" s="69">
        <v>3818</v>
      </c>
      <c r="B3772" s="32" t="s">
        <v>12428</v>
      </c>
      <c r="C3772" s="32" t="s">
        <v>14670</v>
      </c>
      <c r="D3772" s="56" t="s">
        <v>14671</v>
      </c>
      <c r="E3772" s="68"/>
      <c r="F3772" s="59"/>
      <c r="G3772" s="58" t="s">
        <v>14672</v>
      </c>
      <c r="H3772" s="59">
        <v>0</v>
      </c>
      <c r="I3772" s="29"/>
      <c r="J3772" s="29"/>
      <c r="K3772" s="29"/>
      <c r="L3772" s="29"/>
      <c r="M3772" s="29"/>
    </row>
    <row r="3773" spans="1:13" ht="112.5" customHeight="1" x14ac:dyDescent="0.15">
      <c r="A3773" s="69">
        <v>3816</v>
      </c>
      <c r="B3773" s="32" t="s">
        <v>12428</v>
      </c>
      <c r="C3773" s="32" t="s">
        <v>14673</v>
      </c>
      <c r="D3773" s="56" t="s">
        <v>14674</v>
      </c>
      <c r="E3773" s="68"/>
      <c r="F3773" s="59"/>
      <c r="G3773" s="62" t="s">
        <v>14675</v>
      </c>
      <c r="H3773" s="59">
        <v>0</v>
      </c>
      <c r="I3773" s="29"/>
      <c r="J3773" s="29"/>
      <c r="K3773" s="29"/>
      <c r="L3773" s="29"/>
      <c r="M3773" s="29"/>
    </row>
    <row r="3774" spans="1:13" ht="112.5" customHeight="1" x14ac:dyDescent="0.15">
      <c r="A3774" s="67">
        <v>109</v>
      </c>
      <c r="B3774" s="33" t="s">
        <v>12428</v>
      </c>
      <c r="C3774" s="33" t="s">
        <v>14676</v>
      </c>
      <c r="D3774" s="61" t="s">
        <v>14677</v>
      </c>
      <c r="E3774" s="68"/>
      <c r="F3774" s="59">
        <v>295000</v>
      </c>
      <c r="G3774" s="58" t="s">
        <v>14678</v>
      </c>
      <c r="H3774" s="59">
        <v>0</v>
      </c>
      <c r="I3774" s="29"/>
      <c r="J3774" s="29"/>
      <c r="K3774" s="29"/>
      <c r="L3774" s="29"/>
      <c r="M3774" s="29"/>
    </row>
    <row r="3775" spans="1:13" ht="112.5" customHeight="1" x14ac:dyDescent="0.15">
      <c r="A3775" s="69">
        <v>3812</v>
      </c>
      <c r="B3775" s="32" t="s">
        <v>3599</v>
      </c>
      <c r="C3775" s="32" t="s">
        <v>14679</v>
      </c>
      <c r="D3775" s="56" t="s">
        <v>14680</v>
      </c>
      <c r="E3775" s="68"/>
      <c r="F3775" s="59"/>
      <c r="G3775" s="62" t="s">
        <v>14681</v>
      </c>
      <c r="H3775" s="59">
        <v>900</v>
      </c>
      <c r="I3775" s="29"/>
      <c r="J3775" s="29"/>
      <c r="K3775" s="29"/>
      <c r="L3775" s="29"/>
      <c r="M3775" s="29"/>
    </row>
    <row r="3776" spans="1:13" ht="112.5" customHeight="1" x14ac:dyDescent="0.15">
      <c r="A3776" s="67">
        <v>71</v>
      </c>
      <c r="B3776" s="33" t="s">
        <v>3814</v>
      </c>
      <c r="C3776" s="33" t="s">
        <v>14682</v>
      </c>
      <c r="D3776" s="61" t="s">
        <v>14683</v>
      </c>
      <c r="E3776" s="68"/>
      <c r="F3776" s="59">
        <v>15000</v>
      </c>
      <c r="G3776" s="58" t="s">
        <v>14684</v>
      </c>
      <c r="H3776" s="59">
        <v>12</v>
      </c>
      <c r="I3776" s="29"/>
      <c r="J3776" s="29"/>
      <c r="K3776" s="29"/>
      <c r="L3776" s="29"/>
      <c r="M3776" s="29"/>
    </row>
    <row r="3777" spans="1:13" ht="112.5" customHeight="1" x14ac:dyDescent="0.15">
      <c r="A3777" s="67">
        <v>3807</v>
      </c>
      <c r="B3777" s="33" t="s">
        <v>12428</v>
      </c>
      <c r="C3777" s="33" t="s">
        <v>14685</v>
      </c>
      <c r="D3777" s="61" t="s">
        <v>14686</v>
      </c>
      <c r="E3777" s="68"/>
      <c r="F3777" s="59"/>
      <c r="G3777" s="63" t="s">
        <v>14687</v>
      </c>
      <c r="H3777" s="59">
        <v>9.9589999999999996</v>
      </c>
    </row>
    <row r="3778" spans="1:13" ht="112.5" customHeight="1" x14ac:dyDescent="0.15">
      <c r="A3778" s="67">
        <v>143</v>
      </c>
      <c r="B3778" s="33" t="s">
        <v>12428</v>
      </c>
      <c r="C3778" s="33" t="s">
        <v>14688</v>
      </c>
      <c r="D3778" s="61" t="s">
        <v>14689</v>
      </c>
      <c r="E3778" s="68"/>
      <c r="F3778" s="59">
        <v>13000</v>
      </c>
      <c r="G3778" s="64" t="s">
        <v>14690</v>
      </c>
      <c r="H3778" s="59">
        <v>9.984</v>
      </c>
    </row>
    <row r="3779" spans="1:13" ht="112.5" customHeight="1" x14ac:dyDescent="0.15">
      <c r="A3779" s="67">
        <v>67</v>
      </c>
      <c r="B3779" s="33" t="s">
        <v>3533</v>
      </c>
      <c r="C3779" s="33" t="s">
        <v>14691</v>
      </c>
      <c r="D3779" s="61" t="s">
        <v>14692</v>
      </c>
      <c r="E3779" s="68"/>
      <c r="F3779" s="59">
        <v>39000</v>
      </c>
      <c r="G3779" s="62" t="s">
        <v>14693</v>
      </c>
      <c r="H3779" s="59">
        <v>0</v>
      </c>
      <c r="I3779" s="29"/>
      <c r="J3779" s="29"/>
      <c r="K3779" s="29"/>
      <c r="L3779" s="29"/>
      <c r="M3779" s="29"/>
    </row>
    <row r="3780" spans="1:13" ht="112.5" customHeight="1" x14ac:dyDescent="0.15">
      <c r="A3780" s="67">
        <v>3805</v>
      </c>
      <c r="B3780" s="33" t="s">
        <v>12428</v>
      </c>
      <c r="C3780" s="33" t="s">
        <v>14694</v>
      </c>
      <c r="D3780" s="61" t="s">
        <v>14695</v>
      </c>
      <c r="E3780" s="68"/>
      <c r="F3780" s="59"/>
      <c r="G3780" s="58" t="s">
        <v>14696</v>
      </c>
      <c r="H3780" s="59">
        <v>0</v>
      </c>
      <c r="I3780" s="29"/>
      <c r="J3780" s="29"/>
      <c r="K3780" s="29"/>
      <c r="L3780" s="29"/>
      <c r="M3780" s="29"/>
    </row>
    <row r="3781" spans="1:13" ht="112.5" customHeight="1" x14ac:dyDescent="0.15">
      <c r="A3781" s="69">
        <v>3804</v>
      </c>
      <c r="B3781" s="32" t="s">
        <v>12428</v>
      </c>
      <c r="C3781" s="32" t="s">
        <v>14697</v>
      </c>
      <c r="D3781" s="56" t="s">
        <v>14698</v>
      </c>
      <c r="E3781" s="68"/>
      <c r="F3781" s="59"/>
      <c r="G3781" s="62" t="s">
        <v>14699</v>
      </c>
      <c r="H3781" s="59">
        <v>99.933000000000007</v>
      </c>
      <c r="I3781" s="29"/>
      <c r="J3781" s="29"/>
      <c r="K3781" s="29"/>
      <c r="L3781" s="29"/>
      <c r="M3781" s="29"/>
    </row>
    <row r="3782" spans="1:13" ht="112.5" customHeight="1" x14ac:dyDescent="0.15">
      <c r="A3782" s="67">
        <v>3803</v>
      </c>
      <c r="B3782" s="33" t="s">
        <v>12428</v>
      </c>
      <c r="C3782" s="33" t="s">
        <v>14700</v>
      </c>
      <c r="D3782" s="61" t="s">
        <v>14701</v>
      </c>
      <c r="E3782" s="68"/>
      <c r="F3782" s="59"/>
      <c r="G3782" s="58" t="s">
        <v>14702</v>
      </c>
      <c r="H3782" s="59">
        <v>99.957999999999998</v>
      </c>
      <c r="I3782" s="29"/>
      <c r="J3782" s="29"/>
      <c r="K3782" s="29"/>
      <c r="L3782" s="29"/>
      <c r="M3782" s="29"/>
    </row>
    <row r="3783" spans="1:13" ht="112.5" customHeight="1" x14ac:dyDescent="0.15">
      <c r="A3783" s="69">
        <v>2522</v>
      </c>
      <c r="B3783" s="32" t="s">
        <v>3526</v>
      </c>
      <c r="C3783" s="32" t="s">
        <v>14703</v>
      </c>
      <c r="D3783" s="56" t="s">
        <v>14704</v>
      </c>
      <c r="E3783" s="68"/>
      <c r="F3783" s="59"/>
      <c r="G3783" s="62" t="s">
        <v>14705</v>
      </c>
      <c r="H3783" s="59">
        <v>100</v>
      </c>
      <c r="I3783" s="29"/>
      <c r="J3783" s="29"/>
      <c r="K3783" s="29"/>
      <c r="L3783" s="29"/>
      <c r="M3783" s="29"/>
    </row>
    <row r="3784" spans="1:13" ht="112.5" customHeight="1" x14ac:dyDescent="0.15">
      <c r="A3784" s="69">
        <v>252</v>
      </c>
      <c r="B3784" s="32" t="s">
        <v>12428</v>
      </c>
      <c r="C3784" s="32" t="s">
        <v>14706</v>
      </c>
      <c r="D3784" s="56" t="s">
        <v>14707</v>
      </c>
      <c r="E3784" s="68"/>
      <c r="F3784" s="59"/>
      <c r="G3784" s="58" t="s">
        <v>14708</v>
      </c>
      <c r="H3784" s="59">
        <v>99.974999999999994</v>
      </c>
      <c r="I3784" s="29"/>
      <c r="J3784" s="29"/>
      <c r="K3784" s="29"/>
      <c r="L3784" s="29"/>
      <c r="M3784" s="29"/>
    </row>
    <row r="3785" spans="1:13" ht="112.5" customHeight="1" x14ac:dyDescent="0.15">
      <c r="A3785" s="69">
        <v>3802</v>
      </c>
      <c r="B3785" s="32" t="s">
        <v>3818</v>
      </c>
      <c r="C3785" s="32" t="s">
        <v>14709</v>
      </c>
      <c r="D3785" s="56" t="s">
        <v>14710</v>
      </c>
      <c r="E3785" s="68"/>
      <c r="F3785" s="59"/>
      <c r="G3785" s="63" t="s">
        <v>14711</v>
      </c>
      <c r="H3785" s="59">
        <v>9.9960000000000004</v>
      </c>
    </row>
    <row r="3786" spans="1:13" ht="112.5" customHeight="1" x14ac:dyDescent="0.15">
      <c r="A3786" s="67">
        <v>3799</v>
      </c>
      <c r="B3786" s="33" t="s">
        <v>3818</v>
      </c>
      <c r="C3786" s="33" t="s">
        <v>14712</v>
      </c>
      <c r="D3786" s="61" t="s">
        <v>14713</v>
      </c>
      <c r="E3786" s="68"/>
      <c r="F3786" s="59"/>
      <c r="G3786" s="58" t="s">
        <v>14714</v>
      </c>
      <c r="H3786" s="59">
        <v>100</v>
      </c>
      <c r="I3786" s="29"/>
      <c r="J3786" s="29"/>
      <c r="K3786" s="29"/>
      <c r="L3786" s="29"/>
      <c r="M3786" s="29"/>
    </row>
    <row r="3787" spans="1:13" ht="112.5" customHeight="1" x14ac:dyDescent="0.15">
      <c r="A3787" s="69">
        <v>48</v>
      </c>
      <c r="B3787" s="32" t="s">
        <v>12428</v>
      </c>
      <c r="C3787" s="32" t="s">
        <v>14715</v>
      </c>
      <c r="D3787" s="56" t="s">
        <v>14716</v>
      </c>
      <c r="E3787" s="68"/>
      <c r="F3787" s="59">
        <v>66000</v>
      </c>
      <c r="G3787" s="63" t="s">
        <v>14717</v>
      </c>
      <c r="H3787" s="59">
        <v>9.9380000000000006</v>
      </c>
    </row>
    <row r="3788" spans="1:13" ht="112.5" customHeight="1" x14ac:dyDescent="0.15">
      <c r="A3788" s="67">
        <v>61</v>
      </c>
      <c r="B3788" s="33" t="s">
        <v>3496</v>
      </c>
      <c r="C3788" s="33" t="s">
        <v>14718</v>
      </c>
      <c r="D3788" s="61" t="s">
        <v>14719</v>
      </c>
      <c r="E3788" s="68"/>
      <c r="F3788" s="59">
        <v>67000</v>
      </c>
      <c r="G3788" s="58" t="s">
        <v>14720</v>
      </c>
      <c r="H3788" s="59">
        <v>0</v>
      </c>
      <c r="I3788" s="29"/>
      <c r="J3788" s="29"/>
      <c r="K3788" s="29"/>
      <c r="L3788" s="29"/>
      <c r="M3788" s="29"/>
    </row>
    <row r="3789" spans="1:13" ht="112.5" customHeight="1" x14ac:dyDescent="0.15">
      <c r="A3789" s="69">
        <v>70</v>
      </c>
      <c r="B3789" s="32" t="s">
        <v>3513</v>
      </c>
      <c r="C3789" s="32" t="s">
        <v>14721</v>
      </c>
      <c r="D3789" s="56" t="s">
        <v>14722</v>
      </c>
      <c r="E3789" s="68"/>
      <c r="F3789" s="59">
        <v>26000</v>
      </c>
      <c r="G3789" s="62" t="s">
        <v>14723</v>
      </c>
      <c r="H3789" s="59">
        <v>0</v>
      </c>
      <c r="I3789" s="29"/>
      <c r="J3789" s="29"/>
      <c r="K3789" s="29"/>
      <c r="L3789" s="29"/>
      <c r="M3789" s="29"/>
    </row>
    <row r="3790" spans="1:13" ht="112.5" customHeight="1" x14ac:dyDescent="0.15">
      <c r="A3790" s="69">
        <v>3796</v>
      </c>
      <c r="B3790" s="32" t="s">
        <v>12428</v>
      </c>
      <c r="C3790" s="32" t="s">
        <v>14724</v>
      </c>
      <c r="D3790" s="56" t="s">
        <v>14725</v>
      </c>
      <c r="E3790" s="68"/>
      <c r="F3790" s="59"/>
      <c r="G3790" s="58" t="s">
        <v>14726</v>
      </c>
      <c r="H3790" s="59">
        <v>0</v>
      </c>
      <c r="I3790" s="29"/>
      <c r="J3790" s="29"/>
      <c r="K3790" s="29"/>
      <c r="L3790" s="29"/>
      <c r="M3790" s="29"/>
    </row>
    <row r="3791" spans="1:13" ht="112.5" customHeight="1" x14ac:dyDescent="0.15">
      <c r="A3791" s="67">
        <v>3795</v>
      </c>
      <c r="B3791" s="33" t="s">
        <v>3822</v>
      </c>
      <c r="C3791" s="33" t="s">
        <v>14727</v>
      </c>
      <c r="D3791" s="61" t="s">
        <v>14728</v>
      </c>
      <c r="E3791" s="68"/>
      <c r="F3791" s="59"/>
      <c r="G3791" s="62" t="s">
        <v>14729</v>
      </c>
      <c r="H3791" s="59">
        <v>0</v>
      </c>
      <c r="I3791" s="29"/>
      <c r="J3791" s="29"/>
      <c r="K3791" s="29"/>
      <c r="L3791" s="29"/>
      <c r="M3791" s="29"/>
    </row>
    <row r="3792" spans="1:13" ht="112.5" customHeight="1" x14ac:dyDescent="0.15">
      <c r="A3792" s="69">
        <v>3794</v>
      </c>
      <c r="B3792" s="32" t="s">
        <v>3822</v>
      </c>
      <c r="C3792" s="32" t="s">
        <v>14730</v>
      </c>
      <c r="D3792" s="56" t="s">
        <v>14731</v>
      </c>
      <c r="E3792" s="68"/>
      <c r="F3792" s="59"/>
      <c r="G3792" s="58" t="s">
        <v>14732</v>
      </c>
      <c r="H3792" s="59">
        <v>456</v>
      </c>
      <c r="I3792" s="29"/>
      <c r="J3792" s="29"/>
      <c r="K3792" s="29"/>
      <c r="L3792" s="29"/>
      <c r="M3792" s="29"/>
    </row>
    <row r="3793" spans="1:13" ht="112.5" customHeight="1" x14ac:dyDescent="0.15">
      <c r="A3793" s="67">
        <v>3793</v>
      </c>
      <c r="B3793" s="33" t="s">
        <v>3513</v>
      </c>
      <c r="C3793" s="33" t="s">
        <v>14733</v>
      </c>
      <c r="D3793" s="61" t="s">
        <v>14734</v>
      </c>
      <c r="E3793" s="68"/>
      <c r="F3793" s="59"/>
      <c r="G3793" s="62" t="s">
        <v>14735</v>
      </c>
      <c r="H3793" s="59">
        <v>628</v>
      </c>
      <c r="I3793" s="29"/>
      <c r="J3793" s="29"/>
      <c r="K3793" s="29"/>
      <c r="L3793" s="29"/>
      <c r="M3793" s="29"/>
    </row>
    <row r="3794" spans="1:13" ht="112.5" customHeight="1" x14ac:dyDescent="0.15">
      <c r="A3794" s="67">
        <v>173</v>
      </c>
      <c r="B3794" s="33" t="s">
        <v>3876</v>
      </c>
      <c r="C3794" s="33" t="s">
        <v>14736</v>
      </c>
      <c r="D3794" s="61" t="s">
        <v>14737</v>
      </c>
      <c r="E3794" s="68"/>
      <c r="F3794" s="59">
        <v>52000</v>
      </c>
      <c r="G3794" s="58" t="s">
        <v>14738</v>
      </c>
      <c r="H3794" s="59">
        <v>527</v>
      </c>
      <c r="I3794" s="29"/>
      <c r="J3794" s="29"/>
      <c r="K3794" s="29"/>
      <c r="L3794" s="29"/>
      <c r="M3794" s="29"/>
    </row>
    <row r="3795" spans="1:13" ht="112.5" customHeight="1" x14ac:dyDescent="0.15">
      <c r="A3795" s="69">
        <v>16</v>
      </c>
      <c r="B3795" s="32" t="s">
        <v>3749</v>
      </c>
      <c r="C3795" s="32" t="s">
        <v>14739</v>
      </c>
      <c r="D3795" s="56" t="s">
        <v>14740</v>
      </c>
      <c r="E3795" s="68"/>
      <c r="F3795" s="59">
        <v>162000</v>
      </c>
      <c r="G3795" s="62" t="s">
        <v>14741</v>
      </c>
      <c r="H3795" s="59">
        <v>9.3580000000000005</v>
      </c>
      <c r="I3795" s="29"/>
      <c r="J3795" s="29"/>
      <c r="K3795" s="29"/>
      <c r="L3795" s="29"/>
      <c r="M3795" s="29"/>
    </row>
    <row r="3796" spans="1:13" ht="112.5" customHeight="1" x14ac:dyDescent="0.15">
      <c r="A3796" s="69">
        <v>136</v>
      </c>
      <c r="B3796" s="32" t="s">
        <v>12428</v>
      </c>
      <c r="C3796" s="32" t="s">
        <v>14742</v>
      </c>
      <c r="D3796" s="56" t="s">
        <v>14743</v>
      </c>
      <c r="E3796" s="68"/>
      <c r="F3796" s="59">
        <v>80000</v>
      </c>
      <c r="G3796" s="58" t="s">
        <v>14744</v>
      </c>
      <c r="H3796" s="59">
        <v>99.828999999999994</v>
      </c>
      <c r="I3796" s="29"/>
      <c r="J3796" s="29"/>
      <c r="K3796" s="29"/>
      <c r="L3796" s="29"/>
      <c r="M3796" s="29"/>
    </row>
    <row r="3797" spans="1:13" ht="112.5" customHeight="1" x14ac:dyDescent="0.15">
      <c r="A3797" s="67">
        <v>3789</v>
      </c>
      <c r="B3797" s="33" t="s">
        <v>12428</v>
      </c>
      <c r="C3797" s="33" t="s">
        <v>14745</v>
      </c>
      <c r="D3797" s="61" t="s">
        <v>14746</v>
      </c>
      <c r="E3797" s="68"/>
      <c r="F3797" s="59"/>
      <c r="G3797" s="62" t="s">
        <v>14747</v>
      </c>
      <c r="H3797" s="59">
        <v>0</v>
      </c>
      <c r="I3797" s="29"/>
      <c r="J3797" s="29"/>
      <c r="K3797" s="29"/>
      <c r="L3797" s="29"/>
      <c r="M3797" s="29"/>
    </row>
    <row r="3798" spans="1:13" ht="112.5" customHeight="1" x14ac:dyDescent="0.15">
      <c r="A3798" s="67">
        <v>83</v>
      </c>
      <c r="B3798" s="33" t="s">
        <v>3822</v>
      </c>
      <c r="C3798" s="33" t="s">
        <v>14748</v>
      </c>
      <c r="D3798" s="61" t="s">
        <v>14749</v>
      </c>
      <c r="E3798" s="68"/>
      <c r="F3798" s="59">
        <v>14000</v>
      </c>
      <c r="G3798" s="58" t="s">
        <v>14750</v>
      </c>
      <c r="H3798" s="59">
        <v>0</v>
      </c>
      <c r="I3798" s="29"/>
      <c r="J3798" s="29"/>
      <c r="K3798" s="29"/>
      <c r="L3798" s="29"/>
      <c r="M3798" s="29"/>
    </row>
    <row r="3799" spans="1:13" ht="112.5" customHeight="1" x14ac:dyDescent="0.15">
      <c r="A3799" s="67">
        <v>3785</v>
      </c>
      <c r="B3799" s="33" t="s">
        <v>12428</v>
      </c>
      <c r="C3799" s="33" t="s">
        <v>14751</v>
      </c>
      <c r="D3799" s="61" t="s">
        <v>14752</v>
      </c>
      <c r="E3799" s="68"/>
      <c r="F3799" s="59"/>
      <c r="G3799" s="62" t="s">
        <v>14753</v>
      </c>
      <c r="H3799" s="59">
        <v>0</v>
      </c>
      <c r="I3799" s="29"/>
      <c r="J3799" s="29"/>
      <c r="K3799" s="29"/>
      <c r="L3799" s="29"/>
      <c r="M3799" s="29"/>
    </row>
    <row r="3800" spans="1:13" ht="112.5" customHeight="1" x14ac:dyDescent="0.15">
      <c r="A3800" s="69">
        <v>162</v>
      </c>
      <c r="B3800" s="32" t="s">
        <v>12428</v>
      </c>
      <c r="C3800" s="32" t="s">
        <v>14754</v>
      </c>
      <c r="D3800" s="56" t="s">
        <v>14755</v>
      </c>
      <c r="E3800" s="68"/>
      <c r="F3800" s="59">
        <v>119000</v>
      </c>
      <c r="G3800" s="58" t="s">
        <v>14756</v>
      </c>
      <c r="H3800" s="59">
        <v>0</v>
      </c>
      <c r="I3800" s="29"/>
      <c r="J3800" s="29"/>
      <c r="K3800" s="29"/>
      <c r="L3800" s="29"/>
      <c r="M3800" s="29"/>
    </row>
    <row r="3801" spans="1:13" ht="112.5" customHeight="1" x14ac:dyDescent="0.15">
      <c r="A3801" s="69">
        <v>3486</v>
      </c>
      <c r="B3801" s="32" t="s">
        <v>12428</v>
      </c>
      <c r="C3801" s="32" t="s">
        <v>14757</v>
      </c>
      <c r="D3801" s="56" t="s">
        <v>14758</v>
      </c>
      <c r="E3801" s="68"/>
      <c r="F3801" s="59"/>
      <c r="G3801" s="62" t="s">
        <v>14759</v>
      </c>
      <c r="H3801" s="59">
        <v>0</v>
      </c>
      <c r="I3801" s="29"/>
      <c r="J3801" s="29"/>
      <c r="K3801" s="29"/>
      <c r="L3801" s="29"/>
      <c r="M3801" s="29"/>
    </row>
    <row r="3802" spans="1:13" ht="112.5" customHeight="1" x14ac:dyDescent="0.15">
      <c r="A3802" s="69">
        <v>3782</v>
      </c>
      <c r="B3802" s="32" t="s">
        <v>12428</v>
      </c>
      <c r="C3802" s="32" t="s">
        <v>14760</v>
      </c>
      <c r="D3802" s="56" t="s">
        <v>14761</v>
      </c>
      <c r="E3802" s="68"/>
      <c r="F3802" s="59"/>
      <c r="G3802" s="58" t="s">
        <v>14762</v>
      </c>
      <c r="H3802" s="59">
        <v>95</v>
      </c>
      <c r="I3802" s="29"/>
      <c r="J3802" s="29"/>
      <c r="K3802" s="29"/>
      <c r="L3802" s="29"/>
      <c r="M3802" s="29"/>
    </row>
    <row r="3803" spans="1:13" ht="112.5" customHeight="1" x14ac:dyDescent="0.15">
      <c r="A3803" s="67">
        <v>3781</v>
      </c>
      <c r="B3803" s="33" t="s">
        <v>12428</v>
      </c>
      <c r="C3803" s="33" t="s">
        <v>14763</v>
      </c>
      <c r="D3803" s="61" t="s">
        <v>14764</v>
      </c>
      <c r="E3803" s="68"/>
      <c r="F3803" s="59"/>
      <c r="G3803" s="62" t="s">
        <v>14765</v>
      </c>
      <c r="H3803" s="59">
        <v>863</v>
      </c>
      <c r="I3803" s="29"/>
      <c r="J3803" s="29"/>
      <c r="K3803" s="29"/>
      <c r="L3803" s="29"/>
      <c r="M3803" s="29"/>
    </row>
    <row r="3804" spans="1:13" ht="112.5" customHeight="1" x14ac:dyDescent="0.15">
      <c r="A3804" s="69">
        <v>3780</v>
      </c>
      <c r="B3804" s="32" t="s">
        <v>12428</v>
      </c>
      <c r="C3804" s="32" t="s">
        <v>14766</v>
      </c>
      <c r="D3804" s="56" t="s">
        <v>14767</v>
      </c>
      <c r="E3804" s="68"/>
      <c r="F3804" s="59"/>
      <c r="G3804" s="58" t="s">
        <v>14768</v>
      </c>
      <c r="H3804" s="59">
        <v>99.997</v>
      </c>
      <c r="I3804" s="29"/>
      <c r="J3804" s="29"/>
      <c r="K3804" s="29"/>
      <c r="L3804" s="29"/>
      <c r="M3804" s="29"/>
    </row>
    <row r="3805" spans="1:13" ht="112.5" customHeight="1" x14ac:dyDescent="0.15">
      <c r="A3805" s="67">
        <v>3779</v>
      </c>
      <c r="B3805" s="33" t="s">
        <v>12428</v>
      </c>
      <c r="C3805" s="33" t="s">
        <v>14769</v>
      </c>
      <c r="D3805" s="61" t="s">
        <v>14770</v>
      </c>
      <c r="E3805" s="68"/>
      <c r="F3805" s="59"/>
      <c r="G3805" s="62" t="s">
        <v>14771</v>
      </c>
      <c r="H3805" s="59">
        <v>99.762</v>
      </c>
      <c r="I3805" s="29"/>
      <c r="J3805" s="29"/>
      <c r="K3805" s="29"/>
      <c r="L3805" s="29"/>
      <c r="M3805" s="29"/>
    </row>
    <row r="3806" spans="1:13" ht="112.5" customHeight="1" x14ac:dyDescent="0.15">
      <c r="A3806" s="69">
        <v>3774</v>
      </c>
      <c r="B3806" s="32" t="s">
        <v>3822</v>
      </c>
      <c r="C3806" s="32" t="s">
        <v>14772</v>
      </c>
      <c r="D3806" s="56" t="s">
        <v>14773</v>
      </c>
      <c r="E3806" s="68"/>
      <c r="F3806" s="59"/>
      <c r="G3806" s="58" t="s">
        <v>14774</v>
      </c>
      <c r="H3806" s="59">
        <v>0</v>
      </c>
      <c r="I3806" s="29"/>
      <c r="J3806" s="29"/>
      <c r="K3806" s="29"/>
      <c r="L3806" s="29"/>
      <c r="M3806" s="29"/>
    </row>
    <row r="3807" spans="1:13" ht="112.5" customHeight="1" x14ac:dyDescent="0.15">
      <c r="A3807" s="67">
        <v>459</v>
      </c>
      <c r="B3807" s="33" t="s">
        <v>12428</v>
      </c>
      <c r="C3807" s="33" t="s">
        <v>14775</v>
      </c>
      <c r="D3807" s="61" t="s">
        <v>14776</v>
      </c>
      <c r="E3807" s="68"/>
      <c r="F3807" s="59"/>
      <c r="G3807" s="62" t="s">
        <v>14777</v>
      </c>
      <c r="H3807" s="59">
        <v>0</v>
      </c>
      <c r="I3807" s="29"/>
      <c r="J3807" s="29"/>
      <c r="K3807" s="29"/>
      <c r="L3807" s="29"/>
      <c r="M3807" s="29"/>
    </row>
    <row r="3808" spans="1:13" ht="112.5" customHeight="1" x14ac:dyDescent="0.15">
      <c r="A3808" s="67">
        <v>221</v>
      </c>
      <c r="B3808" s="33" t="s">
        <v>12428</v>
      </c>
      <c r="C3808" s="33" t="s">
        <v>14778</v>
      </c>
      <c r="D3808" s="61" t="s">
        <v>14779</v>
      </c>
      <c r="E3808" s="68"/>
      <c r="F3808" s="59"/>
      <c r="G3808" s="58" t="s">
        <v>14780</v>
      </c>
      <c r="H3808" s="59">
        <v>0</v>
      </c>
      <c r="I3808" s="29"/>
      <c r="J3808" s="29"/>
      <c r="K3808" s="29"/>
      <c r="L3808" s="29"/>
      <c r="M3808" s="29"/>
    </row>
    <row r="3809" spans="1:13" ht="112.5" customHeight="1" x14ac:dyDescent="0.15">
      <c r="A3809" s="67">
        <v>15</v>
      </c>
      <c r="B3809" s="33" t="s">
        <v>3599</v>
      </c>
      <c r="C3809" s="33" t="s">
        <v>14781</v>
      </c>
      <c r="D3809" s="61" t="s">
        <v>14782</v>
      </c>
      <c r="E3809" s="68"/>
      <c r="F3809" s="59">
        <v>137000</v>
      </c>
      <c r="G3809" s="62" t="s">
        <v>14783</v>
      </c>
      <c r="H3809" s="59">
        <v>986</v>
      </c>
      <c r="I3809" s="29"/>
      <c r="J3809" s="29"/>
      <c r="K3809" s="29"/>
      <c r="L3809" s="29"/>
      <c r="M3809" s="29"/>
    </row>
    <row r="3810" spans="1:13" ht="112.5" customHeight="1" x14ac:dyDescent="0.15">
      <c r="A3810" s="69">
        <v>142</v>
      </c>
      <c r="B3810" s="32" t="s">
        <v>3492</v>
      </c>
      <c r="C3810" s="32" t="s">
        <v>14784</v>
      </c>
      <c r="D3810" s="56" t="s">
        <v>14785</v>
      </c>
      <c r="E3810" s="68"/>
      <c r="F3810" s="59">
        <v>70000</v>
      </c>
      <c r="G3810" s="58" t="s">
        <v>14786</v>
      </c>
      <c r="H3810" s="59" t="s">
        <v>4171</v>
      </c>
      <c r="I3810" s="29"/>
      <c r="J3810" s="29"/>
      <c r="K3810" s="29"/>
      <c r="L3810" s="29"/>
      <c r="M3810" s="29"/>
    </row>
    <row r="3811" spans="1:13" ht="112.5" customHeight="1" x14ac:dyDescent="0.15">
      <c r="A3811" s="67">
        <v>3771</v>
      </c>
      <c r="B3811" s="33" t="s">
        <v>12428</v>
      </c>
      <c r="C3811" s="33" t="s">
        <v>14787</v>
      </c>
      <c r="D3811" s="61" t="s">
        <v>14788</v>
      </c>
      <c r="E3811" s="68"/>
      <c r="F3811" s="59"/>
      <c r="G3811" s="62" t="s">
        <v>14789</v>
      </c>
      <c r="H3811" s="59">
        <v>0</v>
      </c>
      <c r="I3811" s="29"/>
      <c r="J3811" s="29"/>
      <c r="K3811" s="29"/>
      <c r="L3811" s="29"/>
      <c r="M3811" s="29"/>
    </row>
    <row r="3812" spans="1:13" ht="112.5" customHeight="1" x14ac:dyDescent="0.15">
      <c r="A3812" s="67">
        <v>73</v>
      </c>
      <c r="B3812" s="33" t="s">
        <v>3513</v>
      </c>
      <c r="C3812" s="33" t="s">
        <v>14790</v>
      </c>
      <c r="D3812" s="61" t="s">
        <v>14791</v>
      </c>
      <c r="E3812" s="68"/>
      <c r="F3812" s="59">
        <v>18500</v>
      </c>
      <c r="G3812" s="58" t="s">
        <v>14792</v>
      </c>
      <c r="H3812" s="59">
        <v>0</v>
      </c>
      <c r="I3812" s="29"/>
      <c r="J3812" s="29"/>
      <c r="K3812" s="29"/>
      <c r="L3812" s="29"/>
      <c r="M3812" s="29"/>
    </row>
    <row r="3813" spans="1:13" ht="112.5" customHeight="1" x14ac:dyDescent="0.15">
      <c r="A3813" s="69">
        <v>3438</v>
      </c>
      <c r="B3813" s="32" t="s">
        <v>3513</v>
      </c>
      <c r="C3813" s="32" t="s">
        <v>14793</v>
      </c>
      <c r="D3813" s="56" t="s">
        <v>14794</v>
      </c>
      <c r="E3813" s="68"/>
      <c r="F3813" s="59"/>
      <c r="G3813" s="62" t="s">
        <v>14795</v>
      </c>
      <c r="H3813" s="59">
        <v>0</v>
      </c>
      <c r="I3813" s="29"/>
      <c r="J3813" s="29"/>
      <c r="K3813" s="29"/>
      <c r="L3813" s="29"/>
      <c r="M3813" s="29"/>
    </row>
    <row r="3814" spans="1:13" ht="112.5" customHeight="1" x14ac:dyDescent="0.15">
      <c r="A3814" s="69">
        <v>3770</v>
      </c>
      <c r="B3814" s="32" t="s">
        <v>3822</v>
      </c>
      <c r="C3814" s="32" t="s">
        <v>14796</v>
      </c>
      <c r="D3814" s="56" t="s">
        <v>14797</v>
      </c>
      <c r="E3814" s="68"/>
      <c r="F3814" s="59"/>
      <c r="G3814" s="58" t="s">
        <v>14798</v>
      </c>
      <c r="H3814" s="59">
        <v>0</v>
      </c>
      <c r="I3814" s="29"/>
      <c r="J3814" s="29"/>
      <c r="K3814" s="29"/>
      <c r="L3814" s="29"/>
      <c r="M3814" s="29"/>
    </row>
    <row r="3815" spans="1:13" ht="112.5" customHeight="1" x14ac:dyDescent="0.15">
      <c r="A3815" s="67">
        <v>3767</v>
      </c>
      <c r="B3815" s="33" t="s">
        <v>3496</v>
      </c>
      <c r="C3815" s="33" t="s">
        <v>14799</v>
      </c>
      <c r="D3815" s="61" t="s">
        <v>14800</v>
      </c>
      <c r="E3815" s="68"/>
      <c r="F3815" s="59"/>
      <c r="G3815" s="62" t="s">
        <v>14801</v>
      </c>
      <c r="H3815" s="59">
        <v>0</v>
      </c>
      <c r="I3815" s="29"/>
      <c r="J3815" s="29"/>
      <c r="K3815" s="29"/>
      <c r="L3815" s="29"/>
      <c r="M3815" s="29"/>
    </row>
    <row r="3816" spans="1:13" ht="112.5" customHeight="1" x14ac:dyDescent="0.15">
      <c r="A3816" s="60">
        <v>13</v>
      </c>
      <c r="B3816" s="30" t="s">
        <v>3822</v>
      </c>
      <c r="C3816" s="30" t="s">
        <v>14802</v>
      </c>
      <c r="D3816" s="61" t="s">
        <v>14803</v>
      </c>
      <c r="E3816" s="2"/>
      <c r="F3816" s="59">
        <v>170000</v>
      </c>
      <c r="G3816" s="58" t="s">
        <v>14804</v>
      </c>
      <c r="H3816" s="59">
        <v>0</v>
      </c>
      <c r="I3816" s="29"/>
      <c r="J3816" s="29"/>
      <c r="K3816" s="29"/>
      <c r="L3816" s="29"/>
      <c r="M3816" s="29"/>
    </row>
    <row r="3817" spans="1:13" ht="112.5" customHeight="1" x14ac:dyDescent="0.15">
      <c r="A3817" s="67">
        <v>29</v>
      </c>
      <c r="B3817" s="33" t="s">
        <v>3822</v>
      </c>
      <c r="C3817" s="33" t="s">
        <v>14805</v>
      </c>
      <c r="D3817" s="61" t="s">
        <v>14806</v>
      </c>
      <c r="E3817" s="68"/>
      <c r="F3817" s="59">
        <v>19000</v>
      </c>
      <c r="G3817" s="62" t="s">
        <v>14807</v>
      </c>
      <c r="H3817" s="59">
        <v>0</v>
      </c>
      <c r="I3817" s="29"/>
      <c r="J3817" s="29"/>
      <c r="K3817" s="29"/>
      <c r="L3817" s="29"/>
      <c r="M3817" s="29"/>
    </row>
    <row r="3818" spans="1:13" ht="112.5" customHeight="1" x14ac:dyDescent="0.15">
      <c r="A3818" s="69">
        <v>3766</v>
      </c>
      <c r="B3818" s="32" t="s">
        <v>3496</v>
      </c>
      <c r="C3818" s="32" t="s">
        <v>14808</v>
      </c>
      <c r="D3818" s="56" t="s">
        <v>14809</v>
      </c>
      <c r="E3818" s="68"/>
      <c r="F3818" s="59"/>
      <c r="G3818" s="64" t="s">
        <v>14810</v>
      </c>
      <c r="H3818" s="59">
        <v>9.9849999999999994</v>
      </c>
    </row>
    <row r="3819" spans="1:13" ht="112.5" customHeight="1" x14ac:dyDescent="0.15">
      <c r="A3819" s="67">
        <v>3765</v>
      </c>
      <c r="B3819" s="33" t="s">
        <v>3496</v>
      </c>
      <c r="C3819" s="33" t="s">
        <v>14811</v>
      </c>
      <c r="D3819" s="61" t="s">
        <v>14812</v>
      </c>
      <c r="E3819" s="68"/>
      <c r="F3819" s="59"/>
      <c r="G3819" s="62" t="s">
        <v>14813</v>
      </c>
      <c r="H3819" s="59">
        <v>109.998</v>
      </c>
      <c r="I3819" s="29"/>
      <c r="J3819" s="29"/>
      <c r="K3819" s="29"/>
      <c r="L3819" s="29"/>
      <c r="M3819" s="29"/>
    </row>
    <row r="3820" spans="1:13" ht="112.5" customHeight="1" x14ac:dyDescent="0.15">
      <c r="A3820" s="67">
        <v>3763</v>
      </c>
      <c r="B3820" s="33" t="s">
        <v>3599</v>
      </c>
      <c r="C3820" s="33" t="s">
        <v>14814</v>
      </c>
      <c r="D3820" s="61" t="s">
        <v>14815</v>
      </c>
      <c r="E3820" s="68"/>
      <c r="F3820" s="59"/>
      <c r="G3820" s="58" t="s">
        <v>14816</v>
      </c>
      <c r="H3820" s="59">
        <v>0</v>
      </c>
      <c r="I3820" s="29"/>
      <c r="J3820" s="29"/>
      <c r="K3820" s="29"/>
      <c r="L3820" s="29"/>
      <c r="M3820" s="29"/>
    </row>
    <row r="3821" spans="1:13" ht="112.5" customHeight="1" x14ac:dyDescent="0.15">
      <c r="A3821" s="69">
        <v>3762</v>
      </c>
      <c r="B3821" s="32" t="s">
        <v>3818</v>
      </c>
      <c r="C3821" s="32" t="s">
        <v>14817</v>
      </c>
      <c r="D3821" s="56" t="s">
        <v>14818</v>
      </c>
      <c r="E3821" s="68"/>
      <c r="F3821" s="59"/>
      <c r="G3821" s="62" t="s">
        <v>14819</v>
      </c>
      <c r="H3821" s="59">
        <v>0</v>
      </c>
      <c r="I3821" s="29"/>
      <c r="J3821" s="29"/>
      <c r="K3821" s="29"/>
      <c r="L3821" s="29"/>
      <c r="M3821" s="29"/>
    </row>
    <row r="3822" spans="1:13" ht="112.5" customHeight="1" x14ac:dyDescent="0.15">
      <c r="A3822" s="69">
        <v>34</v>
      </c>
      <c r="B3822" s="32" t="s">
        <v>3513</v>
      </c>
      <c r="C3822" s="32" t="s">
        <v>14820</v>
      </c>
      <c r="D3822" s="56" t="s">
        <v>14821</v>
      </c>
      <c r="E3822" s="68"/>
      <c r="F3822" s="59">
        <v>24000</v>
      </c>
      <c r="G3822" s="58" t="s">
        <v>14822</v>
      </c>
      <c r="H3822" s="59">
        <v>0</v>
      </c>
      <c r="I3822" s="29"/>
      <c r="J3822" s="29"/>
      <c r="K3822" s="29"/>
      <c r="L3822" s="29"/>
      <c r="M3822" s="29"/>
    </row>
    <row r="3823" spans="1:13" ht="112.5" customHeight="1" x14ac:dyDescent="0.15">
      <c r="A3823" s="67">
        <v>3481</v>
      </c>
      <c r="B3823" s="33" t="s">
        <v>3630</v>
      </c>
      <c r="C3823" s="33" t="s">
        <v>14823</v>
      </c>
      <c r="D3823" s="61" t="s">
        <v>14824</v>
      </c>
      <c r="E3823" s="68"/>
      <c r="F3823" s="59"/>
      <c r="G3823" s="62" t="s">
        <v>14825</v>
      </c>
      <c r="H3823" s="59">
        <v>0</v>
      </c>
      <c r="I3823" s="29"/>
      <c r="J3823" s="29"/>
      <c r="K3823" s="29"/>
      <c r="L3823" s="29"/>
      <c r="M3823" s="29"/>
    </row>
    <row r="3824" spans="1:13" ht="112.5" customHeight="1" x14ac:dyDescent="0.15">
      <c r="A3824" s="69">
        <v>3758</v>
      </c>
      <c r="B3824" s="32" t="s">
        <v>3513</v>
      </c>
      <c r="C3824" s="32" t="s">
        <v>14826</v>
      </c>
      <c r="D3824" s="56" t="s">
        <v>14827</v>
      </c>
      <c r="E3824" s="68"/>
      <c r="F3824" s="59"/>
      <c r="G3824" s="58" t="s">
        <v>14828</v>
      </c>
      <c r="H3824" s="59">
        <v>973</v>
      </c>
      <c r="I3824" s="29"/>
      <c r="J3824" s="29"/>
      <c r="K3824" s="29"/>
      <c r="L3824" s="29"/>
      <c r="M3824" s="29"/>
    </row>
    <row r="3825" spans="1:13" ht="112.5" customHeight="1" x14ac:dyDescent="0.15">
      <c r="A3825" s="67">
        <v>3755</v>
      </c>
      <c r="B3825" s="33" t="s">
        <v>3513</v>
      </c>
      <c r="C3825" s="33" t="s">
        <v>14829</v>
      </c>
      <c r="D3825" s="61" t="s">
        <v>14830</v>
      </c>
      <c r="E3825" s="68"/>
      <c r="F3825" s="59"/>
      <c r="G3825" s="62" t="s">
        <v>14831</v>
      </c>
      <c r="H3825" s="59">
        <v>999.97500000000002</v>
      </c>
      <c r="I3825" s="29"/>
      <c r="J3825" s="29"/>
      <c r="K3825" s="29"/>
      <c r="L3825" s="29"/>
      <c r="M3825" s="29"/>
    </row>
    <row r="3826" spans="1:13" ht="112.5" customHeight="1" x14ac:dyDescent="0.15">
      <c r="A3826" s="69">
        <v>3750</v>
      </c>
      <c r="B3826" s="32" t="s">
        <v>3496</v>
      </c>
      <c r="C3826" s="32" t="s">
        <v>14832</v>
      </c>
      <c r="D3826" s="56" t="s">
        <v>14833</v>
      </c>
      <c r="E3826" s="68"/>
      <c r="F3826" s="59"/>
      <c r="G3826" s="58" t="s">
        <v>14834</v>
      </c>
      <c r="H3826" s="59">
        <v>0</v>
      </c>
      <c r="I3826" s="29"/>
      <c r="J3826" s="29"/>
      <c r="K3826" s="29"/>
      <c r="L3826" s="29"/>
      <c r="M3826" s="29"/>
    </row>
    <row r="3827" spans="1:13" ht="112.5" customHeight="1" x14ac:dyDescent="0.15">
      <c r="A3827" s="67">
        <v>3749</v>
      </c>
      <c r="B3827" s="33" t="s">
        <v>3822</v>
      </c>
      <c r="C3827" s="33" t="s">
        <v>14835</v>
      </c>
      <c r="D3827" s="61" t="s">
        <v>14836</v>
      </c>
      <c r="E3827" s="68"/>
      <c r="F3827" s="59"/>
      <c r="G3827" s="62" t="s">
        <v>14837</v>
      </c>
      <c r="H3827" s="59">
        <v>0</v>
      </c>
      <c r="I3827" s="29"/>
      <c r="J3827" s="29"/>
      <c r="K3827" s="29"/>
      <c r="L3827" s="29"/>
      <c r="M3827" s="29"/>
    </row>
    <row r="3828" spans="1:13" ht="112.5" customHeight="1" x14ac:dyDescent="0.15">
      <c r="A3828" s="69">
        <v>3748</v>
      </c>
      <c r="B3828" s="32" t="s">
        <v>12428</v>
      </c>
      <c r="C3828" s="32" t="s">
        <v>14838</v>
      </c>
      <c r="D3828" s="56" t="s">
        <v>14839</v>
      </c>
      <c r="E3828" s="68"/>
      <c r="F3828" s="59"/>
      <c r="G3828" s="58" t="s">
        <v>14840</v>
      </c>
      <c r="H3828" s="59">
        <v>0</v>
      </c>
      <c r="I3828" s="29"/>
      <c r="J3828" s="29"/>
      <c r="K3828" s="29"/>
      <c r="L3828" s="29"/>
      <c r="M3828" s="29"/>
    </row>
    <row r="3829" spans="1:13" ht="112.5" customHeight="1" x14ac:dyDescent="0.15">
      <c r="A3829" s="69">
        <v>154</v>
      </c>
      <c r="B3829" s="32" t="s">
        <v>12428</v>
      </c>
      <c r="C3829" s="32" t="s">
        <v>14841</v>
      </c>
      <c r="D3829" s="56" t="s">
        <v>14842</v>
      </c>
      <c r="E3829" s="68"/>
      <c r="F3829" s="59">
        <v>14000</v>
      </c>
      <c r="G3829" s="62" t="s">
        <v>14843</v>
      </c>
      <c r="H3829" s="59">
        <v>0</v>
      </c>
      <c r="I3829" s="29"/>
      <c r="J3829" s="29"/>
      <c r="K3829" s="29"/>
      <c r="L3829" s="29"/>
      <c r="M3829" s="29"/>
    </row>
    <row r="3830" spans="1:13" ht="112.5" customHeight="1" x14ac:dyDescent="0.15">
      <c r="A3830" s="67">
        <v>3</v>
      </c>
      <c r="B3830" s="33" t="s">
        <v>3749</v>
      </c>
      <c r="C3830" s="33" t="s">
        <v>35</v>
      </c>
      <c r="D3830" s="61" t="s">
        <v>14844</v>
      </c>
      <c r="E3830" s="68"/>
      <c r="F3830" s="59">
        <v>19000</v>
      </c>
      <c r="G3830" s="58" t="s">
        <v>14845</v>
      </c>
      <c r="H3830" s="59">
        <v>0</v>
      </c>
      <c r="I3830" s="29"/>
      <c r="J3830" s="29"/>
      <c r="K3830" s="29"/>
      <c r="L3830" s="29"/>
      <c r="M3830" s="29"/>
    </row>
    <row r="3831" spans="1:13" ht="112.5" customHeight="1" x14ac:dyDescent="0.15">
      <c r="A3831" s="67">
        <v>3743</v>
      </c>
      <c r="B3831" s="33" t="s">
        <v>3814</v>
      </c>
      <c r="C3831" s="33" t="s">
        <v>14846</v>
      </c>
      <c r="D3831" s="61" t="s">
        <v>14847</v>
      </c>
      <c r="E3831" s="68"/>
      <c r="F3831" s="59"/>
      <c r="G3831" s="62" t="s">
        <v>14848</v>
      </c>
      <c r="H3831" s="59">
        <v>0</v>
      </c>
      <c r="I3831" s="29"/>
      <c r="J3831" s="29"/>
      <c r="K3831" s="29"/>
      <c r="L3831" s="29"/>
      <c r="M3831" s="29"/>
    </row>
    <row r="3832" spans="1:13" ht="112.5" customHeight="1" x14ac:dyDescent="0.15">
      <c r="A3832" s="69">
        <v>3744</v>
      </c>
      <c r="B3832" s="32" t="s">
        <v>3814</v>
      </c>
      <c r="C3832" s="32" t="s">
        <v>14849</v>
      </c>
      <c r="D3832" s="56" t="s">
        <v>14850</v>
      </c>
      <c r="E3832" s="68"/>
      <c r="F3832" s="59"/>
      <c r="G3832" s="58" t="s">
        <v>14851</v>
      </c>
      <c r="H3832" s="59">
        <v>0</v>
      </c>
      <c r="I3832" s="29"/>
      <c r="J3832" s="29"/>
      <c r="K3832" s="29"/>
      <c r="L3832" s="29"/>
      <c r="M3832" s="29"/>
    </row>
    <row r="3833" spans="1:13" ht="112.5" customHeight="1" x14ac:dyDescent="0.15">
      <c r="A3833" s="54">
        <v>6</v>
      </c>
      <c r="B3833" s="55" t="s">
        <v>3749</v>
      </c>
      <c r="C3833" s="55" t="s">
        <v>14852</v>
      </c>
      <c r="D3833" s="56" t="s">
        <v>14853</v>
      </c>
      <c r="E3833" s="2"/>
      <c r="F3833" s="59">
        <v>36000</v>
      </c>
      <c r="G3833" s="62" t="s">
        <v>14854</v>
      </c>
      <c r="H3833" s="59">
        <v>8.2769999999999992</v>
      </c>
      <c r="I3833" s="29"/>
      <c r="J3833" s="29"/>
      <c r="K3833" s="29"/>
      <c r="L3833" s="29"/>
      <c r="M3833" s="29"/>
    </row>
    <row r="3834" spans="1:13" ht="112.5" customHeight="1" x14ac:dyDescent="0.15">
      <c r="A3834" s="67">
        <v>3739</v>
      </c>
      <c r="B3834" s="33" t="s">
        <v>3876</v>
      </c>
      <c r="C3834" s="33" t="s">
        <v>14855</v>
      </c>
      <c r="D3834" s="61" t="s">
        <v>14856</v>
      </c>
      <c r="E3834" s="68"/>
      <c r="F3834" s="59"/>
      <c r="G3834" s="58" t="s">
        <v>14857</v>
      </c>
      <c r="H3834" s="59">
        <v>98.382000000000005</v>
      </c>
      <c r="I3834" s="29"/>
      <c r="J3834" s="29"/>
      <c r="K3834" s="29"/>
      <c r="L3834" s="29"/>
      <c r="M3834" s="29"/>
    </row>
    <row r="3835" spans="1:13" ht="112.5" customHeight="1" x14ac:dyDescent="0.15">
      <c r="A3835" s="69">
        <v>3736</v>
      </c>
      <c r="B3835" s="32" t="s">
        <v>3814</v>
      </c>
      <c r="C3835" s="32" t="s">
        <v>14858</v>
      </c>
      <c r="D3835" s="56" t="s">
        <v>14859</v>
      </c>
      <c r="E3835" s="68"/>
      <c r="F3835" s="59"/>
      <c r="G3835" s="62" t="s">
        <v>14860</v>
      </c>
      <c r="H3835" s="59">
        <v>783</v>
      </c>
      <c r="I3835" s="29"/>
      <c r="J3835" s="29"/>
      <c r="K3835" s="29"/>
      <c r="L3835" s="29"/>
      <c r="M3835" s="29"/>
    </row>
    <row r="3836" spans="1:13" ht="112.5" customHeight="1" x14ac:dyDescent="0.15">
      <c r="A3836" s="69">
        <v>30</v>
      </c>
      <c r="B3836" s="32" t="s">
        <v>3502</v>
      </c>
      <c r="C3836" s="32" t="s">
        <v>14861</v>
      </c>
      <c r="D3836" s="56" t="s">
        <v>14862</v>
      </c>
      <c r="E3836" s="68"/>
      <c r="F3836" s="59">
        <v>50000</v>
      </c>
      <c r="G3836" s="58" t="s">
        <v>14863</v>
      </c>
      <c r="H3836" s="59">
        <v>98.441999999999993</v>
      </c>
      <c r="I3836" s="29"/>
      <c r="J3836" s="29"/>
      <c r="K3836" s="29"/>
      <c r="L3836" s="29"/>
      <c r="M3836" s="29"/>
    </row>
    <row r="3837" spans="1:13" ht="112.5" customHeight="1" x14ac:dyDescent="0.15">
      <c r="A3837" s="69">
        <v>468</v>
      </c>
      <c r="B3837" s="32" t="s">
        <v>12428</v>
      </c>
      <c r="C3837" s="32" t="s">
        <v>14864</v>
      </c>
      <c r="D3837" s="56" t="s">
        <v>14865</v>
      </c>
      <c r="E3837" s="68"/>
      <c r="F3837" s="59"/>
      <c r="G3837" s="62" t="s">
        <v>14866</v>
      </c>
      <c r="H3837" s="59">
        <v>0</v>
      </c>
      <c r="I3837" s="29"/>
      <c r="J3837" s="29"/>
      <c r="K3837" s="29"/>
      <c r="L3837" s="29"/>
      <c r="M3837" s="29"/>
    </row>
    <row r="3838" spans="1:13" ht="112.5" customHeight="1" x14ac:dyDescent="0.15">
      <c r="A3838" s="67">
        <v>7</v>
      </c>
      <c r="B3838" s="33" t="s">
        <v>13537</v>
      </c>
      <c r="C3838" s="33" t="s">
        <v>14867</v>
      </c>
      <c r="D3838" s="61" t="s">
        <v>18</v>
      </c>
      <c r="E3838" s="68"/>
      <c r="F3838" s="59">
        <v>55000</v>
      </c>
      <c r="G3838" s="58" t="s">
        <v>14868</v>
      </c>
      <c r="H3838" s="59">
        <v>0</v>
      </c>
      <c r="I3838" s="29"/>
      <c r="J3838" s="29"/>
      <c r="K3838" s="29"/>
      <c r="L3838" s="29"/>
      <c r="M3838" s="29"/>
    </row>
    <row r="3839" spans="1:13" ht="112.5" customHeight="1" x14ac:dyDescent="0.15">
      <c r="A3839" s="67">
        <v>3731</v>
      </c>
      <c r="B3839" s="33" t="s">
        <v>3513</v>
      </c>
      <c r="C3839" s="33" t="s">
        <v>14869</v>
      </c>
      <c r="D3839" s="61" t="s">
        <v>14870</v>
      </c>
      <c r="E3839" s="68"/>
      <c r="F3839" s="59"/>
      <c r="G3839" s="62" t="s">
        <v>14871</v>
      </c>
      <c r="H3839" s="59">
        <v>0</v>
      </c>
      <c r="I3839" s="29"/>
      <c r="J3839" s="29"/>
      <c r="K3839" s="29"/>
      <c r="L3839" s="29"/>
      <c r="M3839" s="29"/>
    </row>
    <row r="3840" spans="1:13" ht="112.5" customHeight="1" x14ac:dyDescent="0.15">
      <c r="A3840" s="67">
        <v>3729</v>
      </c>
      <c r="B3840" s="33" t="s">
        <v>3526</v>
      </c>
      <c r="C3840" s="33" t="s">
        <v>14872</v>
      </c>
      <c r="D3840" s="61" t="s">
        <v>14873</v>
      </c>
      <c r="E3840" s="68"/>
      <c r="F3840" s="59"/>
      <c r="G3840" s="58" t="s">
        <v>14874</v>
      </c>
      <c r="H3840" s="59">
        <v>0</v>
      </c>
      <c r="I3840" s="29"/>
      <c r="J3840" s="29"/>
      <c r="K3840" s="29"/>
      <c r="L3840" s="29"/>
      <c r="M3840" s="29"/>
    </row>
    <row r="3841" spans="1:13" ht="112.5" customHeight="1" x14ac:dyDescent="0.15">
      <c r="A3841" s="67">
        <v>195</v>
      </c>
      <c r="B3841" s="33" t="s">
        <v>3533</v>
      </c>
      <c r="C3841" s="33" t="s">
        <v>14875</v>
      </c>
      <c r="D3841" s="61" t="s">
        <v>14876</v>
      </c>
      <c r="E3841" s="68"/>
      <c r="F3841" s="59">
        <v>17000</v>
      </c>
      <c r="G3841" s="62" t="s">
        <v>14877</v>
      </c>
      <c r="H3841" s="59">
        <v>0</v>
      </c>
      <c r="I3841" s="29"/>
      <c r="J3841" s="29"/>
      <c r="K3841" s="29"/>
      <c r="L3841" s="29"/>
      <c r="M3841" s="29"/>
    </row>
    <row r="3842" spans="1:13" ht="112.5" customHeight="1" x14ac:dyDescent="0.15">
      <c r="A3842" s="69">
        <v>3472</v>
      </c>
      <c r="B3842" s="32" t="s">
        <v>3822</v>
      </c>
      <c r="C3842" s="32" t="s">
        <v>14878</v>
      </c>
      <c r="D3842" s="56" t="s">
        <v>14879</v>
      </c>
      <c r="E3842" s="68"/>
      <c r="F3842" s="59"/>
      <c r="G3842" s="58" t="s">
        <v>14880</v>
      </c>
      <c r="H3842" s="59">
        <v>665</v>
      </c>
      <c r="I3842" s="29"/>
      <c r="J3842" s="29"/>
      <c r="K3842" s="29"/>
      <c r="L3842" s="29"/>
      <c r="M3842" s="29"/>
    </row>
    <row r="3843" spans="1:13" ht="112.5" customHeight="1" x14ac:dyDescent="0.15">
      <c r="A3843" s="69">
        <v>24</v>
      </c>
      <c r="B3843" s="32" t="s">
        <v>3749</v>
      </c>
      <c r="C3843" s="32" t="s">
        <v>14881</v>
      </c>
      <c r="D3843" s="56" t="s">
        <v>14882</v>
      </c>
      <c r="E3843" s="68"/>
      <c r="F3843" s="59">
        <v>33000</v>
      </c>
      <c r="G3843" s="62" t="s">
        <v>14883</v>
      </c>
      <c r="H3843" s="59">
        <v>3.9870000000000001</v>
      </c>
      <c r="I3843" s="29"/>
      <c r="J3843" s="29"/>
      <c r="K3843" s="29"/>
      <c r="L3843" s="29"/>
      <c r="M3843" s="29"/>
    </row>
    <row r="3844" spans="1:13" ht="112.5" customHeight="1" x14ac:dyDescent="0.15">
      <c r="A3844" s="67">
        <v>3727</v>
      </c>
      <c r="B3844" s="33" t="s">
        <v>3876</v>
      </c>
      <c r="C3844" s="33" t="s">
        <v>14884</v>
      </c>
      <c r="D3844" s="61" t="s">
        <v>14885</v>
      </c>
      <c r="E3844" s="68"/>
      <c r="F3844" s="59"/>
      <c r="G3844" s="58" t="s">
        <v>14886</v>
      </c>
      <c r="H3844" s="59">
        <v>99.424000000000007</v>
      </c>
      <c r="I3844" s="29"/>
      <c r="J3844" s="29"/>
      <c r="K3844" s="29"/>
      <c r="L3844" s="29"/>
      <c r="M3844" s="29"/>
    </row>
    <row r="3845" spans="1:13" ht="112.5" customHeight="1" x14ac:dyDescent="0.15">
      <c r="A3845" s="69">
        <v>3724</v>
      </c>
      <c r="B3845" s="32" t="s">
        <v>3496</v>
      </c>
      <c r="C3845" s="32" t="s">
        <v>14887</v>
      </c>
      <c r="D3845" s="56" t="s">
        <v>14888</v>
      </c>
      <c r="E3845" s="68"/>
      <c r="F3845" s="59"/>
      <c r="G3845" s="62" t="s">
        <v>14889</v>
      </c>
      <c r="H3845" s="59">
        <v>0</v>
      </c>
      <c r="I3845" s="29"/>
      <c r="J3845" s="29"/>
      <c r="K3845" s="29"/>
      <c r="L3845" s="29"/>
      <c r="M3845" s="29"/>
    </row>
    <row r="3846" spans="1:13" ht="112.5" customHeight="1" x14ac:dyDescent="0.15">
      <c r="A3846" s="67">
        <v>3723</v>
      </c>
      <c r="B3846" s="33" t="s">
        <v>3599</v>
      </c>
      <c r="C3846" s="33" t="s">
        <v>14890</v>
      </c>
      <c r="D3846" s="61" t="s">
        <v>14891</v>
      </c>
      <c r="E3846" s="68"/>
      <c r="F3846" s="59"/>
      <c r="G3846" s="58" t="s">
        <v>14892</v>
      </c>
      <c r="H3846" s="59">
        <v>0</v>
      </c>
      <c r="I3846" s="29"/>
      <c r="J3846" s="29"/>
      <c r="K3846" s="29"/>
      <c r="L3846" s="29"/>
      <c r="M3846" s="29"/>
    </row>
    <row r="3847" spans="1:13" ht="112.5" customHeight="1" x14ac:dyDescent="0.15">
      <c r="A3847" s="69">
        <v>3722</v>
      </c>
      <c r="B3847" s="32" t="s">
        <v>3496</v>
      </c>
      <c r="C3847" s="32" t="s">
        <v>14893</v>
      </c>
      <c r="D3847" s="56" t="s">
        <v>14894</v>
      </c>
      <c r="E3847" s="68"/>
      <c r="F3847" s="59"/>
      <c r="G3847" s="62" t="s">
        <v>14895</v>
      </c>
      <c r="H3847" s="59">
        <v>2.5249999999999999</v>
      </c>
      <c r="I3847" s="29"/>
      <c r="J3847" s="29"/>
      <c r="K3847" s="29"/>
      <c r="L3847" s="29"/>
      <c r="M3847" s="29"/>
    </row>
    <row r="3848" spans="1:13" ht="112.5" customHeight="1" x14ac:dyDescent="0.15">
      <c r="A3848" s="69">
        <v>52</v>
      </c>
      <c r="B3848" s="32" t="s">
        <v>12428</v>
      </c>
      <c r="C3848" s="32" t="s">
        <v>14896</v>
      </c>
      <c r="D3848" s="56" t="s">
        <v>14897</v>
      </c>
      <c r="E3848" s="68"/>
      <c r="F3848" s="59">
        <v>78000</v>
      </c>
      <c r="G3848" s="58" t="s">
        <v>4655</v>
      </c>
      <c r="H3848" s="59">
        <v>0</v>
      </c>
      <c r="I3848" s="29"/>
      <c r="J3848" s="29"/>
      <c r="K3848" s="29"/>
      <c r="L3848" s="29"/>
      <c r="M3848" s="29"/>
    </row>
    <row r="3849" spans="1:13" ht="112.5" customHeight="1" x14ac:dyDescent="0.15">
      <c r="A3849" s="69">
        <v>196</v>
      </c>
      <c r="B3849" s="32" t="s">
        <v>3749</v>
      </c>
      <c r="C3849" s="32" t="s">
        <v>14898</v>
      </c>
      <c r="D3849" s="56" t="s">
        <v>14899</v>
      </c>
      <c r="E3849" s="68"/>
      <c r="F3849" s="59"/>
      <c r="G3849" s="62" t="s">
        <v>14900</v>
      </c>
      <c r="H3849" s="59">
        <v>91</v>
      </c>
      <c r="I3849" s="29"/>
      <c r="J3849" s="29"/>
      <c r="K3849" s="29"/>
      <c r="L3849" s="29"/>
      <c r="M3849" s="29"/>
    </row>
    <row r="3850" spans="1:13" ht="112.5" customHeight="1" x14ac:dyDescent="0.15">
      <c r="A3850" s="54">
        <v>1940</v>
      </c>
      <c r="B3850" s="55" t="s">
        <v>3549</v>
      </c>
      <c r="C3850" s="55" t="s">
        <v>14901</v>
      </c>
      <c r="D3850" s="56" t="s">
        <v>14902</v>
      </c>
      <c r="E3850" s="2"/>
      <c r="F3850" s="57"/>
      <c r="G3850" s="58" t="s">
        <v>14903</v>
      </c>
      <c r="H3850" s="59" t="s">
        <v>4171</v>
      </c>
      <c r="I3850" s="29"/>
      <c r="J3850" s="29"/>
      <c r="K3850" s="29"/>
      <c r="L3850" s="29"/>
      <c r="M3850" s="29"/>
    </row>
    <row r="3851" spans="1:13" ht="112.5" customHeight="1" x14ac:dyDescent="0.15">
      <c r="A3851" s="69">
        <v>3718</v>
      </c>
      <c r="B3851" s="32" t="s">
        <v>12428</v>
      </c>
      <c r="C3851" s="32" t="s">
        <v>14904</v>
      </c>
      <c r="D3851" s="56" t="s">
        <v>14905</v>
      </c>
      <c r="E3851" s="68"/>
      <c r="F3851" s="59"/>
      <c r="G3851" s="62" t="s">
        <v>14906</v>
      </c>
      <c r="H3851" s="59">
        <v>927</v>
      </c>
      <c r="I3851" s="29"/>
      <c r="J3851" s="29"/>
      <c r="K3851" s="29"/>
      <c r="L3851" s="29"/>
      <c r="M3851" s="29"/>
    </row>
    <row r="3852" spans="1:13" ht="112.5" customHeight="1" x14ac:dyDescent="0.15">
      <c r="A3852" s="67">
        <v>3719</v>
      </c>
      <c r="B3852" s="33" t="s">
        <v>12428</v>
      </c>
      <c r="C3852" s="33" t="s">
        <v>14907</v>
      </c>
      <c r="D3852" s="61" t="s">
        <v>14908</v>
      </c>
      <c r="E3852" s="68"/>
      <c r="F3852" s="59"/>
      <c r="G3852" s="58" t="s">
        <v>14909</v>
      </c>
      <c r="H3852" s="59">
        <v>0</v>
      </c>
      <c r="I3852" s="29"/>
      <c r="J3852" s="29"/>
      <c r="K3852" s="29"/>
      <c r="L3852" s="29"/>
      <c r="M3852" s="29"/>
    </row>
    <row r="3853" spans="1:13" ht="112.5" customHeight="1" x14ac:dyDescent="0.15">
      <c r="A3853" s="67">
        <v>197</v>
      </c>
      <c r="B3853" s="33" t="s">
        <v>3822</v>
      </c>
      <c r="C3853" s="33" t="s">
        <v>14910</v>
      </c>
      <c r="D3853" s="61" t="s">
        <v>14911</v>
      </c>
      <c r="E3853" s="68"/>
      <c r="F3853" s="59"/>
      <c r="G3853" s="62" t="s">
        <v>14912</v>
      </c>
      <c r="H3853" s="59" t="s">
        <v>4171</v>
      </c>
      <c r="I3853" s="29"/>
      <c r="J3853" s="29"/>
      <c r="K3853" s="29"/>
      <c r="L3853" s="29"/>
      <c r="M3853" s="29"/>
    </row>
    <row r="3854" spans="1:13" ht="112.5" customHeight="1" x14ac:dyDescent="0.15">
      <c r="A3854" s="67">
        <v>3709</v>
      </c>
      <c r="B3854" s="33" t="s">
        <v>3513</v>
      </c>
      <c r="C3854" s="33" t="s">
        <v>14913</v>
      </c>
      <c r="D3854" s="61" t="s">
        <v>14914</v>
      </c>
      <c r="E3854" s="68"/>
      <c r="F3854" s="59"/>
      <c r="G3854" s="58" t="s">
        <v>14915</v>
      </c>
      <c r="H3854" s="59">
        <v>0</v>
      </c>
      <c r="I3854" s="29"/>
      <c r="J3854" s="29"/>
      <c r="K3854" s="29"/>
      <c r="L3854" s="29"/>
      <c r="M3854" s="29"/>
    </row>
    <row r="3855" spans="1:13" ht="112.5" customHeight="1" x14ac:dyDescent="0.15">
      <c r="A3855" s="67">
        <v>3703</v>
      </c>
      <c r="B3855" s="33" t="s">
        <v>3492</v>
      </c>
      <c r="C3855" s="33" t="s">
        <v>14916</v>
      </c>
      <c r="D3855" s="61" t="s">
        <v>14917</v>
      </c>
      <c r="E3855" s="68"/>
      <c r="F3855" s="59"/>
      <c r="G3855" s="62" t="s">
        <v>14918</v>
      </c>
      <c r="H3855" s="59">
        <v>0</v>
      </c>
      <c r="I3855" s="29"/>
      <c r="J3855" s="29"/>
      <c r="K3855" s="29"/>
      <c r="L3855" s="29"/>
      <c r="M3855" s="29"/>
    </row>
    <row r="3856" spans="1:13" ht="112.5" customHeight="1" x14ac:dyDescent="0.15">
      <c r="A3856" s="67">
        <v>1207</v>
      </c>
      <c r="B3856" s="33" t="s">
        <v>3492</v>
      </c>
      <c r="C3856" s="33" t="s">
        <v>14919</v>
      </c>
      <c r="D3856" s="61" t="s">
        <v>14920</v>
      </c>
      <c r="E3856" s="68"/>
      <c r="F3856" s="59"/>
      <c r="G3856" s="58" t="s">
        <v>14921</v>
      </c>
      <c r="H3856" s="59">
        <v>46</v>
      </c>
      <c r="I3856" s="29"/>
      <c r="J3856" s="29"/>
      <c r="K3856" s="29"/>
      <c r="L3856" s="29"/>
      <c r="M3856" s="29"/>
    </row>
    <row r="3857" spans="1:13" ht="112.5" customHeight="1" x14ac:dyDescent="0.15">
      <c r="A3857" s="69">
        <v>3492</v>
      </c>
      <c r="B3857" s="32" t="s">
        <v>12428</v>
      </c>
      <c r="C3857" s="32" t="s">
        <v>14922</v>
      </c>
      <c r="D3857" s="56" t="s">
        <v>14923</v>
      </c>
      <c r="E3857" s="68"/>
      <c r="F3857" s="59"/>
      <c r="G3857" s="62" t="s">
        <v>14924</v>
      </c>
      <c r="H3857" s="59">
        <v>0</v>
      </c>
      <c r="I3857" s="29"/>
      <c r="J3857" s="29"/>
      <c r="K3857" s="29"/>
      <c r="L3857" s="29"/>
      <c r="M3857" s="29"/>
    </row>
    <row r="3858" spans="1:13" ht="112.5" customHeight="1" x14ac:dyDescent="0.15">
      <c r="A3858" s="69">
        <v>3700</v>
      </c>
      <c r="B3858" s="32" t="s">
        <v>3549</v>
      </c>
      <c r="C3858" s="32" t="s">
        <v>14925</v>
      </c>
      <c r="D3858" s="56" t="s">
        <v>14926</v>
      </c>
      <c r="E3858" s="68"/>
      <c r="F3858" s="59"/>
      <c r="G3858" s="58" t="s">
        <v>14927</v>
      </c>
      <c r="H3858" s="59">
        <v>198</v>
      </c>
      <c r="I3858" s="29"/>
      <c r="J3858" s="29"/>
      <c r="K3858" s="29"/>
      <c r="L3858" s="29"/>
      <c r="M3858" s="29"/>
    </row>
    <row r="3859" spans="1:13" ht="112.5" customHeight="1" x14ac:dyDescent="0.15">
      <c r="A3859" s="67">
        <v>3699</v>
      </c>
      <c r="B3859" s="33" t="s">
        <v>3496</v>
      </c>
      <c r="C3859" s="33" t="s">
        <v>14928</v>
      </c>
      <c r="D3859" s="61" t="s">
        <v>14929</v>
      </c>
      <c r="E3859" s="68"/>
      <c r="F3859" s="59"/>
      <c r="G3859" s="62" t="s">
        <v>14930</v>
      </c>
      <c r="H3859" s="59">
        <v>99.591999999999999</v>
      </c>
      <c r="I3859" s="29"/>
      <c r="J3859" s="29"/>
      <c r="K3859" s="29"/>
      <c r="L3859" s="29"/>
      <c r="M3859" s="29"/>
    </row>
    <row r="3860" spans="1:13" ht="112.5" customHeight="1" x14ac:dyDescent="0.15">
      <c r="A3860" s="67">
        <v>3515</v>
      </c>
      <c r="B3860" s="33" t="s">
        <v>3818</v>
      </c>
      <c r="C3860" s="33" t="s">
        <v>14931</v>
      </c>
      <c r="D3860" s="61" t="s">
        <v>14932</v>
      </c>
      <c r="E3860" s="68"/>
      <c r="F3860" s="59"/>
      <c r="G3860" s="58" t="s">
        <v>14933</v>
      </c>
      <c r="H3860" s="59">
        <v>0</v>
      </c>
      <c r="I3860" s="29"/>
      <c r="J3860" s="29"/>
      <c r="K3860" s="29"/>
      <c r="L3860" s="29"/>
      <c r="M3860" s="29"/>
    </row>
    <row r="3861" spans="1:13" ht="112.5" customHeight="1" x14ac:dyDescent="0.15">
      <c r="A3861" s="69">
        <v>3694</v>
      </c>
      <c r="B3861" s="32" t="s">
        <v>3822</v>
      </c>
      <c r="C3861" s="32" t="s">
        <v>14934</v>
      </c>
      <c r="D3861" s="56" t="s">
        <v>14935</v>
      </c>
      <c r="E3861" s="68"/>
      <c r="F3861" s="59"/>
      <c r="G3861" s="62" t="s">
        <v>14936</v>
      </c>
      <c r="H3861" s="59">
        <v>0</v>
      </c>
      <c r="I3861" s="29"/>
      <c r="J3861" s="29"/>
      <c r="K3861" s="29"/>
      <c r="L3861" s="29"/>
      <c r="M3861" s="29"/>
    </row>
    <row r="3862" spans="1:13" ht="112.5" customHeight="1" x14ac:dyDescent="0.15">
      <c r="A3862" s="69">
        <v>198</v>
      </c>
      <c r="B3862" s="32" t="s">
        <v>3876</v>
      </c>
      <c r="C3862" s="32" t="s">
        <v>14937</v>
      </c>
      <c r="D3862" s="56" t="s">
        <v>14938</v>
      </c>
      <c r="E3862" s="68"/>
      <c r="F3862" s="59"/>
      <c r="G3862" s="58" t="s">
        <v>14939</v>
      </c>
      <c r="H3862" s="59">
        <v>0</v>
      </c>
      <c r="I3862" s="29"/>
      <c r="J3862" s="29"/>
      <c r="K3862" s="29"/>
      <c r="L3862" s="29"/>
      <c r="M3862" s="29"/>
    </row>
    <row r="3863" spans="1:13" ht="112.5" customHeight="1" x14ac:dyDescent="0.15">
      <c r="A3863" s="67">
        <v>79</v>
      </c>
      <c r="B3863" s="33" t="s">
        <v>3876</v>
      </c>
      <c r="C3863" s="33" t="s">
        <v>14940</v>
      </c>
      <c r="D3863" s="61" t="s">
        <v>14941</v>
      </c>
      <c r="E3863" s="68"/>
      <c r="F3863" s="59">
        <v>90000</v>
      </c>
      <c r="G3863" s="62" t="s">
        <v>14942</v>
      </c>
      <c r="H3863" s="59">
        <v>0</v>
      </c>
      <c r="I3863" s="29"/>
      <c r="J3863" s="29"/>
      <c r="K3863" s="29"/>
      <c r="L3863" s="29"/>
      <c r="M3863" s="29"/>
    </row>
    <row r="3864" spans="1:13" ht="112.5" customHeight="1" x14ac:dyDescent="0.15">
      <c r="A3864" s="67">
        <v>161</v>
      </c>
      <c r="B3864" s="33" t="s">
        <v>14410</v>
      </c>
      <c r="C3864" s="33" t="s">
        <v>14943</v>
      </c>
      <c r="D3864" s="61" t="s">
        <v>14944</v>
      </c>
      <c r="E3864" s="68"/>
      <c r="F3864" s="59">
        <v>41000</v>
      </c>
      <c r="G3864" s="58" t="s">
        <v>14945</v>
      </c>
      <c r="H3864" s="59">
        <v>997.72699999999998</v>
      </c>
      <c r="I3864" s="29"/>
      <c r="J3864" s="29"/>
      <c r="K3864" s="29"/>
      <c r="L3864" s="29"/>
      <c r="M3864" s="29"/>
    </row>
    <row r="3865" spans="1:13" ht="112.5" customHeight="1" x14ac:dyDescent="0.15">
      <c r="A3865" s="69">
        <v>176</v>
      </c>
      <c r="B3865" s="32" t="s">
        <v>14410</v>
      </c>
      <c r="C3865" s="32" t="s">
        <v>14946</v>
      </c>
      <c r="D3865" s="56" t="s">
        <v>14947</v>
      </c>
      <c r="E3865" s="68"/>
      <c r="F3865" s="59">
        <v>42000</v>
      </c>
      <c r="G3865" s="62" t="s">
        <v>14948</v>
      </c>
      <c r="H3865" s="59">
        <v>0</v>
      </c>
      <c r="I3865" s="29"/>
      <c r="J3865" s="29"/>
      <c r="K3865" s="29"/>
      <c r="L3865" s="29"/>
      <c r="M3865" s="29"/>
    </row>
    <row r="3866" spans="1:13" ht="112.5" customHeight="1" x14ac:dyDescent="0.15">
      <c r="A3866" s="67">
        <v>443</v>
      </c>
      <c r="B3866" s="33" t="s">
        <v>3549</v>
      </c>
      <c r="C3866" s="33" t="s">
        <v>14949</v>
      </c>
      <c r="D3866" s="61" t="s">
        <v>14950</v>
      </c>
      <c r="E3866" s="68"/>
      <c r="F3866" s="59"/>
      <c r="G3866" s="58" t="s">
        <v>14951</v>
      </c>
      <c r="H3866" s="59">
        <v>0</v>
      </c>
      <c r="I3866" s="29"/>
      <c r="J3866" s="29"/>
      <c r="K3866" s="29"/>
      <c r="L3866" s="29"/>
      <c r="M3866" s="29"/>
    </row>
    <row r="3867" spans="1:13" ht="112.5" customHeight="1" x14ac:dyDescent="0.15">
      <c r="A3867" s="67">
        <v>3693</v>
      </c>
      <c r="B3867" s="33" t="s">
        <v>3496</v>
      </c>
      <c r="C3867" s="33" t="s">
        <v>14952</v>
      </c>
      <c r="D3867" s="61" t="s">
        <v>14953</v>
      </c>
      <c r="E3867" s="68"/>
      <c r="F3867" s="59"/>
      <c r="G3867" s="62" t="s">
        <v>14954</v>
      </c>
      <c r="H3867" s="59">
        <v>0</v>
      </c>
      <c r="I3867" s="29"/>
      <c r="J3867" s="29"/>
      <c r="K3867" s="29"/>
      <c r="L3867" s="29"/>
      <c r="M3867" s="29"/>
    </row>
    <row r="3868" spans="1:13" ht="112.5" customHeight="1" x14ac:dyDescent="0.15">
      <c r="A3868" s="69">
        <v>1374</v>
      </c>
      <c r="B3868" s="32" t="s">
        <v>3513</v>
      </c>
      <c r="C3868" s="32" t="s">
        <v>14955</v>
      </c>
      <c r="D3868" s="56" t="s">
        <v>14956</v>
      </c>
      <c r="E3868" s="68"/>
      <c r="F3868" s="59"/>
      <c r="G3868" s="58" t="s">
        <v>14957</v>
      </c>
      <c r="H3868" s="59">
        <v>0</v>
      </c>
      <c r="I3868" s="29"/>
      <c r="J3868" s="29"/>
      <c r="K3868" s="29"/>
      <c r="L3868" s="29"/>
      <c r="M3868" s="29"/>
    </row>
    <row r="3869" spans="1:13" ht="112.5" customHeight="1" x14ac:dyDescent="0.15">
      <c r="A3869" s="67">
        <v>3691</v>
      </c>
      <c r="B3869" s="33" t="s">
        <v>3822</v>
      </c>
      <c r="C3869" s="33" t="s">
        <v>14958</v>
      </c>
      <c r="D3869" s="61" t="s">
        <v>14959</v>
      </c>
      <c r="E3869" s="68"/>
      <c r="F3869" s="59"/>
      <c r="G3869" s="62" t="s">
        <v>14960</v>
      </c>
      <c r="H3869" s="59">
        <v>0</v>
      </c>
      <c r="I3869" s="29"/>
      <c r="J3869" s="29"/>
      <c r="K3869" s="29"/>
      <c r="L3869" s="29"/>
      <c r="M3869" s="29"/>
    </row>
    <row r="3870" spans="1:13" ht="112.5" customHeight="1" x14ac:dyDescent="0.15">
      <c r="A3870" s="67">
        <v>163</v>
      </c>
      <c r="B3870" s="33" t="s">
        <v>3533</v>
      </c>
      <c r="C3870" s="33" t="s">
        <v>14961</v>
      </c>
      <c r="D3870" s="61" t="s">
        <v>14962</v>
      </c>
      <c r="E3870" s="68"/>
      <c r="F3870" s="59">
        <v>22000</v>
      </c>
      <c r="G3870" s="58" t="s">
        <v>14963</v>
      </c>
      <c r="H3870" s="59">
        <v>0</v>
      </c>
      <c r="I3870" s="29"/>
      <c r="J3870" s="29"/>
      <c r="K3870" s="29"/>
      <c r="L3870" s="29"/>
      <c r="M3870" s="29"/>
    </row>
    <row r="3871" spans="1:13" ht="112.5" customHeight="1" x14ac:dyDescent="0.15">
      <c r="A3871" s="67">
        <v>3689</v>
      </c>
      <c r="B3871" s="33" t="s">
        <v>3533</v>
      </c>
      <c r="C3871" s="33" t="s">
        <v>14964</v>
      </c>
      <c r="D3871" s="61" t="s">
        <v>14965</v>
      </c>
      <c r="E3871" s="68"/>
      <c r="F3871" s="59"/>
      <c r="G3871" s="62" t="s">
        <v>14966</v>
      </c>
      <c r="H3871" s="59">
        <v>0</v>
      </c>
      <c r="I3871" s="29"/>
      <c r="J3871" s="29"/>
      <c r="K3871" s="29"/>
      <c r="L3871" s="29"/>
      <c r="M3871" s="29"/>
    </row>
    <row r="3872" spans="1:13" ht="112.5" customHeight="1" x14ac:dyDescent="0.15">
      <c r="A3872" s="67">
        <v>267</v>
      </c>
      <c r="B3872" s="33" t="s">
        <v>3822</v>
      </c>
      <c r="C3872" s="33" t="s">
        <v>14967</v>
      </c>
      <c r="D3872" s="61" t="s">
        <v>14968</v>
      </c>
      <c r="E3872" s="68"/>
      <c r="F3872" s="59"/>
      <c r="G3872" s="58" t="s">
        <v>14969</v>
      </c>
      <c r="H3872" s="59">
        <v>0</v>
      </c>
      <c r="I3872" s="29"/>
      <c r="J3872" s="29"/>
      <c r="K3872" s="29"/>
      <c r="L3872" s="29"/>
      <c r="M3872" s="29"/>
    </row>
    <row r="3873" spans="1:13" ht="112.5" customHeight="1" x14ac:dyDescent="0.15">
      <c r="A3873" s="67">
        <v>47</v>
      </c>
      <c r="B3873" s="33" t="s">
        <v>3822</v>
      </c>
      <c r="C3873" s="33" t="s">
        <v>14970</v>
      </c>
      <c r="D3873" s="61" t="s">
        <v>14971</v>
      </c>
      <c r="E3873" s="68"/>
      <c r="F3873" s="59">
        <v>20500</v>
      </c>
      <c r="G3873" s="62" t="s">
        <v>14972</v>
      </c>
      <c r="H3873" s="59">
        <v>0</v>
      </c>
      <c r="I3873" s="29"/>
      <c r="J3873" s="29"/>
      <c r="K3873" s="29"/>
      <c r="L3873" s="29"/>
      <c r="M3873" s="29"/>
    </row>
    <row r="3874" spans="1:13" ht="112.5" customHeight="1" x14ac:dyDescent="0.15">
      <c r="A3874" s="67">
        <v>57</v>
      </c>
      <c r="B3874" s="33" t="s">
        <v>12428</v>
      </c>
      <c r="C3874" s="33" t="s">
        <v>14973</v>
      </c>
      <c r="D3874" s="61" t="s">
        <v>14974</v>
      </c>
      <c r="E3874" s="68"/>
      <c r="F3874" s="59">
        <v>71000</v>
      </c>
      <c r="G3874" s="58" t="s">
        <v>14975</v>
      </c>
      <c r="H3874" s="59">
        <v>0</v>
      </c>
      <c r="I3874" s="29"/>
      <c r="J3874" s="29"/>
      <c r="K3874" s="29"/>
      <c r="L3874" s="29"/>
      <c r="M3874" s="29"/>
    </row>
    <row r="3875" spans="1:13" ht="112.5" customHeight="1" x14ac:dyDescent="0.15">
      <c r="A3875" s="69">
        <v>58</v>
      </c>
      <c r="B3875" s="32" t="s">
        <v>12428</v>
      </c>
      <c r="C3875" s="32" t="s">
        <v>14976</v>
      </c>
      <c r="D3875" s="56" t="s">
        <v>14977</v>
      </c>
      <c r="E3875" s="68"/>
      <c r="F3875" s="59">
        <v>60000</v>
      </c>
      <c r="G3875" s="62" t="s">
        <v>14978</v>
      </c>
      <c r="H3875" s="59">
        <v>0</v>
      </c>
      <c r="I3875" s="29"/>
      <c r="J3875" s="29"/>
      <c r="K3875" s="29"/>
      <c r="L3875" s="29"/>
      <c r="M3875" s="29"/>
    </row>
    <row r="3876" spans="1:13" ht="112.5" customHeight="1" x14ac:dyDescent="0.15">
      <c r="A3876" s="69">
        <v>3688</v>
      </c>
      <c r="B3876" s="32" t="s">
        <v>3549</v>
      </c>
      <c r="C3876" s="32" t="s">
        <v>14979</v>
      </c>
      <c r="D3876" s="56" t="s">
        <v>14980</v>
      </c>
      <c r="E3876" s="68"/>
      <c r="F3876" s="59"/>
      <c r="G3876" s="58" t="s">
        <v>14981</v>
      </c>
      <c r="H3876" s="59">
        <v>99.896000000000001</v>
      </c>
      <c r="I3876" s="29"/>
      <c r="J3876" s="29"/>
      <c r="K3876" s="29"/>
      <c r="L3876" s="29"/>
      <c r="M3876" s="29"/>
    </row>
    <row r="3877" spans="1:13" ht="112.5" customHeight="1" x14ac:dyDescent="0.15">
      <c r="A3877" s="67">
        <v>473</v>
      </c>
      <c r="B3877" s="33" t="s">
        <v>12428</v>
      </c>
      <c r="C3877" s="33" t="s">
        <v>14982</v>
      </c>
      <c r="D3877" s="61" t="s">
        <v>14983</v>
      </c>
      <c r="E3877" s="68"/>
      <c r="F3877" s="59"/>
      <c r="G3877" s="63" t="s">
        <v>14984</v>
      </c>
      <c r="H3877" s="59">
        <v>9.907</v>
      </c>
    </row>
    <row r="3878" spans="1:13" ht="112.5" customHeight="1" x14ac:dyDescent="0.15">
      <c r="A3878" s="67">
        <v>35</v>
      </c>
      <c r="B3878" s="33" t="s">
        <v>3549</v>
      </c>
      <c r="C3878" s="33" t="s">
        <v>14985</v>
      </c>
      <c r="D3878" s="61" t="s">
        <v>14986</v>
      </c>
      <c r="E3878" s="68"/>
      <c r="F3878" s="59">
        <v>57000</v>
      </c>
      <c r="G3878" s="58" t="s">
        <v>14987</v>
      </c>
      <c r="H3878" s="59">
        <v>0</v>
      </c>
      <c r="I3878" s="29"/>
      <c r="J3878" s="29"/>
      <c r="K3878" s="29"/>
      <c r="L3878" s="29"/>
      <c r="M3878" s="29"/>
    </row>
    <row r="3879" spans="1:13" ht="112.5" customHeight="1" x14ac:dyDescent="0.15">
      <c r="A3879" s="69">
        <v>238</v>
      </c>
      <c r="B3879" s="32" t="s">
        <v>12428</v>
      </c>
      <c r="C3879" s="32" t="s">
        <v>14988</v>
      </c>
      <c r="D3879" s="56" t="s">
        <v>14989</v>
      </c>
      <c r="E3879" s="68"/>
      <c r="F3879" s="59"/>
      <c r="G3879" s="62" t="s">
        <v>14990</v>
      </c>
      <c r="H3879" s="59">
        <v>0</v>
      </c>
      <c r="I3879" s="29"/>
      <c r="J3879" s="29"/>
      <c r="K3879" s="29"/>
      <c r="L3879" s="29"/>
      <c r="M3879" s="29"/>
    </row>
    <row r="3880" spans="1:13" ht="112.5" customHeight="1" x14ac:dyDescent="0.15">
      <c r="A3880" s="69">
        <v>90</v>
      </c>
      <c r="B3880" s="32" t="s">
        <v>12428</v>
      </c>
      <c r="C3880" s="32" t="s">
        <v>14991</v>
      </c>
      <c r="D3880" s="56" t="s">
        <v>14992</v>
      </c>
      <c r="E3880" s="68"/>
      <c r="F3880" s="59">
        <v>45000</v>
      </c>
      <c r="G3880" s="58" t="s">
        <v>14993</v>
      </c>
      <c r="H3880" s="59">
        <v>0</v>
      </c>
      <c r="I3880" s="29"/>
      <c r="J3880" s="29"/>
      <c r="K3880" s="29"/>
      <c r="L3880" s="29"/>
      <c r="M3880" s="29"/>
    </row>
    <row r="3881" spans="1:13" ht="112.5" customHeight="1" x14ac:dyDescent="0.15">
      <c r="A3881" s="67">
        <v>3685</v>
      </c>
      <c r="B3881" s="33" t="s">
        <v>3513</v>
      </c>
      <c r="C3881" s="33" t="s">
        <v>14994</v>
      </c>
      <c r="D3881" s="61" t="s">
        <v>14995</v>
      </c>
      <c r="E3881" s="68"/>
      <c r="F3881" s="59"/>
      <c r="G3881" s="62" t="s">
        <v>14996</v>
      </c>
      <c r="H3881" s="59">
        <v>994</v>
      </c>
      <c r="I3881" s="29"/>
      <c r="J3881" s="29"/>
      <c r="K3881" s="29"/>
      <c r="L3881" s="29"/>
      <c r="M3881" s="29"/>
    </row>
    <row r="3882" spans="1:13" ht="112.5" customHeight="1" x14ac:dyDescent="0.15">
      <c r="A3882" s="67">
        <v>3683</v>
      </c>
      <c r="B3882" s="33" t="s">
        <v>3513</v>
      </c>
      <c r="C3882" s="33" t="s">
        <v>14997</v>
      </c>
      <c r="D3882" s="61" t="s">
        <v>14998</v>
      </c>
      <c r="E3882" s="68"/>
      <c r="F3882" s="59"/>
      <c r="G3882" s="58" t="s">
        <v>14999</v>
      </c>
      <c r="H3882" s="59">
        <v>0</v>
      </c>
      <c r="I3882" s="29"/>
      <c r="J3882" s="29"/>
      <c r="K3882" s="29"/>
      <c r="L3882" s="29"/>
      <c r="M3882" s="29"/>
    </row>
    <row r="3883" spans="1:13" ht="112.5" customHeight="1" x14ac:dyDescent="0.15">
      <c r="A3883" s="69">
        <v>3682</v>
      </c>
      <c r="B3883" s="32" t="s">
        <v>3822</v>
      </c>
      <c r="C3883" s="32" t="s">
        <v>15000</v>
      </c>
      <c r="D3883" s="56" t="s">
        <v>15001</v>
      </c>
      <c r="E3883" s="68"/>
      <c r="F3883" s="59"/>
      <c r="G3883" s="62" t="s">
        <v>15002</v>
      </c>
      <c r="H3883" s="59">
        <v>0</v>
      </c>
      <c r="I3883" s="29"/>
      <c r="J3883" s="29"/>
      <c r="K3883" s="29"/>
      <c r="L3883" s="29"/>
      <c r="M3883" s="29"/>
    </row>
    <row r="3884" spans="1:13" ht="112.5" customHeight="1" x14ac:dyDescent="0.15">
      <c r="A3884" s="67">
        <v>3681</v>
      </c>
      <c r="B3884" s="33" t="s">
        <v>3822</v>
      </c>
      <c r="C3884" s="33" t="s">
        <v>15003</v>
      </c>
      <c r="D3884" s="61" t="s">
        <v>15004</v>
      </c>
      <c r="E3884" s="68"/>
      <c r="F3884" s="59"/>
      <c r="G3884" s="58" t="s">
        <v>15005</v>
      </c>
      <c r="H3884" s="59">
        <v>0</v>
      </c>
      <c r="I3884" s="29"/>
      <c r="J3884" s="29"/>
      <c r="K3884" s="29"/>
      <c r="L3884" s="29"/>
      <c r="M3884" s="29"/>
    </row>
    <row r="3885" spans="1:13" ht="112.5" customHeight="1" x14ac:dyDescent="0.15">
      <c r="A3885" s="67">
        <v>281</v>
      </c>
      <c r="B3885" s="33" t="s">
        <v>3630</v>
      </c>
      <c r="C3885" s="33" t="s">
        <v>15006</v>
      </c>
      <c r="D3885" s="61" t="s">
        <v>15007</v>
      </c>
      <c r="E3885" s="68"/>
      <c r="F3885" s="59"/>
      <c r="G3885" s="62" t="s">
        <v>15008</v>
      </c>
      <c r="H3885" s="59">
        <v>0</v>
      </c>
      <c r="I3885" s="29"/>
      <c r="J3885" s="29"/>
      <c r="K3885" s="29"/>
      <c r="L3885" s="29"/>
      <c r="M3885" s="29"/>
    </row>
    <row r="3886" spans="1:13" ht="112.5" customHeight="1" x14ac:dyDescent="0.15">
      <c r="A3886" s="69">
        <v>3676</v>
      </c>
      <c r="B3886" s="32" t="s">
        <v>3526</v>
      </c>
      <c r="C3886" s="32" t="s">
        <v>15009</v>
      </c>
      <c r="D3886" s="56" t="s">
        <v>15010</v>
      </c>
      <c r="E3886" s="68"/>
      <c r="F3886" s="59"/>
      <c r="G3886" s="58" t="s">
        <v>15011</v>
      </c>
      <c r="H3886" s="59">
        <v>96.114999999999995</v>
      </c>
      <c r="I3886" s="29"/>
      <c r="J3886" s="29"/>
      <c r="K3886" s="29"/>
      <c r="L3886" s="29"/>
      <c r="M3886" s="29"/>
    </row>
    <row r="3887" spans="1:13" ht="112.5" customHeight="1" x14ac:dyDescent="0.15">
      <c r="A3887" s="67">
        <v>3675</v>
      </c>
      <c r="B3887" s="33" t="s">
        <v>3801</v>
      </c>
      <c r="C3887" s="33" t="s">
        <v>15012</v>
      </c>
      <c r="D3887" s="61" t="s">
        <v>15013</v>
      </c>
      <c r="E3887" s="68"/>
      <c r="F3887" s="59"/>
      <c r="G3887" s="62" t="s">
        <v>15014</v>
      </c>
      <c r="H3887" s="59">
        <v>704</v>
      </c>
      <c r="I3887" s="29"/>
      <c r="J3887" s="29"/>
      <c r="K3887" s="29"/>
      <c r="L3887" s="29"/>
      <c r="M3887" s="29"/>
    </row>
    <row r="3888" spans="1:13" ht="112.5" customHeight="1" x14ac:dyDescent="0.15">
      <c r="A3888" s="67">
        <v>181</v>
      </c>
      <c r="B3888" s="33" t="s">
        <v>3801</v>
      </c>
      <c r="C3888" s="33" t="s">
        <v>15015</v>
      </c>
      <c r="D3888" s="61" t="s">
        <v>15016</v>
      </c>
      <c r="E3888" s="68"/>
      <c r="F3888" s="59">
        <v>47000</v>
      </c>
      <c r="G3888" s="58" t="s">
        <v>15017</v>
      </c>
      <c r="H3888" s="59">
        <v>0</v>
      </c>
      <c r="I3888" s="29"/>
      <c r="J3888" s="29"/>
      <c r="K3888" s="29"/>
      <c r="L3888" s="29"/>
      <c r="M3888" s="29"/>
    </row>
    <row r="3889" spans="1:13" ht="112.5" customHeight="1" x14ac:dyDescent="0.15">
      <c r="A3889" s="67">
        <v>3673</v>
      </c>
      <c r="B3889" s="33" t="s">
        <v>3801</v>
      </c>
      <c r="C3889" s="33" t="s">
        <v>15018</v>
      </c>
      <c r="D3889" s="61" t="s">
        <v>15019</v>
      </c>
      <c r="E3889" s="68"/>
      <c r="F3889" s="59"/>
      <c r="G3889" s="62" t="s">
        <v>15020</v>
      </c>
      <c r="H3889" s="59">
        <v>99.427999999999997</v>
      </c>
      <c r="I3889" s="29"/>
      <c r="J3889" s="29"/>
      <c r="K3889" s="29"/>
      <c r="L3889" s="29"/>
      <c r="M3889" s="29"/>
    </row>
    <row r="3890" spans="1:13" ht="112.5" customHeight="1" x14ac:dyDescent="0.15">
      <c r="A3890" s="69">
        <v>3672</v>
      </c>
      <c r="B3890" s="32" t="s">
        <v>3801</v>
      </c>
      <c r="C3890" s="32" t="s">
        <v>15021</v>
      </c>
      <c r="D3890" s="56" t="s">
        <v>15022</v>
      </c>
      <c r="E3890" s="68"/>
      <c r="F3890" s="59"/>
      <c r="G3890" s="58" t="s">
        <v>15023</v>
      </c>
      <c r="H3890" s="59">
        <v>880</v>
      </c>
      <c r="I3890" s="29"/>
      <c r="J3890" s="29"/>
      <c r="K3890" s="29"/>
      <c r="L3890" s="29"/>
      <c r="M3890" s="29"/>
    </row>
    <row r="3891" spans="1:13" ht="112.5" customHeight="1" x14ac:dyDescent="0.15">
      <c r="A3891" s="67">
        <v>3671</v>
      </c>
      <c r="B3891" s="33" t="s">
        <v>3801</v>
      </c>
      <c r="C3891" s="33" t="s">
        <v>15024</v>
      </c>
      <c r="D3891" s="61" t="s">
        <v>15025</v>
      </c>
      <c r="E3891" s="68"/>
      <c r="F3891" s="59"/>
      <c r="G3891" s="62" t="s">
        <v>15026</v>
      </c>
      <c r="H3891" s="59">
        <v>638</v>
      </c>
      <c r="I3891" s="29"/>
      <c r="J3891" s="29"/>
      <c r="K3891" s="29"/>
      <c r="L3891" s="29"/>
      <c r="M3891" s="29"/>
    </row>
    <row r="3892" spans="1:13" ht="112.5" customHeight="1" x14ac:dyDescent="0.15">
      <c r="A3892" s="69">
        <v>3670</v>
      </c>
      <c r="B3892" s="32" t="s">
        <v>3801</v>
      </c>
      <c r="C3892" s="32" t="s">
        <v>15027</v>
      </c>
      <c r="D3892" s="56" t="s">
        <v>15028</v>
      </c>
      <c r="E3892" s="68"/>
      <c r="F3892" s="59"/>
      <c r="G3892" s="58" t="s">
        <v>15029</v>
      </c>
      <c r="H3892" s="59">
        <v>99.703000000000003</v>
      </c>
      <c r="I3892" s="29"/>
      <c r="J3892" s="29"/>
      <c r="K3892" s="29"/>
      <c r="L3892" s="29"/>
      <c r="M3892" s="29"/>
    </row>
    <row r="3893" spans="1:13" ht="112.5" customHeight="1" x14ac:dyDescent="0.15">
      <c r="A3893" s="69">
        <v>22</v>
      </c>
      <c r="B3893" s="32" t="s">
        <v>3513</v>
      </c>
      <c r="C3893" s="32" t="s">
        <v>15030</v>
      </c>
      <c r="D3893" s="56" t="s">
        <v>15031</v>
      </c>
      <c r="E3893" s="68"/>
      <c r="F3893" s="59">
        <v>52000</v>
      </c>
      <c r="G3893" s="62" t="s">
        <v>15032</v>
      </c>
      <c r="H3893" s="59">
        <v>9.391</v>
      </c>
      <c r="I3893" s="29"/>
      <c r="J3893" s="29"/>
      <c r="K3893" s="29"/>
      <c r="L3893" s="29"/>
      <c r="M3893" s="29"/>
    </row>
    <row r="3894" spans="1:13" ht="112.5" customHeight="1" x14ac:dyDescent="0.15">
      <c r="A3894" s="67">
        <v>27</v>
      </c>
      <c r="B3894" s="33" t="s">
        <v>3513</v>
      </c>
      <c r="C3894" s="33" t="s">
        <v>15033</v>
      </c>
      <c r="D3894" s="61" t="s">
        <v>15034</v>
      </c>
      <c r="E3894" s="68"/>
      <c r="F3894" s="59">
        <v>52000</v>
      </c>
      <c r="G3894" s="58" t="s">
        <v>15035</v>
      </c>
      <c r="H3894" s="59">
        <v>9.4510000000000005</v>
      </c>
      <c r="I3894" s="29"/>
      <c r="J3894" s="29"/>
      <c r="K3894" s="29"/>
      <c r="L3894" s="29"/>
      <c r="M3894" s="29"/>
    </row>
    <row r="3895" spans="1:13" ht="112.5" customHeight="1" x14ac:dyDescent="0.15">
      <c r="A3895" s="67">
        <v>3669</v>
      </c>
      <c r="B3895" s="33" t="s">
        <v>12428</v>
      </c>
      <c r="C3895" s="33" t="s">
        <v>15036</v>
      </c>
      <c r="D3895" s="61" t="s">
        <v>15037</v>
      </c>
      <c r="E3895" s="68"/>
      <c r="F3895" s="59"/>
      <c r="G3895" s="63" t="s">
        <v>15038</v>
      </c>
      <c r="H3895" s="59">
        <v>9.9149999999999991</v>
      </c>
    </row>
    <row r="3896" spans="1:13" ht="112.5" customHeight="1" x14ac:dyDescent="0.15">
      <c r="A3896" s="69">
        <v>3668</v>
      </c>
      <c r="B3896" s="32" t="s">
        <v>12428</v>
      </c>
      <c r="C3896" s="32" t="s">
        <v>15039</v>
      </c>
      <c r="D3896" s="56" t="s">
        <v>15040</v>
      </c>
      <c r="E3896" s="68"/>
      <c r="F3896" s="59"/>
      <c r="G3896" s="58" t="s">
        <v>15041</v>
      </c>
      <c r="H3896" s="59">
        <v>99.936999999999998</v>
      </c>
      <c r="I3896" s="29"/>
      <c r="J3896" s="29"/>
      <c r="K3896" s="29"/>
      <c r="L3896" s="29"/>
      <c r="M3896" s="29"/>
    </row>
    <row r="3897" spans="1:13" ht="112.5" customHeight="1" x14ac:dyDescent="0.15">
      <c r="A3897" s="67">
        <v>157</v>
      </c>
      <c r="B3897" s="33" t="s">
        <v>3801</v>
      </c>
      <c r="C3897" s="33" t="s">
        <v>15042</v>
      </c>
      <c r="D3897" s="61" t="s">
        <v>15043</v>
      </c>
      <c r="E3897" s="68"/>
      <c r="F3897" s="59">
        <v>90000</v>
      </c>
      <c r="G3897" s="62" t="s">
        <v>15044</v>
      </c>
      <c r="H3897" s="59" t="s">
        <v>4171</v>
      </c>
      <c r="I3897" s="29"/>
      <c r="J3897" s="29"/>
      <c r="K3897" s="29"/>
      <c r="L3897" s="29"/>
      <c r="M3897" s="29"/>
    </row>
    <row r="3898" spans="1:13" ht="112.5" customHeight="1" x14ac:dyDescent="0.15">
      <c r="A3898" s="67">
        <v>75</v>
      </c>
      <c r="B3898" s="33" t="s">
        <v>12428</v>
      </c>
      <c r="C3898" s="33" t="s">
        <v>15045</v>
      </c>
      <c r="D3898" s="61" t="s">
        <v>15046</v>
      </c>
      <c r="E3898" s="68"/>
      <c r="F3898" s="59">
        <v>33000</v>
      </c>
      <c r="G3898" s="58" t="s">
        <v>15047</v>
      </c>
      <c r="H3898" s="59">
        <v>69</v>
      </c>
      <c r="I3898" s="29"/>
      <c r="J3898" s="29"/>
      <c r="K3898" s="29"/>
      <c r="L3898" s="29"/>
      <c r="M3898" s="29"/>
    </row>
    <row r="3899" spans="1:13" ht="112.5" customHeight="1" x14ac:dyDescent="0.15">
      <c r="A3899" s="69">
        <v>2</v>
      </c>
      <c r="B3899" s="32" t="s">
        <v>12428</v>
      </c>
      <c r="C3899" s="32" t="s">
        <v>15048</v>
      </c>
      <c r="D3899" s="56" t="s">
        <v>17</v>
      </c>
      <c r="E3899" s="68"/>
      <c r="F3899" s="59">
        <v>42000</v>
      </c>
      <c r="G3899" s="62" t="s">
        <v>15049</v>
      </c>
      <c r="H3899" s="59">
        <v>0</v>
      </c>
      <c r="I3899" s="29"/>
      <c r="J3899" s="29"/>
      <c r="K3899" s="29"/>
      <c r="L3899" s="29"/>
      <c r="M3899" s="29"/>
    </row>
    <row r="3900" spans="1:13" ht="112.5" customHeight="1" x14ac:dyDescent="0.15">
      <c r="A3900" s="69">
        <v>3660</v>
      </c>
      <c r="B3900" s="32" t="s">
        <v>12428</v>
      </c>
      <c r="C3900" s="32" t="s">
        <v>15050</v>
      </c>
      <c r="D3900" s="56" t="s">
        <v>15051</v>
      </c>
      <c r="E3900" s="68"/>
      <c r="F3900" s="59"/>
      <c r="G3900" s="58" t="s">
        <v>15052</v>
      </c>
      <c r="H3900" s="59">
        <v>6.867</v>
      </c>
      <c r="I3900" s="29"/>
      <c r="J3900" s="29"/>
      <c r="K3900" s="29"/>
      <c r="L3900" s="29"/>
      <c r="M3900" s="29"/>
    </row>
    <row r="3901" spans="1:13" ht="112.5" customHeight="1" x14ac:dyDescent="0.15">
      <c r="A3901" s="67">
        <v>3657</v>
      </c>
      <c r="B3901" s="33" t="s">
        <v>3533</v>
      </c>
      <c r="C3901" s="33" t="s">
        <v>15053</v>
      </c>
      <c r="D3901" s="61" t="s">
        <v>15054</v>
      </c>
      <c r="E3901" s="68"/>
      <c r="F3901" s="59"/>
      <c r="G3901" s="62" t="s">
        <v>15055</v>
      </c>
      <c r="H3901" s="59">
        <v>0</v>
      </c>
      <c r="I3901" s="29"/>
      <c r="J3901" s="29"/>
      <c r="K3901" s="29"/>
      <c r="L3901" s="29"/>
      <c r="M3901" s="29"/>
    </row>
    <row r="3902" spans="1:13" ht="112.5" customHeight="1" x14ac:dyDescent="0.15">
      <c r="A3902" s="69">
        <v>3656</v>
      </c>
      <c r="B3902" s="32" t="s">
        <v>3533</v>
      </c>
      <c r="C3902" s="32" t="s">
        <v>15056</v>
      </c>
      <c r="D3902" s="56" t="s">
        <v>15057</v>
      </c>
      <c r="E3902" s="68"/>
      <c r="F3902" s="59"/>
      <c r="G3902" s="58" t="s">
        <v>15058</v>
      </c>
      <c r="H3902" s="59">
        <v>0</v>
      </c>
      <c r="I3902" s="29"/>
      <c r="J3902" s="29"/>
      <c r="K3902" s="29"/>
      <c r="L3902" s="29"/>
      <c r="M3902" s="29"/>
    </row>
    <row r="3903" spans="1:13" ht="112.5" customHeight="1" x14ac:dyDescent="0.15">
      <c r="A3903" s="67">
        <v>3653</v>
      </c>
      <c r="B3903" s="33" t="s">
        <v>3822</v>
      </c>
      <c r="C3903" s="33" t="s">
        <v>15059</v>
      </c>
      <c r="D3903" s="61" t="s">
        <v>15060</v>
      </c>
      <c r="E3903" s="68"/>
      <c r="F3903" s="59"/>
      <c r="G3903" s="62" t="s">
        <v>15061</v>
      </c>
      <c r="H3903" s="59">
        <v>0</v>
      </c>
      <c r="I3903" s="29"/>
      <c r="J3903" s="29"/>
      <c r="K3903" s="29"/>
      <c r="L3903" s="29"/>
      <c r="M3903" s="29"/>
    </row>
    <row r="3904" spans="1:13" ht="112.5" customHeight="1" x14ac:dyDescent="0.15">
      <c r="A3904" s="69">
        <v>3652</v>
      </c>
      <c r="B3904" s="32" t="s">
        <v>3513</v>
      </c>
      <c r="C3904" s="32" t="s">
        <v>15062</v>
      </c>
      <c r="D3904" s="56" t="s">
        <v>15063</v>
      </c>
      <c r="E3904" s="68"/>
      <c r="F3904" s="59"/>
      <c r="G3904" s="58" t="s">
        <v>15064</v>
      </c>
      <c r="H3904" s="59">
        <v>0</v>
      </c>
      <c r="I3904" s="29"/>
      <c r="J3904" s="29"/>
      <c r="K3904" s="29"/>
      <c r="L3904" s="29"/>
      <c r="M3904" s="29"/>
    </row>
    <row r="3905" spans="1:13" ht="112.5" customHeight="1" x14ac:dyDescent="0.15">
      <c r="A3905" s="67">
        <v>3651</v>
      </c>
      <c r="B3905" s="33" t="s">
        <v>3513</v>
      </c>
      <c r="C3905" s="33" t="s">
        <v>15065</v>
      </c>
      <c r="D3905" s="61" t="s">
        <v>15066</v>
      </c>
      <c r="E3905" s="68"/>
      <c r="F3905" s="59"/>
      <c r="G3905" s="62" t="s">
        <v>15067</v>
      </c>
      <c r="H3905" s="59">
        <v>0</v>
      </c>
      <c r="I3905" s="29"/>
      <c r="J3905" s="29"/>
      <c r="K3905" s="29"/>
      <c r="L3905" s="29"/>
      <c r="M3905" s="29"/>
    </row>
    <row r="3906" spans="1:13" ht="112.5" customHeight="1" x14ac:dyDescent="0.15">
      <c r="A3906" s="69">
        <v>3650</v>
      </c>
      <c r="B3906" s="32" t="s">
        <v>3822</v>
      </c>
      <c r="C3906" s="32" t="s">
        <v>15068</v>
      </c>
      <c r="D3906" s="56" t="s">
        <v>15069</v>
      </c>
      <c r="E3906" s="68"/>
      <c r="F3906" s="59"/>
      <c r="G3906" s="58" t="s">
        <v>15070</v>
      </c>
      <c r="H3906" s="59">
        <v>0</v>
      </c>
      <c r="I3906" s="29"/>
      <c r="J3906" s="29"/>
      <c r="K3906" s="29"/>
      <c r="L3906" s="29"/>
      <c r="M3906" s="29"/>
    </row>
    <row r="3907" spans="1:13" ht="112.5" customHeight="1" x14ac:dyDescent="0.15">
      <c r="A3907" s="67">
        <v>1735</v>
      </c>
      <c r="B3907" s="33" t="s">
        <v>3526</v>
      </c>
      <c r="C3907" s="33" t="s">
        <v>15071</v>
      </c>
      <c r="D3907" s="61" t="s">
        <v>15072</v>
      </c>
      <c r="E3907" s="68"/>
      <c r="F3907" s="59"/>
      <c r="G3907" s="62" t="s">
        <v>15073</v>
      </c>
      <c r="H3907" s="59">
        <v>0</v>
      </c>
      <c r="I3907" s="29"/>
      <c r="J3907" s="29"/>
      <c r="K3907" s="29"/>
      <c r="L3907" s="29"/>
      <c r="M3907" s="29"/>
    </row>
    <row r="3908" spans="1:13" ht="112.5" customHeight="1" x14ac:dyDescent="0.15">
      <c r="A3908" s="69">
        <v>3648</v>
      </c>
      <c r="B3908" s="32" t="s">
        <v>3526</v>
      </c>
      <c r="C3908" s="32" t="s">
        <v>15074</v>
      </c>
      <c r="D3908" s="56" t="s">
        <v>15075</v>
      </c>
      <c r="E3908" s="68"/>
      <c r="F3908" s="59"/>
      <c r="G3908" s="58" t="s">
        <v>15076</v>
      </c>
      <c r="H3908" s="59">
        <v>0</v>
      </c>
      <c r="I3908" s="29"/>
      <c r="J3908" s="29"/>
      <c r="K3908" s="29"/>
      <c r="L3908" s="29"/>
      <c r="M3908" s="29"/>
    </row>
    <row r="3909" spans="1:13" ht="112.5" customHeight="1" x14ac:dyDescent="0.15">
      <c r="A3909" s="67">
        <v>3647</v>
      </c>
      <c r="B3909" s="33" t="s">
        <v>3818</v>
      </c>
      <c r="C3909" s="33" t="s">
        <v>15077</v>
      </c>
      <c r="D3909" s="61" t="s">
        <v>15078</v>
      </c>
      <c r="E3909" s="68"/>
      <c r="F3909" s="59"/>
      <c r="G3909" s="62" t="s">
        <v>15079</v>
      </c>
      <c r="H3909" s="59">
        <v>0</v>
      </c>
      <c r="I3909" s="29"/>
      <c r="J3909" s="29"/>
      <c r="K3909" s="29"/>
      <c r="L3909" s="29"/>
      <c r="M3909" s="29"/>
    </row>
    <row r="3910" spans="1:13" ht="112.5" customHeight="1" x14ac:dyDescent="0.15">
      <c r="A3910" s="69">
        <v>208</v>
      </c>
      <c r="B3910" s="32" t="s">
        <v>3492</v>
      </c>
      <c r="C3910" s="32" t="s">
        <v>15080</v>
      </c>
      <c r="D3910" s="56" t="s">
        <v>15081</v>
      </c>
      <c r="E3910" s="68"/>
      <c r="F3910" s="59"/>
      <c r="G3910" s="58" t="s">
        <v>15082</v>
      </c>
      <c r="H3910" s="59">
        <v>0</v>
      </c>
      <c r="I3910" s="29"/>
      <c r="J3910" s="29"/>
      <c r="K3910" s="29"/>
      <c r="L3910" s="29"/>
      <c r="M3910" s="29"/>
    </row>
    <row r="3911" spans="1:13" ht="112.5" customHeight="1" x14ac:dyDescent="0.15">
      <c r="A3911" s="67">
        <v>149</v>
      </c>
      <c r="B3911" s="33" t="s">
        <v>3749</v>
      </c>
      <c r="C3911" s="33" t="s">
        <v>15083</v>
      </c>
      <c r="D3911" s="61" t="s">
        <v>15084</v>
      </c>
      <c r="E3911" s="68"/>
      <c r="F3911" s="59">
        <v>43000</v>
      </c>
      <c r="G3911" s="62" t="s">
        <v>15085</v>
      </c>
      <c r="H3911" s="59">
        <v>99.421000000000006</v>
      </c>
      <c r="I3911" s="29"/>
      <c r="J3911" s="29"/>
      <c r="K3911" s="29"/>
      <c r="L3911" s="29"/>
      <c r="M3911" s="29"/>
    </row>
    <row r="3912" spans="1:13" ht="112.5" customHeight="1" x14ac:dyDescent="0.15">
      <c r="A3912" s="69">
        <v>3644</v>
      </c>
      <c r="B3912" s="32" t="s">
        <v>12428</v>
      </c>
      <c r="C3912" s="32" t="s">
        <v>15086</v>
      </c>
      <c r="D3912" s="56" t="s">
        <v>15087</v>
      </c>
      <c r="E3912" s="68"/>
      <c r="F3912" s="59"/>
      <c r="G3912" s="58" t="s">
        <v>15088</v>
      </c>
      <c r="H3912" s="59">
        <v>0</v>
      </c>
      <c r="I3912" s="29"/>
      <c r="J3912" s="29"/>
      <c r="K3912" s="29"/>
      <c r="L3912" s="29"/>
      <c r="M3912" s="29"/>
    </row>
    <row r="3913" spans="1:13" ht="112.5" customHeight="1" x14ac:dyDescent="0.15">
      <c r="A3913" s="67">
        <v>3641</v>
      </c>
      <c r="B3913" s="33" t="s">
        <v>3513</v>
      </c>
      <c r="C3913" s="33" t="s">
        <v>15089</v>
      </c>
      <c r="D3913" s="61" t="s">
        <v>15090</v>
      </c>
      <c r="E3913" s="68"/>
      <c r="F3913" s="59"/>
      <c r="G3913" s="62" t="s">
        <v>15091</v>
      </c>
      <c r="H3913" s="59">
        <v>979</v>
      </c>
      <c r="I3913" s="29"/>
      <c r="J3913" s="29"/>
      <c r="K3913" s="29"/>
      <c r="L3913" s="29"/>
      <c r="M3913" s="29"/>
    </row>
    <row r="3914" spans="1:13" ht="112.5" customHeight="1" x14ac:dyDescent="0.15">
      <c r="A3914" s="69">
        <v>84</v>
      </c>
      <c r="B3914" s="32" t="s">
        <v>3822</v>
      </c>
      <c r="C3914" s="32" t="s">
        <v>15092</v>
      </c>
      <c r="D3914" s="56" t="s">
        <v>15093</v>
      </c>
      <c r="E3914" s="68"/>
      <c r="F3914" s="59">
        <v>73000</v>
      </c>
      <c r="G3914" s="58" t="s">
        <v>15094</v>
      </c>
      <c r="H3914" s="59">
        <v>0</v>
      </c>
      <c r="I3914" s="29"/>
      <c r="J3914" s="29"/>
      <c r="K3914" s="29"/>
      <c r="L3914" s="29"/>
      <c r="M3914" s="29"/>
    </row>
    <row r="3915" spans="1:13" ht="112.5" customHeight="1" x14ac:dyDescent="0.15">
      <c r="A3915" s="69">
        <v>3640</v>
      </c>
      <c r="B3915" s="32" t="s">
        <v>3822</v>
      </c>
      <c r="C3915" s="32" t="s">
        <v>15095</v>
      </c>
      <c r="D3915" s="56" t="s">
        <v>15096</v>
      </c>
      <c r="E3915" s="68"/>
      <c r="F3915" s="59"/>
      <c r="G3915" s="62" t="s">
        <v>15097</v>
      </c>
      <c r="H3915" s="59">
        <v>0</v>
      </c>
      <c r="I3915" s="29"/>
      <c r="J3915" s="29"/>
      <c r="K3915" s="29"/>
      <c r="L3915" s="29"/>
      <c r="M3915" s="29"/>
    </row>
    <row r="3916" spans="1:13" ht="112.5" customHeight="1" x14ac:dyDescent="0.15">
      <c r="A3916" s="67">
        <v>3639</v>
      </c>
      <c r="B3916" s="33" t="s">
        <v>3822</v>
      </c>
      <c r="C3916" s="33" t="s">
        <v>15098</v>
      </c>
      <c r="D3916" s="61" t="s">
        <v>15099</v>
      </c>
      <c r="E3916" s="68"/>
      <c r="F3916" s="59"/>
      <c r="G3916" s="64" t="s">
        <v>15100</v>
      </c>
      <c r="H3916" s="59">
        <v>0</v>
      </c>
    </row>
    <row r="3917" spans="1:13" ht="112.5" customHeight="1" x14ac:dyDescent="0.15">
      <c r="A3917" s="67">
        <v>3637</v>
      </c>
      <c r="B3917" s="33" t="s">
        <v>3513</v>
      </c>
      <c r="C3917" s="33" t="s">
        <v>15101</v>
      </c>
      <c r="D3917" s="61" t="s">
        <v>15102</v>
      </c>
      <c r="E3917" s="68"/>
      <c r="F3917" s="59"/>
      <c r="G3917" s="62" t="s">
        <v>15103</v>
      </c>
      <c r="H3917" s="59">
        <v>0</v>
      </c>
      <c r="I3917" s="29"/>
      <c r="J3917" s="29"/>
      <c r="K3917" s="29"/>
      <c r="L3917" s="29"/>
      <c r="M3917" s="29"/>
    </row>
    <row r="3918" spans="1:13" ht="112.5" customHeight="1" x14ac:dyDescent="0.15">
      <c r="A3918" s="67">
        <v>41</v>
      </c>
      <c r="B3918" s="33" t="s">
        <v>3513</v>
      </c>
      <c r="C3918" s="33" t="s">
        <v>15104</v>
      </c>
      <c r="D3918" s="61" t="s">
        <v>15105</v>
      </c>
      <c r="E3918" s="68"/>
      <c r="F3918" s="59">
        <v>28000</v>
      </c>
      <c r="G3918" s="58" t="s">
        <v>15106</v>
      </c>
      <c r="H3918" s="59">
        <v>0</v>
      </c>
      <c r="I3918" s="29"/>
      <c r="J3918" s="29"/>
      <c r="K3918" s="29"/>
      <c r="L3918" s="29"/>
      <c r="M3918" s="29"/>
    </row>
    <row r="3919" spans="1:13" ht="112.5" customHeight="1" x14ac:dyDescent="0.15">
      <c r="A3919" s="67">
        <v>217</v>
      </c>
      <c r="B3919" s="33" t="s">
        <v>3513</v>
      </c>
      <c r="C3919" s="33" t="s">
        <v>15107</v>
      </c>
      <c r="D3919" s="61" t="s">
        <v>15108</v>
      </c>
      <c r="E3919" s="68"/>
      <c r="F3919" s="59"/>
      <c r="G3919" s="62" t="s">
        <v>15109</v>
      </c>
      <c r="H3919" s="59">
        <v>0</v>
      </c>
      <c r="I3919" s="29"/>
      <c r="J3919" s="29"/>
      <c r="K3919" s="29"/>
      <c r="L3919" s="29"/>
      <c r="M3919" s="29"/>
    </row>
    <row r="3920" spans="1:13" ht="112.5" customHeight="1" x14ac:dyDescent="0.15">
      <c r="A3920" s="67">
        <v>3603</v>
      </c>
      <c r="B3920" s="33" t="s">
        <v>3818</v>
      </c>
      <c r="C3920" s="33" t="s">
        <v>15110</v>
      </c>
      <c r="D3920" s="61" t="s">
        <v>15111</v>
      </c>
      <c r="E3920" s="68"/>
      <c r="F3920" s="59"/>
      <c r="G3920" s="58" t="s">
        <v>15112</v>
      </c>
      <c r="H3920" s="59">
        <v>0</v>
      </c>
      <c r="I3920" s="29"/>
      <c r="J3920" s="29"/>
      <c r="K3920" s="29"/>
      <c r="L3920" s="29"/>
      <c r="M3920" s="29"/>
    </row>
    <row r="3921" spans="1:13" ht="112.5" customHeight="1" x14ac:dyDescent="0.15">
      <c r="A3921" s="67">
        <v>1</v>
      </c>
      <c r="B3921" s="33" t="s">
        <v>3801</v>
      </c>
      <c r="C3921" s="33" t="s">
        <v>15113</v>
      </c>
      <c r="D3921" s="61" t="s">
        <v>15114</v>
      </c>
      <c r="E3921" s="68"/>
      <c r="F3921" s="59">
        <v>32000</v>
      </c>
      <c r="G3921" s="62" t="s">
        <v>15115</v>
      </c>
      <c r="H3921" s="59">
        <v>0</v>
      </c>
      <c r="I3921" s="29"/>
      <c r="J3921" s="29"/>
      <c r="K3921" s="29"/>
      <c r="L3921" s="29"/>
      <c r="M3921" s="29"/>
    </row>
    <row r="3922" spans="1:13" ht="112.5" customHeight="1" x14ac:dyDescent="0.15">
      <c r="A3922" s="67">
        <v>3491</v>
      </c>
      <c r="B3922" s="33" t="s">
        <v>12428</v>
      </c>
      <c r="C3922" s="33" t="s">
        <v>15116</v>
      </c>
      <c r="D3922" s="61" t="s">
        <v>15117</v>
      </c>
      <c r="E3922" s="68"/>
      <c r="F3922" s="59"/>
      <c r="G3922" s="58" t="s">
        <v>15118</v>
      </c>
      <c r="H3922" s="59">
        <v>1</v>
      </c>
      <c r="I3922" s="29"/>
      <c r="J3922" s="29"/>
      <c r="K3922" s="29"/>
      <c r="L3922" s="29"/>
      <c r="M3922" s="29"/>
    </row>
    <row r="3923" spans="1:13" ht="112.5" customHeight="1" x14ac:dyDescent="0.15">
      <c r="A3923" s="67">
        <v>87</v>
      </c>
      <c r="B3923" s="33" t="s">
        <v>12428</v>
      </c>
      <c r="C3923" s="33" t="s">
        <v>15119</v>
      </c>
      <c r="D3923" s="61" t="s">
        <v>15120</v>
      </c>
      <c r="E3923" s="68"/>
      <c r="F3923" s="59">
        <v>29000</v>
      </c>
      <c r="G3923" s="62" t="s">
        <v>15121</v>
      </c>
      <c r="H3923" s="59">
        <v>0</v>
      </c>
      <c r="I3923" s="29"/>
      <c r="J3923" s="29"/>
      <c r="K3923" s="29"/>
      <c r="L3923" s="29"/>
      <c r="M3923" s="29"/>
    </row>
    <row r="3924" spans="1:13" ht="112.5" customHeight="1" x14ac:dyDescent="0.15">
      <c r="A3924" s="69">
        <v>3632</v>
      </c>
      <c r="B3924" s="32" t="s">
        <v>3496</v>
      </c>
      <c r="C3924" s="32" t="s">
        <v>15122</v>
      </c>
      <c r="D3924" s="56" t="s">
        <v>15123</v>
      </c>
      <c r="E3924" s="68"/>
      <c r="F3924" s="59"/>
      <c r="G3924" s="58" t="s">
        <v>15124</v>
      </c>
      <c r="H3924" s="59">
        <v>0</v>
      </c>
      <c r="I3924" s="29"/>
      <c r="J3924" s="29"/>
      <c r="K3924" s="29"/>
      <c r="L3924" s="29"/>
      <c r="M3924" s="29"/>
    </row>
    <row r="3925" spans="1:13" ht="112.5" customHeight="1" x14ac:dyDescent="0.15">
      <c r="A3925" s="67">
        <v>193</v>
      </c>
      <c r="B3925" s="33" t="s">
        <v>3814</v>
      </c>
      <c r="C3925" s="33" t="s">
        <v>15125</v>
      </c>
      <c r="D3925" s="61" t="s">
        <v>15126</v>
      </c>
      <c r="E3925" s="68"/>
      <c r="F3925" s="59">
        <v>22000</v>
      </c>
      <c r="G3925" s="62" t="s">
        <v>15127</v>
      </c>
      <c r="H3925" s="59">
        <v>0</v>
      </c>
      <c r="I3925" s="29"/>
      <c r="J3925" s="29"/>
      <c r="K3925" s="29"/>
      <c r="L3925" s="29"/>
      <c r="M3925" s="29"/>
    </row>
    <row r="3926" spans="1:13" ht="112.5" customHeight="1" x14ac:dyDescent="0.15">
      <c r="A3926" s="69">
        <v>210</v>
      </c>
      <c r="B3926" s="32" t="s">
        <v>12428</v>
      </c>
      <c r="C3926" s="32" t="s">
        <v>15128</v>
      </c>
      <c r="D3926" s="56" t="s">
        <v>15129</v>
      </c>
      <c r="E3926" s="68"/>
      <c r="F3926" s="59"/>
      <c r="G3926" s="58" t="s">
        <v>15130</v>
      </c>
      <c r="H3926" s="59">
        <v>993</v>
      </c>
      <c r="I3926" s="29"/>
      <c r="J3926" s="29"/>
      <c r="K3926" s="29"/>
      <c r="L3926" s="29"/>
      <c r="M3926" s="29"/>
    </row>
    <row r="3927" spans="1:13" ht="112.5" customHeight="1" x14ac:dyDescent="0.15">
      <c r="A3927" s="69">
        <v>12</v>
      </c>
      <c r="B3927" s="32" t="s">
        <v>3814</v>
      </c>
      <c r="C3927" s="32" t="s">
        <v>15131</v>
      </c>
      <c r="D3927" s="56" t="s">
        <v>15132</v>
      </c>
      <c r="E3927" s="68"/>
      <c r="F3927" s="59">
        <v>58000</v>
      </c>
      <c r="G3927" s="62" t="s">
        <v>4652</v>
      </c>
      <c r="H3927" s="59">
        <v>0</v>
      </c>
      <c r="I3927" s="29"/>
      <c r="J3927" s="29"/>
      <c r="K3927" s="29"/>
      <c r="L3927" s="29"/>
      <c r="M3927" s="29"/>
    </row>
    <row r="3928" spans="1:13" ht="112.5" customHeight="1" x14ac:dyDescent="0.15">
      <c r="A3928" s="67">
        <v>11</v>
      </c>
      <c r="B3928" s="33" t="s">
        <v>3814</v>
      </c>
      <c r="C3928" s="33" t="s">
        <v>15133</v>
      </c>
      <c r="D3928" s="61" t="s">
        <v>15134</v>
      </c>
      <c r="E3928" s="68"/>
      <c r="F3928" s="59">
        <v>95000</v>
      </c>
      <c r="G3928" s="58" t="s">
        <v>15135</v>
      </c>
      <c r="H3928" s="59">
        <v>0</v>
      </c>
      <c r="I3928" s="29"/>
      <c r="J3928" s="29"/>
      <c r="K3928" s="29"/>
      <c r="L3928" s="29"/>
      <c r="M3928" s="29"/>
    </row>
    <row r="3929" spans="1:13" ht="112.5" customHeight="1" x14ac:dyDescent="0.15">
      <c r="A3929" s="69">
        <v>448</v>
      </c>
      <c r="B3929" s="32" t="s">
        <v>12428</v>
      </c>
      <c r="C3929" s="32" t="s">
        <v>15136</v>
      </c>
      <c r="D3929" s="56" t="s">
        <v>15137</v>
      </c>
      <c r="E3929" s="68"/>
      <c r="F3929" s="59"/>
      <c r="G3929" s="62" t="s">
        <v>15138</v>
      </c>
      <c r="H3929" s="59">
        <v>99.873999999999995</v>
      </c>
      <c r="I3929" s="29"/>
      <c r="J3929" s="29"/>
      <c r="K3929" s="29"/>
      <c r="L3929" s="29"/>
      <c r="M3929" s="29"/>
    </row>
    <row r="3930" spans="1:13" ht="112.5" customHeight="1" x14ac:dyDescent="0.15">
      <c r="A3930" s="69">
        <v>272</v>
      </c>
      <c r="B3930" s="32" t="s">
        <v>3818</v>
      </c>
      <c r="C3930" s="32" t="s">
        <v>15139</v>
      </c>
      <c r="D3930" s="56" t="s">
        <v>15140</v>
      </c>
      <c r="E3930" s="68"/>
      <c r="F3930" s="59"/>
      <c r="G3930" s="58" t="s">
        <v>15141</v>
      </c>
      <c r="H3930" s="59">
        <v>98.213999999999999</v>
      </c>
      <c r="I3930" s="29"/>
      <c r="J3930" s="29"/>
      <c r="K3930" s="29"/>
      <c r="L3930" s="29"/>
      <c r="M3930" s="29"/>
    </row>
    <row r="3931" spans="1:13" ht="112.5" customHeight="1" x14ac:dyDescent="0.15">
      <c r="A3931" s="69">
        <v>180</v>
      </c>
      <c r="B3931" s="32" t="s">
        <v>3749</v>
      </c>
      <c r="C3931" s="32" t="s">
        <v>15142</v>
      </c>
      <c r="D3931" s="56" t="s">
        <v>15143</v>
      </c>
      <c r="E3931" s="68"/>
      <c r="F3931" s="59">
        <v>27000</v>
      </c>
      <c r="G3931" s="62" t="s">
        <v>15144</v>
      </c>
      <c r="H3931" s="59">
        <v>0</v>
      </c>
      <c r="I3931" s="29"/>
      <c r="J3931" s="29"/>
      <c r="K3931" s="29"/>
      <c r="L3931" s="29"/>
      <c r="M3931" s="29"/>
    </row>
    <row r="3932" spans="1:13" ht="112.5" customHeight="1" x14ac:dyDescent="0.15">
      <c r="A3932" s="69">
        <v>3630</v>
      </c>
      <c r="B3932" s="32" t="s">
        <v>3533</v>
      </c>
      <c r="C3932" s="32" t="s">
        <v>15145</v>
      </c>
      <c r="D3932" s="56" t="s">
        <v>15146</v>
      </c>
      <c r="E3932" s="68"/>
      <c r="F3932" s="59"/>
      <c r="G3932" s="58" t="s">
        <v>15147</v>
      </c>
      <c r="H3932" s="59">
        <v>0</v>
      </c>
      <c r="I3932" s="29"/>
      <c r="J3932" s="29"/>
      <c r="K3932" s="29"/>
      <c r="L3932" s="29"/>
      <c r="M3932" s="29"/>
    </row>
    <row r="3933" spans="1:13" ht="112.5" customHeight="1" x14ac:dyDescent="0.15">
      <c r="A3933" s="67">
        <v>3629</v>
      </c>
      <c r="B3933" s="33" t="s">
        <v>3496</v>
      </c>
      <c r="C3933" s="33" t="s">
        <v>15148</v>
      </c>
      <c r="D3933" s="61" t="s">
        <v>15149</v>
      </c>
      <c r="E3933" s="68"/>
      <c r="F3933" s="59"/>
      <c r="G3933" s="62" t="s">
        <v>15150</v>
      </c>
      <c r="H3933" s="59">
        <v>0</v>
      </c>
      <c r="I3933" s="29"/>
      <c r="J3933" s="29"/>
      <c r="K3933" s="29"/>
      <c r="L3933" s="29"/>
      <c r="M3933" s="29"/>
    </row>
    <row r="3934" spans="1:13" ht="112.5" customHeight="1" x14ac:dyDescent="0.15">
      <c r="A3934" s="69">
        <v>3628</v>
      </c>
      <c r="B3934" s="32" t="s">
        <v>3556</v>
      </c>
      <c r="C3934" s="32" t="s">
        <v>15151</v>
      </c>
      <c r="D3934" s="56" t="s">
        <v>15152</v>
      </c>
      <c r="E3934" s="68"/>
      <c r="F3934" s="59"/>
      <c r="G3934" s="58" t="s">
        <v>15153</v>
      </c>
      <c r="H3934" s="59">
        <v>7.8529999999999998</v>
      </c>
      <c r="I3934" s="29"/>
      <c r="J3934" s="29"/>
      <c r="K3934" s="29"/>
      <c r="L3934" s="29"/>
      <c r="M3934" s="29"/>
    </row>
    <row r="3935" spans="1:13" ht="112.5" customHeight="1" x14ac:dyDescent="0.15">
      <c r="A3935" s="69">
        <v>3618</v>
      </c>
      <c r="B3935" s="32" t="s">
        <v>12428</v>
      </c>
      <c r="C3935" s="32" t="s">
        <v>15154</v>
      </c>
      <c r="D3935" s="56" t="s">
        <v>15155</v>
      </c>
      <c r="E3935" s="68"/>
      <c r="F3935" s="59"/>
      <c r="G3935" s="62" t="s">
        <v>15156</v>
      </c>
      <c r="H3935" s="59">
        <v>0</v>
      </c>
      <c r="I3935" s="29"/>
      <c r="J3935" s="29"/>
      <c r="K3935" s="29"/>
      <c r="L3935" s="29"/>
      <c r="M3935" s="29"/>
    </row>
    <row r="3936" spans="1:13" ht="112.5" customHeight="1" x14ac:dyDescent="0.15">
      <c r="A3936" s="67">
        <v>127</v>
      </c>
      <c r="B3936" s="33" t="s">
        <v>12428</v>
      </c>
      <c r="C3936" s="33" t="s">
        <v>15157</v>
      </c>
      <c r="D3936" s="61" t="s">
        <v>15158</v>
      </c>
      <c r="E3936" s="68"/>
      <c r="F3936" s="59">
        <v>67000</v>
      </c>
      <c r="G3936" s="58" t="s">
        <v>15159</v>
      </c>
      <c r="H3936" s="59">
        <v>109.818</v>
      </c>
      <c r="I3936" s="29"/>
      <c r="J3936" s="29"/>
      <c r="K3936" s="29"/>
      <c r="L3936" s="29"/>
      <c r="M3936" s="29"/>
    </row>
    <row r="3937" spans="1:13" ht="112.5" customHeight="1" x14ac:dyDescent="0.15">
      <c r="A3937" s="69">
        <v>3616</v>
      </c>
      <c r="B3937" s="32" t="s">
        <v>3599</v>
      </c>
      <c r="C3937" s="32" t="s">
        <v>15160</v>
      </c>
      <c r="D3937" s="56" t="s">
        <v>15161</v>
      </c>
      <c r="E3937" s="68"/>
      <c r="F3937" s="59"/>
      <c r="G3937" s="62" t="s">
        <v>15162</v>
      </c>
      <c r="H3937" s="59">
        <v>1</v>
      </c>
      <c r="I3937" s="29"/>
      <c r="J3937" s="29"/>
      <c r="K3937" s="29"/>
      <c r="L3937" s="29"/>
      <c r="M3937" s="29"/>
    </row>
    <row r="3938" spans="1:13" ht="112.5" customHeight="1" x14ac:dyDescent="0.15">
      <c r="A3938" s="67">
        <v>3617</v>
      </c>
      <c r="B3938" s="33" t="s">
        <v>3599</v>
      </c>
      <c r="C3938" s="33" t="s">
        <v>15163</v>
      </c>
      <c r="D3938" s="61" t="s">
        <v>15164</v>
      </c>
      <c r="E3938" s="68"/>
      <c r="F3938" s="59"/>
      <c r="G3938" s="58" t="s">
        <v>15165</v>
      </c>
      <c r="H3938" s="59">
        <v>9.3610000000000007</v>
      </c>
      <c r="I3938" s="29"/>
      <c r="J3938" s="29"/>
      <c r="K3938" s="29"/>
      <c r="L3938" s="29"/>
      <c r="M3938" s="29"/>
    </row>
    <row r="3939" spans="1:13" ht="112.5" customHeight="1" x14ac:dyDescent="0.15">
      <c r="A3939" s="67">
        <v>53</v>
      </c>
      <c r="B3939" s="33" t="s">
        <v>12428</v>
      </c>
      <c r="C3939" s="33" t="s">
        <v>15166</v>
      </c>
      <c r="D3939" s="61" t="s">
        <v>15167</v>
      </c>
      <c r="E3939" s="68"/>
      <c r="F3939" s="59">
        <v>67000</v>
      </c>
      <c r="G3939" s="62" t="s">
        <v>15168</v>
      </c>
      <c r="H3939" s="59">
        <v>0</v>
      </c>
      <c r="I3939" s="29"/>
      <c r="J3939" s="29"/>
      <c r="K3939" s="29"/>
      <c r="L3939" s="29"/>
      <c r="M3939" s="29"/>
    </row>
    <row r="3940" spans="1:13" ht="112.5" customHeight="1" x14ac:dyDescent="0.15">
      <c r="A3940" s="67">
        <v>3615</v>
      </c>
      <c r="B3940" s="33" t="s">
        <v>3599</v>
      </c>
      <c r="C3940" s="33" t="s">
        <v>15169</v>
      </c>
      <c r="D3940" s="61" t="s">
        <v>15170</v>
      </c>
      <c r="E3940" s="68"/>
      <c r="F3940" s="59"/>
      <c r="G3940" s="58" t="s">
        <v>15171</v>
      </c>
      <c r="H3940" s="59">
        <v>0</v>
      </c>
      <c r="I3940" s="29"/>
      <c r="J3940" s="29"/>
      <c r="K3940" s="29"/>
      <c r="L3940" s="29"/>
      <c r="M3940" s="29"/>
    </row>
    <row r="3941" spans="1:13" ht="112.5" customHeight="1" x14ac:dyDescent="0.15">
      <c r="A3941" s="69">
        <v>3614</v>
      </c>
      <c r="B3941" s="32" t="s">
        <v>3599</v>
      </c>
      <c r="C3941" s="32" t="s">
        <v>15172</v>
      </c>
      <c r="D3941" s="56" t="s">
        <v>15173</v>
      </c>
      <c r="E3941" s="68"/>
      <c r="F3941" s="59"/>
      <c r="G3941" s="62" t="s">
        <v>15174</v>
      </c>
      <c r="H3941" s="59">
        <v>0</v>
      </c>
      <c r="I3941" s="29"/>
      <c r="J3941" s="29"/>
      <c r="K3941" s="29"/>
      <c r="L3941" s="29"/>
      <c r="M3941" s="29"/>
    </row>
    <row r="3942" spans="1:13" ht="112.5" customHeight="1" x14ac:dyDescent="0.15">
      <c r="A3942" s="67">
        <v>133</v>
      </c>
      <c r="B3942" s="33" t="s">
        <v>12428</v>
      </c>
      <c r="C3942" s="33" t="s">
        <v>15175</v>
      </c>
      <c r="D3942" s="61" t="s">
        <v>15176</v>
      </c>
      <c r="E3942" s="68"/>
      <c r="F3942" s="59">
        <v>19000</v>
      </c>
      <c r="G3942" s="58" t="s">
        <v>15177</v>
      </c>
      <c r="H3942" s="59">
        <v>0</v>
      </c>
      <c r="I3942" s="29"/>
      <c r="J3942" s="29"/>
      <c r="K3942" s="29"/>
      <c r="L3942" s="29"/>
      <c r="M3942" s="29"/>
    </row>
    <row r="3943" spans="1:13" ht="112.5" customHeight="1" x14ac:dyDescent="0.15">
      <c r="A3943" s="69">
        <v>3610</v>
      </c>
      <c r="B3943" s="32" t="s">
        <v>3670</v>
      </c>
      <c r="C3943" s="32" t="s">
        <v>15178</v>
      </c>
      <c r="D3943" s="56" t="s">
        <v>15179</v>
      </c>
      <c r="E3943" s="68"/>
      <c r="F3943" s="59"/>
      <c r="G3943" s="62" t="s">
        <v>15180</v>
      </c>
      <c r="H3943" s="59">
        <v>0</v>
      </c>
      <c r="I3943" s="29"/>
      <c r="J3943" s="29"/>
      <c r="K3943" s="29"/>
      <c r="L3943" s="29"/>
      <c r="M3943" s="29"/>
    </row>
    <row r="3944" spans="1:13" ht="112.5" customHeight="1" x14ac:dyDescent="0.15">
      <c r="A3944" s="69">
        <v>3608</v>
      </c>
      <c r="B3944" s="32" t="s">
        <v>12428</v>
      </c>
      <c r="C3944" s="32" t="s">
        <v>15181</v>
      </c>
      <c r="D3944" s="56" t="s">
        <v>15182</v>
      </c>
      <c r="E3944" s="68"/>
      <c r="F3944" s="59"/>
      <c r="G3944" s="58" t="s">
        <v>15183</v>
      </c>
      <c r="H3944" s="59">
        <v>0</v>
      </c>
      <c r="I3944" s="29"/>
      <c r="J3944" s="29"/>
      <c r="K3944" s="29"/>
      <c r="L3944" s="29"/>
      <c r="M3944" s="29"/>
    </row>
    <row r="3945" spans="1:13" ht="112.5" customHeight="1" x14ac:dyDescent="0.15">
      <c r="A3945" s="67">
        <v>171</v>
      </c>
      <c r="B3945" s="33" t="s">
        <v>3526</v>
      </c>
      <c r="C3945" s="33" t="s">
        <v>15184</v>
      </c>
      <c r="D3945" s="61" t="s">
        <v>15185</v>
      </c>
      <c r="E3945" s="68"/>
      <c r="F3945" s="59">
        <v>139000</v>
      </c>
      <c r="G3945" s="62" t="s">
        <v>15186</v>
      </c>
      <c r="H3945" s="59">
        <v>208</v>
      </c>
      <c r="I3945" s="29"/>
      <c r="J3945" s="29"/>
      <c r="K3945" s="29"/>
      <c r="L3945" s="29"/>
      <c r="M3945" s="29"/>
    </row>
    <row r="3946" spans="1:13" ht="112.5" customHeight="1" x14ac:dyDescent="0.15">
      <c r="A3946" s="67">
        <v>271</v>
      </c>
      <c r="B3946" s="33" t="s">
        <v>3533</v>
      </c>
      <c r="C3946" s="33" t="s">
        <v>15187</v>
      </c>
      <c r="D3946" s="61" t="s">
        <v>15188</v>
      </c>
      <c r="E3946" s="68"/>
      <c r="F3946" s="59"/>
      <c r="G3946" s="58" t="s">
        <v>15189</v>
      </c>
      <c r="H3946" s="59">
        <v>0</v>
      </c>
      <c r="I3946" s="29"/>
      <c r="J3946" s="29"/>
      <c r="K3946" s="29"/>
      <c r="L3946" s="29"/>
      <c r="M3946" s="29"/>
    </row>
    <row r="3947" spans="1:13" ht="112.5" customHeight="1" x14ac:dyDescent="0.15">
      <c r="A3947" s="67">
        <v>139</v>
      </c>
      <c r="B3947" s="33" t="s">
        <v>3513</v>
      </c>
      <c r="C3947" s="33" t="s">
        <v>15190</v>
      </c>
      <c r="D3947" s="61" t="s">
        <v>15191</v>
      </c>
      <c r="E3947" s="68"/>
      <c r="F3947" s="59">
        <v>26000</v>
      </c>
      <c r="G3947" s="62" t="s">
        <v>15192</v>
      </c>
      <c r="H3947" s="59">
        <v>9.3940000000000001</v>
      </c>
      <c r="I3947" s="29"/>
      <c r="J3947" s="29"/>
      <c r="K3947" s="29"/>
      <c r="L3947" s="29"/>
      <c r="M3947" s="29"/>
    </row>
    <row r="3948" spans="1:13" ht="112.5" customHeight="1" x14ac:dyDescent="0.15">
      <c r="A3948" s="69">
        <v>3606</v>
      </c>
      <c r="B3948" s="32" t="s">
        <v>3556</v>
      </c>
      <c r="C3948" s="32" t="s">
        <v>15193</v>
      </c>
      <c r="D3948" s="56" t="s">
        <v>15194</v>
      </c>
      <c r="E3948" s="68"/>
      <c r="F3948" s="59"/>
      <c r="G3948" s="58" t="s">
        <v>15195</v>
      </c>
      <c r="H3948" s="59">
        <v>0</v>
      </c>
      <c r="I3948" s="29"/>
      <c r="J3948" s="29"/>
      <c r="K3948" s="29"/>
      <c r="L3948" s="29"/>
      <c r="M3948" s="29"/>
    </row>
    <row r="3949" spans="1:13" ht="112.5" customHeight="1" x14ac:dyDescent="0.15">
      <c r="A3949" s="69">
        <v>3604</v>
      </c>
      <c r="B3949" s="32" t="s">
        <v>3670</v>
      </c>
      <c r="C3949" s="32" t="s">
        <v>15196</v>
      </c>
      <c r="D3949" s="56" t="s">
        <v>15197</v>
      </c>
      <c r="E3949" s="68"/>
      <c r="F3949" s="59"/>
      <c r="G3949" s="62" t="s">
        <v>15198</v>
      </c>
      <c r="H3949" s="59">
        <v>99.888000000000005</v>
      </c>
      <c r="I3949" s="29"/>
      <c r="J3949" s="29"/>
      <c r="K3949" s="29"/>
      <c r="L3949" s="29"/>
      <c r="M3949" s="29"/>
    </row>
    <row r="3950" spans="1:13" ht="112.5" customHeight="1" x14ac:dyDescent="0.15">
      <c r="A3950" s="69">
        <v>270</v>
      </c>
      <c r="B3950" s="32" t="s">
        <v>3533</v>
      </c>
      <c r="C3950" s="32" t="s">
        <v>15199</v>
      </c>
      <c r="D3950" s="56" t="s">
        <v>15200</v>
      </c>
      <c r="E3950" s="68"/>
      <c r="F3950" s="59"/>
      <c r="G3950" s="58" t="s">
        <v>15201</v>
      </c>
      <c r="H3950" s="59">
        <v>0</v>
      </c>
      <c r="I3950" s="29"/>
      <c r="J3950" s="29"/>
      <c r="K3950" s="29"/>
      <c r="L3950" s="29"/>
      <c r="M3950" s="29"/>
    </row>
    <row r="3951" spans="1:13" ht="112.5" customHeight="1" x14ac:dyDescent="0.15">
      <c r="A3951" s="69">
        <v>3602</v>
      </c>
      <c r="B3951" s="32" t="s">
        <v>12428</v>
      </c>
      <c r="C3951" s="32" t="s">
        <v>15202</v>
      </c>
      <c r="D3951" s="56" t="s">
        <v>15203</v>
      </c>
      <c r="E3951" s="68"/>
      <c r="F3951" s="59"/>
      <c r="G3951" s="62" t="s">
        <v>15204</v>
      </c>
      <c r="H3951" s="59">
        <v>9.8780000000000001</v>
      </c>
      <c r="I3951" s="29"/>
      <c r="J3951" s="29"/>
      <c r="K3951" s="29"/>
      <c r="L3951" s="29"/>
      <c r="M3951" s="29"/>
    </row>
    <row r="3952" spans="1:13" ht="112.5" customHeight="1" x14ac:dyDescent="0.15">
      <c r="A3952" s="67">
        <v>3601</v>
      </c>
      <c r="B3952" s="33" t="s">
        <v>3801</v>
      </c>
      <c r="C3952" s="33" t="s">
        <v>15205</v>
      </c>
      <c r="D3952" s="61" t="s">
        <v>15206</v>
      </c>
      <c r="E3952" s="68"/>
      <c r="F3952" s="59"/>
      <c r="G3952" s="58" t="s">
        <v>15207</v>
      </c>
      <c r="H3952" s="59">
        <v>700</v>
      </c>
      <c r="I3952" s="29"/>
      <c r="J3952" s="29"/>
      <c r="K3952" s="29"/>
      <c r="L3952" s="29"/>
      <c r="M3952" s="29"/>
    </row>
    <row r="3953" spans="1:13" ht="112.5" customHeight="1" x14ac:dyDescent="0.15">
      <c r="A3953" s="67">
        <v>159</v>
      </c>
      <c r="B3953" s="33" t="s">
        <v>3818</v>
      </c>
      <c r="C3953" s="33" t="s">
        <v>15208</v>
      </c>
      <c r="D3953" s="61" t="s">
        <v>15209</v>
      </c>
      <c r="E3953" s="68"/>
      <c r="F3953" s="59">
        <v>21000</v>
      </c>
      <c r="G3953" s="62" t="s">
        <v>15210</v>
      </c>
      <c r="H3953" s="59">
        <v>98.168999999999997</v>
      </c>
      <c r="I3953" s="29"/>
      <c r="J3953" s="29"/>
      <c r="K3953" s="29"/>
      <c r="L3953" s="29"/>
      <c r="M3953" s="29"/>
    </row>
    <row r="3954" spans="1:13" ht="112.5" customHeight="1" x14ac:dyDescent="0.15">
      <c r="A3954" s="67">
        <v>145</v>
      </c>
      <c r="B3954" s="33" t="s">
        <v>3749</v>
      </c>
      <c r="C3954" s="33" t="s">
        <v>15211</v>
      </c>
      <c r="D3954" s="61" t="s">
        <v>15212</v>
      </c>
      <c r="E3954" s="68"/>
      <c r="F3954" s="59">
        <v>123000</v>
      </c>
      <c r="G3954" s="58" t="s">
        <v>15213</v>
      </c>
      <c r="H3954" s="59">
        <v>990</v>
      </c>
      <c r="I3954" s="29"/>
      <c r="J3954" s="29"/>
      <c r="K3954" s="29"/>
      <c r="L3954" s="29"/>
      <c r="M3954" s="29"/>
    </row>
    <row r="3955" spans="1:13" ht="112.5" customHeight="1" x14ac:dyDescent="0.15">
      <c r="A3955" s="69">
        <v>144</v>
      </c>
      <c r="B3955" s="32" t="s">
        <v>3749</v>
      </c>
      <c r="C3955" s="32" t="s">
        <v>15214</v>
      </c>
      <c r="D3955" s="56" t="s">
        <v>15215</v>
      </c>
      <c r="E3955" s="68"/>
      <c r="F3955" s="59">
        <v>300000</v>
      </c>
      <c r="G3955" s="62" t="s">
        <v>15216</v>
      </c>
      <c r="H3955" s="59">
        <v>990</v>
      </c>
      <c r="I3955" s="29"/>
      <c r="J3955" s="29"/>
      <c r="K3955" s="29"/>
      <c r="L3955" s="29"/>
      <c r="M3955" s="29"/>
    </row>
    <row r="3956" spans="1:13" ht="112.5" customHeight="1" x14ac:dyDescent="0.15">
      <c r="A3956" s="69">
        <v>152</v>
      </c>
      <c r="B3956" s="32" t="s">
        <v>12428</v>
      </c>
      <c r="C3956" s="32" t="s">
        <v>15217</v>
      </c>
      <c r="D3956" s="56" t="s">
        <v>15218</v>
      </c>
      <c r="E3956" s="68"/>
      <c r="F3956" s="59">
        <v>73000</v>
      </c>
      <c r="G3956" s="58" t="s">
        <v>15219</v>
      </c>
      <c r="H3956" s="59">
        <v>92.174999999999997</v>
      </c>
      <c r="I3956" s="29"/>
      <c r="J3956" s="29"/>
      <c r="K3956" s="29"/>
      <c r="L3956" s="29"/>
      <c r="M3956" s="29"/>
    </row>
    <row r="3957" spans="1:13" ht="112.5" customHeight="1" x14ac:dyDescent="0.15">
      <c r="A3957" s="67">
        <v>153</v>
      </c>
      <c r="B3957" s="33" t="s">
        <v>12428</v>
      </c>
      <c r="C3957" s="33" t="s">
        <v>15220</v>
      </c>
      <c r="D3957" s="61" t="s">
        <v>15221</v>
      </c>
      <c r="E3957" s="68"/>
      <c r="F3957" s="59">
        <v>61000</v>
      </c>
      <c r="G3957" s="62" t="s">
        <v>15222</v>
      </c>
      <c r="H3957" s="59">
        <v>768</v>
      </c>
      <c r="I3957" s="29"/>
      <c r="J3957" s="29"/>
      <c r="K3957" s="29"/>
      <c r="L3957" s="29"/>
      <c r="M3957" s="29"/>
    </row>
    <row r="3958" spans="1:13" ht="112.5" customHeight="1" x14ac:dyDescent="0.15">
      <c r="A3958" s="69">
        <v>4</v>
      </c>
      <c r="B3958" s="32" t="s">
        <v>3814</v>
      </c>
      <c r="C3958" s="32" t="s">
        <v>15223</v>
      </c>
      <c r="D3958" s="56" t="s">
        <v>15224</v>
      </c>
      <c r="E3958" s="68"/>
      <c r="F3958" s="59">
        <v>28000</v>
      </c>
      <c r="G3958" s="58" t="s">
        <v>15225</v>
      </c>
      <c r="H3958" s="59">
        <v>94.292000000000002</v>
      </c>
      <c r="I3958" s="29"/>
      <c r="J3958" s="29"/>
      <c r="K3958" s="29"/>
      <c r="L3958" s="29"/>
      <c r="M3958" s="29"/>
    </row>
    <row r="3959" spans="1:13" ht="112.5" customHeight="1" x14ac:dyDescent="0.15">
      <c r="A3959" s="67">
        <v>207</v>
      </c>
      <c r="B3959" s="33" t="s">
        <v>3496</v>
      </c>
      <c r="C3959" s="33" t="s">
        <v>15226</v>
      </c>
      <c r="D3959" s="61" t="s">
        <v>15227</v>
      </c>
      <c r="E3959" s="68"/>
      <c r="F3959" s="59"/>
      <c r="G3959" s="62" t="s">
        <v>15228</v>
      </c>
      <c r="H3959" s="59">
        <v>0</v>
      </c>
      <c r="I3959" s="29"/>
      <c r="J3959" s="29"/>
      <c r="K3959" s="29"/>
      <c r="L3959" s="29"/>
      <c r="M3959" s="29"/>
    </row>
    <row r="3960" spans="1:13" ht="112.5" customHeight="1" x14ac:dyDescent="0.15">
      <c r="A3960" s="69">
        <v>36</v>
      </c>
      <c r="B3960" s="32" t="s">
        <v>13537</v>
      </c>
      <c r="C3960" s="32" t="s">
        <v>15229</v>
      </c>
      <c r="D3960" s="56" t="s">
        <v>15230</v>
      </c>
      <c r="E3960" s="68"/>
      <c r="F3960" s="59">
        <v>380000</v>
      </c>
      <c r="G3960" s="58" t="s">
        <v>15231</v>
      </c>
      <c r="H3960" s="59">
        <v>999.20100000000002</v>
      </c>
      <c r="I3960" s="29"/>
      <c r="J3960" s="29"/>
      <c r="K3960" s="29"/>
      <c r="L3960" s="29"/>
      <c r="M3960" s="29"/>
    </row>
    <row r="3961" spans="1:13" ht="112.5" customHeight="1" x14ac:dyDescent="0.15">
      <c r="A3961" s="69">
        <v>3598</v>
      </c>
      <c r="B3961" s="32" t="s">
        <v>3818</v>
      </c>
      <c r="C3961" s="32" t="s">
        <v>15232</v>
      </c>
      <c r="D3961" s="56" t="s">
        <v>15233</v>
      </c>
      <c r="E3961" s="68"/>
      <c r="F3961" s="59"/>
      <c r="G3961" s="62" t="s">
        <v>15234</v>
      </c>
      <c r="H3961" s="59">
        <v>0</v>
      </c>
      <c r="I3961" s="29"/>
      <c r="J3961" s="29"/>
      <c r="K3961" s="29"/>
      <c r="L3961" s="29"/>
      <c r="M3961" s="29"/>
    </row>
    <row r="3962" spans="1:13" ht="112.5" customHeight="1" x14ac:dyDescent="0.15">
      <c r="A3962" s="69">
        <v>174</v>
      </c>
      <c r="B3962" s="32" t="s">
        <v>14410</v>
      </c>
      <c r="C3962" s="32" t="s">
        <v>15235</v>
      </c>
      <c r="D3962" s="56" t="s">
        <v>15236</v>
      </c>
      <c r="E3962" s="68"/>
      <c r="F3962" s="59">
        <v>69000</v>
      </c>
      <c r="G3962" s="58" t="s">
        <v>15237</v>
      </c>
      <c r="H3962" s="59">
        <v>9.8970000000000002</v>
      </c>
      <c r="I3962" s="29"/>
      <c r="J3962" s="29"/>
      <c r="K3962" s="29"/>
      <c r="L3962" s="29"/>
      <c r="M3962" s="29"/>
    </row>
    <row r="3963" spans="1:13" ht="112.5" customHeight="1" x14ac:dyDescent="0.15">
      <c r="A3963" s="69">
        <v>192</v>
      </c>
      <c r="B3963" s="32" t="s">
        <v>3822</v>
      </c>
      <c r="C3963" s="32" t="s">
        <v>15238</v>
      </c>
      <c r="D3963" s="56" t="s">
        <v>15239</v>
      </c>
      <c r="E3963" s="68"/>
      <c r="F3963" s="59">
        <v>24000</v>
      </c>
      <c r="G3963" s="62" t="s">
        <v>15240</v>
      </c>
      <c r="H3963" s="59">
        <v>0</v>
      </c>
      <c r="I3963" s="29"/>
      <c r="J3963" s="29"/>
      <c r="K3963" s="29"/>
      <c r="L3963" s="29"/>
      <c r="M3963" s="29"/>
    </row>
    <row r="3964" spans="1:13" ht="112.5" customHeight="1" x14ac:dyDescent="0.15">
      <c r="A3964" s="69">
        <v>3596</v>
      </c>
      <c r="B3964" s="32" t="s">
        <v>3822</v>
      </c>
      <c r="C3964" s="32" t="s">
        <v>15241</v>
      </c>
      <c r="D3964" s="56" t="s">
        <v>15242</v>
      </c>
      <c r="E3964" s="68"/>
      <c r="F3964" s="59"/>
      <c r="G3964" s="58" t="s">
        <v>15243</v>
      </c>
      <c r="H3964" s="59">
        <v>0</v>
      </c>
      <c r="I3964" s="29"/>
      <c r="J3964" s="29"/>
      <c r="K3964" s="29"/>
      <c r="L3964" s="29"/>
      <c r="M3964" s="29"/>
    </row>
    <row r="3965" spans="1:13" ht="112.5" customHeight="1" x14ac:dyDescent="0.15">
      <c r="A3965" s="69">
        <v>3594</v>
      </c>
      <c r="B3965" s="32" t="s">
        <v>12428</v>
      </c>
      <c r="C3965" s="32" t="s">
        <v>15244</v>
      </c>
      <c r="D3965" s="56" t="s">
        <v>15245</v>
      </c>
      <c r="E3965" s="68"/>
      <c r="F3965" s="59"/>
      <c r="G3965" s="62" t="s">
        <v>15246</v>
      </c>
      <c r="H3965" s="59">
        <v>0</v>
      </c>
      <c r="I3965" s="29"/>
      <c r="J3965" s="29"/>
      <c r="K3965" s="29"/>
      <c r="L3965" s="29"/>
      <c r="M3965" s="29"/>
    </row>
    <row r="3966" spans="1:13" ht="112.5" customHeight="1" x14ac:dyDescent="0.15">
      <c r="A3966" s="69">
        <v>130</v>
      </c>
      <c r="B3966" s="32" t="s">
        <v>3814</v>
      </c>
      <c r="C3966" s="32" t="s">
        <v>15247</v>
      </c>
      <c r="D3966" s="56" t="s">
        <v>15248</v>
      </c>
      <c r="E3966" s="68"/>
      <c r="F3966" s="59">
        <v>11000</v>
      </c>
      <c r="G3966" s="58" t="s">
        <v>15249</v>
      </c>
      <c r="H3966" s="59">
        <v>0</v>
      </c>
      <c r="I3966" s="29"/>
      <c r="J3966" s="29"/>
      <c r="K3966" s="29"/>
      <c r="L3966" s="29"/>
      <c r="M3966" s="29"/>
    </row>
    <row r="3967" spans="1:13" ht="112.5" customHeight="1" x14ac:dyDescent="0.15">
      <c r="A3967" s="69">
        <v>186</v>
      </c>
      <c r="B3967" s="32" t="s">
        <v>12428</v>
      </c>
      <c r="C3967" s="32" t="s">
        <v>15250</v>
      </c>
      <c r="D3967" s="56" t="s">
        <v>15251</v>
      </c>
      <c r="E3967" s="68"/>
      <c r="F3967" s="59">
        <v>325000</v>
      </c>
      <c r="G3967" s="62" t="s">
        <v>15252</v>
      </c>
      <c r="H3967" s="59">
        <v>0</v>
      </c>
      <c r="I3967" s="29"/>
      <c r="J3967" s="29"/>
      <c r="K3967" s="29"/>
      <c r="L3967" s="29"/>
      <c r="M3967" s="29"/>
    </row>
    <row r="3968" spans="1:13" ht="112.5" customHeight="1" x14ac:dyDescent="0.15">
      <c r="A3968" s="69">
        <v>126</v>
      </c>
      <c r="B3968" s="32" t="s">
        <v>3822</v>
      </c>
      <c r="C3968" s="32" t="s">
        <v>15253</v>
      </c>
      <c r="D3968" s="56" t="s">
        <v>15254</v>
      </c>
      <c r="E3968" s="68"/>
      <c r="F3968" s="59">
        <v>55000</v>
      </c>
      <c r="G3968" s="58" t="s">
        <v>15255</v>
      </c>
      <c r="H3968" s="59">
        <v>6.4260000000000002</v>
      </c>
      <c r="I3968" s="29"/>
      <c r="J3968" s="29"/>
      <c r="K3968" s="29"/>
      <c r="L3968" s="29"/>
      <c r="M3968" s="29"/>
    </row>
    <row r="3969" spans="1:13" ht="112.5" customHeight="1" x14ac:dyDescent="0.15">
      <c r="A3969" s="67">
        <v>95</v>
      </c>
      <c r="B3969" s="33" t="s">
        <v>3513</v>
      </c>
      <c r="C3969" s="33" t="s">
        <v>15256</v>
      </c>
      <c r="D3969" s="61" t="s">
        <v>15257</v>
      </c>
      <c r="E3969" s="68"/>
      <c r="F3969" s="59">
        <v>3000</v>
      </c>
      <c r="G3969" s="62" t="s">
        <v>15258</v>
      </c>
      <c r="H3969" s="59">
        <v>99.266000000000005</v>
      </c>
      <c r="I3969" s="29"/>
      <c r="J3969" s="29"/>
      <c r="K3969" s="29"/>
      <c r="L3969" s="29"/>
      <c r="M3969" s="29"/>
    </row>
    <row r="3970" spans="1:13" ht="112.5" customHeight="1" x14ac:dyDescent="0.15">
      <c r="A3970" s="69">
        <v>110</v>
      </c>
      <c r="B3970" s="32" t="s">
        <v>3513</v>
      </c>
      <c r="C3970" s="32" t="s">
        <v>15259</v>
      </c>
      <c r="D3970" s="56" t="s">
        <v>15260</v>
      </c>
      <c r="E3970" s="68"/>
      <c r="F3970" s="59">
        <v>27000</v>
      </c>
      <c r="G3970" s="58" t="s">
        <v>15261</v>
      </c>
      <c r="H3970" s="59">
        <v>5</v>
      </c>
      <c r="I3970" s="29"/>
      <c r="J3970" s="29"/>
      <c r="K3970" s="29"/>
      <c r="L3970" s="29"/>
      <c r="M3970" s="29"/>
    </row>
    <row r="3971" spans="1:13" ht="112.5" customHeight="1" x14ac:dyDescent="0.15">
      <c r="A3971" s="69">
        <v>140</v>
      </c>
      <c r="B3971" s="32" t="s">
        <v>3822</v>
      </c>
      <c r="C3971" s="32" t="s">
        <v>15262</v>
      </c>
      <c r="D3971" s="56" t="s">
        <v>15263</v>
      </c>
      <c r="E3971" s="68"/>
      <c r="F3971" s="59">
        <v>96000</v>
      </c>
      <c r="G3971" s="62" t="s">
        <v>15264</v>
      </c>
      <c r="H3971" s="59">
        <v>0</v>
      </c>
      <c r="I3971" s="29"/>
      <c r="J3971" s="29"/>
      <c r="K3971" s="29"/>
      <c r="L3971" s="29"/>
      <c r="M3971" s="29"/>
    </row>
    <row r="3972" spans="1:13" ht="112.5" customHeight="1" x14ac:dyDescent="0.15">
      <c r="A3972" s="69">
        <v>182</v>
      </c>
      <c r="B3972" s="32" t="s">
        <v>3513</v>
      </c>
      <c r="C3972" s="32" t="s">
        <v>15265</v>
      </c>
      <c r="D3972" s="56" t="s">
        <v>15266</v>
      </c>
      <c r="E3972" s="68"/>
      <c r="F3972" s="59">
        <v>19000</v>
      </c>
      <c r="G3972" s="58" t="s">
        <v>15267</v>
      </c>
      <c r="H3972" s="59">
        <v>0</v>
      </c>
      <c r="I3972" s="29"/>
      <c r="J3972" s="29"/>
      <c r="K3972" s="29"/>
      <c r="L3972" s="29"/>
      <c r="M3972" s="29"/>
    </row>
    <row r="3973" spans="1:13" ht="112.5" customHeight="1" x14ac:dyDescent="0.15">
      <c r="A3973" s="69">
        <v>184</v>
      </c>
      <c r="B3973" s="32" t="s">
        <v>12428</v>
      </c>
      <c r="C3973" s="32" t="s">
        <v>15268</v>
      </c>
      <c r="D3973" s="56" t="s">
        <v>15269</v>
      </c>
      <c r="E3973" s="68"/>
      <c r="F3973" s="59">
        <v>26000</v>
      </c>
      <c r="G3973" s="62" t="s">
        <v>15270</v>
      </c>
      <c r="H3973" s="59">
        <v>0</v>
      </c>
      <c r="I3973" s="29"/>
      <c r="J3973" s="29"/>
      <c r="K3973" s="29"/>
      <c r="L3973" s="29"/>
      <c r="M3973" s="29"/>
    </row>
    <row r="3974" spans="1:13" ht="112.5" customHeight="1" x14ac:dyDescent="0.15">
      <c r="A3974" s="69">
        <v>3590</v>
      </c>
      <c r="B3974" s="32" t="s">
        <v>3818</v>
      </c>
      <c r="C3974" s="32" t="s">
        <v>15271</v>
      </c>
      <c r="D3974" s="56" t="s">
        <v>15272</v>
      </c>
      <c r="E3974" s="68"/>
      <c r="F3974" s="59"/>
      <c r="G3974" s="58" t="s">
        <v>15273</v>
      </c>
      <c r="H3974" s="59">
        <v>0</v>
      </c>
      <c r="I3974" s="29"/>
      <c r="J3974" s="29"/>
      <c r="K3974" s="29"/>
      <c r="L3974" s="29"/>
      <c r="M3974" s="29"/>
    </row>
    <row r="3975" spans="1:13" ht="112.5" customHeight="1" x14ac:dyDescent="0.15">
      <c r="A3975" s="69">
        <v>64</v>
      </c>
      <c r="B3975" s="32" t="s">
        <v>3814</v>
      </c>
      <c r="C3975" s="32" t="s">
        <v>15274</v>
      </c>
      <c r="D3975" s="56" t="s">
        <v>15275</v>
      </c>
      <c r="E3975" s="68"/>
      <c r="F3975" s="59">
        <v>52000</v>
      </c>
      <c r="G3975" s="62" t="s">
        <v>15276</v>
      </c>
      <c r="H3975" s="59">
        <v>0</v>
      </c>
      <c r="I3975" s="29"/>
      <c r="J3975" s="29"/>
      <c r="K3975" s="29"/>
      <c r="L3975" s="29"/>
      <c r="M3975" s="29"/>
    </row>
    <row r="3976" spans="1:13" ht="112.5" customHeight="1" x14ac:dyDescent="0.15">
      <c r="A3976" s="67">
        <v>3589</v>
      </c>
      <c r="B3976" s="33" t="s">
        <v>3749</v>
      </c>
      <c r="C3976" s="33" t="s">
        <v>15277</v>
      </c>
      <c r="D3976" s="61" t="s">
        <v>15278</v>
      </c>
      <c r="E3976" s="68"/>
      <c r="F3976" s="59"/>
      <c r="G3976" s="58" t="s">
        <v>15279</v>
      </c>
      <c r="H3976" s="59">
        <v>870</v>
      </c>
      <c r="I3976" s="29"/>
      <c r="J3976" s="29"/>
      <c r="K3976" s="29"/>
      <c r="L3976" s="29"/>
      <c r="M3976" s="29"/>
    </row>
    <row r="3977" spans="1:13" ht="112.5" customHeight="1" x14ac:dyDescent="0.15">
      <c r="A3977" s="69">
        <v>166</v>
      </c>
      <c r="B3977" s="32" t="s">
        <v>3822</v>
      </c>
      <c r="C3977" s="32" t="s">
        <v>15280</v>
      </c>
      <c r="D3977" s="56" t="s">
        <v>15281</v>
      </c>
      <c r="E3977" s="68"/>
      <c r="F3977" s="59">
        <v>55000</v>
      </c>
      <c r="G3977" s="62" t="s">
        <v>15282</v>
      </c>
      <c r="H3977" s="59">
        <v>0</v>
      </c>
      <c r="I3977" s="29"/>
      <c r="J3977" s="29"/>
      <c r="K3977" s="29"/>
      <c r="L3977" s="29"/>
      <c r="M3977" s="29"/>
    </row>
    <row r="3978" spans="1:13" ht="112.5" customHeight="1" x14ac:dyDescent="0.15">
      <c r="A3978" s="69">
        <v>3588</v>
      </c>
      <c r="B3978" s="32" t="s">
        <v>3496</v>
      </c>
      <c r="C3978" s="32" t="s">
        <v>15283</v>
      </c>
      <c r="D3978" s="56" t="s">
        <v>15284</v>
      </c>
      <c r="E3978" s="68"/>
      <c r="F3978" s="59"/>
      <c r="G3978" s="58" t="s">
        <v>15285</v>
      </c>
      <c r="H3978" s="59">
        <v>0</v>
      </c>
      <c r="I3978" s="29"/>
      <c r="J3978" s="29"/>
      <c r="K3978" s="29"/>
      <c r="L3978" s="29"/>
      <c r="M3978" s="29"/>
    </row>
    <row r="3979" spans="1:13" ht="112.5" customHeight="1" x14ac:dyDescent="0.15">
      <c r="A3979" s="69">
        <v>164</v>
      </c>
      <c r="B3979" s="32" t="s">
        <v>3549</v>
      </c>
      <c r="C3979" s="32" t="s">
        <v>15286</v>
      </c>
      <c r="D3979" s="56" t="s">
        <v>15287</v>
      </c>
      <c r="E3979" s="68"/>
      <c r="F3979" s="59">
        <v>8000</v>
      </c>
      <c r="G3979" s="62" t="s">
        <v>15288</v>
      </c>
      <c r="H3979" s="59">
        <v>906</v>
      </c>
      <c r="I3979" s="29"/>
      <c r="J3979" s="29"/>
      <c r="K3979" s="29"/>
      <c r="L3979" s="29"/>
      <c r="M3979" s="29"/>
    </row>
    <row r="3980" spans="1:13" ht="112.5" customHeight="1" x14ac:dyDescent="0.15">
      <c r="A3980" s="67">
        <v>3583</v>
      </c>
      <c r="B3980" s="33" t="s">
        <v>3496</v>
      </c>
      <c r="C3980" s="33" t="s">
        <v>15289</v>
      </c>
      <c r="D3980" s="61" t="s">
        <v>15290</v>
      </c>
      <c r="E3980" s="68"/>
      <c r="F3980" s="59"/>
      <c r="G3980" s="58" t="s">
        <v>15291</v>
      </c>
      <c r="H3980" s="59">
        <v>1</v>
      </c>
      <c r="I3980" s="29"/>
      <c r="J3980" s="29"/>
      <c r="K3980" s="29"/>
      <c r="L3980" s="29"/>
      <c r="M3980" s="29"/>
    </row>
    <row r="3981" spans="1:13" ht="112.5" customHeight="1" x14ac:dyDescent="0.15">
      <c r="A3981" s="69">
        <v>3580</v>
      </c>
      <c r="B3981" s="32" t="s">
        <v>3814</v>
      </c>
      <c r="C3981" s="32" t="s">
        <v>15292</v>
      </c>
      <c r="D3981" s="56" t="s">
        <v>15293</v>
      </c>
      <c r="E3981" s="68"/>
      <c r="F3981" s="59"/>
      <c r="G3981" s="62" t="s">
        <v>15294</v>
      </c>
      <c r="H3981" s="59">
        <v>0</v>
      </c>
      <c r="I3981" s="29"/>
      <c r="J3981" s="29"/>
      <c r="K3981" s="29"/>
      <c r="L3981" s="29"/>
      <c r="M3981" s="29"/>
    </row>
    <row r="3982" spans="1:13" ht="112.5" customHeight="1" x14ac:dyDescent="0.15">
      <c r="A3982" s="67">
        <v>3579</v>
      </c>
      <c r="B3982" s="33" t="s">
        <v>3496</v>
      </c>
      <c r="C3982" s="33" t="s">
        <v>15295</v>
      </c>
      <c r="D3982" s="61" t="s">
        <v>15296</v>
      </c>
      <c r="E3982" s="68"/>
      <c r="F3982" s="59"/>
      <c r="G3982" s="58" t="s">
        <v>15297</v>
      </c>
      <c r="H3982" s="59">
        <v>9.9849999999999994</v>
      </c>
      <c r="I3982" s="29"/>
      <c r="J3982" s="29"/>
      <c r="K3982" s="29"/>
      <c r="L3982" s="29"/>
      <c r="M3982" s="29"/>
    </row>
    <row r="3983" spans="1:13" ht="112.5" customHeight="1" x14ac:dyDescent="0.15">
      <c r="A3983" s="69">
        <v>86</v>
      </c>
      <c r="B3983" s="32" t="s">
        <v>3492</v>
      </c>
      <c r="C3983" s="32" t="s">
        <v>15298</v>
      </c>
      <c r="D3983" s="56" t="s">
        <v>15299</v>
      </c>
      <c r="E3983" s="68"/>
      <c r="F3983" s="59">
        <v>14000</v>
      </c>
      <c r="G3983" s="62" t="s">
        <v>15300</v>
      </c>
      <c r="H3983" s="59">
        <v>865</v>
      </c>
      <c r="I3983" s="29"/>
      <c r="J3983" s="29"/>
      <c r="K3983" s="29"/>
      <c r="L3983" s="29"/>
      <c r="M3983" s="29"/>
    </row>
    <row r="3984" spans="1:13" ht="112.5" customHeight="1" x14ac:dyDescent="0.15">
      <c r="A3984" s="69">
        <v>94</v>
      </c>
      <c r="B3984" s="32" t="s">
        <v>3492</v>
      </c>
      <c r="C3984" s="32" t="s">
        <v>15301</v>
      </c>
      <c r="D3984" s="56" t="s">
        <v>15302</v>
      </c>
      <c r="E3984" s="68"/>
      <c r="F3984" s="59">
        <v>10500</v>
      </c>
      <c r="G3984" s="58" t="s">
        <v>15303</v>
      </c>
      <c r="H3984" s="59">
        <v>9.8119999999999994</v>
      </c>
      <c r="I3984" s="29"/>
      <c r="J3984" s="29"/>
      <c r="K3984" s="29"/>
      <c r="L3984" s="29"/>
      <c r="M3984" s="29"/>
    </row>
    <row r="3985" spans="1:13" ht="112.5" customHeight="1" x14ac:dyDescent="0.15">
      <c r="A3985" s="67">
        <v>33</v>
      </c>
      <c r="B3985" s="33" t="s">
        <v>3513</v>
      </c>
      <c r="C3985" s="33" t="s">
        <v>15304</v>
      </c>
      <c r="D3985" s="61" t="s">
        <v>15305</v>
      </c>
      <c r="E3985" s="68"/>
      <c r="F3985" s="59">
        <v>39000</v>
      </c>
      <c r="G3985" s="62" t="s">
        <v>15306</v>
      </c>
      <c r="H3985" s="59">
        <v>0</v>
      </c>
      <c r="I3985" s="29"/>
      <c r="J3985" s="29"/>
      <c r="K3985" s="29"/>
      <c r="L3985" s="29"/>
      <c r="M3985" s="29"/>
    </row>
    <row r="3986" spans="1:13" ht="112.5" customHeight="1" x14ac:dyDescent="0.15">
      <c r="A3986" s="69">
        <v>3372</v>
      </c>
      <c r="B3986" s="32" t="s">
        <v>3818</v>
      </c>
      <c r="C3986" s="32" t="s">
        <v>15307</v>
      </c>
      <c r="D3986" s="56" t="s">
        <v>15308</v>
      </c>
      <c r="E3986" s="68"/>
      <c r="F3986" s="59"/>
      <c r="G3986" s="58" t="s">
        <v>15309</v>
      </c>
      <c r="H3986" s="59">
        <v>0</v>
      </c>
      <c r="I3986" s="29"/>
      <c r="J3986" s="29"/>
      <c r="K3986" s="29"/>
      <c r="L3986" s="29"/>
      <c r="M3986" s="29"/>
    </row>
    <row r="3987" spans="1:13" ht="112.5" customHeight="1" x14ac:dyDescent="0.15">
      <c r="A3987" s="67">
        <v>3573</v>
      </c>
      <c r="B3987" s="33" t="s">
        <v>3526</v>
      </c>
      <c r="C3987" s="33" t="s">
        <v>15310</v>
      </c>
      <c r="D3987" s="61" t="s">
        <v>15311</v>
      </c>
      <c r="E3987" s="68"/>
      <c r="F3987" s="59"/>
      <c r="G3987" s="62" t="s">
        <v>15312</v>
      </c>
      <c r="H3987" s="59">
        <v>15.01</v>
      </c>
      <c r="I3987" s="29"/>
      <c r="J3987" s="29"/>
      <c r="K3987" s="29"/>
      <c r="L3987" s="29"/>
      <c r="M3987" s="29"/>
    </row>
    <row r="3988" spans="1:13" ht="112.5" customHeight="1" x14ac:dyDescent="0.15">
      <c r="A3988" s="67">
        <v>199</v>
      </c>
      <c r="B3988" s="33" t="s">
        <v>4330</v>
      </c>
      <c r="C3988" s="33" t="s">
        <v>15313</v>
      </c>
      <c r="D3988" s="61" t="s">
        <v>15314</v>
      </c>
      <c r="E3988" s="68"/>
      <c r="F3988" s="59"/>
      <c r="G3988" s="58" t="s">
        <v>15315</v>
      </c>
      <c r="H3988" s="59">
        <v>0</v>
      </c>
      <c r="I3988" s="29"/>
      <c r="J3988" s="29"/>
      <c r="K3988" s="29"/>
      <c r="L3988" s="29"/>
      <c r="M3988" s="29"/>
    </row>
    <row r="3989" spans="1:13" ht="112.5" customHeight="1" x14ac:dyDescent="0.15">
      <c r="A3989" s="69">
        <v>276</v>
      </c>
      <c r="B3989" s="32" t="s">
        <v>3513</v>
      </c>
      <c r="C3989" s="32" t="s">
        <v>15316</v>
      </c>
      <c r="D3989" s="56" t="s">
        <v>15317</v>
      </c>
      <c r="E3989" s="68"/>
      <c r="F3989" s="59"/>
      <c r="G3989" s="62" t="s">
        <v>15318</v>
      </c>
      <c r="H3989" s="59">
        <v>827</v>
      </c>
      <c r="I3989" s="29"/>
      <c r="J3989" s="29"/>
      <c r="K3989" s="29"/>
      <c r="L3989" s="29"/>
      <c r="M3989" s="29"/>
    </row>
    <row r="3990" spans="1:13" ht="112.5" customHeight="1" x14ac:dyDescent="0.15">
      <c r="A3990" s="67">
        <v>3483</v>
      </c>
      <c r="B3990" s="33" t="s">
        <v>3492</v>
      </c>
      <c r="C3990" s="33" t="s">
        <v>15319</v>
      </c>
      <c r="D3990" s="61" t="s">
        <v>15320</v>
      </c>
      <c r="E3990" s="68"/>
      <c r="F3990" s="59"/>
      <c r="G3990" s="58" t="s">
        <v>15321</v>
      </c>
      <c r="H3990" s="59">
        <v>855</v>
      </c>
      <c r="I3990" s="29"/>
      <c r="J3990" s="29"/>
      <c r="K3990" s="29"/>
      <c r="L3990" s="29"/>
      <c r="M3990" s="29"/>
    </row>
    <row r="3991" spans="1:13" ht="112.5" customHeight="1" x14ac:dyDescent="0.15">
      <c r="A3991" s="69">
        <v>212</v>
      </c>
      <c r="B3991" s="32" t="s">
        <v>3822</v>
      </c>
      <c r="C3991" s="32" t="s">
        <v>15322</v>
      </c>
      <c r="D3991" s="56" t="s">
        <v>15323</v>
      </c>
      <c r="E3991" s="68"/>
      <c r="F3991" s="59"/>
      <c r="G3991" s="62" t="s">
        <v>15324</v>
      </c>
      <c r="H3991" s="59">
        <v>0</v>
      </c>
      <c r="I3991" s="29"/>
      <c r="J3991" s="29"/>
      <c r="K3991" s="29"/>
      <c r="L3991" s="29"/>
      <c r="M3991" s="29"/>
    </row>
    <row r="3992" spans="1:13" ht="112.5" customHeight="1" x14ac:dyDescent="0.15">
      <c r="A3992" s="67">
        <v>187</v>
      </c>
      <c r="B3992" s="33" t="s">
        <v>12428</v>
      </c>
      <c r="C3992" s="33" t="s">
        <v>15325</v>
      </c>
      <c r="D3992" s="61" t="s">
        <v>15326</v>
      </c>
      <c r="E3992" s="68"/>
      <c r="F3992" s="59">
        <v>204000</v>
      </c>
      <c r="G3992" s="58" t="s">
        <v>15327</v>
      </c>
      <c r="H3992" s="59">
        <v>949</v>
      </c>
      <c r="I3992" s="29"/>
      <c r="J3992" s="29"/>
      <c r="K3992" s="29"/>
      <c r="L3992" s="29"/>
      <c r="M3992" s="29"/>
    </row>
    <row r="3993" spans="1:13" ht="112.5" customHeight="1" x14ac:dyDescent="0.15">
      <c r="A3993" s="67">
        <v>107</v>
      </c>
      <c r="B3993" s="33" t="s">
        <v>12428</v>
      </c>
      <c r="C3993" s="33" t="s">
        <v>15328</v>
      </c>
      <c r="D3993" s="61" t="s">
        <v>15329</v>
      </c>
      <c r="E3993" s="68"/>
      <c r="F3993" s="59">
        <v>230000</v>
      </c>
      <c r="G3993" s="65"/>
      <c r="H3993" s="59">
        <v>0</v>
      </c>
      <c r="I3993" s="29"/>
      <c r="J3993" s="29"/>
      <c r="K3993" s="29"/>
      <c r="L3993" s="29"/>
      <c r="M3993" s="29"/>
    </row>
    <row r="3994" spans="1:13" ht="112.5" customHeight="1" x14ac:dyDescent="0.15">
      <c r="A3994" s="67">
        <v>3567</v>
      </c>
      <c r="B3994" s="33" t="s">
        <v>12428</v>
      </c>
      <c r="C3994" s="33" t="s">
        <v>15330</v>
      </c>
      <c r="D3994" s="61" t="s">
        <v>15331</v>
      </c>
      <c r="E3994" s="68"/>
      <c r="F3994" s="59"/>
      <c r="G3994" s="58" t="s">
        <v>15332</v>
      </c>
      <c r="H3994" s="59">
        <v>37</v>
      </c>
      <c r="I3994" s="29"/>
      <c r="J3994" s="29"/>
      <c r="K3994" s="29"/>
      <c r="L3994" s="29"/>
      <c r="M3994" s="29"/>
    </row>
    <row r="3995" spans="1:13" ht="112.5" customHeight="1" x14ac:dyDescent="0.15">
      <c r="A3995" s="69">
        <v>76</v>
      </c>
      <c r="B3995" s="32" t="s">
        <v>12428</v>
      </c>
      <c r="C3995" s="32" t="s">
        <v>15333</v>
      </c>
      <c r="D3995" s="56" t="s">
        <v>15334</v>
      </c>
      <c r="E3995" s="68"/>
      <c r="F3995" s="59">
        <v>55000</v>
      </c>
      <c r="G3995" s="62" t="s">
        <v>15335</v>
      </c>
      <c r="H3995" s="59">
        <v>0</v>
      </c>
      <c r="I3995" s="29"/>
      <c r="J3995" s="29"/>
      <c r="K3995" s="29"/>
      <c r="L3995" s="29"/>
      <c r="M3995" s="29"/>
    </row>
    <row r="3996" spans="1:13" ht="112.5" customHeight="1" x14ac:dyDescent="0.15">
      <c r="A3996" s="67">
        <v>3277</v>
      </c>
      <c r="B3996" s="33" t="s">
        <v>3822</v>
      </c>
      <c r="C3996" s="33" t="s">
        <v>15336</v>
      </c>
      <c r="D3996" s="61" t="s">
        <v>15337</v>
      </c>
      <c r="E3996" s="68"/>
      <c r="F3996" s="59"/>
      <c r="G3996" s="58" t="s">
        <v>15338</v>
      </c>
      <c r="H3996" s="59">
        <v>0</v>
      </c>
      <c r="I3996" s="29"/>
      <c r="J3996" s="29"/>
      <c r="K3996" s="29"/>
      <c r="L3996" s="29"/>
      <c r="M3996" s="29"/>
    </row>
    <row r="3997" spans="1:13" ht="112.5" customHeight="1" x14ac:dyDescent="0.15">
      <c r="A3997" s="69">
        <v>118</v>
      </c>
      <c r="B3997" s="32" t="s">
        <v>12428</v>
      </c>
      <c r="C3997" s="32" t="s">
        <v>15339</v>
      </c>
      <c r="D3997" s="56" t="s">
        <v>15340</v>
      </c>
      <c r="E3997" s="68"/>
      <c r="F3997" s="59">
        <v>17000</v>
      </c>
      <c r="G3997" s="62" t="s">
        <v>15341</v>
      </c>
      <c r="H3997" s="59">
        <v>0</v>
      </c>
      <c r="I3997" s="29"/>
      <c r="J3997" s="29"/>
      <c r="K3997" s="29"/>
      <c r="L3997" s="29"/>
      <c r="M3997" s="29"/>
    </row>
    <row r="3998" spans="1:13" ht="112.5" customHeight="1" x14ac:dyDescent="0.15">
      <c r="A3998" s="69">
        <v>132</v>
      </c>
      <c r="B3998" s="32" t="s">
        <v>12428</v>
      </c>
      <c r="C3998" s="32" t="s">
        <v>15342</v>
      </c>
      <c r="D3998" s="56" t="s">
        <v>15343</v>
      </c>
      <c r="E3998" s="68"/>
      <c r="F3998" s="59">
        <v>29000</v>
      </c>
      <c r="G3998" s="58" t="s">
        <v>15344</v>
      </c>
      <c r="H3998" s="59">
        <v>0</v>
      </c>
      <c r="I3998" s="29"/>
      <c r="J3998" s="29"/>
      <c r="K3998" s="29"/>
      <c r="L3998" s="29"/>
      <c r="M3998" s="29"/>
    </row>
    <row r="3999" spans="1:13" ht="112.5" customHeight="1" x14ac:dyDescent="0.15">
      <c r="A3999" s="69">
        <v>3566</v>
      </c>
      <c r="B3999" s="32" t="s">
        <v>3599</v>
      </c>
      <c r="C3999" s="32" t="s">
        <v>15345</v>
      </c>
      <c r="D3999" s="56" t="s">
        <v>15346</v>
      </c>
      <c r="E3999" s="68"/>
      <c r="F3999" s="59"/>
      <c r="G3999" s="62" t="s">
        <v>15347</v>
      </c>
      <c r="H3999" s="59">
        <v>0</v>
      </c>
      <c r="I3999" s="29"/>
      <c r="J3999" s="29"/>
      <c r="K3999" s="29"/>
      <c r="L3999" s="29"/>
      <c r="M3999" s="29"/>
    </row>
    <row r="4000" spans="1:13" ht="112.5" customHeight="1" x14ac:dyDescent="0.15">
      <c r="A4000" s="69">
        <v>106</v>
      </c>
      <c r="B4000" s="32" t="s">
        <v>12428</v>
      </c>
      <c r="C4000" s="32" t="s">
        <v>15348</v>
      </c>
      <c r="D4000" s="56" t="s">
        <v>15349</v>
      </c>
      <c r="E4000" s="68"/>
      <c r="F4000" s="59">
        <v>90000</v>
      </c>
      <c r="G4000" s="58" t="s">
        <v>15350</v>
      </c>
      <c r="H4000" s="59">
        <v>998.27499999999998</v>
      </c>
      <c r="I4000" s="29"/>
      <c r="J4000" s="29"/>
      <c r="K4000" s="29"/>
      <c r="L4000" s="29"/>
      <c r="M4000" s="29"/>
    </row>
    <row r="4001" spans="1:13" ht="112.5" customHeight="1" x14ac:dyDescent="0.15">
      <c r="A4001" s="69">
        <v>104</v>
      </c>
      <c r="B4001" s="32" t="s">
        <v>12428</v>
      </c>
      <c r="C4001" s="32" t="s">
        <v>15351</v>
      </c>
      <c r="D4001" s="56" t="s">
        <v>15352</v>
      </c>
      <c r="E4001" s="68"/>
      <c r="F4001" s="59">
        <v>90000</v>
      </c>
      <c r="G4001" s="62" t="s">
        <v>15353</v>
      </c>
      <c r="H4001" s="59">
        <v>0</v>
      </c>
      <c r="I4001" s="29"/>
      <c r="J4001" s="29"/>
      <c r="K4001" s="29"/>
      <c r="L4001" s="29"/>
      <c r="M4001" s="29"/>
    </row>
    <row r="4002" spans="1:13" ht="112.5" customHeight="1" x14ac:dyDescent="0.15">
      <c r="A4002" s="67">
        <v>105</v>
      </c>
      <c r="B4002" s="33" t="s">
        <v>12428</v>
      </c>
      <c r="C4002" s="33" t="s">
        <v>15354</v>
      </c>
      <c r="D4002" s="61" t="s">
        <v>15355</v>
      </c>
      <c r="E4002" s="68"/>
      <c r="F4002" s="59">
        <v>90000</v>
      </c>
      <c r="G4002" s="58" t="s">
        <v>15356</v>
      </c>
      <c r="H4002" s="59">
        <v>0</v>
      </c>
      <c r="I4002" s="29"/>
      <c r="J4002" s="29"/>
      <c r="K4002" s="29"/>
      <c r="L4002" s="29"/>
      <c r="M4002" s="29"/>
    </row>
    <row r="4003" spans="1:13" ht="112.5" customHeight="1" x14ac:dyDescent="0.15">
      <c r="A4003" s="67">
        <v>3565</v>
      </c>
      <c r="B4003" s="33" t="s">
        <v>12428</v>
      </c>
      <c r="C4003" s="33" t="s">
        <v>15357</v>
      </c>
      <c r="D4003" s="61" t="s">
        <v>15358</v>
      </c>
      <c r="E4003" s="68"/>
      <c r="F4003" s="59"/>
      <c r="G4003" s="63" t="s">
        <v>15359</v>
      </c>
      <c r="H4003" s="59">
        <v>0</v>
      </c>
    </row>
    <row r="4004" spans="1:13" ht="112.5" customHeight="1" x14ac:dyDescent="0.15">
      <c r="A4004" s="67">
        <v>45</v>
      </c>
      <c r="B4004" s="33" t="s">
        <v>12428</v>
      </c>
      <c r="C4004" s="33" t="s">
        <v>15360</v>
      </c>
      <c r="D4004" s="61" t="s">
        <v>15361</v>
      </c>
      <c r="E4004" s="68"/>
      <c r="F4004" s="59">
        <v>56000</v>
      </c>
      <c r="G4004" s="58" t="s">
        <v>15362</v>
      </c>
      <c r="H4004" s="59">
        <v>995</v>
      </c>
      <c r="I4004" s="29"/>
      <c r="J4004" s="29"/>
      <c r="K4004" s="29"/>
      <c r="L4004" s="29"/>
      <c r="M4004" s="29"/>
    </row>
    <row r="4005" spans="1:13" ht="112.5" customHeight="1" x14ac:dyDescent="0.15">
      <c r="A4005" s="67">
        <v>441</v>
      </c>
      <c r="B4005" s="33" t="s">
        <v>12428</v>
      </c>
      <c r="C4005" s="33" t="s">
        <v>15363</v>
      </c>
      <c r="D4005" s="61" t="s">
        <v>15364</v>
      </c>
      <c r="E4005" s="68"/>
      <c r="F4005" s="59"/>
      <c r="G4005" s="62" t="s">
        <v>15365</v>
      </c>
      <c r="H4005" s="59">
        <v>0</v>
      </c>
      <c r="I4005" s="29"/>
      <c r="J4005" s="29"/>
      <c r="K4005" s="29"/>
      <c r="L4005" s="29"/>
      <c r="M4005" s="29"/>
    </row>
    <row r="4006" spans="1:13" ht="112.5" customHeight="1" x14ac:dyDescent="0.15">
      <c r="A4006" s="69">
        <v>114</v>
      </c>
      <c r="B4006" s="32" t="s">
        <v>12428</v>
      </c>
      <c r="C4006" s="32" t="s">
        <v>15366</v>
      </c>
      <c r="D4006" s="56" t="s">
        <v>15367</v>
      </c>
      <c r="E4006" s="68"/>
      <c r="F4006" s="59">
        <v>51000</v>
      </c>
      <c r="G4006" s="58" t="s">
        <v>15368</v>
      </c>
      <c r="H4006" s="59">
        <v>49</v>
      </c>
      <c r="I4006" s="29"/>
      <c r="J4006" s="29"/>
      <c r="K4006" s="29"/>
      <c r="L4006" s="29"/>
      <c r="M4006" s="29"/>
    </row>
    <row r="4007" spans="1:13" ht="112.5" customHeight="1" x14ac:dyDescent="0.15">
      <c r="A4007" s="67">
        <v>121</v>
      </c>
      <c r="B4007" s="33" t="s">
        <v>12428</v>
      </c>
      <c r="C4007" s="33" t="s">
        <v>15369</v>
      </c>
      <c r="D4007" s="61" t="s">
        <v>15370</v>
      </c>
      <c r="E4007" s="68"/>
      <c r="F4007" s="59">
        <v>55000</v>
      </c>
      <c r="G4007" s="62" t="s">
        <v>15371</v>
      </c>
      <c r="H4007" s="59">
        <v>99.768000000000001</v>
      </c>
      <c r="I4007" s="29"/>
      <c r="J4007" s="29"/>
      <c r="K4007" s="29"/>
      <c r="L4007" s="29"/>
      <c r="M4007" s="29"/>
    </row>
    <row r="4008" spans="1:13" ht="112.5" customHeight="1" x14ac:dyDescent="0.15">
      <c r="A4008" s="67">
        <v>115</v>
      </c>
      <c r="B4008" s="33" t="s">
        <v>12428</v>
      </c>
      <c r="C4008" s="33" t="s">
        <v>15372</v>
      </c>
      <c r="D4008" s="61" t="s">
        <v>15373</v>
      </c>
      <c r="E4008" s="68"/>
      <c r="F4008" s="59">
        <v>35000</v>
      </c>
      <c r="G4008" s="58" t="s">
        <v>15374</v>
      </c>
      <c r="H4008" s="59">
        <v>0</v>
      </c>
      <c r="I4008" s="29"/>
      <c r="J4008" s="29"/>
      <c r="K4008" s="29"/>
      <c r="L4008" s="29"/>
      <c r="M4008" s="29"/>
    </row>
    <row r="4009" spans="1:13" ht="112.5" customHeight="1" x14ac:dyDescent="0.15">
      <c r="A4009" s="69">
        <v>128</v>
      </c>
      <c r="B4009" s="32" t="s">
        <v>12428</v>
      </c>
      <c r="C4009" s="32" t="s">
        <v>15375</v>
      </c>
      <c r="D4009" s="56" t="s">
        <v>15376</v>
      </c>
      <c r="E4009" s="68"/>
      <c r="F4009" s="59">
        <v>73000</v>
      </c>
      <c r="G4009" s="63" t="s">
        <v>15377</v>
      </c>
      <c r="H4009" s="59">
        <v>9.2569999999999997</v>
      </c>
    </row>
    <row r="4010" spans="1:13" ht="112.5" customHeight="1" x14ac:dyDescent="0.15">
      <c r="A4010" s="67">
        <v>257</v>
      </c>
      <c r="B4010" s="33" t="s">
        <v>12428</v>
      </c>
      <c r="C4010" s="33" t="s">
        <v>15378</v>
      </c>
      <c r="D4010" s="61" t="s">
        <v>15379</v>
      </c>
      <c r="E4010" s="68"/>
      <c r="F4010" s="59"/>
      <c r="G4010" s="58" t="s">
        <v>15380</v>
      </c>
      <c r="H4010" s="59">
        <v>0</v>
      </c>
      <c r="I4010" s="29"/>
      <c r="J4010" s="29"/>
      <c r="K4010" s="29"/>
      <c r="L4010" s="29"/>
      <c r="M4010" s="29"/>
    </row>
    <row r="4011" spans="1:13" ht="112.5" customHeight="1" x14ac:dyDescent="0.15">
      <c r="A4011" s="67">
        <v>117</v>
      </c>
      <c r="B4011" s="33" t="s">
        <v>12428</v>
      </c>
      <c r="C4011" s="33" t="s">
        <v>15381</v>
      </c>
      <c r="D4011" s="61" t="s">
        <v>15382</v>
      </c>
      <c r="E4011" s="68"/>
      <c r="F4011" s="59">
        <v>54000</v>
      </c>
      <c r="G4011" s="62" t="s">
        <v>15383</v>
      </c>
      <c r="H4011" s="59">
        <v>0</v>
      </c>
      <c r="I4011" s="29"/>
      <c r="J4011" s="29"/>
      <c r="K4011" s="29"/>
      <c r="L4011" s="29"/>
      <c r="M4011" s="29"/>
    </row>
    <row r="4012" spans="1:13" ht="112.5" customHeight="1" x14ac:dyDescent="0.15">
      <c r="A4012" s="67">
        <v>119</v>
      </c>
      <c r="B4012" s="33" t="s">
        <v>12428</v>
      </c>
      <c r="C4012" s="33" t="s">
        <v>15384</v>
      </c>
      <c r="D4012" s="61" t="s">
        <v>15385</v>
      </c>
      <c r="E4012" s="68"/>
      <c r="F4012" s="59">
        <v>85000</v>
      </c>
      <c r="G4012" s="70"/>
      <c r="H4012" s="59">
        <v>0</v>
      </c>
      <c r="I4012" s="29"/>
      <c r="J4012" s="29"/>
      <c r="K4012" s="29"/>
      <c r="L4012" s="29"/>
      <c r="M4012" s="29"/>
    </row>
    <row r="4013" spans="1:13" ht="112.5" customHeight="1" x14ac:dyDescent="0.15">
      <c r="A4013" s="69">
        <v>3562</v>
      </c>
      <c r="B4013" s="32" t="s">
        <v>12428</v>
      </c>
      <c r="C4013" s="32" t="s">
        <v>15386</v>
      </c>
      <c r="D4013" s="56" t="s">
        <v>15387</v>
      </c>
      <c r="E4013" s="68"/>
      <c r="F4013" s="59"/>
      <c r="G4013" s="62" t="s">
        <v>15388</v>
      </c>
      <c r="H4013" s="59">
        <v>0</v>
      </c>
      <c r="I4013" s="29"/>
      <c r="J4013" s="29"/>
      <c r="K4013" s="29"/>
      <c r="L4013" s="29"/>
      <c r="M4013" s="29"/>
    </row>
    <row r="4014" spans="1:13" ht="112.5" customHeight="1" x14ac:dyDescent="0.15">
      <c r="A4014" s="69">
        <v>66</v>
      </c>
      <c r="B4014" s="32" t="s">
        <v>3876</v>
      </c>
      <c r="C4014" s="32" t="s">
        <v>15389</v>
      </c>
      <c r="D4014" s="56" t="s">
        <v>15390</v>
      </c>
      <c r="E4014" s="68"/>
      <c r="F4014" s="59">
        <v>87000</v>
      </c>
      <c r="G4014" s="58" t="s">
        <v>15391</v>
      </c>
      <c r="H4014" s="59">
        <v>0</v>
      </c>
      <c r="I4014" s="29"/>
      <c r="J4014" s="29"/>
      <c r="K4014" s="29"/>
      <c r="L4014" s="29"/>
      <c r="M4014" s="29"/>
    </row>
    <row r="4015" spans="1:13" ht="112.5" customHeight="1" x14ac:dyDescent="0.15">
      <c r="A4015" s="67">
        <v>3561</v>
      </c>
      <c r="B4015" s="33" t="s">
        <v>3814</v>
      </c>
      <c r="C4015" s="33" t="s">
        <v>15392</v>
      </c>
      <c r="D4015" s="61" t="s">
        <v>15393</v>
      </c>
      <c r="E4015" s="68"/>
      <c r="F4015" s="59"/>
      <c r="G4015" s="62" t="s">
        <v>15394</v>
      </c>
      <c r="H4015" s="59">
        <v>0</v>
      </c>
      <c r="I4015" s="29"/>
      <c r="J4015" s="29"/>
      <c r="K4015" s="29"/>
      <c r="L4015" s="29"/>
      <c r="M4015" s="29"/>
    </row>
    <row r="4016" spans="1:13" ht="112.5" customHeight="1" x14ac:dyDescent="0.15">
      <c r="A4016" s="69">
        <v>3560</v>
      </c>
      <c r="B4016" s="32" t="s">
        <v>3496</v>
      </c>
      <c r="C4016" s="32" t="s">
        <v>15395</v>
      </c>
      <c r="D4016" s="56" t="s">
        <v>15396</v>
      </c>
      <c r="E4016" s="68"/>
      <c r="F4016" s="59"/>
      <c r="G4016" s="58" t="s">
        <v>15397</v>
      </c>
      <c r="H4016" s="59">
        <v>85</v>
      </c>
      <c r="I4016" s="29"/>
      <c r="J4016" s="29"/>
      <c r="K4016" s="29"/>
      <c r="L4016" s="29"/>
      <c r="M4016" s="29"/>
    </row>
    <row r="4017" spans="1:13" ht="112.5" customHeight="1" x14ac:dyDescent="0.15">
      <c r="A4017" s="67">
        <v>113</v>
      </c>
      <c r="B4017" s="33" t="s">
        <v>3822</v>
      </c>
      <c r="C4017" s="33" t="s">
        <v>15398</v>
      </c>
      <c r="D4017" s="61" t="s">
        <v>15399</v>
      </c>
      <c r="E4017" s="68"/>
      <c r="F4017" s="59">
        <v>25000</v>
      </c>
      <c r="G4017" s="62" t="s">
        <v>15400</v>
      </c>
      <c r="H4017" s="59">
        <v>7.5620000000000003</v>
      </c>
      <c r="I4017" s="29"/>
      <c r="J4017" s="29"/>
      <c r="K4017" s="29"/>
      <c r="L4017" s="29"/>
      <c r="M4017" s="29"/>
    </row>
    <row r="4018" spans="1:13" ht="112.5" customHeight="1" x14ac:dyDescent="0.15">
      <c r="A4018" s="69">
        <v>3496</v>
      </c>
      <c r="B4018" s="32" t="s">
        <v>12428</v>
      </c>
      <c r="C4018" s="32" t="s">
        <v>15401</v>
      </c>
      <c r="D4018" s="56" t="s">
        <v>15402</v>
      </c>
      <c r="E4018" s="68"/>
      <c r="F4018" s="59"/>
      <c r="G4018" s="58" t="s">
        <v>15403</v>
      </c>
      <c r="H4018" s="59">
        <v>910</v>
      </c>
      <c r="I4018" s="29"/>
      <c r="J4018" s="29"/>
      <c r="K4018" s="29"/>
      <c r="L4018" s="29"/>
      <c r="M4018" s="29"/>
    </row>
    <row r="4019" spans="1:13" ht="112.5" customHeight="1" x14ac:dyDescent="0.15">
      <c r="A4019" s="67">
        <v>3559</v>
      </c>
      <c r="B4019" s="33" t="s">
        <v>3549</v>
      </c>
      <c r="C4019" s="33" t="s">
        <v>15404</v>
      </c>
      <c r="D4019" s="61" t="s">
        <v>15405</v>
      </c>
      <c r="E4019" s="68"/>
      <c r="F4019" s="59"/>
      <c r="G4019" s="62" t="s">
        <v>15406</v>
      </c>
      <c r="H4019" s="59">
        <v>7.7080000000000002</v>
      </c>
      <c r="I4019" s="29"/>
      <c r="J4019" s="29"/>
      <c r="K4019" s="29"/>
      <c r="L4019" s="29"/>
      <c r="M4019" s="29"/>
    </row>
    <row r="4020" spans="1:13" ht="112.5" customHeight="1" x14ac:dyDescent="0.15">
      <c r="A4020" s="67">
        <v>155</v>
      </c>
      <c r="B4020" s="33" t="s">
        <v>12428</v>
      </c>
      <c r="C4020" s="33" t="s">
        <v>15407</v>
      </c>
      <c r="D4020" s="61" t="s">
        <v>15408</v>
      </c>
      <c r="E4020" s="68"/>
      <c r="F4020" s="59">
        <v>25000</v>
      </c>
      <c r="G4020" s="58" t="s">
        <v>15409</v>
      </c>
      <c r="H4020" s="59">
        <v>0</v>
      </c>
      <c r="I4020" s="29"/>
      <c r="J4020" s="29"/>
      <c r="K4020" s="29"/>
      <c r="L4020" s="29"/>
      <c r="M4020" s="29"/>
    </row>
    <row r="4021" spans="1:13" ht="112.5" customHeight="1" x14ac:dyDescent="0.15">
      <c r="A4021" s="69">
        <v>3558</v>
      </c>
      <c r="B4021" s="32" t="s">
        <v>3549</v>
      </c>
      <c r="C4021" s="32" t="s">
        <v>15410</v>
      </c>
      <c r="D4021" s="56" t="s">
        <v>15411</v>
      </c>
      <c r="E4021" s="68"/>
      <c r="F4021" s="59"/>
      <c r="G4021" s="62" t="s">
        <v>15412</v>
      </c>
      <c r="H4021" s="59">
        <v>0</v>
      </c>
      <c r="I4021" s="29"/>
      <c r="J4021" s="29"/>
      <c r="K4021" s="29"/>
      <c r="L4021" s="29"/>
      <c r="M4021" s="29"/>
    </row>
    <row r="4022" spans="1:13" ht="112.5" customHeight="1" x14ac:dyDescent="0.15">
      <c r="A4022" s="67">
        <v>81</v>
      </c>
      <c r="B4022" s="33" t="s">
        <v>12428</v>
      </c>
      <c r="C4022" s="33" t="s">
        <v>15413</v>
      </c>
      <c r="D4022" s="61" t="s">
        <v>15414</v>
      </c>
      <c r="E4022" s="68"/>
      <c r="F4022" s="59">
        <v>42000</v>
      </c>
      <c r="G4022" s="58" t="s">
        <v>15415</v>
      </c>
      <c r="H4022" s="59">
        <v>1.8</v>
      </c>
      <c r="I4022" s="29"/>
      <c r="J4022" s="29"/>
      <c r="K4022" s="29"/>
      <c r="L4022" s="29"/>
      <c r="M4022" s="29"/>
    </row>
    <row r="4023" spans="1:13" ht="112.5" customHeight="1" x14ac:dyDescent="0.15">
      <c r="A4023" s="67">
        <v>63</v>
      </c>
      <c r="B4023" s="33" t="s">
        <v>12428</v>
      </c>
      <c r="C4023" s="33" t="s">
        <v>15416</v>
      </c>
      <c r="D4023" s="61" t="s">
        <v>15417</v>
      </c>
      <c r="E4023" s="68"/>
      <c r="F4023" s="59">
        <v>36000</v>
      </c>
      <c r="G4023" s="62" t="s">
        <v>15418</v>
      </c>
      <c r="H4023" s="59">
        <v>976</v>
      </c>
      <c r="I4023" s="29"/>
      <c r="J4023" s="29"/>
      <c r="K4023" s="29"/>
      <c r="L4023" s="29"/>
      <c r="M4023" s="29"/>
    </row>
    <row r="4024" spans="1:13" ht="112.5" customHeight="1" x14ac:dyDescent="0.15">
      <c r="A4024" s="67">
        <v>3557</v>
      </c>
      <c r="B4024" s="33" t="s">
        <v>12428</v>
      </c>
      <c r="C4024" s="33" t="s">
        <v>15419</v>
      </c>
      <c r="D4024" s="61" t="s">
        <v>15420</v>
      </c>
      <c r="E4024" s="68"/>
      <c r="F4024" s="59"/>
      <c r="G4024" s="58" t="s">
        <v>15421</v>
      </c>
      <c r="H4024" s="59">
        <v>0</v>
      </c>
      <c r="I4024" s="29"/>
      <c r="J4024" s="29"/>
      <c r="K4024" s="29"/>
      <c r="L4024" s="29"/>
      <c r="M4024" s="29"/>
    </row>
    <row r="4025" spans="1:13" ht="112.5" customHeight="1" x14ac:dyDescent="0.15">
      <c r="A4025" s="67">
        <v>165</v>
      </c>
      <c r="B4025" s="33" t="s">
        <v>12428</v>
      </c>
      <c r="C4025" s="33" t="s">
        <v>15422</v>
      </c>
      <c r="D4025" s="61" t="s">
        <v>15423</v>
      </c>
      <c r="E4025" s="68"/>
      <c r="F4025" s="59">
        <v>41000</v>
      </c>
      <c r="G4025" s="62" t="s">
        <v>15424</v>
      </c>
      <c r="H4025" s="59">
        <v>9.9410000000000007</v>
      </c>
      <c r="I4025" s="29"/>
      <c r="J4025" s="29"/>
      <c r="K4025" s="29"/>
      <c r="L4025" s="29"/>
      <c r="M4025" s="29"/>
    </row>
    <row r="4026" spans="1:13" ht="112.5" customHeight="1" x14ac:dyDescent="0.15">
      <c r="A4026" s="67">
        <v>19</v>
      </c>
      <c r="B4026" s="33" t="s">
        <v>12428</v>
      </c>
      <c r="C4026" s="33" t="s">
        <v>15425</v>
      </c>
      <c r="D4026" s="61" t="s">
        <v>15426</v>
      </c>
      <c r="E4026" s="68"/>
      <c r="F4026" s="59">
        <v>45000</v>
      </c>
      <c r="G4026" s="58" t="s">
        <v>15427</v>
      </c>
      <c r="H4026" s="59">
        <v>0</v>
      </c>
      <c r="I4026" s="29"/>
      <c r="J4026" s="29"/>
      <c r="K4026" s="29"/>
      <c r="L4026" s="29"/>
      <c r="M4026" s="29"/>
    </row>
    <row r="4027" spans="1:13" ht="112.5" customHeight="1" x14ac:dyDescent="0.15">
      <c r="A4027" s="69">
        <v>88</v>
      </c>
      <c r="B4027" s="32" t="s">
        <v>12428</v>
      </c>
      <c r="C4027" s="32" t="s">
        <v>15428</v>
      </c>
      <c r="D4027" s="56" t="s">
        <v>15429</v>
      </c>
      <c r="E4027" s="68"/>
      <c r="F4027" s="59">
        <v>45000</v>
      </c>
      <c r="G4027" s="62" t="s">
        <v>15430</v>
      </c>
      <c r="H4027" s="59">
        <v>0</v>
      </c>
      <c r="I4027" s="29"/>
      <c r="J4027" s="29"/>
      <c r="K4027" s="29"/>
      <c r="L4027" s="29"/>
      <c r="M4027" s="29"/>
    </row>
    <row r="4028" spans="1:13" ht="112.5" customHeight="1" x14ac:dyDescent="0.15">
      <c r="A4028" s="69">
        <v>240</v>
      </c>
      <c r="B4028" s="32" t="s">
        <v>12428</v>
      </c>
      <c r="C4028" s="32" t="s">
        <v>15431</v>
      </c>
      <c r="D4028" s="56" t="s">
        <v>15432</v>
      </c>
      <c r="E4028" s="68"/>
      <c r="F4028" s="59"/>
      <c r="G4028" s="58" t="s">
        <v>15433</v>
      </c>
      <c r="H4028" s="59">
        <v>0</v>
      </c>
      <c r="I4028" s="29"/>
      <c r="J4028" s="29"/>
      <c r="K4028" s="29"/>
      <c r="L4028" s="29"/>
      <c r="M4028" s="29"/>
    </row>
    <row r="4029" spans="1:13" ht="112.5" customHeight="1" x14ac:dyDescent="0.15">
      <c r="A4029" s="69">
        <v>3556</v>
      </c>
      <c r="B4029" s="32" t="s">
        <v>12428</v>
      </c>
      <c r="C4029" s="32" t="s">
        <v>15434</v>
      </c>
      <c r="D4029" s="56" t="s">
        <v>15435</v>
      </c>
      <c r="E4029" s="68"/>
      <c r="F4029" s="59"/>
      <c r="G4029" s="62" t="s">
        <v>15436</v>
      </c>
      <c r="H4029" s="59">
        <v>0</v>
      </c>
      <c r="I4029" s="29"/>
      <c r="J4029" s="29"/>
      <c r="K4029" s="29"/>
      <c r="L4029" s="29"/>
      <c r="M4029" s="29"/>
    </row>
    <row r="4030" spans="1:13" ht="112.5" customHeight="1" x14ac:dyDescent="0.15">
      <c r="A4030" s="69">
        <v>18</v>
      </c>
      <c r="B4030" s="32" t="s">
        <v>12428</v>
      </c>
      <c r="C4030" s="32" t="s">
        <v>15437</v>
      </c>
      <c r="D4030" s="56" t="s">
        <v>15438</v>
      </c>
      <c r="E4030" s="68"/>
      <c r="F4030" s="59">
        <v>42000</v>
      </c>
      <c r="G4030" s="58" t="s">
        <v>15439</v>
      </c>
      <c r="H4030" s="59">
        <v>0</v>
      </c>
      <c r="I4030" s="29"/>
      <c r="J4030" s="29"/>
      <c r="K4030" s="29"/>
      <c r="L4030" s="29"/>
      <c r="M4030" s="29"/>
    </row>
    <row r="4031" spans="1:13" ht="112.5" customHeight="1" x14ac:dyDescent="0.15">
      <c r="A4031" s="67">
        <v>91</v>
      </c>
      <c r="B4031" s="33" t="s">
        <v>12428</v>
      </c>
      <c r="C4031" s="33" t="s">
        <v>15440</v>
      </c>
      <c r="D4031" s="61" t="s">
        <v>15441</v>
      </c>
      <c r="E4031" s="68"/>
      <c r="F4031" s="59">
        <v>47000</v>
      </c>
      <c r="G4031" s="62" t="s">
        <v>15442</v>
      </c>
      <c r="H4031" s="59">
        <v>826</v>
      </c>
      <c r="I4031" s="29"/>
      <c r="J4031" s="29"/>
      <c r="K4031" s="29"/>
      <c r="L4031" s="29"/>
      <c r="M4031" s="29"/>
    </row>
    <row r="4032" spans="1:13" ht="112.5" customHeight="1" x14ac:dyDescent="0.15">
      <c r="A4032" s="69">
        <v>3554</v>
      </c>
      <c r="B4032" s="32" t="s">
        <v>12428</v>
      </c>
      <c r="C4032" s="32" t="s">
        <v>15443</v>
      </c>
      <c r="D4032" s="56" t="s">
        <v>15444</v>
      </c>
      <c r="E4032" s="68"/>
      <c r="F4032" s="59"/>
      <c r="G4032" s="58" t="s">
        <v>15445</v>
      </c>
      <c r="H4032" s="59">
        <v>9.8840000000000003</v>
      </c>
      <c r="I4032" s="29"/>
      <c r="J4032" s="29"/>
      <c r="K4032" s="29"/>
      <c r="L4032" s="29"/>
      <c r="M4032" s="29"/>
    </row>
    <row r="4033" spans="1:13" ht="112.5" customHeight="1" x14ac:dyDescent="0.15">
      <c r="A4033" s="69">
        <v>3552</v>
      </c>
      <c r="B4033" s="32" t="s">
        <v>12428</v>
      </c>
      <c r="C4033" s="32" t="s">
        <v>15446</v>
      </c>
      <c r="D4033" s="56" t="s">
        <v>15447</v>
      </c>
      <c r="E4033" s="68"/>
      <c r="F4033" s="59"/>
      <c r="G4033" s="62" t="s">
        <v>15448</v>
      </c>
      <c r="H4033" s="59">
        <v>0</v>
      </c>
      <c r="I4033" s="29"/>
      <c r="J4033" s="29"/>
      <c r="K4033" s="29"/>
      <c r="L4033" s="29"/>
      <c r="M4033" s="29"/>
    </row>
    <row r="4034" spans="1:13" ht="112.5" customHeight="1" x14ac:dyDescent="0.15">
      <c r="A4034" s="67">
        <v>3551</v>
      </c>
      <c r="B4034" s="33" t="s">
        <v>12428</v>
      </c>
      <c r="C4034" s="33" t="s">
        <v>15449</v>
      </c>
      <c r="D4034" s="61" t="s">
        <v>15450</v>
      </c>
      <c r="E4034" s="68"/>
      <c r="F4034" s="59"/>
      <c r="G4034" s="58" t="s">
        <v>15451</v>
      </c>
      <c r="H4034" s="59">
        <v>0</v>
      </c>
      <c r="I4034" s="29"/>
      <c r="J4034" s="29"/>
      <c r="K4034" s="29"/>
      <c r="L4034" s="29"/>
      <c r="M4034" s="29"/>
    </row>
    <row r="4035" spans="1:13" ht="112.5" customHeight="1" x14ac:dyDescent="0.15">
      <c r="A4035" s="69">
        <v>3550</v>
      </c>
      <c r="B4035" s="32" t="s">
        <v>12428</v>
      </c>
      <c r="C4035" s="32" t="s">
        <v>15452</v>
      </c>
      <c r="D4035" s="56" t="s">
        <v>15453</v>
      </c>
      <c r="E4035" s="68"/>
      <c r="F4035" s="59"/>
      <c r="G4035" s="62" t="s">
        <v>15454</v>
      </c>
      <c r="H4035" s="59">
        <v>0</v>
      </c>
      <c r="I4035" s="29"/>
      <c r="J4035" s="29"/>
      <c r="K4035" s="29"/>
      <c r="L4035" s="29"/>
      <c r="M4035" s="29"/>
    </row>
    <row r="4036" spans="1:13" ht="112.5" customHeight="1" x14ac:dyDescent="0.15">
      <c r="A4036" s="67">
        <v>3547</v>
      </c>
      <c r="B4036" s="33" t="s">
        <v>12428</v>
      </c>
      <c r="C4036" s="33" t="s">
        <v>15455</v>
      </c>
      <c r="D4036" s="61" t="s">
        <v>15456</v>
      </c>
      <c r="E4036" s="68"/>
      <c r="F4036" s="59"/>
      <c r="G4036" s="58" t="s">
        <v>15457</v>
      </c>
      <c r="H4036" s="59">
        <v>0</v>
      </c>
      <c r="I4036" s="29"/>
      <c r="J4036" s="29"/>
      <c r="K4036" s="29"/>
      <c r="L4036" s="29"/>
      <c r="M4036" s="29"/>
    </row>
    <row r="4037" spans="1:13" ht="112.5" customHeight="1" x14ac:dyDescent="0.15">
      <c r="A4037" s="69">
        <v>178</v>
      </c>
      <c r="B4037" s="32" t="s">
        <v>12428</v>
      </c>
      <c r="C4037" s="32" t="s">
        <v>15458</v>
      </c>
      <c r="D4037" s="56" t="s">
        <v>15459</v>
      </c>
      <c r="E4037" s="68"/>
      <c r="F4037" s="59">
        <v>109000</v>
      </c>
      <c r="G4037" s="62" t="s">
        <v>15460</v>
      </c>
      <c r="H4037" s="59">
        <v>5.59</v>
      </c>
      <c r="I4037" s="29"/>
      <c r="J4037" s="29"/>
      <c r="K4037" s="29"/>
      <c r="L4037" s="29"/>
      <c r="M4037" s="29"/>
    </row>
    <row r="4038" spans="1:13" ht="112.5" customHeight="1" x14ac:dyDescent="0.15">
      <c r="A4038" s="69">
        <v>3544</v>
      </c>
      <c r="B4038" s="32" t="s">
        <v>12428</v>
      </c>
      <c r="C4038" s="32" t="s">
        <v>15461</v>
      </c>
      <c r="D4038" s="56" t="s">
        <v>15462</v>
      </c>
      <c r="E4038" s="68"/>
      <c r="F4038" s="59"/>
      <c r="G4038" s="58" t="s">
        <v>15463</v>
      </c>
      <c r="H4038" s="59">
        <v>109.974</v>
      </c>
      <c r="I4038" s="29"/>
      <c r="J4038" s="29"/>
      <c r="K4038" s="29"/>
      <c r="L4038" s="29"/>
      <c r="M4038" s="29"/>
    </row>
    <row r="4039" spans="1:13" ht="112.5" customHeight="1" x14ac:dyDescent="0.15">
      <c r="A4039" s="67">
        <v>3543</v>
      </c>
      <c r="B4039" s="33" t="s">
        <v>12428</v>
      </c>
      <c r="C4039" s="33" t="s">
        <v>15464</v>
      </c>
      <c r="D4039" s="61" t="s">
        <v>15465</v>
      </c>
      <c r="E4039" s="68"/>
      <c r="F4039" s="59"/>
      <c r="G4039" s="62" t="s">
        <v>15466</v>
      </c>
      <c r="H4039" s="59">
        <v>3.1320000000000001</v>
      </c>
      <c r="I4039" s="29"/>
      <c r="J4039" s="29"/>
      <c r="K4039" s="29"/>
      <c r="L4039" s="29"/>
      <c r="M4039" s="29"/>
    </row>
    <row r="4040" spans="1:13" ht="112.5" customHeight="1" x14ac:dyDescent="0.15">
      <c r="A4040" s="69">
        <v>122</v>
      </c>
      <c r="B4040" s="32" t="s">
        <v>12428</v>
      </c>
      <c r="C4040" s="32" t="s">
        <v>15467</v>
      </c>
      <c r="D4040" s="56" t="s">
        <v>15468</v>
      </c>
      <c r="E4040" s="68"/>
      <c r="F4040" s="59">
        <v>12000</v>
      </c>
      <c r="G4040" s="58" t="s">
        <v>15469</v>
      </c>
      <c r="H4040" s="59">
        <v>0</v>
      </c>
      <c r="I4040" s="29"/>
      <c r="J4040" s="29"/>
      <c r="K4040" s="29"/>
      <c r="L4040" s="29"/>
      <c r="M4040" s="29"/>
    </row>
    <row r="4041" spans="1:13" ht="112.5" customHeight="1" x14ac:dyDescent="0.15">
      <c r="A4041" s="67">
        <v>3541</v>
      </c>
      <c r="B4041" s="33" t="s">
        <v>12428</v>
      </c>
      <c r="C4041" s="33" t="s">
        <v>15470</v>
      </c>
      <c r="D4041" s="61" t="s">
        <v>15471</v>
      </c>
      <c r="E4041" s="68"/>
      <c r="F4041" s="59"/>
      <c r="G4041" s="62" t="s">
        <v>15472</v>
      </c>
      <c r="H4041" s="59">
        <v>2.766</v>
      </c>
      <c r="I4041" s="29"/>
      <c r="J4041" s="29"/>
      <c r="K4041" s="29"/>
      <c r="L4041" s="29"/>
      <c r="M4041" s="29"/>
    </row>
    <row r="4042" spans="1:13" ht="112.5" customHeight="1" x14ac:dyDescent="0.15">
      <c r="A4042" s="69">
        <v>44</v>
      </c>
      <c r="B4042" s="32" t="s">
        <v>12428</v>
      </c>
      <c r="C4042" s="32" t="s">
        <v>15473</v>
      </c>
      <c r="D4042" s="56" t="s">
        <v>15474</v>
      </c>
      <c r="E4042" s="68"/>
      <c r="F4042" s="59">
        <v>44000</v>
      </c>
      <c r="G4042" s="58" t="s">
        <v>15475</v>
      </c>
      <c r="H4042" s="59">
        <v>0</v>
      </c>
      <c r="I4042" s="29"/>
      <c r="J4042" s="29"/>
      <c r="K4042" s="29"/>
      <c r="L4042" s="29"/>
      <c r="M4042" s="29"/>
    </row>
    <row r="4043" spans="1:13" ht="112.5" customHeight="1" x14ac:dyDescent="0.15">
      <c r="A4043" s="69">
        <v>82</v>
      </c>
      <c r="B4043" s="32" t="s">
        <v>12428</v>
      </c>
      <c r="C4043" s="32" t="s">
        <v>15476</v>
      </c>
      <c r="D4043" s="56" t="s">
        <v>15477</v>
      </c>
      <c r="E4043" s="68"/>
      <c r="F4043" s="59">
        <v>47000</v>
      </c>
      <c r="G4043" s="62" t="s">
        <v>15478</v>
      </c>
      <c r="H4043" s="59">
        <v>0</v>
      </c>
      <c r="I4043" s="29"/>
      <c r="J4043" s="29"/>
      <c r="K4043" s="29"/>
      <c r="L4043" s="29"/>
      <c r="M4043" s="29"/>
    </row>
    <row r="4044" spans="1:13" ht="112.5" customHeight="1" x14ac:dyDescent="0.15">
      <c r="A4044" s="69">
        <v>3542</v>
      </c>
      <c r="B4044" s="32" t="s">
        <v>12428</v>
      </c>
      <c r="C4044" s="32" t="s">
        <v>15479</v>
      </c>
      <c r="D4044" s="56" t="s">
        <v>15480</v>
      </c>
      <c r="E4044" s="68"/>
      <c r="F4044" s="59"/>
      <c r="G4044" s="58" t="s">
        <v>15481</v>
      </c>
      <c r="H4044" s="59">
        <v>0</v>
      </c>
      <c r="I4044" s="29"/>
      <c r="J4044" s="29"/>
      <c r="K4044" s="29"/>
      <c r="L4044" s="29"/>
      <c r="M4044" s="29"/>
    </row>
    <row r="4045" spans="1:13" ht="112.5" customHeight="1" x14ac:dyDescent="0.15">
      <c r="A4045" s="67">
        <v>93</v>
      </c>
      <c r="B4045" s="33" t="s">
        <v>12428</v>
      </c>
      <c r="C4045" s="33" t="s">
        <v>15482</v>
      </c>
      <c r="D4045" s="61" t="s">
        <v>15483</v>
      </c>
      <c r="E4045" s="68"/>
      <c r="F4045" s="59">
        <v>40000</v>
      </c>
      <c r="G4045" s="62" t="s">
        <v>15484</v>
      </c>
      <c r="H4045" s="59">
        <v>0</v>
      </c>
      <c r="I4045" s="29"/>
      <c r="J4045" s="29"/>
      <c r="K4045" s="29"/>
      <c r="L4045" s="29"/>
      <c r="M4045" s="29"/>
    </row>
    <row r="4046" spans="1:13" ht="112.5" customHeight="1" x14ac:dyDescent="0.15">
      <c r="A4046" s="69">
        <v>72</v>
      </c>
      <c r="B4046" s="32" t="s">
        <v>12428</v>
      </c>
      <c r="C4046" s="32" t="s">
        <v>15485</v>
      </c>
      <c r="D4046" s="56" t="s">
        <v>15486</v>
      </c>
      <c r="E4046" s="68"/>
      <c r="F4046" s="59">
        <v>61000</v>
      </c>
      <c r="G4046" s="58" t="s">
        <v>15487</v>
      </c>
      <c r="H4046" s="59">
        <v>95.31</v>
      </c>
      <c r="I4046" s="29"/>
      <c r="J4046" s="29"/>
      <c r="K4046" s="29"/>
      <c r="L4046" s="29"/>
      <c r="M4046" s="29"/>
    </row>
    <row r="4047" spans="1:13" ht="112.5" customHeight="1" x14ac:dyDescent="0.15">
      <c r="A4047" s="69">
        <v>3480</v>
      </c>
      <c r="B4047" s="32" t="s">
        <v>12428</v>
      </c>
      <c r="C4047" s="32" t="s">
        <v>15488</v>
      </c>
      <c r="D4047" s="56" t="s">
        <v>15489</v>
      </c>
      <c r="E4047" s="68"/>
      <c r="F4047" s="59"/>
      <c r="G4047" s="62" t="s">
        <v>15490</v>
      </c>
      <c r="H4047" s="59">
        <v>98.111999999999995</v>
      </c>
      <c r="I4047" s="29"/>
      <c r="J4047" s="29"/>
      <c r="K4047" s="29"/>
      <c r="L4047" s="29"/>
      <c r="M4047" s="29"/>
    </row>
    <row r="4048" spans="1:13" ht="112.5" customHeight="1" x14ac:dyDescent="0.15">
      <c r="A4048" s="67">
        <v>147</v>
      </c>
      <c r="B4048" s="33" t="s">
        <v>3814</v>
      </c>
      <c r="C4048" s="33" t="s">
        <v>15491</v>
      </c>
      <c r="D4048" s="61" t="s">
        <v>15492</v>
      </c>
      <c r="E4048" s="68"/>
      <c r="F4048" s="59">
        <v>17000</v>
      </c>
      <c r="G4048" s="58" t="s">
        <v>15493</v>
      </c>
      <c r="H4048" s="59">
        <v>9.8049999999999997</v>
      </c>
      <c r="I4048" s="29"/>
      <c r="J4048" s="29"/>
      <c r="K4048" s="29"/>
      <c r="L4048" s="29"/>
      <c r="M4048" s="29"/>
    </row>
    <row r="4049" spans="1:13" ht="112.5" customHeight="1" x14ac:dyDescent="0.15">
      <c r="A4049" s="67">
        <v>101</v>
      </c>
      <c r="B4049" s="33" t="s">
        <v>12428</v>
      </c>
      <c r="C4049" s="33" t="s">
        <v>15494</v>
      </c>
      <c r="D4049" s="61" t="s">
        <v>15495</v>
      </c>
      <c r="E4049" s="68"/>
      <c r="F4049" s="59">
        <v>54000</v>
      </c>
      <c r="G4049" s="62" t="s">
        <v>15496</v>
      </c>
      <c r="H4049" s="59">
        <v>990</v>
      </c>
      <c r="I4049" s="29"/>
      <c r="J4049" s="29"/>
      <c r="K4049" s="29"/>
      <c r="L4049" s="29"/>
      <c r="M4049" s="29"/>
    </row>
    <row r="4050" spans="1:13" ht="112.5" customHeight="1" x14ac:dyDescent="0.15">
      <c r="A4050" s="67">
        <v>3539</v>
      </c>
      <c r="B4050" s="33" t="s">
        <v>12428</v>
      </c>
      <c r="C4050" s="33" t="s">
        <v>15497</v>
      </c>
      <c r="D4050" s="61" t="s">
        <v>15498</v>
      </c>
      <c r="E4050" s="68"/>
      <c r="F4050" s="59"/>
      <c r="G4050" s="58" t="s">
        <v>15499</v>
      </c>
      <c r="H4050" s="59">
        <v>0</v>
      </c>
      <c r="I4050" s="29"/>
      <c r="J4050" s="29"/>
      <c r="K4050" s="29"/>
      <c r="L4050" s="29"/>
      <c r="M4050" s="29"/>
    </row>
    <row r="4051" spans="1:13" ht="112.5" customHeight="1" x14ac:dyDescent="0.15">
      <c r="A4051" s="67">
        <v>5</v>
      </c>
      <c r="B4051" s="33" t="s">
        <v>3814</v>
      </c>
      <c r="C4051" s="33" t="s">
        <v>15500</v>
      </c>
      <c r="D4051" s="61" t="s">
        <v>15501</v>
      </c>
      <c r="E4051" s="68"/>
      <c r="F4051" s="59">
        <v>22000</v>
      </c>
      <c r="G4051" s="62" t="s">
        <v>15502</v>
      </c>
      <c r="H4051" s="59">
        <v>0</v>
      </c>
      <c r="I4051" s="29"/>
      <c r="J4051" s="29"/>
      <c r="K4051" s="29"/>
      <c r="L4051" s="29"/>
      <c r="M4051" s="29"/>
    </row>
    <row r="4052" spans="1:13" ht="112.5" customHeight="1" x14ac:dyDescent="0.15">
      <c r="A4052" s="67">
        <v>3533</v>
      </c>
      <c r="B4052" s="33" t="s">
        <v>3670</v>
      </c>
      <c r="C4052" s="33" t="s">
        <v>15503</v>
      </c>
      <c r="D4052" s="61" t="s">
        <v>15504</v>
      </c>
      <c r="E4052" s="68"/>
      <c r="F4052" s="59"/>
      <c r="G4052" s="58" t="s">
        <v>15505</v>
      </c>
      <c r="H4052" s="59">
        <v>0</v>
      </c>
      <c r="I4052" s="29"/>
      <c r="J4052" s="29"/>
      <c r="K4052" s="29"/>
      <c r="L4052" s="29"/>
      <c r="M4052" s="29"/>
    </row>
    <row r="4053" spans="1:13" ht="112.5" customHeight="1" x14ac:dyDescent="0.15">
      <c r="A4053" s="69">
        <v>50</v>
      </c>
      <c r="B4053" s="32" t="s">
        <v>3898</v>
      </c>
      <c r="C4053" s="32" t="s">
        <v>15506</v>
      </c>
      <c r="D4053" s="56" t="s">
        <v>15507</v>
      </c>
      <c r="E4053" s="68"/>
      <c r="F4053" s="59">
        <v>16000</v>
      </c>
      <c r="G4053" s="62" t="s">
        <v>15508</v>
      </c>
      <c r="H4053" s="59">
        <v>98.897999999999996</v>
      </c>
      <c r="I4053" s="29"/>
      <c r="J4053" s="29"/>
      <c r="K4053" s="29"/>
      <c r="L4053" s="29"/>
      <c r="M4053" s="29"/>
    </row>
    <row r="4054" spans="1:13" ht="112.5" customHeight="1" x14ac:dyDescent="0.15">
      <c r="A4054" s="67">
        <v>51</v>
      </c>
      <c r="B4054" s="33" t="s">
        <v>3898</v>
      </c>
      <c r="C4054" s="33" t="s">
        <v>15509</v>
      </c>
      <c r="D4054" s="61" t="s">
        <v>15510</v>
      </c>
      <c r="E4054" s="68"/>
      <c r="F4054" s="59">
        <v>16000</v>
      </c>
      <c r="G4054" s="58" t="s">
        <v>15511</v>
      </c>
      <c r="H4054" s="59">
        <v>0</v>
      </c>
      <c r="I4054" s="29"/>
      <c r="J4054" s="29"/>
      <c r="K4054" s="29"/>
      <c r="L4054" s="29"/>
      <c r="M4054" s="29"/>
    </row>
    <row r="4055" spans="1:13" ht="112.5" customHeight="1" x14ac:dyDescent="0.15">
      <c r="A4055" s="69">
        <v>258</v>
      </c>
      <c r="B4055" s="32" t="s">
        <v>3549</v>
      </c>
      <c r="C4055" s="32" t="s">
        <v>15512</v>
      </c>
      <c r="D4055" s="56" t="s">
        <v>15513</v>
      </c>
      <c r="E4055" s="68"/>
      <c r="F4055" s="59"/>
      <c r="G4055" s="62" t="s">
        <v>15514</v>
      </c>
      <c r="H4055" s="59">
        <v>99.638000000000005</v>
      </c>
      <c r="I4055" s="29"/>
      <c r="J4055" s="29"/>
      <c r="K4055" s="29"/>
      <c r="L4055" s="29"/>
      <c r="M4055" s="29"/>
    </row>
    <row r="4056" spans="1:13" ht="112.5" customHeight="1" x14ac:dyDescent="0.15">
      <c r="A4056" s="69">
        <v>3528</v>
      </c>
      <c r="B4056" s="32" t="s">
        <v>3496</v>
      </c>
      <c r="C4056" s="32" t="s">
        <v>15515</v>
      </c>
      <c r="D4056" s="56" t="s">
        <v>15516</v>
      </c>
      <c r="E4056" s="68"/>
      <c r="F4056" s="59"/>
      <c r="G4056" s="58" t="s">
        <v>15517</v>
      </c>
      <c r="H4056" s="59">
        <v>0</v>
      </c>
      <c r="I4056" s="29"/>
      <c r="J4056" s="29"/>
      <c r="K4056" s="29"/>
      <c r="L4056" s="29"/>
      <c r="M4056" s="29"/>
    </row>
    <row r="4057" spans="1:13" ht="112.5" customHeight="1" x14ac:dyDescent="0.15">
      <c r="A4057" s="69">
        <v>3524</v>
      </c>
      <c r="B4057" s="32" t="s">
        <v>12428</v>
      </c>
      <c r="C4057" s="32" t="s">
        <v>15518</v>
      </c>
      <c r="D4057" s="56" t="s">
        <v>15519</v>
      </c>
      <c r="E4057" s="68"/>
      <c r="F4057" s="59"/>
      <c r="G4057" s="62" t="s">
        <v>15520</v>
      </c>
      <c r="H4057" s="59">
        <v>1</v>
      </c>
      <c r="I4057" s="29"/>
      <c r="J4057" s="29"/>
      <c r="K4057" s="29"/>
      <c r="L4057" s="29"/>
      <c r="M4057" s="29"/>
    </row>
    <row r="4058" spans="1:13" ht="112.5" customHeight="1" x14ac:dyDescent="0.15">
      <c r="A4058" s="67">
        <v>3527</v>
      </c>
      <c r="B4058" s="33" t="s">
        <v>12428</v>
      </c>
      <c r="C4058" s="33" t="s">
        <v>15521</v>
      </c>
      <c r="D4058" s="61" t="s">
        <v>15522</v>
      </c>
      <c r="E4058" s="68"/>
      <c r="F4058" s="59"/>
      <c r="G4058" s="58" t="s">
        <v>15523</v>
      </c>
      <c r="H4058" s="59">
        <v>9.6129999999999995</v>
      </c>
      <c r="I4058" s="29"/>
      <c r="J4058" s="29"/>
      <c r="K4058" s="29"/>
      <c r="L4058" s="29"/>
      <c r="M4058" s="29"/>
    </row>
    <row r="4059" spans="1:13" ht="112.5" customHeight="1" x14ac:dyDescent="0.15">
      <c r="A4059" s="69">
        <v>3526</v>
      </c>
      <c r="B4059" s="32" t="s">
        <v>12428</v>
      </c>
      <c r="C4059" s="32" t="s">
        <v>15524</v>
      </c>
      <c r="D4059" s="56" t="s">
        <v>15525</v>
      </c>
      <c r="E4059" s="68"/>
      <c r="F4059" s="59"/>
      <c r="G4059" s="62" t="s">
        <v>15526</v>
      </c>
      <c r="H4059" s="59">
        <v>742</v>
      </c>
      <c r="I4059" s="29"/>
      <c r="J4059" s="29"/>
      <c r="K4059" s="29"/>
      <c r="L4059" s="29"/>
      <c r="M4059" s="29"/>
    </row>
    <row r="4060" spans="1:13" ht="112.5" customHeight="1" x14ac:dyDescent="0.15">
      <c r="A4060" s="67">
        <v>3523</v>
      </c>
      <c r="B4060" s="33" t="s">
        <v>3496</v>
      </c>
      <c r="C4060" s="33" t="s">
        <v>15527</v>
      </c>
      <c r="D4060" s="61" t="s">
        <v>15528</v>
      </c>
      <c r="E4060" s="68"/>
      <c r="F4060" s="59"/>
      <c r="G4060" s="58" t="s">
        <v>15529</v>
      </c>
      <c r="H4060" s="59">
        <v>0</v>
      </c>
      <c r="I4060" s="29"/>
      <c r="J4060" s="29"/>
      <c r="K4060" s="29"/>
      <c r="L4060" s="29"/>
      <c r="M4060" s="29"/>
    </row>
    <row r="4061" spans="1:13" ht="112.5" customHeight="1" x14ac:dyDescent="0.15">
      <c r="A4061" s="69">
        <v>10</v>
      </c>
      <c r="B4061" s="32" t="s">
        <v>3814</v>
      </c>
      <c r="C4061" s="32" t="s">
        <v>15530</v>
      </c>
      <c r="D4061" s="56" t="s">
        <v>15531</v>
      </c>
      <c r="E4061" s="68"/>
      <c r="F4061" s="59">
        <v>23000</v>
      </c>
      <c r="G4061" s="62" t="s">
        <v>15532</v>
      </c>
      <c r="H4061" s="59">
        <v>0</v>
      </c>
      <c r="I4061" s="29"/>
      <c r="J4061" s="29"/>
      <c r="K4061" s="29"/>
      <c r="L4061" s="29"/>
      <c r="M4061" s="29"/>
    </row>
  </sheetData>
  <autoFilter ref="A1:F4061" xr:uid="{00000000-0009-0000-0000-000005000000}"/>
  <hyperlinks>
    <hyperlink ref="G2" r:id="rId1" xr:uid="{00000000-0004-0000-0500-000000000000}"/>
    <hyperlink ref="G4" r:id="rId2" xr:uid="{00000000-0004-0000-0500-000001000000}"/>
    <hyperlink ref="G5" r:id="rId3" xr:uid="{00000000-0004-0000-0500-000002000000}"/>
    <hyperlink ref="G6" r:id="rId4" xr:uid="{00000000-0004-0000-0500-000003000000}"/>
    <hyperlink ref="G7" r:id="rId5" xr:uid="{00000000-0004-0000-0500-000004000000}"/>
    <hyperlink ref="G8" r:id="rId6" xr:uid="{00000000-0004-0000-0500-000005000000}"/>
    <hyperlink ref="G9" r:id="rId7" xr:uid="{00000000-0004-0000-0500-000006000000}"/>
    <hyperlink ref="G10" r:id="rId8" xr:uid="{00000000-0004-0000-0500-000007000000}"/>
    <hyperlink ref="G11" r:id="rId9" xr:uid="{00000000-0004-0000-0500-000008000000}"/>
    <hyperlink ref="G12" r:id="rId10" xr:uid="{00000000-0004-0000-0500-000009000000}"/>
    <hyperlink ref="G13" r:id="rId11" xr:uid="{00000000-0004-0000-0500-00000A000000}"/>
    <hyperlink ref="G14" r:id="rId12" xr:uid="{00000000-0004-0000-0500-00000B000000}"/>
    <hyperlink ref="G15" r:id="rId13" xr:uid="{00000000-0004-0000-0500-00000C000000}"/>
    <hyperlink ref="G16" r:id="rId14" xr:uid="{00000000-0004-0000-0500-00000D000000}"/>
    <hyperlink ref="G17" r:id="rId15" xr:uid="{00000000-0004-0000-0500-00000E000000}"/>
    <hyperlink ref="G18" r:id="rId16" xr:uid="{00000000-0004-0000-0500-00000F000000}"/>
    <hyperlink ref="G19" r:id="rId17" xr:uid="{00000000-0004-0000-0500-000010000000}"/>
    <hyperlink ref="G20" r:id="rId18" xr:uid="{00000000-0004-0000-0500-000011000000}"/>
    <hyperlink ref="G21" r:id="rId19" xr:uid="{00000000-0004-0000-0500-000012000000}"/>
    <hyperlink ref="G22" r:id="rId20" xr:uid="{00000000-0004-0000-0500-000013000000}"/>
    <hyperlink ref="G23" r:id="rId21" xr:uid="{00000000-0004-0000-0500-000014000000}"/>
    <hyperlink ref="G24" r:id="rId22" xr:uid="{00000000-0004-0000-0500-000015000000}"/>
    <hyperlink ref="G25" r:id="rId23" xr:uid="{00000000-0004-0000-0500-000016000000}"/>
    <hyperlink ref="G26" r:id="rId24" xr:uid="{00000000-0004-0000-0500-000017000000}"/>
    <hyperlink ref="G27" r:id="rId25" xr:uid="{00000000-0004-0000-0500-000018000000}"/>
    <hyperlink ref="G28" r:id="rId26" xr:uid="{00000000-0004-0000-0500-000019000000}"/>
    <hyperlink ref="G29" r:id="rId27" xr:uid="{00000000-0004-0000-0500-00001A000000}"/>
    <hyperlink ref="G30" r:id="rId28" xr:uid="{00000000-0004-0000-0500-00001B000000}"/>
    <hyperlink ref="G31" r:id="rId29" xr:uid="{00000000-0004-0000-0500-00001C000000}"/>
    <hyperlink ref="G32" r:id="rId30" xr:uid="{00000000-0004-0000-0500-00001D000000}"/>
    <hyperlink ref="G33" r:id="rId31" xr:uid="{00000000-0004-0000-0500-00001E000000}"/>
    <hyperlink ref="G34" r:id="rId32" xr:uid="{00000000-0004-0000-0500-00001F000000}"/>
    <hyperlink ref="G35" r:id="rId33" xr:uid="{00000000-0004-0000-0500-000020000000}"/>
    <hyperlink ref="G36" r:id="rId34" xr:uid="{00000000-0004-0000-0500-000021000000}"/>
    <hyperlink ref="G37" r:id="rId35" xr:uid="{00000000-0004-0000-0500-000022000000}"/>
    <hyperlink ref="G38" r:id="rId36" xr:uid="{00000000-0004-0000-0500-000023000000}"/>
    <hyperlink ref="G39" r:id="rId37" xr:uid="{00000000-0004-0000-0500-000024000000}"/>
    <hyperlink ref="G40" r:id="rId38" xr:uid="{00000000-0004-0000-0500-000025000000}"/>
    <hyperlink ref="G41" r:id="rId39" xr:uid="{00000000-0004-0000-0500-000026000000}"/>
    <hyperlink ref="G42" r:id="rId40" xr:uid="{00000000-0004-0000-0500-000027000000}"/>
    <hyperlink ref="G43" r:id="rId41" xr:uid="{00000000-0004-0000-0500-000028000000}"/>
    <hyperlink ref="G44" r:id="rId42" xr:uid="{00000000-0004-0000-0500-000029000000}"/>
    <hyperlink ref="G45" r:id="rId43" xr:uid="{00000000-0004-0000-0500-00002A000000}"/>
    <hyperlink ref="G46" r:id="rId44" xr:uid="{00000000-0004-0000-0500-00002B000000}"/>
    <hyperlink ref="G47" r:id="rId45" xr:uid="{00000000-0004-0000-0500-00002C000000}"/>
    <hyperlink ref="G48" r:id="rId46" xr:uid="{00000000-0004-0000-0500-00002D000000}"/>
    <hyperlink ref="G49" r:id="rId47" xr:uid="{00000000-0004-0000-0500-00002E000000}"/>
    <hyperlink ref="G50" r:id="rId48" xr:uid="{00000000-0004-0000-0500-00002F000000}"/>
    <hyperlink ref="G51" r:id="rId49" xr:uid="{00000000-0004-0000-0500-000030000000}"/>
    <hyperlink ref="G52" r:id="rId50" xr:uid="{00000000-0004-0000-0500-000031000000}"/>
    <hyperlink ref="G53" r:id="rId51" xr:uid="{00000000-0004-0000-0500-000032000000}"/>
    <hyperlink ref="G54" r:id="rId52" xr:uid="{00000000-0004-0000-0500-000033000000}"/>
    <hyperlink ref="G55" r:id="rId53" xr:uid="{00000000-0004-0000-0500-000034000000}"/>
    <hyperlink ref="G56" r:id="rId54" xr:uid="{00000000-0004-0000-0500-000035000000}"/>
    <hyperlink ref="G57" r:id="rId55" xr:uid="{00000000-0004-0000-0500-000036000000}"/>
    <hyperlink ref="G58" r:id="rId56" xr:uid="{00000000-0004-0000-0500-000037000000}"/>
    <hyperlink ref="G59" r:id="rId57" xr:uid="{00000000-0004-0000-0500-000038000000}"/>
    <hyperlink ref="G60" r:id="rId58" xr:uid="{00000000-0004-0000-0500-000039000000}"/>
    <hyperlink ref="G61" r:id="rId59" xr:uid="{00000000-0004-0000-0500-00003A000000}"/>
    <hyperlink ref="G62" r:id="rId60" xr:uid="{00000000-0004-0000-0500-00003B000000}"/>
    <hyperlink ref="G63" r:id="rId61" xr:uid="{00000000-0004-0000-0500-00003C000000}"/>
    <hyperlink ref="G64" r:id="rId62" xr:uid="{00000000-0004-0000-0500-00003D000000}"/>
    <hyperlink ref="G65" r:id="rId63" xr:uid="{00000000-0004-0000-0500-00003E000000}"/>
    <hyperlink ref="G66" r:id="rId64" xr:uid="{00000000-0004-0000-0500-00003F000000}"/>
    <hyperlink ref="G67" r:id="rId65" xr:uid="{00000000-0004-0000-0500-000040000000}"/>
    <hyperlink ref="G68" r:id="rId66" xr:uid="{00000000-0004-0000-0500-000041000000}"/>
    <hyperlink ref="G69" r:id="rId67" xr:uid="{00000000-0004-0000-0500-000042000000}"/>
    <hyperlink ref="G70" r:id="rId68" xr:uid="{00000000-0004-0000-0500-000043000000}"/>
    <hyperlink ref="G71" r:id="rId69" xr:uid="{00000000-0004-0000-0500-000044000000}"/>
    <hyperlink ref="G72" r:id="rId70" xr:uid="{00000000-0004-0000-0500-000045000000}"/>
    <hyperlink ref="G73" r:id="rId71" xr:uid="{00000000-0004-0000-0500-000046000000}"/>
    <hyperlink ref="G74" r:id="rId72" xr:uid="{00000000-0004-0000-0500-000047000000}"/>
    <hyperlink ref="G75" r:id="rId73" xr:uid="{00000000-0004-0000-0500-000048000000}"/>
    <hyperlink ref="G76" r:id="rId74" xr:uid="{00000000-0004-0000-0500-000049000000}"/>
    <hyperlink ref="G77" r:id="rId75" xr:uid="{00000000-0004-0000-0500-00004A000000}"/>
    <hyperlink ref="G78" r:id="rId76" xr:uid="{00000000-0004-0000-0500-00004B000000}"/>
    <hyperlink ref="G79" r:id="rId77" xr:uid="{00000000-0004-0000-0500-00004C000000}"/>
    <hyperlink ref="G80" r:id="rId78" xr:uid="{00000000-0004-0000-0500-00004D000000}"/>
    <hyperlink ref="G81" r:id="rId79" xr:uid="{00000000-0004-0000-0500-00004E000000}"/>
    <hyperlink ref="G82" r:id="rId80" xr:uid="{00000000-0004-0000-0500-00004F000000}"/>
    <hyperlink ref="G83" r:id="rId81" xr:uid="{00000000-0004-0000-0500-000050000000}"/>
    <hyperlink ref="G84" r:id="rId82" xr:uid="{00000000-0004-0000-0500-000051000000}"/>
    <hyperlink ref="G85" r:id="rId83" xr:uid="{00000000-0004-0000-0500-000052000000}"/>
    <hyperlink ref="G86" r:id="rId84" xr:uid="{00000000-0004-0000-0500-000053000000}"/>
    <hyperlink ref="G87" r:id="rId85" xr:uid="{00000000-0004-0000-0500-000054000000}"/>
    <hyperlink ref="G88" r:id="rId86" xr:uid="{00000000-0004-0000-0500-000055000000}"/>
    <hyperlink ref="G89" r:id="rId87" xr:uid="{00000000-0004-0000-0500-000056000000}"/>
    <hyperlink ref="G90" r:id="rId88" xr:uid="{00000000-0004-0000-0500-000057000000}"/>
    <hyperlink ref="G91" r:id="rId89" xr:uid="{00000000-0004-0000-0500-000058000000}"/>
    <hyperlink ref="G92" r:id="rId90" xr:uid="{00000000-0004-0000-0500-000059000000}"/>
    <hyperlink ref="G93" r:id="rId91" xr:uid="{00000000-0004-0000-0500-00005A000000}"/>
    <hyperlink ref="G94" r:id="rId92" xr:uid="{00000000-0004-0000-0500-00005B000000}"/>
    <hyperlink ref="G95" r:id="rId93" xr:uid="{00000000-0004-0000-0500-00005C000000}"/>
    <hyperlink ref="G96" r:id="rId94" xr:uid="{00000000-0004-0000-0500-00005D000000}"/>
    <hyperlink ref="G97" r:id="rId95" xr:uid="{00000000-0004-0000-0500-00005E000000}"/>
    <hyperlink ref="G98" r:id="rId96" xr:uid="{00000000-0004-0000-0500-00005F000000}"/>
    <hyperlink ref="G99" r:id="rId97" xr:uid="{00000000-0004-0000-0500-000060000000}"/>
    <hyperlink ref="G100" r:id="rId98" xr:uid="{00000000-0004-0000-0500-000061000000}"/>
    <hyperlink ref="G101" r:id="rId99" xr:uid="{00000000-0004-0000-0500-000062000000}"/>
    <hyperlink ref="G102" r:id="rId100" xr:uid="{00000000-0004-0000-0500-000063000000}"/>
    <hyperlink ref="G103" r:id="rId101" xr:uid="{00000000-0004-0000-0500-000064000000}"/>
    <hyperlink ref="G104" r:id="rId102" xr:uid="{00000000-0004-0000-0500-000065000000}"/>
    <hyperlink ref="G105" r:id="rId103" xr:uid="{00000000-0004-0000-0500-000066000000}"/>
    <hyperlink ref="G106" r:id="rId104" xr:uid="{00000000-0004-0000-0500-000067000000}"/>
    <hyperlink ref="G107" r:id="rId105" xr:uid="{00000000-0004-0000-0500-000068000000}"/>
    <hyperlink ref="G108" r:id="rId106" xr:uid="{00000000-0004-0000-0500-000069000000}"/>
    <hyperlink ref="G109" r:id="rId107" xr:uid="{00000000-0004-0000-0500-00006A000000}"/>
    <hyperlink ref="G110" r:id="rId108" xr:uid="{00000000-0004-0000-0500-00006B000000}"/>
    <hyperlink ref="G111" r:id="rId109" xr:uid="{00000000-0004-0000-0500-00006C000000}"/>
    <hyperlink ref="G112" r:id="rId110" xr:uid="{00000000-0004-0000-0500-00006D000000}"/>
    <hyperlink ref="G113" r:id="rId111" xr:uid="{00000000-0004-0000-0500-00006E000000}"/>
    <hyperlink ref="G114" r:id="rId112" xr:uid="{00000000-0004-0000-0500-00006F000000}"/>
    <hyperlink ref="G115" r:id="rId113" xr:uid="{00000000-0004-0000-0500-000070000000}"/>
    <hyperlink ref="G116" r:id="rId114" xr:uid="{00000000-0004-0000-0500-000071000000}"/>
    <hyperlink ref="G117" r:id="rId115" xr:uid="{00000000-0004-0000-0500-000072000000}"/>
    <hyperlink ref="G118" r:id="rId116" xr:uid="{00000000-0004-0000-0500-000073000000}"/>
    <hyperlink ref="G119" r:id="rId117" xr:uid="{00000000-0004-0000-0500-000074000000}"/>
    <hyperlink ref="G120" r:id="rId118" xr:uid="{00000000-0004-0000-0500-000075000000}"/>
    <hyperlink ref="G121" r:id="rId119" xr:uid="{00000000-0004-0000-0500-000076000000}"/>
    <hyperlink ref="G122" r:id="rId120" xr:uid="{00000000-0004-0000-0500-000077000000}"/>
    <hyperlink ref="G123" r:id="rId121" xr:uid="{00000000-0004-0000-0500-000078000000}"/>
    <hyperlink ref="G124" r:id="rId122" xr:uid="{00000000-0004-0000-0500-000079000000}"/>
    <hyperlink ref="G125" r:id="rId123" xr:uid="{00000000-0004-0000-0500-00007A000000}"/>
    <hyperlink ref="G126" r:id="rId124" xr:uid="{00000000-0004-0000-0500-00007B000000}"/>
    <hyperlink ref="G127" r:id="rId125" xr:uid="{00000000-0004-0000-0500-00007C000000}"/>
    <hyperlink ref="G128" r:id="rId126" xr:uid="{00000000-0004-0000-0500-00007D000000}"/>
    <hyperlink ref="G129" r:id="rId127" xr:uid="{00000000-0004-0000-0500-00007E000000}"/>
    <hyperlink ref="G130" r:id="rId128" xr:uid="{00000000-0004-0000-0500-00007F000000}"/>
    <hyperlink ref="G131" r:id="rId129" xr:uid="{00000000-0004-0000-0500-000080000000}"/>
    <hyperlink ref="G132" r:id="rId130" xr:uid="{00000000-0004-0000-0500-000081000000}"/>
    <hyperlink ref="G133" r:id="rId131" xr:uid="{00000000-0004-0000-0500-000082000000}"/>
    <hyperlink ref="G134" r:id="rId132" xr:uid="{00000000-0004-0000-0500-000083000000}"/>
    <hyperlink ref="G135" r:id="rId133" xr:uid="{00000000-0004-0000-0500-000084000000}"/>
    <hyperlink ref="G136" r:id="rId134" xr:uid="{00000000-0004-0000-0500-000085000000}"/>
    <hyperlink ref="G137" r:id="rId135" xr:uid="{00000000-0004-0000-0500-000086000000}"/>
    <hyperlink ref="G138" r:id="rId136" xr:uid="{00000000-0004-0000-0500-000087000000}"/>
    <hyperlink ref="G139" r:id="rId137" xr:uid="{00000000-0004-0000-0500-000088000000}"/>
    <hyperlink ref="G140" r:id="rId138" xr:uid="{00000000-0004-0000-0500-000089000000}"/>
    <hyperlink ref="G141" r:id="rId139" xr:uid="{00000000-0004-0000-0500-00008A000000}"/>
    <hyperlink ref="G142" r:id="rId140" xr:uid="{00000000-0004-0000-0500-00008B000000}"/>
    <hyperlink ref="G143" r:id="rId141" xr:uid="{00000000-0004-0000-0500-00008C000000}"/>
    <hyperlink ref="G144" r:id="rId142" xr:uid="{00000000-0004-0000-0500-00008D000000}"/>
    <hyperlink ref="G145" r:id="rId143" xr:uid="{00000000-0004-0000-0500-00008E000000}"/>
    <hyperlink ref="G146" r:id="rId144" xr:uid="{00000000-0004-0000-0500-00008F000000}"/>
    <hyperlink ref="G147" r:id="rId145" xr:uid="{00000000-0004-0000-0500-000090000000}"/>
    <hyperlink ref="G148" r:id="rId146" xr:uid="{00000000-0004-0000-0500-000091000000}"/>
    <hyperlink ref="G149" r:id="rId147" xr:uid="{00000000-0004-0000-0500-000092000000}"/>
    <hyperlink ref="G150" r:id="rId148" xr:uid="{00000000-0004-0000-0500-000093000000}"/>
    <hyperlink ref="G151" r:id="rId149" xr:uid="{00000000-0004-0000-0500-000094000000}"/>
    <hyperlink ref="G152" r:id="rId150" xr:uid="{00000000-0004-0000-0500-000095000000}"/>
    <hyperlink ref="G153" r:id="rId151" xr:uid="{00000000-0004-0000-0500-000096000000}"/>
    <hyperlink ref="G154" r:id="rId152" xr:uid="{00000000-0004-0000-0500-000097000000}"/>
    <hyperlink ref="G155" r:id="rId153" xr:uid="{00000000-0004-0000-0500-000098000000}"/>
    <hyperlink ref="G156" r:id="rId154" xr:uid="{00000000-0004-0000-0500-000099000000}"/>
    <hyperlink ref="G157" r:id="rId155" xr:uid="{00000000-0004-0000-0500-00009A000000}"/>
    <hyperlink ref="G158" r:id="rId156" xr:uid="{00000000-0004-0000-0500-00009B000000}"/>
    <hyperlink ref="G159" r:id="rId157" xr:uid="{00000000-0004-0000-0500-00009C000000}"/>
    <hyperlink ref="G160" r:id="rId158" xr:uid="{00000000-0004-0000-0500-00009D000000}"/>
    <hyperlink ref="G161" r:id="rId159" xr:uid="{00000000-0004-0000-0500-00009E000000}"/>
    <hyperlink ref="G162" r:id="rId160" xr:uid="{00000000-0004-0000-0500-00009F000000}"/>
    <hyperlink ref="G163" r:id="rId161" xr:uid="{00000000-0004-0000-0500-0000A0000000}"/>
    <hyperlink ref="G164" r:id="rId162" xr:uid="{00000000-0004-0000-0500-0000A1000000}"/>
    <hyperlink ref="G165" r:id="rId163" xr:uid="{00000000-0004-0000-0500-0000A2000000}"/>
    <hyperlink ref="G166" r:id="rId164" xr:uid="{00000000-0004-0000-0500-0000A3000000}"/>
    <hyperlink ref="G167" r:id="rId165" xr:uid="{00000000-0004-0000-0500-0000A4000000}"/>
    <hyperlink ref="G168" r:id="rId166" xr:uid="{00000000-0004-0000-0500-0000A5000000}"/>
    <hyperlink ref="G169" r:id="rId167" xr:uid="{00000000-0004-0000-0500-0000A6000000}"/>
    <hyperlink ref="G170" r:id="rId168" xr:uid="{00000000-0004-0000-0500-0000A7000000}"/>
    <hyperlink ref="G171" r:id="rId169" xr:uid="{00000000-0004-0000-0500-0000A8000000}"/>
    <hyperlink ref="G172" r:id="rId170" xr:uid="{00000000-0004-0000-0500-0000A9000000}"/>
    <hyperlink ref="G173" r:id="rId171" xr:uid="{00000000-0004-0000-0500-0000AA000000}"/>
    <hyperlink ref="G174" r:id="rId172" xr:uid="{00000000-0004-0000-0500-0000AB000000}"/>
    <hyperlink ref="G175" r:id="rId173" xr:uid="{00000000-0004-0000-0500-0000AC000000}"/>
    <hyperlink ref="G176" r:id="rId174" xr:uid="{00000000-0004-0000-0500-0000AD000000}"/>
    <hyperlink ref="G177" r:id="rId175" xr:uid="{00000000-0004-0000-0500-0000AE000000}"/>
    <hyperlink ref="G178" r:id="rId176" xr:uid="{00000000-0004-0000-0500-0000AF000000}"/>
    <hyperlink ref="G179" r:id="rId177" xr:uid="{00000000-0004-0000-0500-0000B0000000}"/>
    <hyperlink ref="G180" r:id="rId178" xr:uid="{00000000-0004-0000-0500-0000B1000000}"/>
    <hyperlink ref="G181" r:id="rId179" xr:uid="{00000000-0004-0000-0500-0000B2000000}"/>
    <hyperlink ref="G182" r:id="rId180" xr:uid="{00000000-0004-0000-0500-0000B3000000}"/>
    <hyperlink ref="G183" r:id="rId181" xr:uid="{00000000-0004-0000-0500-0000B4000000}"/>
    <hyperlink ref="G184" r:id="rId182" xr:uid="{00000000-0004-0000-0500-0000B5000000}"/>
    <hyperlink ref="G185" r:id="rId183" xr:uid="{00000000-0004-0000-0500-0000B6000000}"/>
    <hyperlink ref="G186" r:id="rId184" xr:uid="{00000000-0004-0000-0500-0000B7000000}"/>
    <hyperlink ref="G187" r:id="rId185" xr:uid="{00000000-0004-0000-0500-0000B8000000}"/>
    <hyperlink ref="G188" r:id="rId186" xr:uid="{00000000-0004-0000-0500-0000B9000000}"/>
    <hyperlink ref="G189" r:id="rId187" xr:uid="{00000000-0004-0000-0500-0000BA000000}"/>
    <hyperlink ref="G190" r:id="rId188" xr:uid="{00000000-0004-0000-0500-0000BB000000}"/>
    <hyperlink ref="G191" r:id="rId189" xr:uid="{00000000-0004-0000-0500-0000BC000000}"/>
    <hyperlink ref="G192" r:id="rId190" xr:uid="{00000000-0004-0000-0500-0000BD000000}"/>
    <hyperlink ref="G193" r:id="rId191" xr:uid="{00000000-0004-0000-0500-0000BE000000}"/>
    <hyperlink ref="G194" r:id="rId192" xr:uid="{00000000-0004-0000-0500-0000BF000000}"/>
    <hyperlink ref="G195" r:id="rId193" xr:uid="{00000000-0004-0000-0500-0000C0000000}"/>
    <hyperlink ref="G196" r:id="rId194" xr:uid="{00000000-0004-0000-0500-0000C1000000}"/>
    <hyperlink ref="G198" r:id="rId195" xr:uid="{00000000-0004-0000-0500-0000C2000000}"/>
    <hyperlink ref="G199" r:id="rId196" xr:uid="{00000000-0004-0000-0500-0000C3000000}"/>
    <hyperlink ref="G200" r:id="rId197" xr:uid="{00000000-0004-0000-0500-0000C4000000}"/>
    <hyperlink ref="G201" r:id="rId198" xr:uid="{00000000-0004-0000-0500-0000C5000000}"/>
    <hyperlink ref="G202" r:id="rId199" xr:uid="{00000000-0004-0000-0500-0000C6000000}"/>
    <hyperlink ref="G203" r:id="rId200" xr:uid="{00000000-0004-0000-0500-0000C7000000}"/>
    <hyperlink ref="G204" r:id="rId201" xr:uid="{00000000-0004-0000-0500-0000C8000000}"/>
    <hyperlink ref="G205" r:id="rId202" xr:uid="{00000000-0004-0000-0500-0000C9000000}"/>
    <hyperlink ref="G206" r:id="rId203" xr:uid="{00000000-0004-0000-0500-0000CA000000}"/>
    <hyperlink ref="G207" r:id="rId204" xr:uid="{00000000-0004-0000-0500-0000CB000000}"/>
    <hyperlink ref="G208" r:id="rId205" xr:uid="{00000000-0004-0000-0500-0000CC000000}"/>
    <hyperlink ref="G209" r:id="rId206" xr:uid="{00000000-0004-0000-0500-0000CD000000}"/>
    <hyperlink ref="G210" r:id="rId207" xr:uid="{00000000-0004-0000-0500-0000CE000000}"/>
    <hyperlink ref="G211" r:id="rId208" xr:uid="{00000000-0004-0000-0500-0000CF000000}"/>
    <hyperlink ref="G212" r:id="rId209" xr:uid="{00000000-0004-0000-0500-0000D0000000}"/>
    <hyperlink ref="G213" r:id="rId210" xr:uid="{00000000-0004-0000-0500-0000D1000000}"/>
    <hyperlink ref="G214" r:id="rId211" xr:uid="{00000000-0004-0000-0500-0000D2000000}"/>
    <hyperlink ref="G215" r:id="rId212" xr:uid="{00000000-0004-0000-0500-0000D3000000}"/>
    <hyperlink ref="G216" r:id="rId213" xr:uid="{00000000-0004-0000-0500-0000D4000000}"/>
    <hyperlink ref="G217" r:id="rId214" xr:uid="{00000000-0004-0000-0500-0000D5000000}"/>
    <hyperlink ref="G218" r:id="rId215" xr:uid="{00000000-0004-0000-0500-0000D6000000}"/>
    <hyperlink ref="G219" r:id="rId216" xr:uid="{00000000-0004-0000-0500-0000D7000000}"/>
    <hyperlink ref="G220" r:id="rId217" xr:uid="{00000000-0004-0000-0500-0000D8000000}"/>
    <hyperlink ref="G221" r:id="rId218" xr:uid="{00000000-0004-0000-0500-0000D9000000}"/>
    <hyperlink ref="G222" r:id="rId219" xr:uid="{00000000-0004-0000-0500-0000DA000000}"/>
    <hyperlink ref="G223" r:id="rId220" xr:uid="{00000000-0004-0000-0500-0000DB000000}"/>
    <hyperlink ref="G224" r:id="rId221" xr:uid="{00000000-0004-0000-0500-0000DC000000}"/>
    <hyperlink ref="G225" r:id="rId222" xr:uid="{00000000-0004-0000-0500-0000DD000000}"/>
    <hyperlink ref="G226" r:id="rId223" xr:uid="{00000000-0004-0000-0500-0000DE000000}"/>
    <hyperlink ref="G227" r:id="rId224" xr:uid="{00000000-0004-0000-0500-0000DF000000}"/>
    <hyperlink ref="G228" r:id="rId225" xr:uid="{00000000-0004-0000-0500-0000E0000000}"/>
    <hyperlink ref="G229" r:id="rId226" xr:uid="{00000000-0004-0000-0500-0000E1000000}"/>
    <hyperlink ref="G230" r:id="rId227" xr:uid="{00000000-0004-0000-0500-0000E2000000}"/>
    <hyperlink ref="G231" r:id="rId228" xr:uid="{00000000-0004-0000-0500-0000E3000000}"/>
    <hyperlink ref="G232" r:id="rId229" xr:uid="{00000000-0004-0000-0500-0000E4000000}"/>
    <hyperlink ref="G233" r:id="rId230" xr:uid="{00000000-0004-0000-0500-0000E5000000}"/>
    <hyperlink ref="G234" r:id="rId231" xr:uid="{00000000-0004-0000-0500-0000E6000000}"/>
    <hyperlink ref="G235" r:id="rId232" xr:uid="{00000000-0004-0000-0500-0000E7000000}"/>
    <hyperlink ref="G236" r:id="rId233" xr:uid="{00000000-0004-0000-0500-0000E8000000}"/>
    <hyperlink ref="G237" r:id="rId234" xr:uid="{00000000-0004-0000-0500-0000E9000000}"/>
    <hyperlink ref="G238" r:id="rId235" xr:uid="{00000000-0004-0000-0500-0000EA000000}"/>
    <hyperlink ref="G239" r:id="rId236" xr:uid="{00000000-0004-0000-0500-0000EB000000}"/>
    <hyperlink ref="G240" r:id="rId237" xr:uid="{00000000-0004-0000-0500-0000EC000000}"/>
    <hyperlink ref="G241" r:id="rId238" xr:uid="{00000000-0004-0000-0500-0000ED000000}"/>
    <hyperlink ref="G242" r:id="rId239" xr:uid="{00000000-0004-0000-0500-0000EE000000}"/>
    <hyperlink ref="G243" r:id="rId240" xr:uid="{00000000-0004-0000-0500-0000EF000000}"/>
    <hyperlink ref="G244" r:id="rId241" xr:uid="{00000000-0004-0000-0500-0000F0000000}"/>
    <hyperlink ref="G245" r:id="rId242" xr:uid="{00000000-0004-0000-0500-0000F1000000}"/>
    <hyperlink ref="G246" r:id="rId243" xr:uid="{00000000-0004-0000-0500-0000F2000000}"/>
    <hyperlink ref="G247" r:id="rId244" xr:uid="{00000000-0004-0000-0500-0000F3000000}"/>
    <hyperlink ref="G248" r:id="rId245" xr:uid="{00000000-0004-0000-0500-0000F4000000}"/>
    <hyperlink ref="G249" r:id="rId246" xr:uid="{00000000-0004-0000-0500-0000F5000000}"/>
    <hyperlink ref="G250" r:id="rId247" xr:uid="{00000000-0004-0000-0500-0000F6000000}"/>
    <hyperlink ref="G251" r:id="rId248" xr:uid="{00000000-0004-0000-0500-0000F7000000}"/>
    <hyperlink ref="G252" r:id="rId249" xr:uid="{00000000-0004-0000-0500-0000F8000000}"/>
    <hyperlink ref="G253" r:id="rId250" xr:uid="{00000000-0004-0000-0500-0000F9000000}"/>
    <hyperlink ref="G254" r:id="rId251" xr:uid="{00000000-0004-0000-0500-0000FA000000}"/>
    <hyperlink ref="G255" r:id="rId252" xr:uid="{00000000-0004-0000-0500-0000FB000000}"/>
    <hyperlink ref="G256" r:id="rId253" xr:uid="{00000000-0004-0000-0500-0000FC000000}"/>
    <hyperlink ref="G257" r:id="rId254" xr:uid="{00000000-0004-0000-0500-0000FD000000}"/>
    <hyperlink ref="G258" r:id="rId255" xr:uid="{00000000-0004-0000-0500-0000FE000000}"/>
    <hyperlink ref="G259" r:id="rId256" xr:uid="{00000000-0004-0000-0500-0000FF000000}"/>
    <hyperlink ref="G260" r:id="rId257" xr:uid="{00000000-0004-0000-0500-000000010000}"/>
    <hyperlink ref="G261" r:id="rId258" xr:uid="{00000000-0004-0000-0500-000001010000}"/>
    <hyperlink ref="G262" r:id="rId259" xr:uid="{00000000-0004-0000-0500-000002010000}"/>
    <hyperlink ref="G263" r:id="rId260" xr:uid="{00000000-0004-0000-0500-000003010000}"/>
    <hyperlink ref="G264" r:id="rId261" xr:uid="{00000000-0004-0000-0500-000004010000}"/>
    <hyperlink ref="G265" r:id="rId262" xr:uid="{00000000-0004-0000-0500-000005010000}"/>
    <hyperlink ref="G266" r:id="rId263" xr:uid="{00000000-0004-0000-0500-000006010000}"/>
    <hyperlink ref="G267" r:id="rId264" xr:uid="{00000000-0004-0000-0500-000007010000}"/>
    <hyperlink ref="G268" r:id="rId265" xr:uid="{00000000-0004-0000-0500-000008010000}"/>
    <hyperlink ref="G269" r:id="rId266" xr:uid="{00000000-0004-0000-0500-000009010000}"/>
    <hyperlink ref="G270" r:id="rId267" xr:uid="{00000000-0004-0000-0500-00000A010000}"/>
    <hyperlink ref="G271" r:id="rId268" xr:uid="{00000000-0004-0000-0500-00000B010000}"/>
    <hyperlink ref="G272" r:id="rId269" xr:uid="{00000000-0004-0000-0500-00000C010000}"/>
    <hyperlink ref="G273" r:id="rId270" xr:uid="{00000000-0004-0000-0500-00000D010000}"/>
    <hyperlink ref="G274" r:id="rId271" xr:uid="{00000000-0004-0000-0500-00000E010000}"/>
    <hyperlink ref="G275" r:id="rId272" xr:uid="{00000000-0004-0000-0500-00000F010000}"/>
    <hyperlink ref="G276" r:id="rId273" xr:uid="{00000000-0004-0000-0500-000010010000}"/>
    <hyperlink ref="G277" r:id="rId274" xr:uid="{00000000-0004-0000-0500-000011010000}"/>
    <hyperlink ref="G278" r:id="rId275" xr:uid="{00000000-0004-0000-0500-000012010000}"/>
    <hyperlink ref="G279" r:id="rId276" xr:uid="{00000000-0004-0000-0500-000013010000}"/>
    <hyperlink ref="G280" r:id="rId277" xr:uid="{00000000-0004-0000-0500-000014010000}"/>
    <hyperlink ref="G281" r:id="rId278" xr:uid="{00000000-0004-0000-0500-000015010000}"/>
    <hyperlink ref="G282" r:id="rId279" xr:uid="{00000000-0004-0000-0500-000016010000}"/>
    <hyperlink ref="G283" r:id="rId280" xr:uid="{00000000-0004-0000-0500-000017010000}"/>
    <hyperlink ref="G284" r:id="rId281" xr:uid="{00000000-0004-0000-0500-000018010000}"/>
    <hyperlink ref="G285" r:id="rId282" xr:uid="{00000000-0004-0000-0500-000019010000}"/>
    <hyperlink ref="G286" r:id="rId283" xr:uid="{00000000-0004-0000-0500-00001A010000}"/>
    <hyperlink ref="G287" r:id="rId284" xr:uid="{00000000-0004-0000-0500-00001B010000}"/>
    <hyperlink ref="G288" r:id="rId285" xr:uid="{00000000-0004-0000-0500-00001C010000}"/>
    <hyperlink ref="G289" r:id="rId286" xr:uid="{00000000-0004-0000-0500-00001D010000}"/>
    <hyperlink ref="G290" r:id="rId287" xr:uid="{00000000-0004-0000-0500-00001E010000}"/>
    <hyperlink ref="G291" r:id="rId288" xr:uid="{00000000-0004-0000-0500-00001F010000}"/>
    <hyperlink ref="G292" r:id="rId289" xr:uid="{00000000-0004-0000-0500-000020010000}"/>
    <hyperlink ref="G293" r:id="rId290" xr:uid="{00000000-0004-0000-0500-000021010000}"/>
    <hyperlink ref="G294" r:id="rId291" xr:uid="{00000000-0004-0000-0500-000022010000}"/>
    <hyperlink ref="G295" r:id="rId292" xr:uid="{00000000-0004-0000-0500-000023010000}"/>
    <hyperlink ref="G296" r:id="rId293" xr:uid="{00000000-0004-0000-0500-000024010000}"/>
    <hyperlink ref="G297" r:id="rId294" xr:uid="{00000000-0004-0000-0500-000025010000}"/>
    <hyperlink ref="G298" r:id="rId295" xr:uid="{00000000-0004-0000-0500-000026010000}"/>
    <hyperlink ref="G299" r:id="rId296" xr:uid="{00000000-0004-0000-0500-000027010000}"/>
    <hyperlink ref="G300" r:id="rId297" xr:uid="{00000000-0004-0000-0500-000028010000}"/>
    <hyperlink ref="G301" r:id="rId298" xr:uid="{00000000-0004-0000-0500-000029010000}"/>
    <hyperlink ref="G302" r:id="rId299" xr:uid="{00000000-0004-0000-0500-00002A010000}"/>
    <hyperlink ref="G303" r:id="rId300" xr:uid="{00000000-0004-0000-0500-00002B010000}"/>
    <hyperlink ref="G304" r:id="rId301" xr:uid="{00000000-0004-0000-0500-00002C010000}"/>
    <hyperlink ref="G305" r:id="rId302" xr:uid="{00000000-0004-0000-0500-00002D010000}"/>
    <hyperlink ref="G306" r:id="rId303" xr:uid="{00000000-0004-0000-0500-00002E010000}"/>
    <hyperlink ref="G307" r:id="rId304" xr:uid="{00000000-0004-0000-0500-00002F010000}"/>
    <hyperlink ref="G308" r:id="rId305" xr:uid="{00000000-0004-0000-0500-000030010000}"/>
    <hyperlink ref="G309" r:id="rId306" xr:uid="{00000000-0004-0000-0500-000031010000}"/>
    <hyperlink ref="G310" r:id="rId307" xr:uid="{00000000-0004-0000-0500-000032010000}"/>
    <hyperlink ref="G311" r:id="rId308" xr:uid="{00000000-0004-0000-0500-000033010000}"/>
    <hyperlink ref="G312" r:id="rId309" xr:uid="{00000000-0004-0000-0500-000034010000}"/>
    <hyperlink ref="G313" r:id="rId310" xr:uid="{00000000-0004-0000-0500-000035010000}"/>
    <hyperlink ref="G314" r:id="rId311" xr:uid="{00000000-0004-0000-0500-000036010000}"/>
    <hyperlink ref="G315" r:id="rId312" xr:uid="{00000000-0004-0000-0500-000037010000}"/>
    <hyperlink ref="G316" r:id="rId313" xr:uid="{00000000-0004-0000-0500-000038010000}"/>
    <hyperlink ref="G317" r:id="rId314" xr:uid="{00000000-0004-0000-0500-000039010000}"/>
    <hyperlink ref="G318" r:id="rId315" xr:uid="{00000000-0004-0000-0500-00003A010000}"/>
    <hyperlink ref="G319" r:id="rId316" xr:uid="{00000000-0004-0000-0500-00003B010000}"/>
    <hyperlink ref="G320" r:id="rId317" xr:uid="{00000000-0004-0000-0500-00003C010000}"/>
    <hyperlink ref="G321" r:id="rId318" xr:uid="{00000000-0004-0000-0500-00003D010000}"/>
    <hyperlink ref="G322" r:id="rId319" xr:uid="{00000000-0004-0000-0500-00003E010000}"/>
    <hyperlink ref="G323" r:id="rId320" xr:uid="{00000000-0004-0000-0500-00003F010000}"/>
    <hyperlink ref="G324" r:id="rId321" xr:uid="{00000000-0004-0000-0500-000040010000}"/>
    <hyperlink ref="G325" r:id="rId322" xr:uid="{00000000-0004-0000-0500-000041010000}"/>
    <hyperlink ref="G326" r:id="rId323" xr:uid="{00000000-0004-0000-0500-000042010000}"/>
    <hyperlink ref="G327" r:id="rId324" xr:uid="{00000000-0004-0000-0500-000043010000}"/>
    <hyperlink ref="G328" r:id="rId325" xr:uid="{00000000-0004-0000-0500-000044010000}"/>
    <hyperlink ref="G329" r:id="rId326" xr:uid="{00000000-0004-0000-0500-000045010000}"/>
    <hyperlink ref="G330" r:id="rId327" xr:uid="{00000000-0004-0000-0500-000046010000}"/>
    <hyperlink ref="G331" r:id="rId328" xr:uid="{00000000-0004-0000-0500-000047010000}"/>
    <hyperlink ref="G332" r:id="rId329" xr:uid="{00000000-0004-0000-0500-000048010000}"/>
    <hyperlink ref="G333" r:id="rId330" xr:uid="{00000000-0004-0000-0500-000049010000}"/>
    <hyperlink ref="G334" r:id="rId331" xr:uid="{00000000-0004-0000-0500-00004A010000}"/>
    <hyperlink ref="G335" r:id="rId332" xr:uid="{00000000-0004-0000-0500-00004B010000}"/>
    <hyperlink ref="G336" r:id="rId333" xr:uid="{00000000-0004-0000-0500-00004C010000}"/>
    <hyperlink ref="G337" r:id="rId334" xr:uid="{00000000-0004-0000-0500-00004D010000}"/>
    <hyperlink ref="G338" r:id="rId335" xr:uid="{00000000-0004-0000-0500-00004E010000}"/>
    <hyperlink ref="G339" r:id="rId336" xr:uid="{00000000-0004-0000-0500-00004F010000}"/>
    <hyperlink ref="G340" r:id="rId337" xr:uid="{00000000-0004-0000-0500-000050010000}"/>
    <hyperlink ref="G341" r:id="rId338" xr:uid="{00000000-0004-0000-0500-000051010000}"/>
    <hyperlink ref="G342" r:id="rId339" xr:uid="{00000000-0004-0000-0500-000052010000}"/>
    <hyperlink ref="G343" r:id="rId340" xr:uid="{00000000-0004-0000-0500-000053010000}"/>
    <hyperlink ref="G344" r:id="rId341" xr:uid="{00000000-0004-0000-0500-000054010000}"/>
    <hyperlink ref="G345" r:id="rId342" xr:uid="{00000000-0004-0000-0500-000055010000}"/>
    <hyperlink ref="G346" r:id="rId343" xr:uid="{00000000-0004-0000-0500-000056010000}"/>
    <hyperlink ref="G347" r:id="rId344" xr:uid="{00000000-0004-0000-0500-000057010000}"/>
    <hyperlink ref="G348" r:id="rId345" xr:uid="{00000000-0004-0000-0500-000058010000}"/>
    <hyperlink ref="G349" r:id="rId346" xr:uid="{00000000-0004-0000-0500-000059010000}"/>
    <hyperlink ref="G350" r:id="rId347" xr:uid="{00000000-0004-0000-0500-00005A010000}"/>
    <hyperlink ref="G351" r:id="rId348" xr:uid="{00000000-0004-0000-0500-00005B010000}"/>
    <hyperlink ref="G352" r:id="rId349" xr:uid="{00000000-0004-0000-0500-00005C010000}"/>
    <hyperlink ref="G353" r:id="rId350" xr:uid="{00000000-0004-0000-0500-00005D010000}"/>
    <hyperlink ref="G354" r:id="rId351" xr:uid="{00000000-0004-0000-0500-00005E010000}"/>
    <hyperlink ref="G355" r:id="rId352" xr:uid="{00000000-0004-0000-0500-00005F010000}"/>
    <hyperlink ref="G356" r:id="rId353" xr:uid="{00000000-0004-0000-0500-000060010000}"/>
    <hyperlink ref="G357" r:id="rId354" xr:uid="{00000000-0004-0000-0500-000061010000}"/>
    <hyperlink ref="G358" r:id="rId355" xr:uid="{00000000-0004-0000-0500-000062010000}"/>
    <hyperlink ref="G359" r:id="rId356" xr:uid="{00000000-0004-0000-0500-000063010000}"/>
    <hyperlink ref="G360" r:id="rId357" xr:uid="{00000000-0004-0000-0500-000064010000}"/>
    <hyperlink ref="G361" r:id="rId358" xr:uid="{00000000-0004-0000-0500-000065010000}"/>
    <hyperlink ref="G362" r:id="rId359" xr:uid="{00000000-0004-0000-0500-000066010000}"/>
    <hyperlink ref="G363" r:id="rId360" xr:uid="{00000000-0004-0000-0500-000067010000}"/>
    <hyperlink ref="G364" r:id="rId361" xr:uid="{00000000-0004-0000-0500-000068010000}"/>
    <hyperlink ref="G365" r:id="rId362" xr:uid="{00000000-0004-0000-0500-000069010000}"/>
    <hyperlink ref="G366" r:id="rId363" xr:uid="{00000000-0004-0000-0500-00006A010000}"/>
    <hyperlink ref="G367" r:id="rId364" xr:uid="{00000000-0004-0000-0500-00006B010000}"/>
    <hyperlink ref="G368" r:id="rId365" xr:uid="{00000000-0004-0000-0500-00006C010000}"/>
    <hyperlink ref="G369" r:id="rId366" xr:uid="{00000000-0004-0000-0500-00006D010000}"/>
    <hyperlink ref="G370" r:id="rId367" xr:uid="{00000000-0004-0000-0500-00006E010000}"/>
    <hyperlink ref="G371" r:id="rId368" xr:uid="{00000000-0004-0000-0500-00006F010000}"/>
    <hyperlink ref="G372" r:id="rId369" xr:uid="{00000000-0004-0000-0500-000070010000}"/>
    <hyperlink ref="G373" r:id="rId370" xr:uid="{00000000-0004-0000-0500-000071010000}"/>
    <hyperlink ref="G374" r:id="rId371" xr:uid="{00000000-0004-0000-0500-000072010000}"/>
    <hyperlink ref="G375" r:id="rId372" xr:uid="{00000000-0004-0000-0500-000073010000}"/>
    <hyperlink ref="G376" r:id="rId373" xr:uid="{00000000-0004-0000-0500-000074010000}"/>
    <hyperlink ref="G377" r:id="rId374" xr:uid="{00000000-0004-0000-0500-000075010000}"/>
    <hyperlink ref="G378" r:id="rId375" xr:uid="{00000000-0004-0000-0500-000076010000}"/>
    <hyperlink ref="G379" r:id="rId376" xr:uid="{00000000-0004-0000-0500-000077010000}"/>
    <hyperlink ref="G380" r:id="rId377" xr:uid="{00000000-0004-0000-0500-000078010000}"/>
    <hyperlink ref="G381" r:id="rId378" xr:uid="{00000000-0004-0000-0500-000079010000}"/>
    <hyperlink ref="G382" r:id="rId379" xr:uid="{00000000-0004-0000-0500-00007A010000}"/>
    <hyperlink ref="G383" r:id="rId380" xr:uid="{00000000-0004-0000-0500-00007B010000}"/>
    <hyperlink ref="G384" r:id="rId381" xr:uid="{00000000-0004-0000-0500-00007C010000}"/>
    <hyperlink ref="G385" r:id="rId382" xr:uid="{00000000-0004-0000-0500-00007D010000}"/>
    <hyperlink ref="G386" r:id="rId383" xr:uid="{00000000-0004-0000-0500-00007E010000}"/>
    <hyperlink ref="G387" r:id="rId384" xr:uid="{00000000-0004-0000-0500-00007F010000}"/>
    <hyperlink ref="G388" r:id="rId385" xr:uid="{00000000-0004-0000-0500-000080010000}"/>
    <hyperlink ref="G389" r:id="rId386" xr:uid="{00000000-0004-0000-0500-000081010000}"/>
    <hyperlink ref="G390" r:id="rId387" xr:uid="{00000000-0004-0000-0500-000082010000}"/>
    <hyperlink ref="G391" r:id="rId388" xr:uid="{00000000-0004-0000-0500-000083010000}"/>
    <hyperlink ref="G392" r:id="rId389" xr:uid="{00000000-0004-0000-0500-000084010000}"/>
    <hyperlink ref="G393" r:id="rId390" xr:uid="{00000000-0004-0000-0500-000085010000}"/>
    <hyperlink ref="G394" r:id="rId391" xr:uid="{00000000-0004-0000-0500-000086010000}"/>
    <hyperlink ref="G395" r:id="rId392" xr:uid="{00000000-0004-0000-0500-000087010000}"/>
    <hyperlink ref="G396" r:id="rId393" xr:uid="{00000000-0004-0000-0500-000088010000}"/>
    <hyperlink ref="G397" r:id="rId394" xr:uid="{00000000-0004-0000-0500-000089010000}"/>
    <hyperlink ref="G398" r:id="rId395" xr:uid="{00000000-0004-0000-0500-00008A010000}"/>
    <hyperlink ref="G399" r:id="rId396" xr:uid="{00000000-0004-0000-0500-00008B010000}"/>
    <hyperlink ref="G400" r:id="rId397" xr:uid="{00000000-0004-0000-0500-00008C010000}"/>
    <hyperlink ref="G401" r:id="rId398" xr:uid="{00000000-0004-0000-0500-00008D010000}"/>
    <hyperlink ref="G402" r:id="rId399" xr:uid="{00000000-0004-0000-0500-00008E010000}"/>
    <hyperlink ref="G403" r:id="rId400" xr:uid="{00000000-0004-0000-0500-00008F010000}"/>
    <hyperlink ref="G404" r:id="rId401" xr:uid="{00000000-0004-0000-0500-000090010000}"/>
    <hyperlink ref="G405" r:id="rId402" xr:uid="{00000000-0004-0000-0500-000091010000}"/>
    <hyperlink ref="G406" r:id="rId403" xr:uid="{00000000-0004-0000-0500-000092010000}"/>
    <hyperlink ref="G407" r:id="rId404" xr:uid="{00000000-0004-0000-0500-000093010000}"/>
    <hyperlink ref="G408" r:id="rId405" xr:uid="{00000000-0004-0000-0500-000094010000}"/>
    <hyperlink ref="G409" r:id="rId406" xr:uid="{00000000-0004-0000-0500-000095010000}"/>
    <hyperlink ref="G410" r:id="rId407" xr:uid="{00000000-0004-0000-0500-000096010000}"/>
    <hyperlink ref="G411" r:id="rId408" xr:uid="{00000000-0004-0000-0500-000097010000}"/>
    <hyperlink ref="G412" r:id="rId409" xr:uid="{00000000-0004-0000-0500-000098010000}"/>
    <hyperlink ref="G413" r:id="rId410" xr:uid="{00000000-0004-0000-0500-000099010000}"/>
    <hyperlink ref="G414" r:id="rId411" xr:uid="{00000000-0004-0000-0500-00009A010000}"/>
    <hyperlink ref="G415" r:id="rId412" xr:uid="{00000000-0004-0000-0500-00009B010000}"/>
    <hyperlink ref="G416" r:id="rId413" xr:uid="{00000000-0004-0000-0500-00009C010000}"/>
    <hyperlink ref="G417" r:id="rId414" xr:uid="{00000000-0004-0000-0500-00009D010000}"/>
    <hyperlink ref="G418" r:id="rId415" xr:uid="{00000000-0004-0000-0500-00009E010000}"/>
    <hyperlink ref="G419" r:id="rId416" xr:uid="{00000000-0004-0000-0500-00009F010000}"/>
    <hyperlink ref="G420" r:id="rId417" xr:uid="{00000000-0004-0000-0500-0000A0010000}"/>
    <hyperlink ref="G421" r:id="rId418" xr:uid="{00000000-0004-0000-0500-0000A1010000}"/>
    <hyperlink ref="G422" r:id="rId419" xr:uid="{00000000-0004-0000-0500-0000A2010000}"/>
    <hyperlink ref="G424" r:id="rId420" xr:uid="{00000000-0004-0000-0500-0000A3010000}"/>
    <hyperlink ref="G425" r:id="rId421" xr:uid="{00000000-0004-0000-0500-0000A4010000}"/>
    <hyperlink ref="G426" r:id="rId422" xr:uid="{00000000-0004-0000-0500-0000A5010000}"/>
    <hyperlink ref="G427" r:id="rId423" xr:uid="{00000000-0004-0000-0500-0000A6010000}"/>
    <hyperlink ref="G428" r:id="rId424" xr:uid="{00000000-0004-0000-0500-0000A7010000}"/>
    <hyperlink ref="G429" r:id="rId425" xr:uid="{00000000-0004-0000-0500-0000A8010000}"/>
    <hyperlink ref="G430" r:id="rId426" xr:uid="{00000000-0004-0000-0500-0000A9010000}"/>
    <hyperlink ref="G431" r:id="rId427" xr:uid="{00000000-0004-0000-0500-0000AA010000}"/>
    <hyperlink ref="G432" r:id="rId428" xr:uid="{00000000-0004-0000-0500-0000AB010000}"/>
    <hyperlink ref="G433" r:id="rId429" xr:uid="{00000000-0004-0000-0500-0000AC010000}"/>
    <hyperlink ref="G434" r:id="rId430" xr:uid="{00000000-0004-0000-0500-0000AD010000}"/>
    <hyperlink ref="G435" r:id="rId431" xr:uid="{00000000-0004-0000-0500-0000AE010000}"/>
    <hyperlink ref="G436" r:id="rId432" xr:uid="{00000000-0004-0000-0500-0000AF010000}"/>
    <hyperlink ref="G437" r:id="rId433" xr:uid="{00000000-0004-0000-0500-0000B0010000}"/>
    <hyperlink ref="G438" r:id="rId434" xr:uid="{00000000-0004-0000-0500-0000B1010000}"/>
    <hyperlink ref="G439" r:id="rId435" xr:uid="{00000000-0004-0000-0500-0000B2010000}"/>
    <hyperlink ref="G440" r:id="rId436" xr:uid="{00000000-0004-0000-0500-0000B3010000}"/>
    <hyperlink ref="G441" r:id="rId437" xr:uid="{00000000-0004-0000-0500-0000B4010000}"/>
    <hyperlink ref="G442" r:id="rId438" xr:uid="{00000000-0004-0000-0500-0000B5010000}"/>
    <hyperlink ref="G443" r:id="rId439" xr:uid="{00000000-0004-0000-0500-0000B6010000}"/>
    <hyperlink ref="G444" r:id="rId440" xr:uid="{00000000-0004-0000-0500-0000B7010000}"/>
    <hyperlink ref="G445" r:id="rId441" xr:uid="{00000000-0004-0000-0500-0000B8010000}"/>
    <hyperlink ref="G446" r:id="rId442" xr:uid="{00000000-0004-0000-0500-0000B9010000}"/>
    <hyperlink ref="G447" r:id="rId443" xr:uid="{00000000-0004-0000-0500-0000BA010000}"/>
    <hyperlink ref="G448" r:id="rId444" xr:uid="{00000000-0004-0000-0500-0000BB010000}"/>
    <hyperlink ref="G449" r:id="rId445" xr:uid="{00000000-0004-0000-0500-0000BC010000}"/>
    <hyperlink ref="G450" r:id="rId446" xr:uid="{00000000-0004-0000-0500-0000BD010000}"/>
    <hyperlink ref="G451" r:id="rId447" xr:uid="{00000000-0004-0000-0500-0000BE010000}"/>
    <hyperlink ref="G452" r:id="rId448" xr:uid="{00000000-0004-0000-0500-0000BF010000}"/>
    <hyperlink ref="G453" r:id="rId449" xr:uid="{00000000-0004-0000-0500-0000C0010000}"/>
    <hyperlink ref="G454" r:id="rId450" xr:uid="{00000000-0004-0000-0500-0000C1010000}"/>
    <hyperlink ref="G455" r:id="rId451" xr:uid="{00000000-0004-0000-0500-0000C2010000}"/>
    <hyperlink ref="G456" r:id="rId452" xr:uid="{00000000-0004-0000-0500-0000C3010000}"/>
    <hyperlink ref="G457" r:id="rId453" xr:uid="{00000000-0004-0000-0500-0000C4010000}"/>
    <hyperlink ref="G458" r:id="rId454" xr:uid="{00000000-0004-0000-0500-0000C5010000}"/>
    <hyperlink ref="G459" r:id="rId455" xr:uid="{00000000-0004-0000-0500-0000C6010000}"/>
    <hyperlink ref="G460" r:id="rId456" xr:uid="{00000000-0004-0000-0500-0000C7010000}"/>
    <hyperlink ref="G461" r:id="rId457" xr:uid="{00000000-0004-0000-0500-0000C8010000}"/>
    <hyperlink ref="G462" r:id="rId458" xr:uid="{00000000-0004-0000-0500-0000C9010000}"/>
    <hyperlink ref="G463" r:id="rId459" xr:uid="{00000000-0004-0000-0500-0000CA010000}"/>
    <hyperlink ref="G464" r:id="rId460" xr:uid="{00000000-0004-0000-0500-0000CB010000}"/>
    <hyperlink ref="G465" r:id="rId461" xr:uid="{00000000-0004-0000-0500-0000CC010000}"/>
    <hyperlink ref="G466" r:id="rId462" xr:uid="{00000000-0004-0000-0500-0000CD010000}"/>
    <hyperlink ref="G467" r:id="rId463" xr:uid="{00000000-0004-0000-0500-0000CE010000}"/>
    <hyperlink ref="G468" r:id="rId464" xr:uid="{00000000-0004-0000-0500-0000CF010000}"/>
    <hyperlink ref="G469" r:id="rId465" xr:uid="{00000000-0004-0000-0500-0000D0010000}"/>
    <hyperlink ref="G470" r:id="rId466" xr:uid="{00000000-0004-0000-0500-0000D1010000}"/>
    <hyperlink ref="G471" r:id="rId467" xr:uid="{00000000-0004-0000-0500-0000D2010000}"/>
    <hyperlink ref="G472" r:id="rId468" xr:uid="{00000000-0004-0000-0500-0000D3010000}"/>
    <hyperlink ref="G473" r:id="rId469" xr:uid="{00000000-0004-0000-0500-0000D4010000}"/>
    <hyperlink ref="G474" r:id="rId470" xr:uid="{00000000-0004-0000-0500-0000D5010000}"/>
    <hyperlink ref="G475" r:id="rId471" xr:uid="{00000000-0004-0000-0500-0000D6010000}"/>
    <hyperlink ref="G476" r:id="rId472" xr:uid="{00000000-0004-0000-0500-0000D7010000}"/>
    <hyperlink ref="G477" r:id="rId473" xr:uid="{00000000-0004-0000-0500-0000D8010000}"/>
    <hyperlink ref="G478" r:id="rId474" xr:uid="{00000000-0004-0000-0500-0000D9010000}"/>
    <hyperlink ref="G479" r:id="rId475" xr:uid="{00000000-0004-0000-0500-0000DA010000}"/>
    <hyperlink ref="G480" r:id="rId476" xr:uid="{00000000-0004-0000-0500-0000DB010000}"/>
    <hyperlink ref="G481" r:id="rId477" xr:uid="{00000000-0004-0000-0500-0000DC010000}"/>
    <hyperlink ref="G482" r:id="rId478" xr:uid="{00000000-0004-0000-0500-0000DD010000}"/>
    <hyperlink ref="G483" r:id="rId479" xr:uid="{00000000-0004-0000-0500-0000DE010000}"/>
    <hyperlink ref="G484" r:id="rId480" xr:uid="{00000000-0004-0000-0500-0000DF010000}"/>
    <hyperlink ref="G485" r:id="rId481" xr:uid="{00000000-0004-0000-0500-0000E0010000}"/>
    <hyperlink ref="G486" r:id="rId482" xr:uid="{00000000-0004-0000-0500-0000E1010000}"/>
    <hyperlink ref="G487" r:id="rId483" xr:uid="{00000000-0004-0000-0500-0000E2010000}"/>
    <hyperlink ref="G488" r:id="rId484" xr:uid="{00000000-0004-0000-0500-0000E3010000}"/>
    <hyperlink ref="G489" r:id="rId485" xr:uid="{00000000-0004-0000-0500-0000E4010000}"/>
    <hyperlink ref="G490" r:id="rId486" xr:uid="{00000000-0004-0000-0500-0000E5010000}"/>
    <hyperlink ref="G491" r:id="rId487" xr:uid="{00000000-0004-0000-0500-0000E6010000}"/>
    <hyperlink ref="G492" r:id="rId488" xr:uid="{00000000-0004-0000-0500-0000E7010000}"/>
    <hyperlink ref="G493" r:id="rId489" xr:uid="{00000000-0004-0000-0500-0000E8010000}"/>
    <hyperlink ref="G494" r:id="rId490" xr:uid="{00000000-0004-0000-0500-0000E9010000}"/>
    <hyperlink ref="G495" r:id="rId491" xr:uid="{00000000-0004-0000-0500-0000EA010000}"/>
    <hyperlink ref="G496" r:id="rId492" xr:uid="{00000000-0004-0000-0500-0000EB010000}"/>
    <hyperlink ref="G497" r:id="rId493" xr:uid="{00000000-0004-0000-0500-0000EC010000}"/>
    <hyperlink ref="G498" r:id="rId494" xr:uid="{00000000-0004-0000-0500-0000ED010000}"/>
    <hyperlink ref="G499" r:id="rId495" xr:uid="{00000000-0004-0000-0500-0000EE010000}"/>
    <hyperlink ref="G500" r:id="rId496" xr:uid="{00000000-0004-0000-0500-0000EF010000}"/>
    <hyperlink ref="G501" r:id="rId497" xr:uid="{00000000-0004-0000-0500-0000F0010000}"/>
    <hyperlink ref="G502" r:id="rId498" xr:uid="{00000000-0004-0000-0500-0000F1010000}"/>
    <hyperlink ref="G503" r:id="rId499" xr:uid="{00000000-0004-0000-0500-0000F2010000}"/>
    <hyperlink ref="G504" r:id="rId500" xr:uid="{00000000-0004-0000-0500-0000F3010000}"/>
    <hyperlink ref="G505" r:id="rId501" xr:uid="{00000000-0004-0000-0500-0000F4010000}"/>
    <hyperlink ref="G506" r:id="rId502" xr:uid="{00000000-0004-0000-0500-0000F5010000}"/>
    <hyperlink ref="G507" r:id="rId503" xr:uid="{00000000-0004-0000-0500-0000F6010000}"/>
    <hyperlink ref="G508" r:id="rId504" xr:uid="{00000000-0004-0000-0500-0000F7010000}"/>
    <hyperlink ref="G509" r:id="rId505" xr:uid="{00000000-0004-0000-0500-0000F8010000}"/>
    <hyperlink ref="G510" r:id="rId506" xr:uid="{00000000-0004-0000-0500-0000F9010000}"/>
    <hyperlink ref="G511" r:id="rId507" xr:uid="{00000000-0004-0000-0500-0000FA010000}"/>
    <hyperlink ref="G512" r:id="rId508" xr:uid="{00000000-0004-0000-0500-0000FB010000}"/>
    <hyperlink ref="G513" r:id="rId509" xr:uid="{00000000-0004-0000-0500-0000FC010000}"/>
    <hyperlink ref="G514" r:id="rId510" xr:uid="{00000000-0004-0000-0500-0000FD010000}"/>
    <hyperlink ref="G515" r:id="rId511" xr:uid="{00000000-0004-0000-0500-0000FE010000}"/>
    <hyperlink ref="G516" r:id="rId512" xr:uid="{00000000-0004-0000-0500-0000FF010000}"/>
    <hyperlink ref="G517" r:id="rId513" xr:uid="{00000000-0004-0000-0500-000000020000}"/>
    <hyperlink ref="G518" r:id="rId514" xr:uid="{00000000-0004-0000-0500-000001020000}"/>
    <hyperlink ref="G519" r:id="rId515" xr:uid="{00000000-0004-0000-0500-000002020000}"/>
    <hyperlink ref="G520" r:id="rId516" xr:uid="{00000000-0004-0000-0500-000003020000}"/>
    <hyperlink ref="G521" r:id="rId517" xr:uid="{00000000-0004-0000-0500-000004020000}"/>
    <hyperlink ref="G522" r:id="rId518" xr:uid="{00000000-0004-0000-0500-000005020000}"/>
    <hyperlink ref="G523" r:id="rId519" xr:uid="{00000000-0004-0000-0500-000006020000}"/>
    <hyperlink ref="G524" r:id="rId520" xr:uid="{00000000-0004-0000-0500-000007020000}"/>
    <hyperlink ref="G525" r:id="rId521" xr:uid="{00000000-0004-0000-0500-000008020000}"/>
    <hyperlink ref="G526" r:id="rId522" xr:uid="{00000000-0004-0000-0500-000009020000}"/>
    <hyperlink ref="G527" r:id="rId523" xr:uid="{00000000-0004-0000-0500-00000A020000}"/>
    <hyperlink ref="G528" r:id="rId524" xr:uid="{00000000-0004-0000-0500-00000B020000}"/>
    <hyperlink ref="G529" r:id="rId525" xr:uid="{00000000-0004-0000-0500-00000C020000}"/>
    <hyperlink ref="G530" r:id="rId526" xr:uid="{00000000-0004-0000-0500-00000D020000}"/>
    <hyperlink ref="G531" r:id="rId527" xr:uid="{00000000-0004-0000-0500-00000E020000}"/>
    <hyperlink ref="G532" r:id="rId528" xr:uid="{00000000-0004-0000-0500-00000F020000}"/>
    <hyperlink ref="G533" r:id="rId529" xr:uid="{00000000-0004-0000-0500-000010020000}"/>
    <hyperlink ref="G534" r:id="rId530" xr:uid="{00000000-0004-0000-0500-000011020000}"/>
    <hyperlink ref="G535" r:id="rId531" xr:uid="{00000000-0004-0000-0500-000012020000}"/>
    <hyperlink ref="G536" r:id="rId532" xr:uid="{00000000-0004-0000-0500-000013020000}"/>
    <hyperlink ref="G537" r:id="rId533" xr:uid="{00000000-0004-0000-0500-000014020000}"/>
    <hyperlink ref="G538" r:id="rId534" xr:uid="{00000000-0004-0000-0500-000015020000}"/>
    <hyperlink ref="G539" r:id="rId535" xr:uid="{00000000-0004-0000-0500-000016020000}"/>
    <hyperlink ref="G540" r:id="rId536" xr:uid="{00000000-0004-0000-0500-000017020000}"/>
    <hyperlink ref="G541" r:id="rId537" xr:uid="{00000000-0004-0000-0500-000018020000}"/>
    <hyperlink ref="G542" r:id="rId538" xr:uid="{00000000-0004-0000-0500-000019020000}"/>
    <hyperlink ref="G543" r:id="rId539" xr:uid="{00000000-0004-0000-0500-00001A020000}"/>
    <hyperlink ref="G544" r:id="rId540" xr:uid="{00000000-0004-0000-0500-00001B020000}"/>
    <hyperlink ref="G545" r:id="rId541" xr:uid="{00000000-0004-0000-0500-00001C020000}"/>
    <hyperlink ref="G546" r:id="rId542" xr:uid="{00000000-0004-0000-0500-00001D020000}"/>
    <hyperlink ref="G547" r:id="rId543" xr:uid="{00000000-0004-0000-0500-00001E020000}"/>
    <hyperlink ref="G548" r:id="rId544" xr:uid="{00000000-0004-0000-0500-00001F020000}"/>
    <hyperlink ref="G549" r:id="rId545" xr:uid="{00000000-0004-0000-0500-000020020000}"/>
    <hyperlink ref="G550" r:id="rId546" xr:uid="{00000000-0004-0000-0500-000021020000}"/>
    <hyperlink ref="G551" r:id="rId547" xr:uid="{00000000-0004-0000-0500-000022020000}"/>
    <hyperlink ref="G552" r:id="rId548" xr:uid="{00000000-0004-0000-0500-000023020000}"/>
    <hyperlink ref="G553" r:id="rId549" xr:uid="{00000000-0004-0000-0500-000024020000}"/>
    <hyperlink ref="G554" r:id="rId550" xr:uid="{00000000-0004-0000-0500-000025020000}"/>
    <hyperlink ref="G555" r:id="rId551" xr:uid="{00000000-0004-0000-0500-000026020000}"/>
    <hyperlink ref="G556" r:id="rId552" xr:uid="{00000000-0004-0000-0500-000027020000}"/>
    <hyperlink ref="G557" r:id="rId553" xr:uid="{00000000-0004-0000-0500-000028020000}"/>
    <hyperlink ref="G558" r:id="rId554" xr:uid="{00000000-0004-0000-0500-000029020000}"/>
    <hyperlink ref="G559" r:id="rId555" xr:uid="{00000000-0004-0000-0500-00002A020000}"/>
    <hyperlink ref="G560" r:id="rId556" xr:uid="{00000000-0004-0000-0500-00002B020000}"/>
    <hyperlink ref="G561" r:id="rId557" xr:uid="{00000000-0004-0000-0500-00002C020000}"/>
    <hyperlink ref="G562" r:id="rId558" xr:uid="{00000000-0004-0000-0500-00002D020000}"/>
    <hyperlink ref="G563" r:id="rId559" xr:uid="{00000000-0004-0000-0500-00002E020000}"/>
    <hyperlink ref="G564" r:id="rId560" xr:uid="{00000000-0004-0000-0500-00002F020000}"/>
    <hyperlink ref="G565" r:id="rId561" xr:uid="{00000000-0004-0000-0500-000030020000}"/>
    <hyperlink ref="G566" r:id="rId562" xr:uid="{00000000-0004-0000-0500-000031020000}"/>
    <hyperlink ref="G567" r:id="rId563" xr:uid="{00000000-0004-0000-0500-000032020000}"/>
    <hyperlink ref="G568" r:id="rId564" xr:uid="{00000000-0004-0000-0500-000033020000}"/>
    <hyperlink ref="G569" r:id="rId565" xr:uid="{00000000-0004-0000-0500-000034020000}"/>
    <hyperlink ref="G570" r:id="rId566" xr:uid="{00000000-0004-0000-0500-000035020000}"/>
    <hyperlink ref="G571" r:id="rId567" xr:uid="{00000000-0004-0000-0500-000036020000}"/>
    <hyperlink ref="G572" r:id="rId568" xr:uid="{00000000-0004-0000-0500-000037020000}"/>
    <hyperlink ref="G573" r:id="rId569" xr:uid="{00000000-0004-0000-0500-000038020000}"/>
    <hyperlink ref="G574" r:id="rId570" xr:uid="{00000000-0004-0000-0500-000039020000}"/>
    <hyperlink ref="G575" r:id="rId571" xr:uid="{00000000-0004-0000-0500-00003A020000}"/>
    <hyperlink ref="G576" r:id="rId572" xr:uid="{00000000-0004-0000-0500-00003B020000}"/>
    <hyperlink ref="G577" r:id="rId573" xr:uid="{00000000-0004-0000-0500-00003C020000}"/>
    <hyperlink ref="G578" r:id="rId574" xr:uid="{00000000-0004-0000-0500-00003D020000}"/>
    <hyperlink ref="G579" r:id="rId575" xr:uid="{00000000-0004-0000-0500-00003E020000}"/>
    <hyperlink ref="G580" r:id="rId576" xr:uid="{00000000-0004-0000-0500-00003F020000}"/>
    <hyperlink ref="G581" r:id="rId577" xr:uid="{00000000-0004-0000-0500-000040020000}"/>
    <hyperlink ref="G582" r:id="rId578" xr:uid="{00000000-0004-0000-0500-000041020000}"/>
    <hyperlink ref="G583" r:id="rId579" xr:uid="{00000000-0004-0000-0500-000042020000}"/>
    <hyperlink ref="G584" r:id="rId580" xr:uid="{00000000-0004-0000-0500-000043020000}"/>
    <hyperlink ref="G585" r:id="rId581" xr:uid="{00000000-0004-0000-0500-000044020000}"/>
    <hyperlink ref="G586" r:id="rId582" xr:uid="{00000000-0004-0000-0500-000045020000}"/>
    <hyperlink ref="G587" r:id="rId583" xr:uid="{00000000-0004-0000-0500-000046020000}"/>
    <hyperlink ref="G588" r:id="rId584" xr:uid="{00000000-0004-0000-0500-000047020000}"/>
    <hyperlink ref="G589" r:id="rId585" xr:uid="{00000000-0004-0000-0500-000048020000}"/>
    <hyperlink ref="G590" r:id="rId586" xr:uid="{00000000-0004-0000-0500-000049020000}"/>
    <hyperlink ref="G591" r:id="rId587" xr:uid="{00000000-0004-0000-0500-00004A020000}"/>
    <hyperlink ref="G592" r:id="rId588" xr:uid="{00000000-0004-0000-0500-00004B020000}"/>
    <hyperlink ref="G593" r:id="rId589" xr:uid="{00000000-0004-0000-0500-00004C020000}"/>
    <hyperlink ref="G594" r:id="rId590" xr:uid="{00000000-0004-0000-0500-00004D020000}"/>
    <hyperlink ref="G595" r:id="rId591" xr:uid="{00000000-0004-0000-0500-00004E020000}"/>
    <hyperlink ref="G596" r:id="rId592" xr:uid="{00000000-0004-0000-0500-00004F020000}"/>
    <hyperlink ref="G597" r:id="rId593" xr:uid="{00000000-0004-0000-0500-000050020000}"/>
    <hyperlink ref="G598" r:id="rId594" xr:uid="{00000000-0004-0000-0500-000051020000}"/>
    <hyperlink ref="G599" r:id="rId595" xr:uid="{00000000-0004-0000-0500-000052020000}"/>
    <hyperlink ref="G600" r:id="rId596" xr:uid="{00000000-0004-0000-0500-000053020000}"/>
    <hyperlink ref="G601" r:id="rId597" xr:uid="{00000000-0004-0000-0500-000054020000}"/>
    <hyperlink ref="G602" r:id="rId598" xr:uid="{00000000-0004-0000-0500-000055020000}"/>
    <hyperlink ref="G603" r:id="rId599" xr:uid="{00000000-0004-0000-0500-000056020000}"/>
    <hyperlink ref="G604" r:id="rId600" xr:uid="{00000000-0004-0000-0500-000057020000}"/>
    <hyperlink ref="G605" r:id="rId601" xr:uid="{00000000-0004-0000-0500-000058020000}"/>
    <hyperlink ref="G606" r:id="rId602" xr:uid="{00000000-0004-0000-0500-000059020000}"/>
    <hyperlink ref="G607" r:id="rId603" xr:uid="{00000000-0004-0000-0500-00005A020000}"/>
    <hyperlink ref="G608" r:id="rId604" xr:uid="{00000000-0004-0000-0500-00005B020000}"/>
    <hyperlink ref="G609" r:id="rId605" xr:uid="{00000000-0004-0000-0500-00005C020000}"/>
    <hyperlink ref="G610" r:id="rId606" xr:uid="{00000000-0004-0000-0500-00005D020000}"/>
    <hyperlink ref="G611" r:id="rId607" xr:uid="{00000000-0004-0000-0500-00005E020000}"/>
    <hyperlink ref="G612" r:id="rId608" xr:uid="{00000000-0004-0000-0500-00005F020000}"/>
    <hyperlink ref="G613" r:id="rId609" xr:uid="{00000000-0004-0000-0500-000060020000}"/>
    <hyperlink ref="G614" r:id="rId610" xr:uid="{00000000-0004-0000-0500-000061020000}"/>
    <hyperlink ref="G615" r:id="rId611" xr:uid="{00000000-0004-0000-0500-000062020000}"/>
    <hyperlink ref="G616" r:id="rId612" xr:uid="{00000000-0004-0000-0500-000063020000}"/>
    <hyperlink ref="G617" r:id="rId613" xr:uid="{00000000-0004-0000-0500-000064020000}"/>
    <hyperlink ref="G618" r:id="rId614" xr:uid="{00000000-0004-0000-0500-000065020000}"/>
    <hyperlink ref="G619" r:id="rId615" xr:uid="{00000000-0004-0000-0500-000066020000}"/>
    <hyperlink ref="G620" r:id="rId616" xr:uid="{00000000-0004-0000-0500-000067020000}"/>
    <hyperlink ref="G621" r:id="rId617" xr:uid="{00000000-0004-0000-0500-000068020000}"/>
    <hyperlink ref="G622" r:id="rId618" xr:uid="{00000000-0004-0000-0500-000069020000}"/>
    <hyperlink ref="G623" r:id="rId619" xr:uid="{00000000-0004-0000-0500-00006A020000}"/>
    <hyperlink ref="G624" r:id="rId620" xr:uid="{00000000-0004-0000-0500-00006B020000}"/>
    <hyperlink ref="G625" r:id="rId621" xr:uid="{00000000-0004-0000-0500-00006C020000}"/>
    <hyperlink ref="G626" r:id="rId622" xr:uid="{00000000-0004-0000-0500-00006D020000}"/>
    <hyperlink ref="G627" r:id="rId623" xr:uid="{00000000-0004-0000-0500-00006E020000}"/>
    <hyperlink ref="G628" r:id="rId624" xr:uid="{00000000-0004-0000-0500-00006F020000}"/>
    <hyperlink ref="G629" r:id="rId625" xr:uid="{00000000-0004-0000-0500-000070020000}"/>
    <hyperlink ref="G630" r:id="rId626" xr:uid="{00000000-0004-0000-0500-000071020000}"/>
    <hyperlink ref="G631" r:id="rId627" xr:uid="{00000000-0004-0000-0500-000072020000}"/>
    <hyperlink ref="G632" r:id="rId628" xr:uid="{00000000-0004-0000-0500-000073020000}"/>
    <hyperlink ref="G633" r:id="rId629" xr:uid="{00000000-0004-0000-0500-000074020000}"/>
    <hyperlink ref="G634" r:id="rId630" xr:uid="{00000000-0004-0000-0500-000075020000}"/>
    <hyperlink ref="G635" r:id="rId631" xr:uid="{00000000-0004-0000-0500-000076020000}"/>
    <hyperlink ref="G636" r:id="rId632" xr:uid="{00000000-0004-0000-0500-000077020000}"/>
    <hyperlink ref="G637" r:id="rId633" xr:uid="{00000000-0004-0000-0500-000078020000}"/>
    <hyperlink ref="G638" r:id="rId634" xr:uid="{00000000-0004-0000-0500-000079020000}"/>
    <hyperlink ref="G639" r:id="rId635" xr:uid="{00000000-0004-0000-0500-00007A020000}"/>
    <hyperlink ref="G640" r:id="rId636" xr:uid="{00000000-0004-0000-0500-00007B020000}"/>
    <hyperlink ref="G641" r:id="rId637" xr:uid="{00000000-0004-0000-0500-00007C020000}"/>
    <hyperlink ref="G642" r:id="rId638" xr:uid="{00000000-0004-0000-0500-00007D020000}"/>
    <hyperlink ref="G643" r:id="rId639" xr:uid="{00000000-0004-0000-0500-00007E020000}"/>
    <hyperlink ref="G644" r:id="rId640" xr:uid="{00000000-0004-0000-0500-00007F020000}"/>
    <hyperlink ref="G645" r:id="rId641" xr:uid="{00000000-0004-0000-0500-000080020000}"/>
    <hyperlink ref="G646" r:id="rId642" xr:uid="{00000000-0004-0000-0500-000081020000}"/>
    <hyperlink ref="G647" r:id="rId643" xr:uid="{00000000-0004-0000-0500-000082020000}"/>
    <hyperlink ref="G648" r:id="rId644" xr:uid="{00000000-0004-0000-0500-000083020000}"/>
    <hyperlink ref="G649" r:id="rId645" xr:uid="{00000000-0004-0000-0500-000084020000}"/>
    <hyperlink ref="G650" r:id="rId646" xr:uid="{00000000-0004-0000-0500-000085020000}"/>
    <hyperlink ref="G651" r:id="rId647" xr:uid="{00000000-0004-0000-0500-000086020000}"/>
    <hyperlink ref="G652" r:id="rId648" xr:uid="{00000000-0004-0000-0500-000087020000}"/>
    <hyperlink ref="G653" r:id="rId649" xr:uid="{00000000-0004-0000-0500-000088020000}"/>
    <hyperlink ref="G654" r:id="rId650" xr:uid="{00000000-0004-0000-0500-000089020000}"/>
    <hyperlink ref="G655" r:id="rId651" xr:uid="{00000000-0004-0000-0500-00008A020000}"/>
    <hyperlink ref="G656" r:id="rId652" xr:uid="{00000000-0004-0000-0500-00008B020000}"/>
    <hyperlink ref="G657" r:id="rId653" xr:uid="{00000000-0004-0000-0500-00008C020000}"/>
    <hyperlink ref="G658" r:id="rId654" xr:uid="{00000000-0004-0000-0500-00008D020000}"/>
    <hyperlink ref="G659" r:id="rId655" xr:uid="{00000000-0004-0000-0500-00008E020000}"/>
    <hyperlink ref="G660" r:id="rId656" xr:uid="{00000000-0004-0000-0500-00008F020000}"/>
    <hyperlink ref="G661" r:id="rId657" xr:uid="{00000000-0004-0000-0500-000090020000}"/>
    <hyperlink ref="G662" r:id="rId658" xr:uid="{00000000-0004-0000-0500-000091020000}"/>
    <hyperlink ref="G663" r:id="rId659" xr:uid="{00000000-0004-0000-0500-000092020000}"/>
    <hyperlink ref="G664" r:id="rId660" xr:uid="{00000000-0004-0000-0500-000093020000}"/>
    <hyperlink ref="G665" r:id="rId661" xr:uid="{00000000-0004-0000-0500-000094020000}"/>
    <hyperlink ref="G666" r:id="rId662" xr:uid="{00000000-0004-0000-0500-000095020000}"/>
    <hyperlink ref="G667" r:id="rId663" xr:uid="{00000000-0004-0000-0500-000096020000}"/>
    <hyperlink ref="G668" r:id="rId664" xr:uid="{00000000-0004-0000-0500-000097020000}"/>
    <hyperlink ref="G669" r:id="rId665" xr:uid="{00000000-0004-0000-0500-000098020000}"/>
    <hyperlink ref="G670" r:id="rId666" xr:uid="{00000000-0004-0000-0500-000099020000}"/>
    <hyperlink ref="G671" r:id="rId667" xr:uid="{00000000-0004-0000-0500-00009A020000}"/>
    <hyperlink ref="G672" r:id="rId668" xr:uid="{00000000-0004-0000-0500-00009B020000}"/>
    <hyperlink ref="G673" r:id="rId669" xr:uid="{00000000-0004-0000-0500-00009C020000}"/>
    <hyperlink ref="G674" r:id="rId670" xr:uid="{00000000-0004-0000-0500-00009D020000}"/>
    <hyperlink ref="G675" r:id="rId671" xr:uid="{00000000-0004-0000-0500-00009E020000}"/>
    <hyperlink ref="G676" r:id="rId672" xr:uid="{00000000-0004-0000-0500-00009F020000}"/>
    <hyperlink ref="G677" r:id="rId673" xr:uid="{00000000-0004-0000-0500-0000A0020000}"/>
    <hyperlink ref="G678" r:id="rId674" xr:uid="{00000000-0004-0000-0500-0000A1020000}"/>
    <hyperlink ref="G679" r:id="rId675" xr:uid="{00000000-0004-0000-0500-0000A2020000}"/>
    <hyperlink ref="G680" r:id="rId676" xr:uid="{00000000-0004-0000-0500-0000A3020000}"/>
    <hyperlink ref="G681" r:id="rId677" xr:uid="{00000000-0004-0000-0500-0000A4020000}"/>
    <hyperlink ref="G682" r:id="rId678" xr:uid="{00000000-0004-0000-0500-0000A5020000}"/>
    <hyperlink ref="G683" r:id="rId679" xr:uid="{00000000-0004-0000-0500-0000A6020000}"/>
    <hyperlink ref="G684" r:id="rId680" xr:uid="{00000000-0004-0000-0500-0000A7020000}"/>
    <hyperlink ref="G685" r:id="rId681" xr:uid="{00000000-0004-0000-0500-0000A8020000}"/>
    <hyperlink ref="G686" r:id="rId682" xr:uid="{00000000-0004-0000-0500-0000A9020000}"/>
    <hyperlink ref="G687" r:id="rId683" xr:uid="{00000000-0004-0000-0500-0000AA020000}"/>
    <hyperlink ref="G688" r:id="rId684" xr:uid="{00000000-0004-0000-0500-0000AB020000}"/>
    <hyperlink ref="G689" r:id="rId685" xr:uid="{00000000-0004-0000-0500-0000AC020000}"/>
    <hyperlink ref="G690" r:id="rId686" xr:uid="{00000000-0004-0000-0500-0000AD020000}"/>
    <hyperlink ref="G691" r:id="rId687" xr:uid="{00000000-0004-0000-0500-0000AE020000}"/>
    <hyperlink ref="G692" r:id="rId688" xr:uid="{00000000-0004-0000-0500-0000AF020000}"/>
    <hyperlink ref="G693" r:id="rId689" xr:uid="{00000000-0004-0000-0500-0000B0020000}"/>
    <hyperlink ref="G694" r:id="rId690" xr:uid="{00000000-0004-0000-0500-0000B1020000}"/>
    <hyperlink ref="G695" r:id="rId691" xr:uid="{00000000-0004-0000-0500-0000B2020000}"/>
    <hyperlink ref="G696" r:id="rId692" xr:uid="{00000000-0004-0000-0500-0000B3020000}"/>
    <hyperlink ref="G697" r:id="rId693" xr:uid="{00000000-0004-0000-0500-0000B4020000}"/>
    <hyperlink ref="G698" r:id="rId694" xr:uid="{00000000-0004-0000-0500-0000B5020000}"/>
    <hyperlink ref="G699" r:id="rId695" xr:uid="{00000000-0004-0000-0500-0000B6020000}"/>
    <hyperlink ref="G700" r:id="rId696" xr:uid="{00000000-0004-0000-0500-0000B7020000}"/>
    <hyperlink ref="G701" r:id="rId697" xr:uid="{00000000-0004-0000-0500-0000B8020000}"/>
    <hyperlink ref="G702" r:id="rId698" xr:uid="{00000000-0004-0000-0500-0000B9020000}"/>
    <hyperlink ref="G703" r:id="rId699" xr:uid="{00000000-0004-0000-0500-0000BA020000}"/>
    <hyperlink ref="G704" r:id="rId700" xr:uid="{00000000-0004-0000-0500-0000BB020000}"/>
    <hyperlink ref="G705" r:id="rId701" xr:uid="{00000000-0004-0000-0500-0000BC020000}"/>
    <hyperlink ref="G706" r:id="rId702" xr:uid="{00000000-0004-0000-0500-0000BD020000}"/>
    <hyperlink ref="G707" r:id="rId703" xr:uid="{00000000-0004-0000-0500-0000BE020000}"/>
    <hyperlink ref="G708" r:id="rId704" xr:uid="{00000000-0004-0000-0500-0000BF020000}"/>
    <hyperlink ref="G709" r:id="rId705" xr:uid="{00000000-0004-0000-0500-0000C0020000}"/>
    <hyperlink ref="G710" r:id="rId706" xr:uid="{00000000-0004-0000-0500-0000C1020000}"/>
    <hyperlink ref="G711" r:id="rId707" xr:uid="{00000000-0004-0000-0500-0000C2020000}"/>
    <hyperlink ref="G712" r:id="rId708" xr:uid="{00000000-0004-0000-0500-0000C3020000}"/>
    <hyperlink ref="G713" r:id="rId709" xr:uid="{00000000-0004-0000-0500-0000C4020000}"/>
    <hyperlink ref="G714" r:id="rId710" xr:uid="{00000000-0004-0000-0500-0000C5020000}"/>
    <hyperlink ref="G715" r:id="rId711" xr:uid="{00000000-0004-0000-0500-0000C6020000}"/>
    <hyperlink ref="G716" r:id="rId712" xr:uid="{00000000-0004-0000-0500-0000C7020000}"/>
    <hyperlink ref="G717" r:id="rId713" xr:uid="{00000000-0004-0000-0500-0000C8020000}"/>
    <hyperlink ref="G718" r:id="rId714" xr:uid="{00000000-0004-0000-0500-0000C9020000}"/>
    <hyperlink ref="G719" r:id="rId715" xr:uid="{00000000-0004-0000-0500-0000CA020000}"/>
    <hyperlink ref="G720" r:id="rId716" xr:uid="{00000000-0004-0000-0500-0000CB020000}"/>
    <hyperlink ref="G721" r:id="rId717" xr:uid="{00000000-0004-0000-0500-0000CC020000}"/>
    <hyperlink ref="G722" r:id="rId718" xr:uid="{00000000-0004-0000-0500-0000CD020000}"/>
    <hyperlink ref="G723" r:id="rId719" xr:uid="{00000000-0004-0000-0500-0000CE020000}"/>
    <hyperlink ref="G724" r:id="rId720" xr:uid="{00000000-0004-0000-0500-0000CF020000}"/>
    <hyperlink ref="G725" r:id="rId721" xr:uid="{00000000-0004-0000-0500-0000D0020000}"/>
    <hyperlink ref="G726" r:id="rId722" xr:uid="{00000000-0004-0000-0500-0000D1020000}"/>
    <hyperlink ref="G727" r:id="rId723" xr:uid="{00000000-0004-0000-0500-0000D2020000}"/>
    <hyperlink ref="G728" r:id="rId724" xr:uid="{00000000-0004-0000-0500-0000D3020000}"/>
    <hyperlink ref="G729" r:id="rId725" xr:uid="{00000000-0004-0000-0500-0000D4020000}"/>
    <hyperlink ref="G730" r:id="rId726" xr:uid="{00000000-0004-0000-0500-0000D5020000}"/>
    <hyperlink ref="G731" r:id="rId727" xr:uid="{00000000-0004-0000-0500-0000D6020000}"/>
    <hyperlink ref="G732" r:id="rId728" xr:uid="{00000000-0004-0000-0500-0000D7020000}"/>
    <hyperlink ref="G733" r:id="rId729" xr:uid="{00000000-0004-0000-0500-0000D8020000}"/>
    <hyperlink ref="G734" r:id="rId730" xr:uid="{00000000-0004-0000-0500-0000D9020000}"/>
    <hyperlink ref="G735" r:id="rId731" xr:uid="{00000000-0004-0000-0500-0000DA020000}"/>
    <hyperlink ref="G736" r:id="rId732" xr:uid="{00000000-0004-0000-0500-0000DB020000}"/>
    <hyperlink ref="G737" r:id="rId733" xr:uid="{00000000-0004-0000-0500-0000DC020000}"/>
    <hyperlink ref="G738" r:id="rId734" xr:uid="{00000000-0004-0000-0500-0000DD020000}"/>
    <hyperlink ref="G739" r:id="rId735" xr:uid="{00000000-0004-0000-0500-0000DE020000}"/>
    <hyperlink ref="G740" r:id="rId736" xr:uid="{00000000-0004-0000-0500-0000DF020000}"/>
    <hyperlink ref="G741" r:id="rId737" xr:uid="{00000000-0004-0000-0500-0000E0020000}"/>
    <hyperlink ref="G742" r:id="rId738" xr:uid="{00000000-0004-0000-0500-0000E1020000}"/>
    <hyperlink ref="G743" r:id="rId739" xr:uid="{00000000-0004-0000-0500-0000E2020000}"/>
    <hyperlink ref="G744" r:id="rId740" xr:uid="{00000000-0004-0000-0500-0000E3020000}"/>
    <hyperlink ref="G745" r:id="rId741" xr:uid="{00000000-0004-0000-0500-0000E4020000}"/>
    <hyperlink ref="G746" r:id="rId742" xr:uid="{00000000-0004-0000-0500-0000E5020000}"/>
    <hyperlink ref="G747" r:id="rId743" xr:uid="{00000000-0004-0000-0500-0000E6020000}"/>
    <hyperlink ref="G748" r:id="rId744" xr:uid="{00000000-0004-0000-0500-0000E7020000}"/>
    <hyperlink ref="G749" r:id="rId745" xr:uid="{00000000-0004-0000-0500-0000E8020000}"/>
    <hyperlink ref="G750" r:id="rId746" xr:uid="{00000000-0004-0000-0500-0000E9020000}"/>
    <hyperlink ref="G751" r:id="rId747" xr:uid="{00000000-0004-0000-0500-0000EA020000}"/>
    <hyperlink ref="G752" r:id="rId748" xr:uid="{00000000-0004-0000-0500-0000EB020000}"/>
    <hyperlink ref="G753" r:id="rId749" xr:uid="{00000000-0004-0000-0500-0000EC020000}"/>
    <hyperlink ref="G754" r:id="rId750" xr:uid="{00000000-0004-0000-0500-0000ED020000}"/>
    <hyperlink ref="G755" r:id="rId751" xr:uid="{00000000-0004-0000-0500-0000EE020000}"/>
    <hyperlink ref="G756" r:id="rId752" xr:uid="{00000000-0004-0000-0500-0000EF020000}"/>
    <hyperlink ref="G757" r:id="rId753" xr:uid="{00000000-0004-0000-0500-0000F0020000}"/>
    <hyperlink ref="G758" r:id="rId754" xr:uid="{00000000-0004-0000-0500-0000F1020000}"/>
    <hyperlink ref="G759" r:id="rId755" xr:uid="{00000000-0004-0000-0500-0000F2020000}"/>
    <hyperlink ref="G760" r:id="rId756" xr:uid="{00000000-0004-0000-0500-0000F3020000}"/>
    <hyperlink ref="G761" r:id="rId757" xr:uid="{00000000-0004-0000-0500-0000F4020000}"/>
    <hyperlink ref="G762" r:id="rId758" xr:uid="{00000000-0004-0000-0500-0000F5020000}"/>
    <hyperlink ref="G763" r:id="rId759" xr:uid="{00000000-0004-0000-0500-0000F6020000}"/>
    <hyperlink ref="G764" r:id="rId760" xr:uid="{00000000-0004-0000-0500-0000F7020000}"/>
    <hyperlink ref="G765" r:id="rId761" xr:uid="{00000000-0004-0000-0500-0000F8020000}"/>
    <hyperlink ref="G766" r:id="rId762" xr:uid="{00000000-0004-0000-0500-0000F9020000}"/>
    <hyperlink ref="G767" r:id="rId763" xr:uid="{00000000-0004-0000-0500-0000FA020000}"/>
    <hyperlink ref="G768" r:id="rId764" xr:uid="{00000000-0004-0000-0500-0000FB020000}"/>
    <hyperlink ref="G769" r:id="rId765" xr:uid="{00000000-0004-0000-0500-0000FC020000}"/>
    <hyperlink ref="G770" r:id="rId766" xr:uid="{00000000-0004-0000-0500-0000FD020000}"/>
    <hyperlink ref="G771" r:id="rId767" xr:uid="{00000000-0004-0000-0500-0000FE020000}"/>
    <hyperlink ref="G772" r:id="rId768" xr:uid="{00000000-0004-0000-0500-0000FF020000}"/>
    <hyperlink ref="G773" r:id="rId769" xr:uid="{00000000-0004-0000-0500-000000030000}"/>
    <hyperlink ref="G774" r:id="rId770" xr:uid="{00000000-0004-0000-0500-000001030000}"/>
    <hyperlink ref="G775" r:id="rId771" xr:uid="{00000000-0004-0000-0500-000002030000}"/>
    <hyperlink ref="G776" r:id="rId772" xr:uid="{00000000-0004-0000-0500-000003030000}"/>
    <hyperlink ref="G777" r:id="rId773" xr:uid="{00000000-0004-0000-0500-000004030000}"/>
    <hyperlink ref="G778" r:id="rId774" xr:uid="{00000000-0004-0000-0500-000005030000}"/>
    <hyperlink ref="G779" r:id="rId775" xr:uid="{00000000-0004-0000-0500-000006030000}"/>
    <hyperlink ref="G780" r:id="rId776" xr:uid="{00000000-0004-0000-0500-000007030000}"/>
    <hyperlink ref="G781" r:id="rId777" xr:uid="{00000000-0004-0000-0500-000008030000}"/>
    <hyperlink ref="G782" r:id="rId778" xr:uid="{00000000-0004-0000-0500-000009030000}"/>
    <hyperlink ref="G783" r:id="rId779" xr:uid="{00000000-0004-0000-0500-00000A030000}"/>
    <hyperlink ref="G784" r:id="rId780" xr:uid="{00000000-0004-0000-0500-00000B030000}"/>
    <hyperlink ref="G785" r:id="rId781" xr:uid="{00000000-0004-0000-0500-00000C030000}"/>
    <hyperlink ref="G786" r:id="rId782" xr:uid="{00000000-0004-0000-0500-00000D030000}"/>
    <hyperlink ref="G787" r:id="rId783" xr:uid="{00000000-0004-0000-0500-00000E030000}"/>
    <hyperlink ref="G788" r:id="rId784" xr:uid="{00000000-0004-0000-0500-00000F030000}"/>
    <hyperlink ref="G789" r:id="rId785" xr:uid="{00000000-0004-0000-0500-000010030000}"/>
    <hyperlink ref="G790" r:id="rId786" xr:uid="{00000000-0004-0000-0500-000011030000}"/>
    <hyperlink ref="G791" r:id="rId787" xr:uid="{00000000-0004-0000-0500-000012030000}"/>
    <hyperlink ref="G792" r:id="rId788" xr:uid="{00000000-0004-0000-0500-000013030000}"/>
    <hyperlink ref="G793" r:id="rId789" xr:uid="{00000000-0004-0000-0500-000014030000}"/>
    <hyperlink ref="G794" r:id="rId790" xr:uid="{00000000-0004-0000-0500-000015030000}"/>
    <hyperlink ref="G795" r:id="rId791" xr:uid="{00000000-0004-0000-0500-000016030000}"/>
    <hyperlink ref="G796" r:id="rId792" xr:uid="{00000000-0004-0000-0500-000017030000}"/>
    <hyperlink ref="G797" r:id="rId793" xr:uid="{00000000-0004-0000-0500-000018030000}"/>
    <hyperlink ref="G798" r:id="rId794" xr:uid="{00000000-0004-0000-0500-000019030000}"/>
    <hyperlink ref="G799" r:id="rId795" xr:uid="{00000000-0004-0000-0500-00001A030000}"/>
    <hyperlink ref="G800" r:id="rId796" xr:uid="{00000000-0004-0000-0500-00001B030000}"/>
    <hyperlink ref="G801" r:id="rId797" xr:uid="{00000000-0004-0000-0500-00001C030000}"/>
    <hyperlink ref="G802" r:id="rId798" xr:uid="{00000000-0004-0000-0500-00001D030000}"/>
    <hyperlink ref="G803" r:id="rId799" xr:uid="{00000000-0004-0000-0500-00001E030000}"/>
    <hyperlink ref="G804" r:id="rId800" xr:uid="{00000000-0004-0000-0500-00001F030000}"/>
    <hyperlink ref="G805" r:id="rId801" xr:uid="{00000000-0004-0000-0500-000020030000}"/>
    <hyperlink ref="G806" r:id="rId802" xr:uid="{00000000-0004-0000-0500-000021030000}"/>
    <hyperlink ref="G807" r:id="rId803" xr:uid="{00000000-0004-0000-0500-000022030000}"/>
    <hyperlink ref="G808" r:id="rId804" xr:uid="{00000000-0004-0000-0500-000023030000}"/>
    <hyperlink ref="G809" r:id="rId805" xr:uid="{00000000-0004-0000-0500-000024030000}"/>
    <hyperlink ref="G810" r:id="rId806" xr:uid="{00000000-0004-0000-0500-000025030000}"/>
    <hyperlink ref="G811" r:id="rId807" xr:uid="{00000000-0004-0000-0500-000026030000}"/>
    <hyperlink ref="G812" r:id="rId808" xr:uid="{00000000-0004-0000-0500-000027030000}"/>
    <hyperlink ref="G813" r:id="rId809" xr:uid="{00000000-0004-0000-0500-000028030000}"/>
    <hyperlink ref="G814" r:id="rId810" xr:uid="{00000000-0004-0000-0500-000029030000}"/>
    <hyperlink ref="G815" r:id="rId811" xr:uid="{00000000-0004-0000-0500-00002A030000}"/>
    <hyperlink ref="G816" r:id="rId812" xr:uid="{00000000-0004-0000-0500-00002B030000}"/>
    <hyperlink ref="G817" r:id="rId813" xr:uid="{00000000-0004-0000-0500-00002C030000}"/>
    <hyperlink ref="G818" r:id="rId814" xr:uid="{00000000-0004-0000-0500-00002D030000}"/>
    <hyperlink ref="G819" r:id="rId815" xr:uid="{00000000-0004-0000-0500-00002E030000}"/>
    <hyperlink ref="G820" r:id="rId816" xr:uid="{00000000-0004-0000-0500-00002F030000}"/>
    <hyperlink ref="G821" r:id="rId817" xr:uid="{00000000-0004-0000-0500-000030030000}"/>
    <hyperlink ref="G822" r:id="rId818" xr:uid="{00000000-0004-0000-0500-000031030000}"/>
    <hyperlink ref="G823" r:id="rId819" xr:uid="{00000000-0004-0000-0500-000032030000}"/>
    <hyperlink ref="G824" r:id="rId820" xr:uid="{00000000-0004-0000-0500-000033030000}"/>
    <hyperlink ref="G825" r:id="rId821" xr:uid="{00000000-0004-0000-0500-000034030000}"/>
    <hyperlink ref="G826" r:id="rId822" xr:uid="{00000000-0004-0000-0500-000035030000}"/>
    <hyperlink ref="G827" r:id="rId823" xr:uid="{00000000-0004-0000-0500-000036030000}"/>
    <hyperlink ref="G828" r:id="rId824" xr:uid="{00000000-0004-0000-0500-000037030000}"/>
    <hyperlink ref="G829" r:id="rId825" xr:uid="{00000000-0004-0000-0500-000038030000}"/>
    <hyperlink ref="G830" r:id="rId826" xr:uid="{00000000-0004-0000-0500-000039030000}"/>
    <hyperlink ref="G831" r:id="rId827" xr:uid="{00000000-0004-0000-0500-00003A030000}"/>
    <hyperlink ref="G832" r:id="rId828" xr:uid="{00000000-0004-0000-0500-00003B030000}"/>
    <hyperlink ref="G833" r:id="rId829" xr:uid="{00000000-0004-0000-0500-00003C030000}"/>
    <hyperlink ref="G834" r:id="rId830" xr:uid="{00000000-0004-0000-0500-00003D030000}"/>
    <hyperlink ref="G835" r:id="rId831" xr:uid="{00000000-0004-0000-0500-00003E030000}"/>
    <hyperlink ref="G836" r:id="rId832" xr:uid="{00000000-0004-0000-0500-00003F030000}"/>
    <hyperlink ref="G837" r:id="rId833" xr:uid="{00000000-0004-0000-0500-000040030000}"/>
    <hyperlink ref="G838" r:id="rId834" xr:uid="{00000000-0004-0000-0500-000041030000}"/>
    <hyperlink ref="G839" r:id="rId835" xr:uid="{00000000-0004-0000-0500-000042030000}"/>
    <hyperlink ref="G840" r:id="rId836" xr:uid="{00000000-0004-0000-0500-000043030000}"/>
    <hyperlink ref="G841" r:id="rId837" xr:uid="{00000000-0004-0000-0500-000044030000}"/>
    <hyperlink ref="G842" r:id="rId838" xr:uid="{00000000-0004-0000-0500-000045030000}"/>
    <hyperlink ref="G843" r:id="rId839" xr:uid="{00000000-0004-0000-0500-000046030000}"/>
    <hyperlink ref="G844" r:id="rId840" xr:uid="{00000000-0004-0000-0500-000047030000}"/>
    <hyperlink ref="G845" r:id="rId841" xr:uid="{00000000-0004-0000-0500-000048030000}"/>
    <hyperlink ref="G846" r:id="rId842" xr:uid="{00000000-0004-0000-0500-000049030000}"/>
    <hyperlink ref="G847" r:id="rId843" xr:uid="{00000000-0004-0000-0500-00004A030000}"/>
    <hyperlink ref="G848" r:id="rId844" xr:uid="{00000000-0004-0000-0500-00004B030000}"/>
    <hyperlink ref="G849" r:id="rId845" xr:uid="{00000000-0004-0000-0500-00004C030000}"/>
    <hyperlink ref="G850" r:id="rId846" xr:uid="{00000000-0004-0000-0500-00004D030000}"/>
    <hyperlink ref="G851" r:id="rId847" xr:uid="{00000000-0004-0000-0500-00004E030000}"/>
    <hyperlink ref="G852" r:id="rId848" xr:uid="{00000000-0004-0000-0500-00004F030000}"/>
    <hyperlink ref="G853" r:id="rId849" xr:uid="{00000000-0004-0000-0500-000050030000}"/>
    <hyperlink ref="G854" r:id="rId850" xr:uid="{00000000-0004-0000-0500-000051030000}"/>
    <hyperlink ref="G855" r:id="rId851" xr:uid="{00000000-0004-0000-0500-000052030000}"/>
    <hyperlink ref="G856" r:id="rId852" xr:uid="{00000000-0004-0000-0500-000053030000}"/>
    <hyperlink ref="G857" r:id="rId853" xr:uid="{00000000-0004-0000-0500-000054030000}"/>
    <hyperlink ref="G858" r:id="rId854" xr:uid="{00000000-0004-0000-0500-000055030000}"/>
    <hyperlink ref="G859" r:id="rId855" xr:uid="{00000000-0004-0000-0500-000056030000}"/>
    <hyperlink ref="G860" r:id="rId856" xr:uid="{00000000-0004-0000-0500-000057030000}"/>
    <hyperlink ref="G861" r:id="rId857" xr:uid="{00000000-0004-0000-0500-000058030000}"/>
    <hyperlink ref="G862" r:id="rId858" xr:uid="{00000000-0004-0000-0500-000059030000}"/>
    <hyperlink ref="G863" r:id="rId859" xr:uid="{00000000-0004-0000-0500-00005A030000}"/>
    <hyperlink ref="G864" r:id="rId860" xr:uid="{00000000-0004-0000-0500-00005B030000}"/>
    <hyperlink ref="G865" r:id="rId861" xr:uid="{00000000-0004-0000-0500-00005C030000}"/>
    <hyperlink ref="G866" r:id="rId862" xr:uid="{00000000-0004-0000-0500-00005D030000}"/>
    <hyperlink ref="G867" r:id="rId863" xr:uid="{00000000-0004-0000-0500-00005E030000}"/>
    <hyperlink ref="G868" r:id="rId864" xr:uid="{00000000-0004-0000-0500-00005F030000}"/>
    <hyperlink ref="G869" r:id="rId865" xr:uid="{00000000-0004-0000-0500-000060030000}"/>
    <hyperlink ref="G870" r:id="rId866" xr:uid="{00000000-0004-0000-0500-000061030000}"/>
    <hyperlink ref="G871" r:id="rId867" xr:uid="{00000000-0004-0000-0500-000062030000}"/>
    <hyperlink ref="G872" r:id="rId868" xr:uid="{00000000-0004-0000-0500-000063030000}"/>
    <hyperlink ref="G873" r:id="rId869" xr:uid="{00000000-0004-0000-0500-000064030000}"/>
    <hyperlink ref="G874" r:id="rId870" xr:uid="{00000000-0004-0000-0500-000065030000}"/>
    <hyperlink ref="G875" r:id="rId871" xr:uid="{00000000-0004-0000-0500-000066030000}"/>
    <hyperlink ref="G876" r:id="rId872" xr:uid="{00000000-0004-0000-0500-000067030000}"/>
    <hyperlink ref="G877" r:id="rId873" xr:uid="{00000000-0004-0000-0500-000068030000}"/>
    <hyperlink ref="G878" r:id="rId874" xr:uid="{00000000-0004-0000-0500-000069030000}"/>
    <hyperlink ref="G879" r:id="rId875" xr:uid="{00000000-0004-0000-0500-00006A030000}"/>
    <hyperlink ref="G880" r:id="rId876" xr:uid="{00000000-0004-0000-0500-00006B030000}"/>
    <hyperlink ref="G881" r:id="rId877" xr:uid="{00000000-0004-0000-0500-00006C030000}"/>
    <hyperlink ref="G882" r:id="rId878" xr:uid="{00000000-0004-0000-0500-00006D030000}"/>
    <hyperlink ref="G883" r:id="rId879" xr:uid="{00000000-0004-0000-0500-00006E030000}"/>
    <hyperlink ref="G884" r:id="rId880" xr:uid="{00000000-0004-0000-0500-00006F030000}"/>
    <hyperlink ref="G885" r:id="rId881" xr:uid="{00000000-0004-0000-0500-000070030000}"/>
    <hyperlink ref="G886" r:id="rId882" xr:uid="{00000000-0004-0000-0500-000071030000}"/>
    <hyperlink ref="G887" r:id="rId883" xr:uid="{00000000-0004-0000-0500-000072030000}"/>
    <hyperlink ref="G888" r:id="rId884" xr:uid="{00000000-0004-0000-0500-000073030000}"/>
    <hyperlink ref="G889" r:id="rId885" xr:uid="{00000000-0004-0000-0500-000074030000}"/>
    <hyperlink ref="G890" r:id="rId886" xr:uid="{00000000-0004-0000-0500-000075030000}"/>
    <hyperlink ref="G891" r:id="rId887" xr:uid="{00000000-0004-0000-0500-000076030000}"/>
    <hyperlink ref="G892" r:id="rId888" xr:uid="{00000000-0004-0000-0500-000077030000}"/>
    <hyperlink ref="G893" r:id="rId889" xr:uid="{00000000-0004-0000-0500-000078030000}"/>
    <hyperlink ref="G894" r:id="rId890" xr:uid="{00000000-0004-0000-0500-000079030000}"/>
    <hyperlink ref="G895" r:id="rId891" xr:uid="{00000000-0004-0000-0500-00007A030000}"/>
    <hyperlink ref="G896" r:id="rId892" xr:uid="{00000000-0004-0000-0500-00007B030000}"/>
    <hyperlink ref="G897" r:id="rId893" xr:uid="{00000000-0004-0000-0500-00007C030000}"/>
    <hyperlink ref="G898" r:id="rId894" xr:uid="{00000000-0004-0000-0500-00007D030000}"/>
    <hyperlink ref="G899" r:id="rId895" xr:uid="{00000000-0004-0000-0500-00007E030000}"/>
    <hyperlink ref="G900" r:id="rId896" xr:uid="{00000000-0004-0000-0500-00007F030000}"/>
    <hyperlink ref="G901" r:id="rId897" xr:uid="{00000000-0004-0000-0500-000080030000}"/>
    <hyperlink ref="G902" r:id="rId898" xr:uid="{00000000-0004-0000-0500-000081030000}"/>
    <hyperlink ref="G903" r:id="rId899" xr:uid="{00000000-0004-0000-0500-000082030000}"/>
    <hyperlink ref="G904" r:id="rId900" xr:uid="{00000000-0004-0000-0500-000083030000}"/>
    <hyperlink ref="G905" r:id="rId901" xr:uid="{00000000-0004-0000-0500-000084030000}"/>
    <hyperlink ref="G906" r:id="rId902" xr:uid="{00000000-0004-0000-0500-000085030000}"/>
    <hyperlink ref="G907" r:id="rId903" xr:uid="{00000000-0004-0000-0500-000086030000}"/>
    <hyperlink ref="G908" r:id="rId904" xr:uid="{00000000-0004-0000-0500-000087030000}"/>
    <hyperlink ref="G909" r:id="rId905" xr:uid="{00000000-0004-0000-0500-000088030000}"/>
    <hyperlink ref="G910" r:id="rId906" xr:uid="{00000000-0004-0000-0500-000089030000}"/>
    <hyperlink ref="G911" r:id="rId907" xr:uid="{00000000-0004-0000-0500-00008A030000}"/>
    <hyperlink ref="G912" r:id="rId908" xr:uid="{00000000-0004-0000-0500-00008B030000}"/>
    <hyperlink ref="G913" r:id="rId909" xr:uid="{00000000-0004-0000-0500-00008C030000}"/>
    <hyperlink ref="G914" r:id="rId910" xr:uid="{00000000-0004-0000-0500-00008D030000}"/>
    <hyperlink ref="G915" r:id="rId911" xr:uid="{00000000-0004-0000-0500-00008E030000}"/>
    <hyperlink ref="G916" r:id="rId912" xr:uid="{00000000-0004-0000-0500-00008F030000}"/>
    <hyperlink ref="G917" r:id="rId913" xr:uid="{00000000-0004-0000-0500-000090030000}"/>
    <hyperlink ref="G918" r:id="rId914" xr:uid="{00000000-0004-0000-0500-000091030000}"/>
    <hyperlink ref="G919" r:id="rId915" xr:uid="{00000000-0004-0000-0500-000092030000}"/>
    <hyperlink ref="G920" r:id="rId916" xr:uid="{00000000-0004-0000-0500-000093030000}"/>
    <hyperlink ref="G921" r:id="rId917" xr:uid="{00000000-0004-0000-0500-000094030000}"/>
    <hyperlink ref="G922" r:id="rId918" xr:uid="{00000000-0004-0000-0500-000095030000}"/>
    <hyperlink ref="G923" r:id="rId919" xr:uid="{00000000-0004-0000-0500-000096030000}"/>
    <hyperlink ref="G924" r:id="rId920" xr:uid="{00000000-0004-0000-0500-000097030000}"/>
    <hyperlink ref="G925" r:id="rId921" xr:uid="{00000000-0004-0000-0500-000098030000}"/>
    <hyperlink ref="G926" r:id="rId922" xr:uid="{00000000-0004-0000-0500-000099030000}"/>
    <hyperlink ref="G927" r:id="rId923" xr:uid="{00000000-0004-0000-0500-00009A030000}"/>
    <hyperlink ref="G928" r:id="rId924" xr:uid="{00000000-0004-0000-0500-00009B030000}"/>
    <hyperlink ref="G929" r:id="rId925" xr:uid="{00000000-0004-0000-0500-00009C030000}"/>
    <hyperlink ref="G930" r:id="rId926" xr:uid="{00000000-0004-0000-0500-00009D030000}"/>
    <hyperlink ref="G931" r:id="rId927" xr:uid="{00000000-0004-0000-0500-00009E030000}"/>
    <hyperlink ref="G932" r:id="rId928" xr:uid="{00000000-0004-0000-0500-00009F030000}"/>
    <hyperlink ref="G933" r:id="rId929" xr:uid="{00000000-0004-0000-0500-0000A0030000}"/>
    <hyperlink ref="G934" r:id="rId930" xr:uid="{00000000-0004-0000-0500-0000A1030000}"/>
    <hyperlink ref="G935" r:id="rId931" xr:uid="{00000000-0004-0000-0500-0000A2030000}"/>
    <hyperlink ref="G936" r:id="rId932" xr:uid="{00000000-0004-0000-0500-0000A3030000}"/>
    <hyperlink ref="G937" r:id="rId933" xr:uid="{00000000-0004-0000-0500-0000A4030000}"/>
    <hyperlink ref="G938" r:id="rId934" xr:uid="{00000000-0004-0000-0500-0000A5030000}"/>
    <hyperlink ref="G939" r:id="rId935" xr:uid="{00000000-0004-0000-0500-0000A6030000}"/>
    <hyperlink ref="G940" r:id="rId936" xr:uid="{00000000-0004-0000-0500-0000A7030000}"/>
    <hyperlink ref="G941" r:id="rId937" xr:uid="{00000000-0004-0000-0500-0000A8030000}"/>
    <hyperlink ref="G942" r:id="rId938" xr:uid="{00000000-0004-0000-0500-0000A9030000}"/>
    <hyperlink ref="G943" r:id="rId939" xr:uid="{00000000-0004-0000-0500-0000AA030000}"/>
    <hyperlink ref="G944" r:id="rId940" xr:uid="{00000000-0004-0000-0500-0000AB030000}"/>
    <hyperlink ref="G945" r:id="rId941" xr:uid="{00000000-0004-0000-0500-0000AC030000}"/>
    <hyperlink ref="G946" r:id="rId942" xr:uid="{00000000-0004-0000-0500-0000AD030000}"/>
    <hyperlink ref="G947" r:id="rId943" xr:uid="{00000000-0004-0000-0500-0000AE030000}"/>
    <hyperlink ref="G948" r:id="rId944" xr:uid="{00000000-0004-0000-0500-0000AF030000}"/>
    <hyperlink ref="G949" r:id="rId945" xr:uid="{00000000-0004-0000-0500-0000B0030000}"/>
    <hyperlink ref="G950" r:id="rId946" xr:uid="{00000000-0004-0000-0500-0000B1030000}"/>
    <hyperlink ref="G951" r:id="rId947" xr:uid="{00000000-0004-0000-0500-0000B2030000}"/>
    <hyperlink ref="G952" r:id="rId948" xr:uid="{00000000-0004-0000-0500-0000B3030000}"/>
    <hyperlink ref="G953" r:id="rId949" xr:uid="{00000000-0004-0000-0500-0000B4030000}"/>
    <hyperlink ref="G954" r:id="rId950" xr:uid="{00000000-0004-0000-0500-0000B5030000}"/>
    <hyperlink ref="G955" r:id="rId951" xr:uid="{00000000-0004-0000-0500-0000B6030000}"/>
    <hyperlink ref="G956" r:id="rId952" xr:uid="{00000000-0004-0000-0500-0000B7030000}"/>
    <hyperlink ref="G957" r:id="rId953" xr:uid="{00000000-0004-0000-0500-0000B8030000}"/>
    <hyperlink ref="G958" r:id="rId954" xr:uid="{00000000-0004-0000-0500-0000B9030000}"/>
    <hyperlink ref="G959" r:id="rId955" xr:uid="{00000000-0004-0000-0500-0000BA030000}"/>
    <hyperlink ref="G960" r:id="rId956" xr:uid="{00000000-0004-0000-0500-0000BB030000}"/>
    <hyperlink ref="G961" r:id="rId957" xr:uid="{00000000-0004-0000-0500-0000BC030000}"/>
    <hyperlink ref="G962" r:id="rId958" xr:uid="{00000000-0004-0000-0500-0000BD030000}"/>
    <hyperlink ref="G963" r:id="rId959" xr:uid="{00000000-0004-0000-0500-0000BE030000}"/>
    <hyperlink ref="G964" r:id="rId960" xr:uid="{00000000-0004-0000-0500-0000BF030000}"/>
    <hyperlink ref="G965" r:id="rId961" xr:uid="{00000000-0004-0000-0500-0000C0030000}"/>
    <hyperlink ref="G966" r:id="rId962" xr:uid="{00000000-0004-0000-0500-0000C1030000}"/>
    <hyperlink ref="G967" r:id="rId963" xr:uid="{00000000-0004-0000-0500-0000C2030000}"/>
    <hyperlink ref="G968" r:id="rId964" xr:uid="{00000000-0004-0000-0500-0000C3030000}"/>
    <hyperlink ref="G969" r:id="rId965" xr:uid="{00000000-0004-0000-0500-0000C4030000}"/>
    <hyperlink ref="G970" r:id="rId966" xr:uid="{00000000-0004-0000-0500-0000C5030000}"/>
    <hyperlink ref="G971" r:id="rId967" xr:uid="{00000000-0004-0000-0500-0000C6030000}"/>
    <hyperlink ref="G972" r:id="rId968" xr:uid="{00000000-0004-0000-0500-0000C7030000}"/>
    <hyperlink ref="G973" r:id="rId969" xr:uid="{00000000-0004-0000-0500-0000C8030000}"/>
    <hyperlink ref="G974" r:id="rId970" xr:uid="{00000000-0004-0000-0500-0000C9030000}"/>
    <hyperlink ref="G975" r:id="rId971" xr:uid="{00000000-0004-0000-0500-0000CA030000}"/>
    <hyperlink ref="G976" r:id="rId972" xr:uid="{00000000-0004-0000-0500-0000CB030000}"/>
    <hyperlink ref="G977" r:id="rId973" xr:uid="{00000000-0004-0000-0500-0000CC030000}"/>
    <hyperlink ref="G978" r:id="rId974" xr:uid="{00000000-0004-0000-0500-0000CD030000}"/>
    <hyperlink ref="G979" r:id="rId975" xr:uid="{00000000-0004-0000-0500-0000CE030000}"/>
    <hyperlink ref="G980" r:id="rId976" xr:uid="{00000000-0004-0000-0500-0000CF030000}"/>
    <hyperlink ref="G981" r:id="rId977" xr:uid="{00000000-0004-0000-0500-0000D0030000}"/>
    <hyperlink ref="G982" r:id="rId978" xr:uid="{00000000-0004-0000-0500-0000D1030000}"/>
    <hyperlink ref="G983" r:id="rId979" xr:uid="{00000000-0004-0000-0500-0000D2030000}"/>
    <hyperlink ref="G984" r:id="rId980" xr:uid="{00000000-0004-0000-0500-0000D3030000}"/>
    <hyperlink ref="G985" r:id="rId981" xr:uid="{00000000-0004-0000-0500-0000D4030000}"/>
    <hyperlink ref="G986" r:id="rId982" xr:uid="{00000000-0004-0000-0500-0000D5030000}"/>
    <hyperlink ref="G987" r:id="rId983" xr:uid="{00000000-0004-0000-0500-0000D6030000}"/>
    <hyperlink ref="G988" r:id="rId984" xr:uid="{00000000-0004-0000-0500-0000D7030000}"/>
    <hyperlink ref="G989" r:id="rId985" xr:uid="{00000000-0004-0000-0500-0000D8030000}"/>
    <hyperlink ref="G990" r:id="rId986" xr:uid="{00000000-0004-0000-0500-0000D9030000}"/>
    <hyperlink ref="G991" r:id="rId987" xr:uid="{00000000-0004-0000-0500-0000DA030000}"/>
    <hyperlink ref="G992" r:id="rId988" xr:uid="{00000000-0004-0000-0500-0000DB030000}"/>
    <hyperlink ref="G993" r:id="rId989" xr:uid="{00000000-0004-0000-0500-0000DC030000}"/>
    <hyperlink ref="G994" r:id="rId990" xr:uid="{00000000-0004-0000-0500-0000DD030000}"/>
    <hyperlink ref="G995" r:id="rId991" xr:uid="{00000000-0004-0000-0500-0000DE030000}"/>
    <hyperlink ref="G996" r:id="rId992" xr:uid="{00000000-0004-0000-0500-0000DF030000}"/>
    <hyperlink ref="G997" r:id="rId993" xr:uid="{00000000-0004-0000-0500-0000E0030000}"/>
    <hyperlink ref="G998" r:id="rId994" xr:uid="{00000000-0004-0000-0500-0000E1030000}"/>
    <hyperlink ref="G999" r:id="rId995" xr:uid="{00000000-0004-0000-0500-0000E2030000}"/>
    <hyperlink ref="G1000" r:id="rId996" xr:uid="{00000000-0004-0000-0500-0000E3030000}"/>
    <hyperlink ref="G1001" r:id="rId997" xr:uid="{00000000-0004-0000-0500-0000E4030000}"/>
    <hyperlink ref="G1002" r:id="rId998" xr:uid="{00000000-0004-0000-0500-0000E5030000}"/>
    <hyperlink ref="G1003" r:id="rId999" xr:uid="{00000000-0004-0000-0500-0000E6030000}"/>
    <hyperlink ref="G1004" r:id="rId1000" xr:uid="{00000000-0004-0000-0500-0000E7030000}"/>
    <hyperlink ref="G1005" r:id="rId1001" xr:uid="{00000000-0004-0000-0500-0000E8030000}"/>
    <hyperlink ref="G1006" r:id="rId1002" xr:uid="{00000000-0004-0000-0500-0000E9030000}"/>
    <hyperlink ref="G1007" r:id="rId1003" xr:uid="{00000000-0004-0000-0500-0000EA030000}"/>
    <hyperlink ref="G1008" r:id="rId1004" xr:uid="{00000000-0004-0000-0500-0000EB030000}"/>
    <hyperlink ref="G1009" r:id="rId1005" xr:uid="{00000000-0004-0000-0500-0000EC030000}"/>
    <hyperlink ref="G1010" r:id="rId1006" xr:uid="{00000000-0004-0000-0500-0000ED030000}"/>
    <hyperlink ref="G1011" r:id="rId1007" xr:uid="{00000000-0004-0000-0500-0000EE030000}"/>
    <hyperlink ref="G1012" r:id="rId1008" xr:uid="{00000000-0004-0000-0500-0000EF030000}"/>
    <hyperlink ref="G1013" r:id="rId1009" xr:uid="{00000000-0004-0000-0500-0000F0030000}"/>
    <hyperlink ref="G1014" r:id="rId1010" xr:uid="{00000000-0004-0000-0500-0000F1030000}"/>
    <hyperlink ref="G1015" r:id="rId1011" xr:uid="{00000000-0004-0000-0500-0000F2030000}"/>
    <hyperlink ref="G1016" r:id="rId1012" xr:uid="{00000000-0004-0000-0500-0000F3030000}"/>
    <hyperlink ref="G1017" r:id="rId1013" xr:uid="{00000000-0004-0000-0500-0000F4030000}"/>
    <hyperlink ref="G1018" r:id="rId1014" xr:uid="{00000000-0004-0000-0500-0000F5030000}"/>
    <hyperlink ref="G1019" r:id="rId1015" xr:uid="{00000000-0004-0000-0500-0000F6030000}"/>
    <hyperlink ref="G1020" r:id="rId1016" xr:uid="{00000000-0004-0000-0500-0000F7030000}"/>
    <hyperlink ref="G1021" r:id="rId1017" xr:uid="{00000000-0004-0000-0500-0000F8030000}"/>
    <hyperlink ref="G1022" r:id="rId1018" xr:uid="{00000000-0004-0000-0500-0000F9030000}"/>
    <hyperlink ref="G1023" r:id="rId1019" xr:uid="{00000000-0004-0000-0500-0000FA030000}"/>
    <hyperlink ref="G1024" r:id="rId1020" xr:uid="{00000000-0004-0000-0500-0000FB030000}"/>
    <hyperlink ref="G1025" r:id="rId1021" xr:uid="{00000000-0004-0000-0500-0000FC030000}"/>
    <hyperlink ref="G1026" r:id="rId1022" xr:uid="{00000000-0004-0000-0500-0000FD030000}"/>
    <hyperlink ref="G1027" r:id="rId1023" xr:uid="{00000000-0004-0000-0500-0000FE030000}"/>
    <hyperlink ref="G1028" r:id="rId1024" xr:uid="{00000000-0004-0000-0500-0000FF030000}"/>
    <hyperlink ref="G1029" r:id="rId1025" xr:uid="{00000000-0004-0000-0500-000000040000}"/>
    <hyperlink ref="G1030" r:id="rId1026" xr:uid="{00000000-0004-0000-0500-000001040000}"/>
    <hyperlink ref="G1031" r:id="rId1027" xr:uid="{00000000-0004-0000-0500-000002040000}"/>
    <hyperlink ref="G1032" r:id="rId1028" xr:uid="{00000000-0004-0000-0500-000003040000}"/>
    <hyperlink ref="G1033" r:id="rId1029" xr:uid="{00000000-0004-0000-0500-000004040000}"/>
    <hyperlink ref="G1034" r:id="rId1030" xr:uid="{00000000-0004-0000-0500-000005040000}"/>
    <hyperlink ref="G1035" r:id="rId1031" xr:uid="{00000000-0004-0000-0500-000006040000}"/>
    <hyperlink ref="G1036" r:id="rId1032" xr:uid="{00000000-0004-0000-0500-000007040000}"/>
    <hyperlink ref="G1037" r:id="rId1033" xr:uid="{00000000-0004-0000-0500-000008040000}"/>
    <hyperlink ref="G1038" r:id="rId1034" xr:uid="{00000000-0004-0000-0500-000009040000}"/>
    <hyperlink ref="G1039" r:id="rId1035" xr:uid="{00000000-0004-0000-0500-00000A040000}"/>
    <hyperlink ref="G1040" r:id="rId1036" xr:uid="{00000000-0004-0000-0500-00000B040000}"/>
    <hyperlink ref="G1041" r:id="rId1037" xr:uid="{00000000-0004-0000-0500-00000C040000}"/>
    <hyperlink ref="G1042" r:id="rId1038" xr:uid="{00000000-0004-0000-0500-00000D040000}"/>
    <hyperlink ref="G1043" r:id="rId1039" xr:uid="{00000000-0004-0000-0500-00000E040000}"/>
    <hyperlink ref="G1044" r:id="rId1040" xr:uid="{00000000-0004-0000-0500-00000F040000}"/>
    <hyperlink ref="G1045" r:id="rId1041" xr:uid="{00000000-0004-0000-0500-000010040000}"/>
    <hyperlink ref="G1046" r:id="rId1042" xr:uid="{00000000-0004-0000-0500-000011040000}"/>
    <hyperlink ref="G1047" r:id="rId1043" xr:uid="{00000000-0004-0000-0500-000012040000}"/>
    <hyperlink ref="G1048" r:id="rId1044" xr:uid="{00000000-0004-0000-0500-000013040000}"/>
    <hyperlink ref="G1049" r:id="rId1045" xr:uid="{00000000-0004-0000-0500-000014040000}"/>
    <hyperlink ref="G1050" r:id="rId1046" xr:uid="{00000000-0004-0000-0500-000015040000}"/>
    <hyperlink ref="G1051" r:id="rId1047" xr:uid="{00000000-0004-0000-0500-000016040000}"/>
    <hyperlink ref="G1052" r:id="rId1048" xr:uid="{00000000-0004-0000-0500-000017040000}"/>
    <hyperlink ref="G1053" r:id="rId1049" xr:uid="{00000000-0004-0000-0500-000018040000}"/>
    <hyperlink ref="G1054" r:id="rId1050" xr:uid="{00000000-0004-0000-0500-000019040000}"/>
    <hyperlink ref="G1055" r:id="rId1051" xr:uid="{00000000-0004-0000-0500-00001A040000}"/>
    <hyperlink ref="G1056" r:id="rId1052" xr:uid="{00000000-0004-0000-0500-00001B040000}"/>
    <hyperlink ref="G1057" r:id="rId1053" xr:uid="{00000000-0004-0000-0500-00001C040000}"/>
    <hyperlink ref="G1058" r:id="rId1054" xr:uid="{00000000-0004-0000-0500-00001D040000}"/>
    <hyperlink ref="G1059" r:id="rId1055" xr:uid="{00000000-0004-0000-0500-00001E040000}"/>
    <hyperlink ref="G1060" r:id="rId1056" xr:uid="{00000000-0004-0000-0500-00001F040000}"/>
    <hyperlink ref="G1061" r:id="rId1057" xr:uid="{00000000-0004-0000-0500-000020040000}"/>
    <hyperlink ref="G1062" r:id="rId1058" xr:uid="{00000000-0004-0000-0500-000021040000}"/>
    <hyperlink ref="G1063" r:id="rId1059" xr:uid="{00000000-0004-0000-0500-000022040000}"/>
    <hyperlink ref="G1064" r:id="rId1060" xr:uid="{00000000-0004-0000-0500-000023040000}"/>
    <hyperlink ref="G1065" r:id="rId1061" xr:uid="{00000000-0004-0000-0500-000024040000}"/>
    <hyperlink ref="G1066" r:id="rId1062" xr:uid="{00000000-0004-0000-0500-000025040000}"/>
    <hyperlink ref="G1067" r:id="rId1063" xr:uid="{00000000-0004-0000-0500-000026040000}"/>
    <hyperlink ref="G1068" r:id="rId1064" xr:uid="{00000000-0004-0000-0500-000027040000}"/>
    <hyperlink ref="G1069" r:id="rId1065" xr:uid="{00000000-0004-0000-0500-000028040000}"/>
    <hyperlink ref="G1070" r:id="rId1066" xr:uid="{00000000-0004-0000-0500-000029040000}"/>
    <hyperlink ref="G1071" r:id="rId1067" xr:uid="{00000000-0004-0000-0500-00002A040000}"/>
    <hyperlink ref="G1072" r:id="rId1068" xr:uid="{00000000-0004-0000-0500-00002B040000}"/>
    <hyperlink ref="G1073" r:id="rId1069" xr:uid="{00000000-0004-0000-0500-00002C040000}"/>
    <hyperlink ref="G1074" r:id="rId1070" xr:uid="{00000000-0004-0000-0500-00002D040000}"/>
    <hyperlink ref="G1075" r:id="rId1071" xr:uid="{00000000-0004-0000-0500-00002E040000}"/>
    <hyperlink ref="G1076" r:id="rId1072" xr:uid="{00000000-0004-0000-0500-00002F040000}"/>
    <hyperlink ref="G1077" r:id="rId1073" xr:uid="{00000000-0004-0000-0500-000030040000}"/>
    <hyperlink ref="G1078" r:id="rId1074" xr:uid="{00000000-0004-0000-0500-000031040000}"/>
    <hyperlink ref="G1079" r:id="rId1075" xr:uid="{00000000-0004-0000-0500-000032040000}"/>
    <hyperlink ref="G1080" r:id="rId1076" xr:uid="{00000000-0004-0000-0500-000033040000}"/>
    <hyperlink ref="G1081" r:id="rId1077" xr:uid="{00000000-0004-0000-0500-000034040000}"/>
    <hyperlink ref="G1082" r:id="rId1078" xr:uid="{00000000-0004-0000-0500-000035040000}"/>
    <hyperlink ref="G1083" r:id="rId1079" xr:uid="{00000000-0004-0000-0500-000036040000}"/>
    <hyperlink ref="G1084" r:id="rId1080" xr:uid="{00000000-0004-0000-0500-000037040000}"/>
    <hyperlink ref="G1085" r:id="rId1081" xr:uid="{00000000-0004-0000-0500-000038040000}"/>
    <hyperlink ref="G1086" r:id="rId1082" xr:uid="{00000000-0004-0000-0500-000039040000}"/>
    <hyperlink ref="G1087" r:id="rId1083" xr:uid="{00000000-0004-0000-0500-00003A040000}"/>
    <hyperlink ref="G1088" r:id="rId1084" xr:uid="{00000000-0004-0000-0500-00003B040000}"/>
    <hyperlink ref="G1089" r:id="rId1085" xr:uid="{00000000-0004-0000-0500-00003C040000}"/>
    <hyperlink ref="G1090" r:id="rId1086" xr:uid="{00000000-0004-0000-0500-00003D040000}"/>
    <hyperlink ref="G1091" r:id="rId1087" xr:uid="{00000000-0004-0000-0500-00003E040000}"/>
    <hyperlink ref="G1092" r:id="rId1088" xr:uid="{00000000-0004-0000-0500-00003F040000}"/>
    <hyperlink ref="G1093" r:id="rId1089" xr:uid="{00000000-0004-0000-0500-000040040000}"/>
    <hyperlink ref="G1094" r:id="rId1090" xr:uid="{00000000-0004-0000-0500-000041040000}"/>
    <hyperlink ref="G1095" r:id="rId1091" xr:uid="{00000000-0004-0000-0500-000042040000}"/>
    <hyperlink ref="G1096" r:id="rId1092" xr:uid="{00000000-0004-0000-0500-000043040000}"/>
    <hyperlink ref="G1097" r:id="rId1093" xr:uid="{00000000-0004-0000-0500-000044040000}"/>
    <hyperlink ref="G1098" r:id="rId1094" xr:uid="{00000000-0004-0000-0500-000045040000}"/>
    <hyperlink ref="G1099" r:id="rId1095" xr:uid="{00000000-0004-0000-0500-000046040000}"/>
    <hyperlink ref="G1100" r:id="rId1096" xr:uid="{00000000-0004-0000-0500-000047040000}"/>
    <hyperlink ref="G1101" r:id="rId1097" xr:uid="{00000000-0004-0000-0500-000048040000}"/>
    <hyperlink ref="G1102" r:id="rId1098" xr:uid="{00000000-0004-0000-0500-000049040000}"/>
    <hyperlink ref="G1103" r:id="rId1099" xr:uid="{00000000-0004-0000-0500-00004A040000}"/>
    <hyperlink ref="G1104" r:id="rId1100" xr:uid="{00000000-0004-0000-0500-00004B040000}"/>
    <hyperlink ref="G1105" r:id="rId1101" xr:uid="{00000000-0004-0000-0500-00004C040000}"/>
    <hyperlink ref="G1106" r:id="rId1102" xr:uid="{00000000-0004-0000-0500-00004D040000}"/>
    <hyperlink ref="G1107" r:id="rId1103" xr:uid="{00000000-0004-0000-0500-00004E040000}"/>
    <hyperlink ref="G1108" r:id="rId1104" xr:uid="{00000000-0004-0000-0500-00004F040000}"/>
    <hyperlink ref="G1109" r:id="rId1105" xr:uid="{00000000-0004-0000-0500-000050040000}"/>
    <hyperlink ref="G1110" r:id="rId1106" xr:uid="{00000000-0004-0000-0500-000051040000}"/>
    <hyperlink ref="G1111" r:id="rId1107" xr:uid="{00000000-0004-0000-0500-000052040000}"/>
    <hyperlink ref="G1112" r:id="rId1108" xr:uid="{00000000-0004-0000-0500-000053040000}"/>
    <hyperlink ref="G1113" r:id="rId1109" xr:uid="{00000000-0004-0000-0500-000054040000}"/>
    <hyperlink ref="G1114" r:id="rId1110" xr:uid="{00000000-0004-0000-0500-000055040000}"/>
    <hyperlink ref="G1115" r:id="rId1111" xr:uid="{00000000-0004-0000-0500-000056040000}"/>
    <hyperlink ref="G1116" r:id="rId1112" xr:uid="{00000000-0004-0000-0500-000057040000}"/>
    <hyperlink ref="G1117" r:id="rId1113" xr:uid="{00000000-0004-0000-0500-000058040000}"/>
    <hyperlink ref="G1118" r:id="rId1114" xr:uid="{00000000-0004-0000-0500-000059040000}"/>
    <hyperlink ref="G1119" r:id="rId1115" xr:uid="{00000000-0004-0000-0500-00005A040000}"/>
    <hyperlink ref="G1120" r:id="rId1116" xr:uid="{00000000-0004-0000-0500-00005B040000}"/>
    <hyperlink ref="G1121" r:id="rId1117" xr:uid="{00000000-0004-0000-0500-00005C040000}"/>
    <hyperlink ref="G1122" r:id="rId1118" xr:uid="{00000000-0004-0000-0500-00005D040000}"/>
    <hyperlink ref="G1123" r:id="rId1119" xr:uid="{00000000-0004-0000-0500-00005E040000}"/>
    <hyperlink ref="G1124" r:id="rId1120" xr:uid="{00000000-0004-0000-0500-00005F040000}"/>
    <hyperlink ref="G1125" r:id="rId1121" xr:uid="{00000000-0004-0000-0500-000060040000}"/>
    <hyperlink ref="G1126" r:id="rId1122" xr:uid="{00000000-0004-0000-0500-000061040000}"/>
    <hyperlink ref="G1127" r:id="rId1123" xr:uid="{00000000-0004-0000-0500-000062040000}"/>
    <hyperlink ref="G1128" r:id="rId1124" xr:uid="{00000000-0004-0000-0500-000063040000}"/>
    <hyperlink ref="G1129" r:id="rId1125" xr:uid="{00000000-0004-0000-0500-000064040000}"/>
    <hyperlink ref="G1130" r:id="rId1126" xr:uid="{00000000-0004-0000-0500-000065040000}"/>
    <hyperlink ref="G1131" r:id="rId1127" xr:uid="{00000000-0004-0000-0500-000066040000}"/>
    <hyperlink ref="G1132" r:id="rId1128" xr:uid="{00000000-0004-0000-0500-000067040000}"/>
    <hyperlink ref="G1133" r:id="rId1129" xr:uid="{00000000-0004-0000-0500-000068040000}"/>
    <hyperlink ref="G1134" r:id="rId1130" xr:uid="{00000000-0004-0000-0500-000069040000}"/>
    <hyperlink ref="G1135" r:id="rId1131" xr:uid="{00000000-0004-0000-0500-00006A040000}"/>
    <hyperlink ref="G1136" r:id="rId1132" xr:uid="{00000000-0004-0000-0500-00006B040000}"/>
    <hyperlink ref="G1137" r:id="rId1133" xr:uid="{00000000-0004-0000-0500-00006C040000}"/>
    <hyperlink ref="G1138" r:id="rId1134" xr:uid="{00000000-0004-0000-0500-00006D040000}"/>
    <hyperlink ref="G1139" r:id="rId1135" xr:uid="{00000000-0004-0000-0500-00006E040000}"/>
    <hyperlink ref="G1140" r:id="rId1136" xr:uid="{00000000-0004-0000-0500-00006F040000}"/>
    <hyperlink ref="G1141" r:id="rId1137" xr:uid="{00000000-0004-0000-0500-000070040000}"/>
    <hyperlink ref="G1142" r:id="rId1138" xr:uid="{00000000-0004-0000-0500-000071040000}"/>
    <hyperlink ref="G1143" r:id="rId1139" xr:uid="{00000000-0004-0000-0500-000072040000}"/>
    <hyperlink ref="G1144" r:id="rId1140" xr:uid="{00000000-0004-0000-0500-000073040000}"/>
    <hyperlink ref="G1145" r:id="rId1141" xr:uid="{00000000-0004-0000-0500-000074040000}"/>
    <hyperlink ref="G1146" r:id="rId1142" xr:uid="{00000000-0004-0000-0500-000075040000}"/>
    <hyperlink ref="G1147" r:id="rId1143" xr:uid="{00000000-0004-0000-0500-000076040000}"/>
    <hyperlink ref="G1148" r:id="rId1144" xr:uid="{00000000-0004-0000-0500-000077040000}"/>
    <hyperlink ref="G1149" r:id="rId1145" xr:uid="{00000000-0004-0000-0500-000078040000}"/>
    <hyperlink ref="G1150" r:id="rId1146" xr:uid="{00000000-0004-0000-0500-000079040000}"/>
    <hyperlink ref="G1151" r:id="rId1147" xr:uid="{00000000-0004-0000-0500-00007A040000}"/>
    <hyperlink ref="G1152" r:id="rId1148" xr:uid="{00000000-0004-0000-0500-00007B040000}"/>
    <hyperlink ref="G1153" r:id="rId1149" xr:uid="{00000000-0004-0000-0500-00007C040000}"/>
    <hyperlink ref="G1154" r:id="rId1150" xr:uid="{00000000-0004-0000-0500-00007D040000}"/>
    <hyperlink ref="G1155" r:id="rId1151" xr:uid="{00000000-0004-0000-0500-00007E040000}"/>
    <hyperlink ref="G1156" r:id="rId1152" xr:uid="{00000000-0004-0000-0500-00007F040000}"/>
    <hyperlink ref="G1157" r:id="rId1153" xr:uid="{00000000-0004-0000-0500-000080040000}"/>
    <hyperlink ref="G1158" r:id="rId1154" xr:uid="{00000000-0004-0000-0500-000081040000}"/>
    <hyperlink ref="G1159" r:id="rId1155" xr:uid="{00000000-0004-0000-0500-000082040000}"/>
    <hyperlink ref="G1160" r:id="rId1156" xr:uid="{00000000-0004-0000-0500-000083040000}"/>
    <hyperlink ref="G1161" r:id="rId1157" xr:uid="{00000000-0004-0000-0500-000084040000}"/>
    <hyperlink ref="G1162" r:id="rId1158" xr:uid="{00000000-0004-0000-0500-000085040000}"/>
    <hyperlink ref="G1163" r:id="rId1159" xr:uid="{00000000-0004-0000-0500-000086040000}"/>
    <hyperlink ref="G1164" r:id="rId1160" xr:uid="{00000000-0004-0000-0500-000087040000}"/>
    <hyperlink ref="G1165" r:id="rId1161" xr:uid="{00000000-0004-0000-0500-000088040000}"/>
    <hyperlink ref="G1166" r:id="rId1162" xr:uid="{00000000-0004-0000-0500-000089040000}"/>
    <hyperlink ref="G1167" r:id="rId1163" xr:uid="{00000000-0004-0000-0500-00008A040000}"/>
    <hyperlink ref="G1168" r:id="rId1164" xr:uid="{00000000-0004-0000-0500-00008B040000}"/>
    <hyperlink ref="G1169" r:id="rId1165" xr:uid="{00000000-0004-0000-0500-00008C040000}"/>
    <hyperlink ref="G1170" r:id="rId1166" xr:uid="{00000000-0004-0000-0500-00008D040000}"/>
    <hyperlink ref="G1171" r:id="rId1167" xr:uid="{00000000-0004-0000-0500-00008E040000}"/>
    <hyperlink ref="G1172" r:id="rId1168" xr:uid="{00000000-0004-0000-0500-00008F040000}"/>
    <hyperlink ref="G1173" r:id="rId1169" xr:uid="{00000000-0004-0000-0500-000090040000}"/>
    <hyperlink ref="G1174" r:id="rId1170" xr:uid="{00000000-0004-0000-0500-000091040000}"/>
    <hyperlink ref="G1175" r:id="rId1171" xr:uid="{00000000-0004-0000-0500-000092040000}"/>
    <hyperlink ref="G1176" r:id="rId1172" xr:uid="{00000000-0004-0000-0500-000093040000}"/>
    <hyperlink ref="G1177" r:id="rId1173" xr:uid="{00000000-0004-0000-0500-000094040000}"/>
    <hyperlink ref="G1178" r:id="rId1174" xr:uid="{00000000-0004-0000-0500-000095040000}"/>
    <hyperlink ref="G1179" r:id="rId1175" xr:uid="{00000000-0004-0000-0500-000096040000}"/>
    <hyperlink ref="G1180" r:id="rId1176" xr:uid="{00000000-0004-0000-0500-000097040000}"/>
    <hyperlink ref="G1181" r:id="rId1177" xr:uid="{00000000-0004-0000-0500-000098040000}"/>
    <hyperlink ref="G1182" r:id="rId1178" xr:uid="{00000000-0004-0000-0500-000099040000}"/>
    <hyperlink ref="G1183" r:id="rId1179" xr:uid="{00000000-0004-0000-0500-00009A040000}"/>
    <hyperlink ref="G1184" r:id="rId1180" xr:uid="{00000000-0004-0000-0500-00009B040000}"/>
    <hyperlink ref="G1185" r:id="rId1181" xr:uid="{00000000-0004-0000-0500-00009C040000}"/>
    <hyperlink ref="G1186" r:id="rId1182" xr:uid="{00000000-0004-0000-0500-00009D040000}"/>
    <hyperlink ref="G1187" r:id="rId1183" xr:uid="{00000000-0004-0000-0500-00009E040000}"/>
    <hyperlink ref="G1188" r:id="rId1184" xr:uid="{00000000-0004-0000-0500-00009F040000}"/>
    <hyperlink ref="G1189" r:id="rId1185" xr:uid="{00000000-0004-0000-0500-0000A0040000}"/>
    <hyperlink ref="G1190" r:id="rId1186" xr:uid="{00000000-0004-0000-0500-0000A1040000}"/>
    <hyperlink ref="G1191" r:id="rId1187" xr:uid="{00000000-0004-0000-0500-0000A2040000}"/>
    <hyperlink ref="G1192" r:id="rId1188" xr:uid="{00000000-0004-0000-0500-0000A3040000}"/>
    <hyperlink ref="G1193" r:id="rId1189" xr:uid="{00000000-0004-0000-0500-0000A4040000}"/>
    <hyperlink ref="G1194" r:id="rId1190" xr:uid="{00000000-0004-0000-0500-0000A5040000}"/>
    <hyperlink ref="G1195" r:id="rId1191" xr:uid="{00000000-0004-0000-0500-0000A6040000}"/>
    <hyperlink ref="G1196" r:id="rId1192" xr:uid="{00000000-0004-0000-0500-0000A7040000}"/>
    <hyperlink ref="G1197" r:id="rId1193" xr:uid="{00000000-0004-0000-0500-0000A8040000}"/>
    <hyperlink ref="G1198" r:id="rId1194" xr:uid="{00000000-0004-0000-0500-0000A9040000}"/>
    <hyperlink ref="G1199" r:id="rId1195" xr:uid="{00000000-0004-0000-0500-0000AA040000}"/>
    <hyperlink ref="G1200" r:id="rId1196" xr:uid="{00000000-0004-0000-0500-0000AB040000}"/>
    <hyperlink ref="G1201" r:id="rId1197" xr:uid="{00000000-0004-0000-0500-0000AC040000}"/>
    <hyperlink ref="G1202" r:id="rId1198" xr:uid="{00000000-0004-0000-0500-0000AD040000}"/>
    <hyperlink ref="G1203" r:id="rId1199" xr:uid="{00000000-0004-0000-0500-0000AE040000}"/>
    <hyperlink ref="G1204" r:id="rId1200" xr:uid="{00000000-0004-0000-0500-0000AF040000}"/>
    <hyperlink ref="G1205" r:id="rId1201" xr:uid="{00000000-0004-0000-0500-0000B0040000}"/>
    <hyperlink ref="G1206" r:id="rId1202" xr:uid="{00000000-0004-0000-0500-0000B1040000}"/>
    <hyperlink ref="G1207" r:id="rId1203" xr:uid="{00000000-0004-0000-0500-0000B2040000}"/>
    <hyperlink ref="G1208" r:id="rId1204" xr:uid="{00000000-0004-0000-0500-0000B3040000}"/>
    <hyperlink ref="G1209" r:id="rId1205" xr:uid="{00000000-0004-0000-0500-0000B4040000}"/>
    <hyperlink ref="G1210" r:id="rId1206" xr:uid="{00000000-0004-0000-0500-0000B5040000}"/>
    <hyperlink ref="G1211" r:id="rId1207" xr:uid="{00000000-0004-0000-0500-0000B6040000}"/>
    <hyperlink ref="G1212" r:id="rId1208" xr:uid="{00000000-0004-0000-0500-0000B7040000}"/>
    <hyperlink ref="G1213" r:id="rId1209" xr:uid="{00000000-0004-0000-0500-0000B8040000}"/>
    <hyperlink ref="G1214" r:id="rId1210" xr:uid="{00000000-0004-0000-0500-0000B9040000}"/>
    <hyperlink ref="G1215" r:id="rId1211" xr:uid="{00000000-0004-0000-0500-0000BA040000}"/>
    <hyperlink ref="G1216" r:id="rId1212" xr:uid="{00000000-0004-0000-0500-0000BB040000}"/>
    <hyperlink ref="G1217" r:id="rId1213" xr:uid="{00000000-0004-0000-0500-0000BC040000}"/>
    <hyperlink ref="G1218" r:id="rId1214" xr:uid="{00000000-0004-0000-0500-0000BD040000}"/>
    <hyperlink ref="G1219" r:id="rId1215" xr:uid="{00000000-0004-0000-0500-0000BE040000}"/>
    <hyperlink ref="G1220" r:id="rId1216" xr:uid="{00000000-0004-0000-0500-0000BF040000}"/>
    <hyperlink ref="G1221" r:id="rId1217" xr:uid="{00000000-0004-0000-0500-0000C0040000}"/>
    <hyperlink ref="G1222" r:id="rId1218" xr:uid="{00000000-0004-0000-0500-0000C1040000}"/>
    <hyperlink ref="G1223" r:id="rId1219" xr:uid="{00000000-0004-0000-0500-0000C2040000}"/>
    <hyperlink ref="G1224" r:id="rId1220" xr:uid="{00000000-0004-0000-0500-0000C3040000}"/>
    <hyperlink ref="G1225" r:id="rId1221" xr:uid="{00000000-0004-0000-0500-0000C4040000}"/>
    <hyperlink ref="G1226" r:id="rId1222" xr:uid="{00000000-0004-0000-0500-0000C5040000}"/>
    <hyperlink ref="G1227" r:id="rId1223" xr:uid="{00000000-0004-0000-0500-0000C6040000}"/>
    <hyperlink ref="G1228" r:id="rId1224" xr:uid="{00000000-0004-0000-0500-0000C7040000}"/>
    <hyperlink ref="G1229" r:id="rId1225" xr:uid="{00000000-0004-0000-0500-0000C8040000}"/>
    <hyperlink ref="G1230" r:id="rId1226" xr:uid="{00000000-0004-0000-0500-0000C9040000}"/>
    <hyperlink ref="G1231" r:id="rId1227" xr:uid="{00000000-0004-0000-0500-0000CA040000}"/>
    <hyperlink ref="G1232" r:id="rId1228" xr:uid="{00000000-0004-0000-0500-0000CB040000}"/>
    <hyperlink ref="G1233" r:id="rId1229" xr:uid="{00000000-0004-0000-0500-0000CC040000}"/>
    <hyperlink ref="G1234" r:id="rId1230" xr:uid="{00000000-0004-0000-0500-0000CD040000}"/>
    <hyperlink ref="G1235" r:id="rId1231" xr:uid="{00000000-0004-0000-0500-0000CE040000}"/>
    <hyperlink ref="G1236" r:id="rId1232" xr:uid="{00000000-0004-0000-0500-0000CF040000}"/>
    <hyperlink ref="G1237" r:id="rId1233" xr:uid="{00000000-0004-0000-0500-0000D0040000}"/>
    <hyperlink ref="G1238" r:id="rId1234" xr:uid="{00000000-0004-0000-0500-0000D1040000}"/>
    <hyperlink ref="G1239" r:id="rId1235" xr:uid="{00000000-0004-0000-0500-0000D2040000}"/>
    <hyperlink ref="G1240" r:id="rId1236" xr:uid="{00000000-0004-0000-0500-0000D3040000}"/>
    <hyperlink ref="G1241" r:id="rId1237" xr:uid="{00000000-0004-0000-0500-0000D4040000}"/>
    <hyperlink ref="G1242" r:id="rId1238" xr:uid="{00000000-0004-0000-0500-0000D5040000}"/>
    <hyperlink ref="G1243" r:id="rId1239" xr:uid="{00000000-0004-0000-0500-0000D6040000}"/>
    <hyperlink ref="G1244" r:id="rId1240" xr:uid="{00000000-0004-0000-0500-0000D7040000}"/>
    <hyperlink ref="G1245" r:id="rId1241" xr:uid="{00000000-0004-0000-0500-0000D8040000}"/>
    <hyperlink ref="G1246" r:id="rId1242" xr:uid="{00000000-0004-0000-0500-0000D9040000}"/>
    <hyperlink ref="G1247" r:id="rId1243" xr:uid="{00000000-0004-0000-0500-0000DA040000}"/>
    <hyperlink ref="G1248" r:id="rId1244" xr:uid="{00000000-0004-0000-0500-0000DB040000}"/>
    <hyperlink ref="G1249" r:id="rId1245" xr:uid="{00000000-0004-0000-0500-0000DC040000}"/>
    <hyperlink ref="G1250" r:id="rId1246" xr:uid="{00000000-0004-0000-0500-0000DD040000}"/>
    <hyperlink ref="G1251" r:id="rId1247" xr:uid="{00000000-0004-0000-0500-0000DE040000}"/>
    <hyperlink ref="G1252" r:id="rId1248" xr:uid="{00000000-0004-0000-0500-0000DF040000}"/>
    <hyperlink ref="G1253" r:id="rId1249" xr:uid="{00000000-0004-0000-0500-0000E0040000}"/>
    <hyperlink ref="G1254" r:id="rId1250" xr:uid="{00000000-0004-0000-0500-0000E1040000}"/>
    <hyperlink ref="G1255" r:id="rId1251" xr:uid="{00000000-0004-0000-0500-0000E2040000}"/>
    <hyperlink ref="G1256" r:id="rId1252" xr:uid="{00000000-0004-0000-0500-0000E3040000}"/>
    <hyperlink ref="G1257" r:id="rId1253" xr:uid="{00000000-0004-0000-0500-0000E4040000}"/>
    <hyperlink ref="G1258" r:id="rId1254" xr:uid="{00000000-0004-0000-0500-0000E5040000}"/>
    <hyperlink ref="G1259" r:id="rId1255" xr:uid="{00000000-0004-0000-0500-0000E6040000}"/>
    <hyperlink ref="G1260" r:id="rId1256" xr:uid="{00000000-0004-0000-0500-0000E7040000}"/>
    <hyperlink ref="G1261" r:id="rId1257" xr:uid="{00000000-0004-0000-0500-0000E8040000}"/>
    <hyperlink ref="G1262" r:id="rId1258" xr:uid="{00000000-0004-0000-0500-0000E9040000}"/>
    <hyperlink ref="G1263" r:id="rId1259" xr:uid="{00000000-0004-0000-0500-0000EA040000}"/>
    <hyperlink ref="G1264" r:id="rId1260" xr:uid="{00000000-0004-0000-0500-0000EB040000}"/>
    <hyperlink ref="G1265" r:id="rId1261" xr:uid="{00000000-0004-0000-0500-0000EC040000}"/>
    <hyperlink ref="G1266" r:id="rId1262" xr:uid="{00000000-0004-0000-0500-0000ED040000}"/>
    <hyperlink ref="G1267" r:id="rId1263" xr:uid="{00000000-0004-0000-0500-0000EE040000}"/>
    <hyperlink ref="G1268" r:id="rId1264" xr:uid="{00000000-0004-0000-0500-0000EF040000}"/>
    <hyperlink ref="G1269" r:id="rId1265" xr:uid="{00000000-0004-0000-0500-0000F0040000}"/>
    <hyperlink ref="G1270" r:id="rId1266" xr:uid="{00000000-0004-0000-0500-0000F1040000}"/>
    <hyperlink ref="G1271" r:id="rId1267" xr:uid="{00000000-0004-0000-0500-0000F2040000}"/>
    <hyperlink ref="G1272" r:id="rId1268" xr:uid="{00000000-0004-0000-0500-0000F3040000}"/>
    <hyperlink ref="G1273" r:id="rId1269" xr:uid="{00000000-0004-0000-0500-0000F4040000}"/>
    <hyperlink ref="G1274" r:id="rId1270" xr:uid="{00000000-0004-0000-0500-0000F5040000}"/>
    <hyperlink ref="G1275" r:id="rId1271" xr:uid="{00000000-0004-0000-0500-0000F6040000}"/>
    <hyperlink ref="G1276" r:id="rId1272" xr:uid="{00000000-0004-0000-0500-0000F7040000}"/>
    <hyperlink ref="G1277" r:id="rId1273" xr:uid="{00000000-0004-0000-0500-0000F8040000}"/>
    <hyperlink ref="G1278" r:id="rId1274" xr:uid="{00000000-0004-0000-0500-0000F9040000}"/>
    <hyperlink ref="G1279" r:id="rId1275" xr:uid="{00000000-0004-0000-0500-0000FA040000}"/>
    <hyperlink ref="G1280" r:id="rId1276" xr:uid="{00000000-0004-0000-0500-0000FB040000}"/>
    <hyperlink ref="G1281" r:id="rId1277" xr:uid="{00000000-0004-0000-0500-0000FC040000}"/>
    <hyperlink ref="G1282" r:id="rId1278" xr:uid="{00000000-0004-0000-0500-0000FD040000}"/>
    <hyperlink ref="G1283" r:id="rId1279" xr:uid="{00000000-0004-0000-0500-0000FE040000}"/>
    <hyperlink ref="G1284" r:id="rId1280" xr:uid="{00000000-0004-0000-0500-0000FF040000}"/>
    <hyperlink ref="G1285" r:id="rId1281" xr:uid="{00000000-0004-0000-0500-000000050000}"/>
    <hyperlink ref="G1286" r:id="rId1282" xr:uid="{00000000-0004-0000-0500-000001050000}"/>
    <hyperlink ref="G1287" r:id="rId1283" xr:uid="{00000000-0004-0000-0500-000002050000}"/>
    <hyperlink ref="G1288" r:id="rId1284" xr:uid="{00000000-0004-0000-0500-000003050000}"/>
    <hyperlink ref="G1289" r:id="rId1285" xr:uid="{00000000-0004-0000-0500-000004050000}"/>
    <hyperlink ref="G1290" r:id="rId1286" xr:uid="{00000000-0004-0000-0500-000005050000}"/>
    <hyperlink ref="G1291" r:id="rId1287" xr:uid="{00000000-0004-0000-0500-000006050000}"/>
    <hyperlink ref="G1292" r:id="rId1288" xr:uid="{00000000-0004-0000-0500-000007050000}"/>
    <hyperlink ref="G1293" r:id="rId1289" xr:uid="{00000000-0004-0000-0500-000008050000}"/>
    <hyperlink ref="G1294" r:id="rId1290" xr:uid="{00000000-0004-0000-0500-000009050000}"/>
    <hyperlink ref="G1295" r:id="rId1291" xr:uid="{00000000-0004-0000-0500-00000A050000}"/>
    <hyperlink ref="G1296" r:id="rId1292" xr:uid="{00000000-0004-0000-0500-00000B050000}"/>
    <hyperlink ref="G1297" r:id="rId1293" xr:uid="{00000000-0004-0000-0500-00000C050000}"/>
    <hyperlink ref="G1298" r:id="rId1294" xr:uid="{00000000-0004-0000-0500-00000D050000}"/>
    <hyperlink ref="G1299" r:id="rId1295" xr:uid="{00000000-0004-0000-0500-00000E050000}"/>
    <hyperlink ref="G1300" r:id="rId1296" xr:uid="{00000000-0004-0000-0500-00000F050000}"/>
    <hyperlink ref="G1301" r:id="rId1297" xr:uid="{00000000-0004-0000-0500-000010050000}"/>
    <hyperlink ref="G1302" r:id="rId1298" xr:uid="{00000000-0004-0000-0500-000011050000}"/>
    <hyperlink ref="G1303" r:id="rId1299" xr:uid="{00000000-0004-0000-0500-000012050000}"/>
    <hyperlink ref="G1304" r:id="rId1300" xr:uid="{00000000-0004-0000-0500-000013050000}"/>
    <hyperlink ref="G1305" r:id="rId1301" xr:uid="{00000000-0004-0000-0500-000014050000}"/>
    <hyperlink ref="G1306" r:id="rId1302" xr:uid="{00000000-0004-0000-0500-000015050000}"/>
    <hyperlink ref="G1307" r:id="rId1303" xr:uid="{00000000-0004-0000-0500-000016050000}"/>
    <hyperlink ref="G1308" r:id="rId1304" xr:uid="{00000000-0004-0000-0500-000017050000}"/>
    <hyperlink ref="G1309" r:id="rId1305" xr:uid="{00000000-0004-0000-0500-000018050000}"/>
    <hyperlink ref="G1310" r:id="rId1306" xr:uid="{00000000-0004-0000-0500-000019050000}"/>
    <hyperlink ref="G1311" r:id="rId1307" xr:uid="{00000000-0004-0000-0500-00001A050000}"/>
    <hyperlink ref="G1312" r:id="rId1308" xr:uid="{00000000-0004-0000-0500-00001B050000}"/>
    <hyperlink ref="G1313" r:id="rId1309" xr:uid="{00000000-0004-0000-0500-00001C050000}"/>
    <hyperlink ref="G1314" r:id="rId1310" xr:uid="{00000000-0004-0000-0500-00001D050000}"/>
    <hyperlink ref="G1315" r:id="rId1311" xr:uid="{00000000-0004-0000-0500-00001E050000}"/>
    <hyperlink ref="G1316" r:id="rId1312" xr:uid="{00000000-0004-0000-0500-00001F050000}"/>
    <hyperlink ref="G1317" r:id="rId1313" xr:uid="{00000000-0004-0000-0500-000020050000}"/>
    <hyperlink ref="G1318" r:id="rId1314" xr:uid="{00000000-0004-0000-0500-000021050000}"/>
    <hyperlink ref="G1319" r:id="rId1315" xr:uid="{00000000-0004-0000-0500-000022050000}"/>
    <hyperlink ref="G1320" r:id="rId1316" xr:uid="{00000000-0004-0000-0500-000023050000}"/>
    <hyperlink ref="G1321" r:id="rId1317" xr:uid="{00000000-0004-0000-0500-000024050000}"/>
    <hyperlink ref="G1322" r:id="rId1318" xr:uid="{00000000-0004-0000-0500-000025050000}"/>
    <hyperlink ref="G1323" r:id="rId1319" xr:uid="{00000000-0004-0000-0500-000026050000}"/>
    <hyperlink ref="G1324" r:id="rId1320" xr:uid="{00000000-0004-0000-0500-000027050000}"/>
    <hyperlink ref="G1325" r:id="rId1321" xr:uid="{00000000-0004-0000-0500-000028050000}"/>
    <hyperlink ref="G1326" r:id="rId1322" xr:uid="{00000000-0004-0000-0500-000029050000}"/>
    <hyperlink ref="G1327" r:id="rId1323" xr:uid="{00000000-0004-0000-0500-00002A050000}"/>
    <hyperlink ref="G1328" r:id="rId1324" xr:uid="{00000000-0004-0000-0500-00002B050000}"/>
    <hyperlink ref="G1329" r:id="rId1325" xr:uid="{00000000-0004-0000-0500-00002C050000}"/>
    <hyperlink ref="G1330" r:id="rId1326" xr:uid="{00000000-0004-0000-0500-00002D050000}"/>
    <hyperlink ref="G1331" r:id="rId1327" xr:uid="{00000000-0004-0000-0500-00002E050000}"/>
    <hyperlink ref="G1332" r:id="rId1328" xr:uid="{00000000-0004-0000-0500-00002F050000}"/>
    <hyperlink ref="G1333" r:id="rId1329" xr:uid="{00000000-0004-0000-0500-000030050000}"/>
    <hyperlink ref="G1334" r:id="rId1330" xr:uid="{00000000-0004-0000-0500-000031050000}"/>
    <hyperlink ref="G1335" r:id="rId1331" xr:uid="{00000000-0004-0000-0500-000032050000}"/>
    <hyperlink ref="G1336" r:id="rId1332" xr:uid="{00000000-0004-0000-0500-000033050000}"/>
    <hyperlink ref="G1337" r:id="rId1333" xr:uid="{00000000-0004-0000-0500-000034050000}"/>
    <hyperlink ref="G1338" r:id="rId1334" xr:uid="{00000000-0004-0000-0500-000035050000}"/>
    <hyperlink ref="G1339" r:id="rId1335" xr:uid="{00000000-0004-0000-0500-000036050000}"/>
    <hyperlink ref="G1340" r:id="rId1336" xr:uid="{00000000-0004-0000-0500-000037050000}"/>
    <hyperlink ref="G1341" r:id="rId1337" xr:uid="{00000000-0004-0000-0500-000038050000}"/>
    <hyperlink ref="G1342" r:id="rId1338" xr:uid="{00000000-0004-0000-0500-000039050000}"/>
    <hyperlink ref="G1343" r:id="rId1339" xr:uid="{00000000-0004-0000-0500-00003A050000}"/>
    <hyperlink ref="G1344" r:id="rId1340" xr:uid="{00000000-0004-0000-0500-00003B050000}"/>
    <hyperlink ref="G1345" r:id="rId1341" xr:uid="{00000000-0004-0000-0500-00003C050000}"/>
    <hyperlink ref="G1346" r:id="rId1342" xr:uid="{00000000-0004-0000-0500-00003D050000}"/>
    <hyperlink ref="G1347" r:id="rId1343" xr:uid="{00000000-0004-0000-0500-00003E050000}"/>
    <hyperlink ref="G1348" r:id="rId1344" xr:uid="{00000000-0004-0000-0500-00003F050000}"/>
    <hyperlink ref="G1349" r:id="rId1345" xr:uid="{00000000-0004-0000-0500-000040050000}"/>
    <hyperlink ref="G1350" r:id="rId1346" xr:uid="{00000000-0004-0000-0500-000041050000}"/>
    <hyperlink ref="G1351" r:id="rId1347" xr:uid="{00000000-0004-0000-0500-000042050000}"/>
    <hyperlink ref="G1352" r:id="rId1348" xr:uid="{00000000-0004-0000-0500-000043050000}"/>
    <hyperlink ref="G1353" r:id="rId1349" xr:uid="{00000000-0004-0000-0500-000044050000}"/>
    <hyperlink ref="G1354" r:id="rId1350" xr:uid="{00000000-0004-0000-0500-000045050000}"/>
    <hyperlink ref="G1355" r:id="rId1351" xr:uid="{00000000-0004-0000-0500-000046050000}"/>
    <hyperlink ref="G1356" r:id="rId1352" xr:uid="{00000000-0004-0000-0500-000047050000}"/>
    <hyperlink ref="G1357" r:id="rId1353" xr:uid="{00000000-0004-0000-0500-000048050000}"/>
    <hyperlink ref="G1358" r:id="rId1354" xr:uid="{00000000-0004-0000-0500-000049050000}"/>
    <hyperlink ref="G1359" r:id="rId1355" xr:uid="{00000000-0004-0000-0500-00004A050000}"/>
    <hyperlink ref="G1360" r:id="rId1356" xr:uid="{00000000-0004-0000-0500-00004B050000}"/>
    <hyperlink ref="G1361" r:id="rId1357" xr:uid="{00000000-0004-0000-0500-00004C050000}"/>
    <hyperlink ref="G1362" r:id="rId1358" xr:uid="{00000000-0004-0000-0500-00004D050000}"/>
    <hyperlink ref="G1363" r:id="rId1359" xr:uid="{00000000-0004-0000-0500-00004E050000}"/>
    <hyperlink ref="G1364" r:id="rId1360" xr:uid="{00000000-0004-0000-0500-00004F050000}"/>
    <hyperlink ref="G1365" r:id="rId1361" xr:uid="{00000000-0004-0000-0500-000050050000}"/>
    <hyperlink ref="G1366" r:id="rId1362" xr:uid="{00000000-0004-0000-0500-000051050000}"/>
    <hyperlink ref="G1367" r:id="rId1363" xr:uid="{00000000-0004-0000-0500-000052050000}"/>
    <hyperlink ref="G1368" r:id="rId1364" xr:uid="{00000000-0004-0000-0500-000053050000}"/>
    <hyperlink ref="G1369" r:id="rId1365" xr:uid="{00000000-0004-0000-0500-000054050000}"/>
    <hyperlink ref="G1370" r:id="rId1366" xr:uid="{00000000-0004-0000-0500-000055050000}"/>
    <hyperlink ref="G1371" r:id="rId1367" xr:uid="{00000000-0004-0000-0500-000056050000}"/>
    <hyperlink ref="G1372" r:id="rId1368" xr:uid="{00000000-0004-0000-0500-000057050000}"/>
    <hyperlink ref="G1373" r:id="rId1369" xr:uid="{00000000-0004-0000-0500-000058050000}"/>
    <hyperlink ref="G1374" r:id="rId1370" xr:uid="{00000000-0004-0000-0500-000059050000}"/>
    <hyperlink ref="G1375" r:id="rId1371" xr:uid="{00000000-0004-0000-0500-00005A050000}"/>
    <hyperlink ref="G1376" r:id="rId1372" xr:uid="{00000000-0004-0000-0500-00005B050000}"/>
    <hyperlink ref="G1377" r:id="rId1373" xr:uid="{00000000-0004-0000-0500-00005C050000}"/>
    <hyperlink ref="G1378" r:id="rId1374" xr:uid="{00000000-0004-0000-0500-00005D050000}"/>
    <hyperlink ref="G1379" r:id="rId1375" xr:uid="{00000000-0004-0000-0500-00005E050000}"/>
    <hyperlink ref="G1380" r:id="rId1376" xr:uid="{00000000-0004-0000-0500-00005F050000}"/>
    <hyperlink ref="G1381" r:id="rId1377" xr:uid="{00000000-0004-0000-0500-000060050000}"/>
    <hyperlink ref="G1382" r:id="rId1378" xr:uid="{00000000-0004-0000-0500-000061050000}"/>
    <hyperlink ref="G1383" r:id="rId1379" xr:uid="{00000000-0004-0000-0500-000062050000}"/>
    <hyperlink ref="G1384" r:id="rId1380" xr:uid="{00000000-0004-0000-0500-000063050000}"/>
    <hyperlink ref="G1385" r:id="rId1381" xr:uid="{00000000-0004-0000-0500-000064050000}"/>
    <hyperlink ref="G1386" r:id="rId1382" xr:uid="{00000000-0004-0000-0500-000065050000}"/>
    <hyperlink ref="G1387" r:id="rId1383" xr:uid="{00000000-0004-0000-0500-000066050000}"/>
    <hyperlink ref="G1388" r:id="rId1384" xr:uid="{00000000-0004-0000-0500-000067050000}"/>
    <hyperlink ref="G1389" r:id="rId1385" xr:uid="{00000000-0004-0000-0500-000068050000}"/>
    <hyperlink ref="G1390" r:id="rId1386" xr:uid="{00000000-0004-0000-0500-000069050000}"/>
    <hyperlink ref="G1391" r:id="rId1387" xr:uid="{00000000-0004-0000-0500-00006A050000}"/>
    <hyperlink ref="G1392" r:id="rId1388" xr:uid="{00000000-0004-0000-0500-00006B050000}"/>
    <hyperlink ref="G1393" r:id="rId1389" xr:uid="{00000000-0004-0000-0500-00006C050000}"/>
    <hyperlink ref="G1394" r:id="rId1390" xr:uid="{00000000-0004-0000-0500-00006D050000}"/>
    <hyperlink ref="G1395" r:id="rId1391" xr:uid="{00000000-0004-0000-0500-00006E050000}"/>
    <hyperlink ref="G1396" r:id="rId1392" xr:uid="{00000000-0004-0000-0500-00006F050000}"/>
    <hyperlink ref="G1397" r:id="rId1393" xr:uid="{00000000-0004-0000-0500-000070050000}"/>
    <hyperlink ref="G1398" r:id="rId1394" xr:uid="{00000000-0004-0000-0500-000071050000}"/>
    <hyperlink ref="G1399" r:id="rId1395" xr:uid="{00000000-0004-0000-0500-000072050000}"/>
    <hyperlink ref="G1400" r:id="rId1396" xr:uid="{00000000-0004-0000-0500-000073050000}"/>
    <hyperlink ref="G1401" r:id="rId1397" xr:uid="{00000000-0004-0000-0500-000074050000}"/>
    <hyperlink ref="G1402" r:id="rId1398" xr:uid="{00000000-0004-0000-0500-000075050000}"/>
    <hyperlink ref="G1403" r:id="rId1399" xr:uid="{00000000-0004-0000-0500-000076050000}"/>
    <hyperlink ref="G1404" r:id="rId1400" xr:uid="{00000000-0004-0000-0500-000077050000}"/>
    <hyperlink ref="G1405" r:id="rId1401" xr:uid="{00000000-0004-0000-0500-000078050000}"/>
    <hyperlink ref="G1406" r:id="rId1402" xr:uid="{00000000-0004-0000-0500-000079050000}"/>
    <hyperlink ref="G1407" r:id="rId1403" xr:uid="{00000000-0004-0000-0500-00007A050000}"/>
    <hyperlink ref="G1408" r:id="rId1404" xr:uid="{00000000-0004-0000-0500-00007B050000}"/>
    <hyperlink ref="G1409" r:id="rId1405" xr:uid="{00000000-0004-0000-0500-00007C050000}"/>
    <hyperlink ref="G1410" r:id="rId1406" xr:uid="{00000000-0004-0000-0500-00007D050000}"/>
    <hyperlink ref="G1411" r:id="rId1407" xr:uid="{00000000-0004-0000-0500-00007E050000}"/>
    <hyperlink ref="G1412" r:id="rId1408" xr:uid="{00000000-0004-0000-0500-00007F050000}"/>
    <hyperlink ref="G1413" r:id="rId1409" xr:uid="{00000000-0004-0000-0500-000080050000}"/>
    <hyperlink ref="G1414" r:id="rId1410" xr:uid="{00000000-0004-0000-0500-000081050000}"/>
    <hyperlink ref="G1415" r:id="rId1411" xr:uid="{00000000-0004-0000-0500-000082050000}"/>
    <hyperlink ref="G1416" r:id="rId1412" xr:uid="{00000000-0004-0000-0500-000083050000}"/>
    <hyperlink ref="G1417" r:id="rId1413" xr:uid="{00000000-0004-0000-0500-000084050000}"/>
    <hyperlink ref="G1418" r:id="rId1414" xr:uid="{00000000-0004-0000-0500-000085050000}"/>
    <hyperlink ref="G1419" r:id="rId1415" xr:uid="{00000000-0004-0000-0500-000086050000}"/>
    <hyperlink ref="G1420" r:id="rId1416" xr:uid="{00000000-0004-0000-0500-000087050000}"/>
    <hyperlink ref="G1421" r:id="rId1417" xr:uid="{00000000-0004-0000-0500-000088050000}"/>
    <hyperlink ref="G1422" r:id="rId1418" xr:uid="{00000000-0004-0000-0500-000089050000}"/>
    <hyperlink ref="G1423" r:id="rId1419" xr:uid="{00000000-0004-0000-0500-00008A050000}"/>
    <hyperlink ref="G1424" r:id="rId1420" xr:uid="{00000000-0004-0000-0500-00008B050000}"/>
    <hyperlink ref="G1425" r:id="rId1421" xr:uid="{00000000-0004-0000-0500-00008C050000}"/>
    <hyperlink ref="G1426" r:id="rId1422" xr:uid="{00000000-0004-0000-0500-00008D050000}"/>
    <hyperlink ref="G1427" r:id="rId1423" xr:uid="{00000000-0004-0000-0500-00008E050000}"/>
    <hyperlink ref="G1428" r:id="rId1424" xr:uid="{00000000-0004-0000-0500-00008F050000}"/>
    <hyperlink ref="G1429" r:id="rId1425" xr:uid="{00000000-0004-0000-0500-000090050000}"/>
    <hyperlink ref="G1430" r:id="rId1426" xr:uid="{00000000-0004-0000-0500-000091050000}"/>
    <hyperlink ref="G1431" r:id="rId1427" xr:uid="{00000000-0004-0000-0500-000092050000}"/>
    <hyperlink ref="G1432" r:id="rId1428" xr:uid="{00000000-0004-0000-0500-000093050000}"/>
    <hyperlink ref="G1433" r:id="rId1429" xr:uid="{00000000-0004-0000-0500-000094050000}"/>
    <hyperlink ref="G1434" r:id="rId1430" xr:uid="{00000000-0004-0000-0500-000095050000}"/>
    <hyperlink ref="G1435" r:id="rId1431" xr:uid="{00000000-0004-0000-0500-000096050000}"/>
    <hyperlink ref="G1436" r:id="rId1432" xr:uid="{00000000-0004-0000-0500-000097050000}"/>
    <hyperlink ref="G1437" r:id="rId1433" xr:uid="{00000000-0004-0000-0500-000098050000}"/>
    <hyperlink ref="G1438" r:id="rId1434" xr:uid="{00000000-0004-0000-0500-000099050000}"/>
    <hyperlink ref="G1439" r:id="rId1435" xr:uid="{00000000-0004-0000-0500-00009A050000}"/>
    <hyperlink ref="G1440" r:id="rId1436" xr:uid="{00000000-0004-0000-0500-00009B050000}"/>
    <hyperlink ref="G1441" r:id="rId1437" xr:uid="{00000000-0004-0000-0500-00009C050000}"/>
    <hyperlink ref="G1442" r:id="rId1438" xr:uid="{00000000-0004-0000-0500-00009D050000}"/>
    <hyperlink ref="G1443" r:id="rId1439" xr:uid="{00000000-0004-0000-0500-00009E050000}"/>
    <hyperlink ref="G1444" r:id="rId1440" xr:uid="{00000000-0004-0000-0500-00009F050000}"/>
    <hyperlink ref="G1445" r:id="rId1441" xr:uid="{00000000-0004-0000-0500-0000A0050000}"/>
    <hyperlink ref="G1446" r:id="rId1442" xr:uid="{00000000-0004-0000-0500-0000A1050000}"/>
    <hyperlink ref="G1447" r:id="rId1443" xr:uid="{00000000-0004-0000-0500-0000A2050000}"/>
    <hyperlink ref="G1448" r:id="rId1444" xr:uid="{00000000-0004-0000-0500-0000A3050000}"/>
    <hyperlink ref="G1449" r:id="rId1445" xr:uid="{00000000-0004-0000-0500-0000A4050000}"/>
    <hyperlink ref="G1450" r:id="rId1446" xr:uid="{00000000-0004-0000-0500-0000A5050000}"/>
    <hyperlink ref="G1451" r:id="rId1447" xr:uid="{00000000-0004-0000-0500-0000A6050000}"/>
    <hyperlink ref="G1452" r:id="rId1448" xr:uid="{00000000-0004-0000-0500-0000A7050000}"/>
    <hyperlink ref="G1453" r:id="rId1449" xr:uid="{00000000-0004-0000-0500-0000A8050000}"/>
    <hyperlink ref="G1454" r:id="rId1450" xr:uid="{00000000-0004-0000-0500-0000A9050000}"/>
    <hyperlink ref="G1455" r:id="rId1451" xr:uid="{00000000-0004-0000-0500-0000AA050000}"/>
    <hyperlink ref="G1456" r:id="rId1452" xr:uid="{00000000-0004-0000-0500-0000AB050000}"/>
    <hyperlink ref="G1457" r:id="rId1453" xr:uid="{00000000-0004-0000-0500-0000AC050000}"/>
    <hyperlink ref="G1458" r:id="rId1454" xr:uid="{00000000-0004-0000-0500-0000AD050000}"/>
    <hyperlink ref="G1459" r:id="rId1455" xr:uid="{00000000-0004-0000-0500-0000AE050000}"/>
    <hyperlink ref="G1460" r:id="rId1456" xr:uid="{00000000-0004-0000-0500-0000AF050000}"/>
    <hyperlink ref="G1461" r:id="rId1457" xr:uid="{00000000-0004-0000-0500-0000B0050000}"/>
    <hyperlink ref="G1462" r:id="rId1458" xr:uid="{00000000-0004-0000-0500-0000B1050000}"/>
    <hyperlink ref="G1463" r:id="rId1459" xr:uid="{00000000-0004-0000-0500-0000B2050000}"/>
    <hyperlink ref="G1464" r:id="rId1460" xr:uid="{00000000-0004-0000-0500-0000B3050000}"/>
    <hyperlink ref="G1465" r:id="rId1461" xr:uid="{00000000-0004-0000-0500-0000B4050000}"/>
    <hyperlink ref="G1466" r:id="rId1462" xr:uid="{00000000-0004-0000-0500-0000B5050000}"/>
    <hyperlink ref="G1467" r:id="rId1463" xr:uid="{00000000-0004-0000-0500-0000B6050000}"/>
    <hyperlink ref="G1468" r:id="rId1464" xr:uid="{00000000-0004-0000-0500-0000B7050000}"/>
    <hyperlink ref="G1469" r:id="rId1465" xr:uid="{00000000-0004-0000-0500-0000B8050000}"/>
    <hyperlink ref="G1470" r:id="rId1466" xr:uid="{00000000-0004-0000-0500-0000B9050000}"/>
    <hyperlink ref="G1471" r:id="rId1467" xr:uid="{00000000-0004-0000-0500-0000BA050000}"/>
    <hyperlink ref="G1472" r:id="rId1468" xr:uid="{00000000-0004-0000-0500-0000BB050000}"/>
    <hyperlink ref="G1473" r:id="rId1469" xr:uid="{00000000-0004-0000-0500-0000BC050000}"/>
    <hyperlink ref="G1474" r:id="rId1470" xr:uid="{00000000-0004-0000-0500-0000BD050000}"/>
    <hyperlink ref="G1475" r:id="rId1471" xr:uid="{00000000-0004-0000-0500-0000BE050000}"/>
    <hyperlink ref="G1476" r:id="rId1472" xr:uid="{00000000-0004-0000-0500-0000BF050000}"/>
    <hyperlink ref="G1477" r:id="rId1473" xr:uid="{00000000-0004-0000-0500-0000C0050000}"/>
    <hyperlink ref="G1478" r:id="rId1474" xr:uid="{00000000-0004-0000-0500-0000C1050000}"/>
    <hyperlink ref="G1479" r:id="rId1475" xr:uid="{00000000-0004-0000-0500-0000C2050000}"/>
    <hyperlink ref="G1480" r:id="rId1476" xr:uid="{00000000-0004-0000-0500-0000C3050000}"/>
    <hyperlink ref="G1481" r:id="rId1477" xr:uid="{00000000-0004-0000-0500-0000C4050000}"/>
    <hyperlink ref="G1482" r:id="rId1478" xr:uid="{00000000-0004-0000-0500-0000C5050000}"/>
    <hyperlink ref="G1483" r:id="rId1479" xr:uid="{00000000-0004-0000-0500-0000C6050000}"/>
    <hyperlink ref="G1484" r:id="rId1480" xr:uid="{00000000-0004-0000-0500-0000C7050000}"/>
    <hyperlink ref="G1485" r:id="rId1481" xr:uid="{00000000-0004-0000-0500-0000C8050000}"/>
    <hyperlink ref="G1486" r:id="rId1482" xr:uid="{00000000-0004-0000-0500-0000C9050000}"/>
    <hyperlink ref="G1487" r:id="rId1483" xr:uid="{00000000-0004-0000-0500-0000CA050000}"/>
    <hyperlink ref="G1488" r:id="rId1484" xr:uid="{00000000-0004-0000-0500-0000CB050000}"/>
    <hyperlink ref="G1489" r:id="rId1485" xr:uid="{00000000-0004-0000-0500-0000CC050000}"/>
    <hyperlink ref="G1490" r:id="rId1486" xr:uid="{00000000-0004-0000-0500-0000CD050000}"/>
    <hyperlink ref="G1491" r:id="rId1487" xr:uid="{00000000-0004-0000-0500-0000CE050000}"/>
    <hyperlink ref="G1492" r:id="rId1488" xr:uid="{00000000-0004-0000-0500-0000CF050000}"/>
    <hyperlink ref="G1493" r:id="rId1489" xr:uid="{00000000-0004-0000-0500-0000D0050000}"/>
    <hyperlink ref="G1494" r:id="rId1490" xr:uid="{00000000-0004-0000-0500-0000D1050000}"/>
    <hyperlink ref="G1495" r:id="rId1491" xr:uid="{00000000-0004-0000-0500-0000D2050000}"/>
    <hyperlink ref="G1496" r:id="rId1492" xr:uid="{00000000-0004-0000-0500-0000D3050000}"/>
    <hyperlink ref="G1497" r:id="rId1493" xr:uid="{00000000-0004-0000-0500-0000D4050000}"/>
    <hyperlink ref="G1498" r:id="rId1494" xr:uid="{00000000-0004-0000-0500-0000D5050000}"/>
    <hyperlink ref="G1499" r:id="rId1495" xr:uid="{00000000-0004-0000-0500-0000D6050000}"/>
    <hyperlink ref="G1500" r:id="rId1496" xr:uid="{00000000-0004-0000-0500-0000D7050000}"/>
    <hyperlink ref="G1501" r:id="rId1497" xr:uid="{00000000-0004-0000-0500-0000D8050000}"/>
    <hyperlink ref="G1502" r:id="rId1498" xr:uid="{00000000-0004-0000-0500-0000D9050000}"/>
    <hyperlink ref="G1503" r:id="rId1499" xr:uid="{00000000-0004-0000-0500-0000DA050000}"/>
    <hyperlink ref="G1504" r:id="rId1500" xr:uid="{00000000-0004-0000-0500-0000DB050000}"/>
    <hyperlink ref="G1505" r:id="rId1501" xr:uid="{00000000-0004-0000-0500-0000DC050000}"/>
    <hyperlink ref="G1506" r:id="rId1502" xr:uid="{00000000-0004-0000-0500-0000DD050000}"/>
    <hyperlink ref="G1507" r:id="rId1503" xr:uid="{00000000-0004-0000-0500-0000DE050000}"/>
    <hyperlink ref="G1508" r:id="rId1504" xr:uid="{00000000-0004-0000-0500-0000DF050000}"/>
    <hyperlink ref="G1509" r:id="rId1505" xr:uid="{00000000-0004-0000-0500-0000E0050000}"/>
    <hyperlink ref="G1510" r:id="rId1506" xr:uid="{00000000-0004-0000-0500-0000E1050000}"/>
    <hyperlink ref="G1511" r:id="rId1507" xr:uid="{00000000-0004-0000-0500-0000E2050000}"/>
    <hyperlink ref="G1512" r:id="rId1508" xr:uid="{00000000-0004-0000-0500-0000E3050000}"/>
    <hyperlink ref="G1513" r:id="rId1509" xr:uid="{00000000-0004-0000-0500-0000E4050000}"/>
    <hyperlink ref="G1514" r:id="rId1510" xr:uid="{00000000-0004-0000-0500-0000E5050000}"/>
    <hyperlink ref="G1515" r:id="rId1511" xr:uid="{00000000-0004-0000-0500-0000E6050000}"/>
    <hyperlink ref="G1516" r:id="rId1512" xr:uid="{00000000-0004-0000-0500-0000E7050000}"/>
    <hyperlink ref="G1517" r:id="rId1513" xr:uid="{00000000-0004-0000-0500-0000E8050000}"/>
    <hyperlink ref="G1518" r:id="rId1514" xr:uid="{00000000-0004-0000-0500-0000E9050000}"/>
    <hyperlink ref="G1519" r:id="rId1515" xr:uid="{00000000-0004-0000-0500-0000EA050000}"/>
    <hyperlink ref="G1520" r:id="rId1516" xr:uid="{00000000-0004-0000-0500-0000EB050000}"/>
    <hyperlink ref="G1521" r:id="rId1517" xr:uid="{00000000-0004-0000-0500-0000EC050000}"/>
    <hyperlink ref="G1522" r:id="rId1518" xr:uid="{00000000-0004-0000-0500-0000ED050000}"/>
    <hyperlink ref="G1523" r:id="rId1519" xr:uid="{00000000-0004-0000-0500-0000EE050000}"/>
    <hyperlink ref="G1524" r:id="rId1520" xr:uid="{00000000-0004-0000-0500-0000EF050000}"/>
    <hyperlink ref="G1525" r:id="rId1521" xr:uid="{00000000-0004-0000-0500-0000F0050000}"/>
    <hyperlink ref="G1526" r:id="rId1522" xr:uid="{00000000-0004-0000-0500-0000F1050000}"/>
    <hyperlink ref="G1527" r:id="rId1523" xr:uid="{00000000-0004-0000-0500-0000F2050000}"/>
    <hyperlink ref="G1528" r:id="rId1524" xr:uid="{00000000-0004-0000-0500-0000F3050000}"/>
    <hyperlink ref="G1529" r:id="rId1525" xr:uid="{00000000-0004-0000-0500-0000F4050000}"/>
    <hyperlink ref="G1530" r:id="rId1526" xr:uid="{00000000-0004-0000-0500-0000F5050000}"/>
    <hyperlink ref="G1531" r:id="rId1527" xr:uid="{00000000-0004-0000-0500-0000F6050000}"/>
    <hyperlink ref="G1532" r:id="rId1528" xr:uid="{00000000-0004-0000-0500-0000F7050000}"/>
    <hyperlink ref="G1533" r:id="rId1529" xr:uid="{00000000-0004-0000-0500-0000F8050000}"/>
    <hyperlink ref="G1534" r:id="rId1530" xr:uid="{00000000-0004-0000-0500-0000F9050000}"/>
    <hyperlink ref="G1535" r:id="rId1531" xr:uid="{00000000-0004-0000-0500-0000FA050000}"/>
    <hyperlink ref="G1536" r:id="rId1532" xr:uid="{00000000-0004-0000-0500-0000FB050000}"/>
    <hyperlink ref="G1537" r:id="rId1533" xr:uid="{00000000-0004-0000-0500-0000FC050000}"/>
    <hyperlink ref="G1538" r:id="rId1534" xr:uid="{00000000-0004-0000-0500-0000FD050000}"/>
    <hyperlink ref="G1539" r:id="rId1535" xr:uid="{00000000-0004-0000-0500-0000FE050000}"/>
    <hyperlink ref="G1540" r:id="rId1536" xr:uid="{00000000-0004-0000-0500-0000FF050000}"/>
    <hyperlink ref="G1541" r:id="rId1537" xr:uid="{00000000-0004-0000-0500-000000060000}"/>
    <hyperlink ref="G1542" r:id="rId1538" xr:uid="{00000000-0004-0000-0500-000001060000}"/>
    <hyperlink ref="G1543" r:id="rId1539" xr:uid="{00000000-0004-0000-0500-000002060000}"/>
    <hyperlink ref="G1544" r:id="rId1540" xr:uid="{00000000-0004-0000-0500-000003060000}"/>
    <hyperlink ref="G1545" r:id="rId1541" xr:uid="{00000000-0004-0000-0500-000004060000}"/>
    <hyperlink ref="G1546" r:id="rId1542" xr:uid="{00000000-0004-0000-0500-000005060000}"/>
    <hyperlink ref="G1547" r:id="rId1543" xr:uid="{00000000-0004-0000-0500-000006060000}"/>
    <hyperlink ref="G1548" r:id="rId1544" xr:uid="{00000000-0004-0000-0500-000007060000}"/>
    <hyperlink ref="G1549" r:id="rId1545" xr:uid="{00000000-0004-0000-0500-000008060000}"/>
    <hyperlink ref="G1550" r:id="rId1546" xr:uid="{00000000-0004-0000-0500-000009060000}"/>
    <hyperlink ref="G1551" r:id="rId1547" xr:uid="{00000000-0004-0000-0500-00000A060000}"/>
    <hyperlink ref="G1552" r:id="rId1548" xr:uid="{00000000-0004-0000-0500-00000B060000}"/>
    <hyperlink ref="G1553" r:id="rId1549" xr:uid="{00000000-0004-0000-0500-00000C060000}"/>
    <hyperlink ref="G1554" r:id="rId1550" xr:uid="{00000000-0004-0000-0500-00000D060000}"/>
    <hyperlink ref="G1555" r:id="rId1551" xr:uid="{00000000-0004-0000-0500-00000E060000}"/>
    <hyperlink ref="G1556" r:id="rId1552" xr:uid="{00000000-0004-0000-0500-00000F060000}"/>
    <hyperlink ref="G1557" r:id="rId1553" xr:uid="{00000000-0004-0000-0500-000010060000}"/>
    <hyperlink ref="G1558" r:id="rId1554" xr:uid="{00000000-0004-0000-0500-000011060000}"/>
    <hyperlink ref="G1559" r:id="rId1555" xr:uid="{00000000-0004-0000-0500-000012060000}"/>
    <hyperlink ref="G1560" r:id="rId1556" xr:uid="{00000000-0004-0000-0500-000013060000}"/>
    <hyperlink ref="G1561" r:id="rId1557" xr:uid="{00000000-0004-0000-0500-000014060000}"/>
    <hyperlink ref="G1562" r:id="rId1558" xr:uid="{00000000-0004-0000-0500-000015060000}"/>
    <hyperlink ref="G1563" r:id="rId1559" xr:uid="{00000000-0004-0000-0500-000016060000}"/>
    <hyperlink ref="G1564" r:id="rId1560" xr:uid="{00000000-0004-0000-0500-000017060000}"/>
    <hyperlink ref="G1565" r:id="rId1561" xr:uid="{00000000-0004-0000-0500-000018060000}"/>
    <hyperlink ref="G1566" r:id="rId1562" xr:uid="{00000000-0004-0000-0500-000019060000}"/>
    <hyperlink ref="G1567" r:id="rId1563" xr:uid="{00000000-0004-0000-0500-00001A060000}"/>
    <hyperlink ref="G1568" r:id="rId1564" xr:uid="{00000000-0004-0000-0500-00001B060000}"/>
    <hyperlink ref="G1569" r:id="rId1565" xr:uid="{00000000-0004-0000-0500-00001C060000}"/>
    <hyperlink ref="G1570" r:id="rId1566" xr:uid="{00000000-0004-0000-0500-00001D060000}"/>
    <hyperlink ref="G1571" r:id="rId1567" xr:uid="{00000000-0004-0000-0500-00001E060000}"/>
    <hyperlink ref="G1572" r:id="rId1568" xr:uid="{00000000-0004-0000-0500-00001F060000}"/>
    <hyperlink ref="G1573" r:id="rId1569" xr:uid="{00000000-0004-0000-0500-000020060000}"/>
    <hyperlink ref="G1574" r:id="rId1570" xr:uid="{00000000-0004-0000-0500-000021060000}"/>
    <hyperlink ref="G1575" r:id="rId1571" xr:uid="{00000000-0004-0000-0500-000022060000}"/>
    <hyperlink ref="G1576" r:id="rId1572" xr:uid="{00000000-0004-0000-0500-000023060000}"/>
    <hyperlink ref="G1577" r:id="rId1573" xr:uid="{00000000-0004-0000-0500-000024060000}"/>
    <hyperlink ref="G1578" r:id="rId1574" xr:uid="{00000000-0004-0000-0500-000025060000}"/>
    <hyperlink ref="G1579" r:id="rId1575" xr:uid="{00000000-0004-0000-0500-000026060000}"/>
    <hyperlink ref="G1580" r:id="rId1576" xr:uid="{00000000-0004-0000-0500-000027060000}"/>
    <hyperlink ref="G1581" r:id="rId1577" xr:uid="{00000000-0004-0000-0500-000028060000}"/>
    <hyperlink ref="G1582" r:id="rId1578" xr:uid="{00000000-0004-0000-0500-000029060000}"/>
    <hyperlink ref="G1583" r:id="rId1579" xr:uid="{00000000-0004-0000-0500-00002A060000}"/>
    <hyperlink ref="G1584" r:id="rId1580" xr:uid="{00000000-0004-0000-0500-00002B060000}"/>
    <hyperlink ref="G1585" r:id="rId1581" xr:uid="{00000000-0004-0000-0500-00002C060000}"/>
    <hyperlink ref="G1586" r:id="rId1582" xr:uid="{00000000-0004-0000-0500-00002D060000}"/>
    <hyperlink ref="G1587" r:id="rId1583" xr:uid="{00000000-0004-0000-0500-00002E060000}"/>
    <hyperlink ref="G1588" r:id="rId1584" xr:uid="{00000000-0004-0000-0500-00002F060000}"/>
    <hyperlink ref="G1589" r:id="rId1585" xr:uid="{00000000-0004-0000-0500-000030060000}"/>
    <hyperlink ref="G1590" r:id="rId1586" xr:uid="{00000000-0004-0000-0500-000031060000}"/>
    <hyperlink ref="G1591" r:id="rId1587" xr:uid="{00000000-0004-0000-0500-000032060000}"/>
    <hyperlink ref="G1592" r:id="rId1588" xr:uid="{00000000-0004-0000-0500-000033060000}"/>
    <hyperlink ref="G1593" r:id="rId1589" xr:uid="{00000000-0004-0000-0500-000034060000}"/>
    <hyperlink ref="G1594" r:id="rId1590" xr:uid="{00000000-0004-0000-0500-000035060000}"/>
    <hyperlink ref="G1595" r:id="rId1591" xr:uid="{00000000-0004-0000-0500-000036060000}"/>
    <hyperlink ref="G1596" r:id="rId1592" xr:uid="{00000000-0004-0000-0500-000037060000}"/>
    <hyperlink ref="G1597" r:id="rId1593" xr:uid="{00000000-0004-0000-0500-000038060000}"/>
    <hyperlink ref="G1598" r:id="rId1594" xr:uid="{00000000-0004-0000-0500-000039060000}"/>
    <hyperlink ref="G1599" r:id="rId1595" xr:uid="{00000000-0004-0000-0500-00003A060000}"/>
    <hyperlink ref="G1600" r:id="rId1596" xr:uid="{00000000-0004-0000-0500-00003B060000}"/>
    <hyperlink ref="G1601" r:id="rId1597" xr:uid="{00000000-0004-0000-0500-00003C060000}"/>
    <hyperlink ref="G1602" r:id="rId1598" xr:uid="{00000000-0004-0000-0500-00003D060000}"/>
    <hyperlink ref="G1603" r:id="rId1599" xr:uid="{00000000-0004-0000-0500-00003E060000}"/>
    <hyperlink ref="G1604" r:id="rId1600" xr:uid="{00000000-0004-0000-0500-00003F060000}"/>
    <hyperlink ref="G1605" r:id="rId1601" xr:uid="{00000000-0004-0000-0500-000040060000}"/>
    <hyperlink ref="G1606" r:id="rId1602" xr:uid="{00000000-0004-0000-0500-000041060000}"/>
    <hyperlink ref="G1607" r:id="rId1603" xr:uid="{00000000-0004-0000-0500-000042060000}"/>
    <hyperlink ref="G1608" r:id="rId1604" xr:uid="{00000000-0004-0000-0500-000043060000}"/>
    <hyperlink ref="G1609" r:id="rId1605" xr:uid="{00000000-0004-0000-0500-000044060000}"/>
    <hyperlink ref="G1610" r:id="rId1606" xr:uid="{00000000-0004-0000-0500-000045060000}"/>
    <hyperlink ref="G1611" r:id="rId1607" xr:uid="{00000000-0004-0000-0500-000046060000}"/>
    <hyperlink ref="G1612" r:id="rId1608" xr:uid="{00000000-0004-0000-0500-000047060000}"/>
    <hyperlink ref="G1613" r:id="rId1609" xr:uid="{00000000-0004-0000-0500-000048060000}"/>
    <hyperlink ref="G1614" r:id="rId1610" xr:uid="{00000000-0004-0000-0500-000049060000}"/>
    <hyperlink ref="G1615" r:id="rId1611" xr:uid="{00000000-0004-0000-0500-00004A060000}"/>
    <hyperlink ref="G1616" r:id="rId1612" xr:uid="{00000000-0004-0000-0500-00004B060000}"/>
    <hyperlink ref="G1617" r:id="rId1613" xr:uid="{00000000-0004-0000-0500-00004C060000}"/>
    <hyperlink ref="G1618" r:id="rId1614" xr:uid="{00000000-0004-0000-0500-00004D060000}"/>
    <hyperlink ref="G1619" r:id="rId1615" xr:uid="{00000000-0004-0000-0500-00004E060000}"/>
    <hyperlink ref="G1620" r:id="rId1616" xr:uid="{00000000-0004-0000-0500-00004F060000}"/>
    <hyperlink ref="G1621" r:id="rId1617" xr:uid="{00000000-0004-0000-0500-000050060000}"/>
    <hyperlink ref="G1622" r:id="rId1618" xr:uid="{00000000-0004-0000-0500-000051060000}"/>
    <hyperlink ref="G1623" r:id="rId1619" xr:uid="{00000000-0004-0000-0500-000052060000}"/>
    <hyperlink ref="G1624" r:id="rId1620" xr:uid="{00000000-0004-0000-0500-000053060000}"/>
    <hyperlink ref="G1625" r:id="rId1621" xr:uid="{00000000-0004-0000-0500-000054060000}"/>
    <hyperlink ref="G1626" r:id="rId1622" xr:uid="{00000000-0004-0000-0500-000055060000}"/>
    <hyperlink ref="G1627" r:id="rId1623" xr:uid="{00000000-0004-0000-0500-000056060000}"/>
    <hyperlink ref="G1628" r:id="rId1624" xr:uid="{00000000-0004-0000-0500-000057060000}"/>
    <hyperlink ref="G1629" r:id="rId1625" xr:uid="{00000000-0004-0000-0500-000058060000}"/>
    <hyperlink ref="G1630" r:id="rId1626" xr:uid="{00000000-0004-0000-0500-000059060000}"/>
    <hyperlink ref="G1631" r:id="rId1627" xr:uid="{00000000-0004-0000-0500-00005A060000}"/>
    <hyperlink ref="G1632" r:id="rId1628" xr:uid="{00000000-0004-0000-0500-00005B060000}"/>
    <hyperlink ref="G1633" r:id="rId1629" xr:uid="{00000000-0004-0000-0500-00005C060000}"/>
    <hyperlink ref="G1634" r:id="rId1630" xr:uid="{00000000-0004-0000-0500-00005D060000}"/>
    <hyperlink ref="G1635" r:id="rId1631" xr:uid="{00000000-0004-0000-0500-00005E060000}"/>
    <hyperlink ref="G1636" r:id="rId1632" xr:uid="{00000000-0004-0000-0500-00005F060000}"/>
    <hyperlink ref="G1637" r:id="rId1633" xr:uid="{00000000-0004-0000-0500-000060060000}"/>
    <hyperlink ref="G1638" r:id="rId1634" xr:uid="{00000000-0004-0000-0500-000061060000}"/>
    <hyperlink ref="G1639" r:id="rId1635" xr:uid="{00000000-0004-0000-0500-000062060000}"/>
    <hyperlink ref="G1640" r:id="rId1636" xr:uid="{00000000-0004-0000-0500-000063060000}"/>
    <hyperlink ref="G1641" r:id="rId1637" xr:uid="{00000000-0004-0000-0500-000064060000}"/>
    <hyperlink ref="G1642" r:id="rId1638" xr:uid="{00000000-0004-0000-0500-000065060000}"/>
    <hyperlink ref="G1643" r:id="rId1639" xr:uid="{00000000-0004-0000-0500-000066060000}"/>
    <hyperlink ref="G1644" r:id="rId1640" xr:uid="{00000000-0004-0000-0500-000067060000}"/>
    <hyperlink ref="G1645" r:id="rId1641" xr:uid="{00000000-0004-0000-0500-000068060000}"/>
    <hyperlink ref="G1646" r:id="rId1642" xr:uid="{00000000-0004-0000-0500-000069060000}"/>
    <hyperlink ref="G1647" r:id="rId1643" xr:uid="{00000000-0004-0000-0500-00006A060000}"/>
    <hyperlink ref="G1648" r:id="rId1644" xr:uid="{00000000-0004-0000-0500-00006B060000}"/>
    <hyperlink ref="G1649" r:id="rId1645" xr:uid="{00000000-0004-0000-0500-00006C060000}"/>
    <hyperlink ref="G1650" r:id="rId1646" xr:uid="{00000000-0004-0000-0500-00006D060000}"/>
    <hyperlink ref="G1651" r:id="rId1647" xr:uid="{00000000-0004-0000-0500-00006E060000}"/>
    <hyperlink ref="G1652" r:id="rId1648" xr:uid="{00000000-0004-0000-0500-00006F060000}"/>
    <hyperlink ref="G1653" r:id="rId1649" xr:uid="{00000000-0004-0000-0500-000070060000}"/>
    <hyperlink ref="G1654" r:id="rId1650" xr:uid="{00000000-0004-0000-0500-000071060000}"/>
    <hyperlink ref="G1655" r:id="rId1651" xr:uid="{00000000-0004-0000-0500-000072060000}"/>
    <hyperlink ref="G1656" r:id="rId1652" xr:uid="{00000000-0004-0000-0500-000073060000}"/>
    <hyperlink ref="G1657" r:id="rId1653" xr:uid="{00000000-0004-0000-0500-000074060000}"/>
    <hyperlink ref="G1658" r:id="rId1654" xr:uid="{00000000-0004-0000-0500-000075060000}"/>
    <hyperlink ref="G1659" r:id="rId1655" xr:uid="{00000000-0004-0000-0500-000076060000}"/>
    <hyperlink ref="G1660" r:id="rId1656" xr:uid="{00000000-0004-0000-0500-000077060000}"/>
    <hyperlink ref="G1661" r:id="rId1657" xr:uid="{00000000-0004-0000-0500-000078060000}"/>
    <hyperlink ref="G1662" r:id="rId1658" xr:uid="{00000000-0004-0000-0500-000079060000}"/>
    <hyperlink ref="G1663" r:id="rId1659" xr:uid="{00000000-0004-0000-0500-00007A060000}"/>
    <hyperlink ref="G1664" r:id="rId1660" xr:uid="{00000000-0004-0000-0500-00007B060000}"/>
    <hyperlink ref="G1665" r:id="rId1661" xr:uid="{00000000-0004-0000-0500-00007C060000}"/>
    <hyperlink ref="G1666" r:id="rId1662" xr:uid="{00000000-0004-0000-0500-00007D060000}"/>
    <hyperlink ref="G1667" r:id="rId1663" xr:uid="{00000000-0004-0000-0500-00007E060000}"/>
    <hyperlink ref="G1668" r:id="rId1664" xr:uid="{00000000-0004-0000-0500-00007F060000}"/>
    <hyperlink ref="G1669" r:id="rId1665" xr:uid="{00000000-0004-0000-0500-000080060000}"/>
    <hyperlink ref="G1670" r:id="rId1666" xr:uid="{00000000-0004-0000-0500-000081060000}"/>
    <hyperlink ref="G1671" r:id="rId1667" xr:uid="{00000000-0004-0000-0500-000082060000}"/>
    <hyperlink ref="G1672" r:id="rId1668" xr:uid="{00000000-0004-0000-0500-000083060000}"/>
    <hyperlink ref="G1673" r:id="rId1669" xr:uid="{00000000-0004-0000-0500-000084060000}"/>
    <hyperlink ref="G1674" r:id="rId1670" xr:uid="{00000000-0004-0000-0500-000085060000}"/>
    <hyperlink ref="G1675" r:id="rId1671" xr:uid="{00000000-0004-0000-0500-000086060000}"/>
    <hyperlink ref="G1676" r:id="rId1672" xr:uid="{00000000-0004-0000-0500-000087060000}"/>
    <hyperlink ref="G1677" r:id="rId1673" xr:uid="{00000000-0004-0000-0500-000088060000}"/>
    <hyperlink ref="G1678" r:id="rId1674" xr:uid="{00000000-0004-0000-0500-000089060000}"/>
    <hyperlink ref="G1679" r:id="rId1675" xr:uid="{00000000-0004-0000-0500-00008A060000}"/>
    <hyperlink ref="G1680" r:id="rId1676" xr:uid="{00000000-0004-0000-0500-00008B060000}"/>
    <hyperlink ref="G1681" r:id="rId1677" xr:uid="{00000000-0004-0000-0500-00008C060000}"/>
    <hyperlink ref="G1682" r:id="rId1678" xr:uid="{00000000-0004-0000-0500-00008D060000}"/>
    <hyperlink ref="G1683" r:id="rId1679" xr:uid="{00000000-0004-0000-0500-00008E060000}"/>
    <hyperlink ref="G1684" r:id="rId1680" xr:uid="{00000000-0004-0000-0500-00008F060000}"/>
    <hyperlink ref="G1685" r:id="rId1681" xr:uid="{00000000-0004-0000-0500-000090060000}"/>
    <hyperlink ref="G1686" r:id="rId1682" xr:uid="{00000000-0004-0000-0500-000091060000}"/>
    <hyperlink ref="G1687" r:id="rId1683" xr:uid="{00000000-0004-0000-0500-000092060000}"/>
    <hyperlink ref="G1688" r:id="rId1684" xr:uid="{00000000-0004-0000-0500-000093060000}"/>
    <hyperlink ref="G1689" r:id="rId1685" xr:uid="{00000000-0004-0000-0500-000094060000}"/>
    <hyperlink ref="G1690" r:id="rId1686" xr:uid="{00000000-0004-0000-0500-000095060000}"/>
    <hyperlink ref="G1691" r:id="rId1687" xr:uid="{00000000-0004-0000-0500-000096060000}"/>
    <hyperlink ref="G1692" r:id="rId1688" xr:uid="{00000000-0004-0000-0500-000097060000}"/>
    <hyperlink ref="G1693" r:id="rId1689" xr:uid="{00000000-0004-0000-0500-000098060000}"/>
    <hyperlink ref="G1694" r:id="rId1690" xr:uid="{00000000-0004-0000-0500-000099060000}"/>
    <hyperlink ref="G1695" r:id="rId1691" xr:uid="{00000000-0004-0000-0500-00009A060000}"/>
    <hyperlink ref="G1696" r:id="rId1692" xr:uid="{00000000-0004-0000-0500-00009B060000}"/>
    <hyperlink ref="G1697" r:id="rId1693" xr:uid="{00000000-0004-0000-0500-00009C060000}"/>
    <hyperlink ref="G1698" r:id="rId1694" xr:uid="{00000000-0004-0000-0500-00009D060000}"/>
    <hyperlink ref="G1699" r:id="rId1695" xr:uid="{00000000-0004-0000-0500-00009E060000}"/>
    <hyperlink ref="G1700" r:id="rId1696" xr:uid="{00000000-0004-0000-0500-00009F060000}"/>
    <hyperlink ref="G1701" r:id="rId1697" xr:uid="{00000000-0004-0000-0500-0000A0060000}"/>
    <hyperlink ref="G1702" r:id="rId1698" xr:uid="{00000000-0004-0000-0500-0000A1060000}"/>
    <hyperlink ref="G1703" r:id="rId1699" xr:uid="{00000000-0004-0000-0500-0000A2060000}"/>
    <hyperlink ref="G1704" r:id="rId1700" xr:uid="{00000000-0004-0000-0500-0000A3060000}"/>
    <hyperlink ref="G1705" r:id="rId1701" xr:uid="{00000000-0004-0000-0500-0000A4060000}"/>
    <hyperlink ref="G1706" r:id="rId1702" xr:uid="{00000000-0004-0000-0500-0000A5060000}"/>
    <hyperlink ref="G1707" r:id="rId1703" xr:uid="{00000000-0004-0000-0500-0000A6060000}"/>
    <hyperlink ref="G1708" r:id="rId1704" xr:uid="{00000000-0004-0000-0500-0000A7060000}"/>
    <hyperlink ref="G1709" r:id="rId1705" xr:uid="{00000000-0004-0000-0500-0000A8060000}"/>
    <hyperlink ref="G1710" r:id="rId1706" xr:uid="{00000000-0004-0000-0500-0000A9060000}"/>
    <hyperlink ref="G1711" r:id="rId1707" xr:uid="{00000000-0004-0000-0500-0000AA060000}"/>
    <hyperlink ref="G1712" r:id="rId1708" xr:uid="{00000000-0004-0000-0500-0000AB060000}"/>
    <hyperlink ref="G1713" r:id="rId1709" xr:uid="{00000000-0004-0000-0500-0000AC060000}"/>
    <hyperlink ref="G1714" r:id="rId1710" xr:uid="{00000000-0004-0000-0500-0000AD060000}"/>
    <hyperlink ref="G1715" r:id="rId1711" xr:uid="{00000000-0004-0000-0500-0000AE060000}"/>
    <hyperlink ref="G1716" r:id="rId1712" xr:uid="{00000000-0004-0000-0500-0000AF060000}"/>
    <hyperlink ref="G1717" r:id="rId1713" xr:uid="{00000000-0004-0000-0500-0000B0060000}"/>
    <hyperlink ref="G1718" r:id="rId1714" xr:uid="{00000000-0004-0000-0500-0000B1060000}"/>
    <hyperlink ref="G1719" r:id="rId1715" xr:uid="{00000000-0004-0000-0500-0000B2060000}"/>
    <hyperlink ref="G1720" r:id="rId1716" xr:uid="{00000000-0004-0000-0500-0000B3060000}"/>
    <hyperlink ref="G1721" r:id="rId1717" xr:uid="{00000000-0004-0000-0500-0000B4060000}"/>
    <hyperlink ref="G1722" r:id="rId1718" xr:uid="{00000000-0004-0000-0500-0000B5060000}"/>
    <hyperlink ref="G1723" r:id="rId1719" xr:uid="{00000000-0004-0000-0500-0000B6060000}"/>
    <hyperlink ref="G1724" r:id="rId1720" xr:uid="{00000000-0004-0000-0500-0000B7060000}"/>
    <hyperlink ref="G1725" r:id="rId1721" xr:uid="{00000000-0004-0000-0500-0000B8060000}"/>
    <hyperlink ref="G1726" r:id="rId1722" xr:uid="{00000000-0004-0000-0500-0000B9060000}"/>
    <hyperlink ref="G1727" r:id="rId1723" xr:uid="{00000000-0004-0000-0500-0000BA060000}"/>
    <hyperlink ref="G1728" r:id="rId1724" xr:uid="{00000000-0004-0000-0500-0000BB060000}"/>
    <hyperlink ref="G1729" r:id="rId1725" xr:uid="{00000000-0004-0000-0500-0000BC060000}"/>
    <hyperlink ref="G1730" r:id="rId1726" xr:uid="{00000000-0004-0000-0500-0000BD060000}"/>
    <hyperlink ref="G1731" r:id="rId1727" xr:uid="{00000000-0004-0000-0500-0000BE060000}"/>
    <hyperlink ref="G1732" r:id="rId1728" xr:uid="{00000000-0004-0000-0500-0000BF060000}"/>
    <hyperlink ref="G1733" r:id="rId1729" xr:uid="{00000000-0004-0000-0500-0000C0060000}"/>
    <hyperlink ref="G1734" r:id="rId1730" xr:uid="{00000000-0004-0000-0500-0000C1060000}"/>
    <hyperlink ref="G1735" r:id="rId1731" xr:uid="{00000000-0004-0000-0500-0000C2060000}"/>
    <hyperlink ref="G1736" r:id="rId1732" xr:uid="{00000000-0004-0000-0500-0000C3060000}"/>
    <hyperlink ref="G1737" r:id="rId1733" xr:uid="{00000000-0004-0000-0500-0000C4060000}"/>
    <hyperlink ref="G1738" r:id="rId1734" xr:uid="{00000000-0004-0000-0500-0000C5060000}"/>
    <hyperlink ref="G1739" r:id="rId1735" xr:uid="{00000000-0004-0000-0500-0000C6060000}"/>
    <hyperlink ref="G1740" r:id="rId1736" xr:uid="{00000000-0004-0000-0500-0000C7060000}"/>
    <hyperlink ref="G1741" r:id="rId1737" xr:uid="{00000000-0004-0000-0500-0000C8060000}"/>
    <hyperlink ref="G1742" r:id="rId1738" xr:uid="{00000000-0004-0000-0500-0000C9060000}"/>
    <hyperlink ref="G1743" r:id="rId1739" xr:uid="{00000000-0004-0000-0500-0000CA060000}"/>
    <hyperlink ref="G1744" r:id="rId1740" xr:uid="{00000000-0004-0000-0500-0000CB060000}"/>
    <hyperlink ref="G1745" r:id="rId1741" xr:uid="{00000000-0004-0000-0500-0000CC060000}"/>
    <hyperlink ref="G1746" r:id="rId1742" xr:uid="{00000000-0004-0000-0500-0000CD060000}"/>
    <hyperlink ref="G1747" r:id="rId1743" xr:uid="{00000000-0004-0000-0500-0000CE060000}"/>
    <hyperlink ref="G1748" r:id="rId1744" xr:uid="{00000000-0004-0000-0500-0000CF060000}"/>
    <hyperlink ref="G1749" r:id="rId1745" xr:uid="{00000000-0004-0000-0500-0000D0060000}"/>
    <hyperlink ref="G1750" r:id="rId1746" xr:uid="{00000000-0004-0000-0500-0000D1060000}"/>
    <hyperlink ref="G1751" r:id="rId1747" xr:uid="{00000000-0004-0000-0500-0000D2060000}"/>
    <hyperlink ref="G1752" r:id="rId1748" xr:uid="{00000000-0004-0000-0500-0000D3060000}"/>
    <hyperlink ref="G1753" r:id="rId1749" xr:uid="{00000000-0004-0000-0500-0000D4060000}"/>
    <hyperlink ref="G1754" r:id="rId1750" xr:uid="{00000000-0004-0000-0500-0000D5060000}"/>
    <hyperlink ref="G1755" r:id="rId1751" xr:uid="{00000000-0004-0000-0500-0000D6060000}"/>
    <hyperlink ref="G1756" r:id="rId1752" xr:uid="{00000000-0004-0000-0500-0000D7060000}"/>
    <hyperlink ref="G1757" r:id="rId1753" xr:uid="{00000000-0004-0000-0500-0000D8060000}"/>
    <hyperlink ref="G1758" r:id="rId1754" xr:uid="{00000000-0004-0000-0500-0000D9060000}"/>
    <hyperlink ref="G1759" r:id="rId1755" xr:uid="{00000000-0004-0000-0500-0000DA060000}"/>
    <hyperlink ref="G1760" r:id="rId1756" xr:uid="{00000000-0004-0000-0500-0000DB060000}"/>
    <hyperlink ref="G1761" r:id="rId1757" xr:uid="{00000000-0004-0000-0500-0000DC060000}"/>
    <hyperlink ref="G1762" r:id="rId1758" xr:uid="{00000000-0004-0000-0500-0000DD060000}"/>
    <hyperlink ref="G1763" r:id="rId1759" xr:uid="{00000000-0004-0000-0500-0000DE060000}"/>
    <hyperlink ref="G1764" r:id="rId1760" xr:uid="{00000000-0004-0000-0500-0000DF060000}"/>
    <hyperlink ref="G1765" r:id="rId1761" xr:uid="{00000000-0004-0000-0500-0000E0060000}"/>
    <hyperlink ref="G1766" r:id="rId1762" xr:uid="{00000000-0004-0000-0500-0000E1060000}"/>
    <hyperlink ref="G1767" r:id="rId1763" xr:uid="{00000000-0004-0000-0500-0000E2060000}"/>
    <hyperlink ref="G1768" r:id="rId1764" xr:uid="{00000000-0004-0000-0500-0000E3060000}"/>
    <hyperlink ref="G1769" r:id="rId1765" xr:uid="{00000000-0004-0000-0500-0000E4060000}"/>
    <hyperlink ref="G1770" r:id="rId1766" xr:uid="{00000000-0004-0000-0500-0000E5060000}"/>
    <hyperlink ref="G1771" r:id="rId1767" xr:uid="{00000000-0004-0000-0500-0000E6060000}"/>
    <hyperlink ref="G1772" r:id="rId1768" xr:uid="{00000000-0004-0000-0500-0000E7060000}"/>
    <hyperlink ref="G1773" r:id="rId1769" xr:uid="{00000000-0004-0000-0500-0000E8060000}"/>
    <hyperlink ref="G1774" r:id="rId1770" xr:uid="{00000000-0004-0000-0500-0000E9060000}"/>
    <hyperlink ref="G1775" r:id="rId1771" xr:uid="{00000000-0004-0000-0500-0000EA060000}"/>
    <hyperlink ref="G1776" r:id="rId1772" xr:uid="{00000000-0004-0000-0500-0000EB060000}"/>
    <hyperlink ref="G1777" r:id="rId1773" xr:uid="{00000000-0004-0000-0500-0000EC060000}"/>
    <hyperlink ref="G1778" r:id="rId1774" xr:uid="{00000000-0004-0000-0500-0000ED060000}"/>
    <hyperlink ref="G1779" r:id="rId1775" xr:uid="{00000000-0004-0000-0500-0000EE060000}"/>
    <hyperlink ref="G1780" r:id="rId1776" xr:uid="{00000000-0004-0000-0500-0000EF060000}"/>
    <hyperlink ref="G1781" r:id="rId1777" xr:uid="{00000000-0004-0000-0500-0000F0060000}"/>
    <hyperlink ref="G1782" r:id="rId1778" xr:uid="{00000000-0004-0000-0500-0000F1060000}"/>
    <hyperlink ref="G1783" r:id="rId1779" xr:uid="{00000000-0004-0000-0500-0000F2060000}"/>
    <hyperlink ref="G1784" r:id="rId1780" xr:uid="{00000000-0004-0000-0500-0000F3060000}"/>
    <hyperlink ref="G1785" r:id="rId1781" xr:uid="{00000000-0004-0000-0500-0000F4060000}"/>
    <hyperlink ref="G1786" r:id="rId1782" xr:uid="{00000000-0004-0000-0500-0000F5060000}"/>
    <hyperlink ref="G1787" r:id="rId1783" xr:uid="{00000000-0004-0000-0500-0000F6060000}"/>
    <hyperlink ref="G1788" r:id="rId1784" xr:uid="{00000000-0004-0000-0500-0000F7060000}"/>
    <hyperlink ref="G1789" r:id="rId1785" xr:uid="{00000000-0004-0000-0500-0000F8060000}"/>
    <hyperlink ref="G1790" r:id="rId1786" xr:uid="{00000000-0004-0000-0500-0000F9060000}"/>
    <hyperlink ref="G1791" r:id="rId1787" xr:uid="{00000000-0004-0000-0500-0000FA060000}"/>
    <hyperlink ref="G1792" r:id="rId1788" xr:uid="{00000000-0004-0000-0500-0000FB060000}"/>
    <hyperlink ref="G1793" r:id="rId1789" xr:uid="{00000000-0004-0000-0500-0000FC060000}"/>
    <hyperlink ref="G1794" r:id="rId1790" xr:uid="{00000000-0004-0000-0500-0000FD060000}"/>
    <hyperlink ref="G1795" r:id="rId1791" xr:uid="{00000000-0004-0000-0500-0000FE060000}"/>
    <hyperlink ref="G1796" r:id="rId1792" xr:uid="{00000000-0004-0000-0500-0000FF060000}"/>
    <hyperlink ref="G1797" r:id="rId1793" xr:uid="{00000000-0004-0000-0500-000000070000}"/>
    <hyperlink ref="G1798" r:id="rId1794" xr:uid="{00000000-0004-0000-0500-000001070000}"/>
    <hyperlink ref="G1799" r:id="rId1795" xr:uid="{00000000-0004-0000-0500-000002070000}"/>
    <hyperlink ref="G1800" r:id="rId1796" xr:uid="{00000000-0004-0000-0500-000003070000}"/>
    <hyperlink ref="G1801" r:id="rId1797" xr:uid="{00000000-0004-0000-0500-000004070000}"/>
    <hyperlink ref="G1802" r:id="rId1798" xr:uid="{00000000-0004-0000-0500-000005070000}"/>
    <hyperlink ref="G1803" r:id="rId1799" xr:uid="{00000000-0004-0000-0500-000006070000}"/>
    <hyperlink ref="G1804" r:id="rId1800" xr:uid="{00000000-0004-0000-0500-000007070000}"/>
    <hyperlink ref="G1805" r:id="rId1801" xr:uid="{00000000-0004-0000-0500-000008070000}"/>
    <hyperlink ref="G1806" r:id="rId1802" xr:uid="{00000000-0004-0000-0500-000009070000}"/>
    <hyperlink ref="G1807" r:id="rId1803" xr:uid="{00000000-0004-0000-0500-00000A070000}"/>
    <hyperlink ref="G1808" r:id="rId1804" xr:uid="{00000000-0004-0000-0500-00000B070000}"/>
    <hyperlink ref="G1809" r:id="rId1805" xr:uid="{00000000-0004-0000-0500-00000C070000}"/>
    <hyperlink ref="G1810" r:id="rId1806" xr:uid="{00000000-0004-0000-0500-00000D070000}"/>
    <hyperlink ref="G1811" r:id="rId1807" xr:uid="{00000000-0004-0000-0500-00000E070000}"/>
    <hyperlink ref="G1812" r:id="rId1808" xr:uid="{00000000-0004-0000-0500-00000F070000}"/>
    <hyperlink ref="G1813" r:id="rId1809" xr:uid="{00000000-0004-0000-0500-000010070000}"/>
    <hyperlink ref="G1814" r:id="rId1810" xr:uid="{00000000-0004-0000-0500-000011070000}"/>
    <hyperlink ref="G1815" r:id="rId1811" xr:uid="{00000000-0004-0000-0500-000012070000}"/>
    <hyperlink ref="G1816" r:id="rId1812" xr:uid="{00000000-0004-0000-0500-000013070000}"/>
    <hyperlink ref="G1817" r:id="rId1813" xr:uid="{00000000-0004-0000-0500-000014070000}"/>
    <hyperlink ref="G1818" r:id="rId1814" xr:uid="{00000000-0004-0000-0500-000015070000}"/>
    <hyperlink ref="G1819" r:id="rId1815" xr:uid="{00000000-0004-0000-0500-000016070000}"/>
    <hyperlink ref="G1820" r:id="rId1816" xr:uid="{00000000-0004-0000-0500-000017070000}"/>
    <hyperlink ref="G1821" r:id="rId1817" xr:uid="{00000000-0004-0000-0500-000018070000}"/>
    <hyperlink ref="G1822" r:id="rId1818" xr:uid="{00000000-0004-0000-0500-000019070000}"/>
    <hyperlink ref="G1823" r:id="rId1819" xr:uid="{00000000-0004-0000-0500-00001A070000}"/>
    <hyperlink ref="G1824" r:id="rId1820" xr:uid="{00000000-0004-0000-0500-00001B070000}"/>
    <hyperlink ref="G1825" r:id="rId1821" xr:uid="{00000000-0004-0000-0500-00001C070000}"/>
    <hyperlink ref="G1826" r:id="rId1822" xr:uid="{00000000-0004-0000-0500-00001D070000}"/>
    <hyperlink ref="G1827" r:id="rId1823" xr:uid="{00000000-0004-0000-0500-00001E070000}"/>
    <hyperlink ref="G1828" r:id="rId1824" xr:uid="{00000000-0004-0000-0500-00001F070000}"/>
    <hyperlink ref="G1829" r:id="rId1825" xr:uid="{00000000-0004-0000-0500-000020070000}"/>
    <hyperlink ref="G1830" r:id="rId1826" xr:uid="{00000000-0004-0000-0500-000021070000}"/>
    <hyperlink ref="G1831" r:id="rId1827" xr:uid="{00000000-0004-0000-0500-000022070000}"/>
    <hyperlink ref="G1832" r:id="rId1828" xr:uid="{00000000-0004-0000-0500-000023070000}"/>
    <hyperlink ref="G1833" r:id="rId1829" xr:uid="{00000000-0004-0000-0500-000024070000}"/>
    <hyperlink ref="G1834" r:id="rId1830" xr:uid="{00000000-0004-0000-0500-000025070000}"/>
    <hyperlink ref="G1835" r:id="rId1831" xr:uid="{00000000-0004-0000-0500-000026070000}"/>
    <hyperlink ref="G1836" r:id="rId1832" xr:uid="{00000000-0004-0000-0500-000027070000}"/>
    <hyperlink ref="G1837" r:id="rId1833" xr:uid="{00000000-0004-0000-0500-000028070000}"/>
    <hyperlink ref="G1838" r:id="rId1834" xr:uid="{00000000-0004-0000-0500-000029070000}"/>
    <hyperlink ref="G1839" r:id="rId1835" xr:uid="{00000000-0004-0000-0500-00002A070000}"/>
    <hyperlink ref="G1840" r:id="rId1836" xr:uid="{00000000-0004-0000-0500-00002B070000}"/>
    <hyperlink ref="G1841" r:id="rId1837" xr:uid="{00000000-0004-0000-0500-00002C070000}"/>
    <hyperlink ref="G1842" r:id="rId1838" xr:uid="{00000000-0004-0000-0500-00002D070000}"/>
    <hyperlink ref="G1843" r:id="rId1839" xr:uid="{00000000-0004-0000-0500-00002E070000}"/>
    <hyperlink ref="G1844" r:id="rId1840" xr:uid="{00000000-0004-0000-0500-00002F070000}"/>
    <hyperlink ref="G1845" r:id="rId1841" xr:uid="{00000000-0004-0000-0500-000030070000}"/>
    <hyperlink ref="G1846" r:id="rId1842" xr:uid="{00000000-0004-0000-0500-000031070000}"/>
    <hyperlink ref="G1847" r:id="rId1843" xr:uid="{00000000-0004-0000-0500-000032070000}"/>
    <hyperlink ref="G1848" r:id="rId1844" xr:uid="{00000000-0004-0000-0500-000033070000}"/>
    <hyperlink ref="G1849" r:id="rId1845" xr:uid="{00000000-0004-0000-0500-000034070000}"/>
    <hyperlink ref="G1850" r:id="rId1846" xr:uid="{00000000-0004-0000-0500-000035070000}"/>
    <hyperlink ref="G1851" r:id="rId1847" xr:uid="{00000000-0004-0000-0500-000036070000}"/>
    <hyperlink ref="G1852" r:id="rId1848" xr:uid="{00000000-0004-0000-0500-000037070000}"/>
    <hyperlink ref="G1853" r:id="rId1849" xr:uid="{00000000-0004-0000-0500-000038070000}"/>
    <hyperlink ref="G1854" r:id="rId1850" xr:uid="{00000000-0004-0000-0500-000039070000}"/>
    <hyperlink ref="G1855" r:id="rId1851" xr:uid="{00000000-0004-0000-0500-00003A070000}"/>
    <hyperlink ref="G1856" r:id="rId1852" xr:uid="{00000000-0004-0000-0500-00003B070000}"/>
    <hyperlink ref="G1857" r:id="rId1853" xr:uid="{00000000-0004-0000-0500-00003C070000}"/>
    <hyperlink ref="G1858" r:id="rId1854" xr:uid="{00000000-0004-0000-0500-00003D070000}"/>
    <hyperlink ref="G1859" r:id="rId1855" xr:uid="{00000000-0004-0000-0500-00003E070000}"/>
    <hyperlink ref="G1860" r:id="rId1856" xr:uid="{00000000-0004-0000-0500-00003F070000}"/>
    <hyperlink ref="G1861" r:id="rId1857" xr:uid="{00000000-0004-0000-0500-000040070000}"/>
    <hyperlink ref="G1862" r:id="rId1858" xr:uid="{00000000-0004-0000-0500-000041070000}"/>
    <hyperlink ref="G1863" r:id="rId1859" xr:uid="{00000000-0004-0000-0500-000042070000}"/>
    <hyperlink ref="G1864" r:id="rId1860" xr:uid="{00000000-0004-0000-0500-000043070000}"/>
    <hyperlink ref="G1865" r:id="rId1861" xr:uid="{00000000-0004-0000-0500-000044070000}"/>
    <hyperlink ref="G1866" r:id="rId1862" xr:uid="{00000000-0004-0000-0500-000045070000}"/>
    <hyperlink ref="G1867" r:id="rId1863" xr:uid="{00000000-0004-0000-0500-000046070000}"/>
    <hyperlink ref="G1868" r:id="rId1864" xr:uid="{00000000-0004-0000-0500-000047070000}"/>
    <hyperlink ref="G1869" r:id="rId1865" xr:uid="{00000000-0004-0000-0500-000048070000}"/>
    <hyperlink ref="G1870" r:id="rId1866" xr:uid="{00000000-0004-0000-0500-000049070000}"/>
    <hyperlink ref="G1871" r:id="rId1867" xr:uid="{00000000-0004-0000-0500-00004A070000}"/>
    <hyperlink ref="G1872" r:id="rId1868" xr:uid="{00000000-0004-0000-0500-00004B070000}"/>
    <hyperlink ref="G1873" r:id="rId1869" xr:uid="{00000000-0004-0000-0500-00004C070000}"/>
    <hyperlink ref="G1874" r:id="rId1870" xr:uid="{00000000-0004-0000-0500-00004D070000}"/>
    <hyperlink ref="G1875" r:id="rId1871" xr:uid="{00000000-0004-0000-0500-00004E070000}"/>
    <hyperlink ref="G1876" r:id="rId1872" xr:uid="{00000000-0004-0000-0500-00004F070000}"/>
    <hyperlink ref="G1877" r:id="rId1873" xr:uid="{00000000-0004-0000-0500-000050070000}"/>
    <hyperlink ref="G1878" r:id="rId1874" xr:uid="{00000000-0004-0000-0500-000051070000}"/>
    <hyperlink ref="G1879" r:id="rId1875" xr:uid="{00000000-0004-0000-0500-000052070000}"/>
    <hyperlink ref="G1880" r:id="rId1876" xr:uid="{00000000-0004-0000-0500-000053070000}"/>
    <hyperlink ref="G1881" r:id="rId1877" xr:uid="{00000000-0004-0000-0500-000054070000}"/>
    <hyperlink ref="G1882" r:id="rId1878" xr:uid="{00000000-0004-0000-0500-000055070000}"/>
    <hyperlink ref="G1883" r:id="rId1879" xr:uid="{00000000-0004-0000-0500-000056070000}"/>
    <hyperlink ref="G1884" r:id="rId1880" xr:uid="{00000000-0004-0000-0500-000057070000}"/>
    <hyperlink ref="G1885" r:id="rId1881" xr:uid="{00000000-0004-0000-0500-000058070000}"/>
    <hyperlink ref="G1886" r:id="rId1882" xr:uid="{00000000-0004-0000-0500-000059070000}"/>
    <hyperlink ref="G1887" r:id="rId1883" xr:uid="{00000000-0004-0000-0500-00005A070000}"/>
    <hyperlink ref="G1888" r:id="rId1884" xr:uid="{00000000-0004-0000-0500-00005B070000}"/>
    <hyperlink ref="G1889" r:id="rId1885" xr:uid="{00000000-0004-0000-0500-00005C070000}"/>
    <hyperlink ref="G1890" r:id="rId1886" xr:uid="{00000000-0004-0000-0500-00005D070000}"/>
    <hyperlink ref="G1891" r:id="rId1887" xr:uid="{00000000-0004-0000-0500-00005E070000}"/>
    <hyperlink ref="G1892" r:id="rId1888" xr:uid="{00000000-0004-0000-0500-00005F070000}"/>
    <hyperlink ref="G1893" r:id="rId1889" xr:uid="{00000000-0004-0000-0500-000060070000}"/>
    <hyperlink ref="G1894" r:id="rId1890" xr:uid="{00000000-0004-0000-0500-000061070000}"/>
    <hyperlink ref="G1895" r:id="rId1891" xr:uid="{00000000-0004-0000-0500-000062070000}"/>
    <hyperlink ref="G1896" r:id="rId1892" xr:uid="{00000000-0004-0000-0500-000063070000}"/>
    <hyperlink ref="G1897" r:id="rId1893" xr:uid="{00000000-0004-0000-0500-000064070000}"/>
    <hyperlink ref="G1898" r:id="rId1894" xr:uid="{00000000-0004-0000-0500-000065070000}"/>
    <hyperlink ref="G1899" r:id="rId1895" xr:uid="{00000000-0004-0000-0500-000066070000}"/>
    <hyperlink ref="G1900" r:id="rId1896" xr:uid="{00000000-0004-0000-0500-000067070000}"/>
    <hyperlink ref="G1901" r:id="rId1897" xr:uid="{00000000-0004-0000-0500-000068070000}"/>
    <hyperlink ref="G1902" r:id="rId1898" xr:uid="{00000000-0004-0000-0500-000069070000}"/>
    <hyperlink ref="G1903" r:id="rId1899" xr:uid="{00000000-0004-0000-0500-00006A070000}"/>
    <hyperlink ref="G1904" r:id="rId1900" xr:uid="{00000000-0004-0000-0500-00006B070000}"/>
    <hyperlink ref="G1905" r:id="rId1901" xr:uid="{00000000-0004-0000-0500-00006C070000}"/>
    <hyperlink ref="G1906" r:id="rId1902" xr:uid="{00000000-0004-0000-0500-00006D070000}"/>
    <hyperlink ref="G1907" r:id="rId1903" xr:uid="{00000000-0004-0000-0500-00006E070000}"/>
    <hyperlink ref="G1908" r:id="rId1904" xr:uid="{00000000-0004-0000-0500-00006F070000}"/>
    <hyperlink ref="G1909" r:id="rId1905" xr:uid="{00000000-0004-0000-0500-000070070000}"/>
    <hyperlink ref="G1910" r:id="rId1906" xr:uid="{00000000-0004-0000-0500-000071070000}"/>
    <hyperlink ref="G1911" r:id="rId1907" xr:uid="{00000000-0004-0000-0500-000072070000}"/>
    <hyperlink ref="G1912" r:id="rId1908" xr:uid="{00000000-0004-0000-0500-000073070000}"/>
    <hyperlink ref="G1913" r:id="rId1909" xr:uid="{00000000-0004-0000-0500-000074070000}"/>
    <hyperlink ref="G1914" r:id="rId1910" xr:uid="{00000000-0004-0000-0500-000075070000}"/>
    <hyperlink ref="G1915" r:id="rId1911" xr:uid="{00000000-0004-0000-0500-000076070000}"/>
    <hyperlink ref="G1916" r:id="rId1912" xr:uid="{00000000-0004-0000-0500-000077070000}"/>
    <hyperlink ref="G1917" r:id="rId1913" xr:uid="{00000000-0004-0000-0500-000078070000}"/>
    <hyperlink ref="G1918" r:id="rId1914" xr:uid="{00000000-0004-0000-0500-000079070000}"/>
    <hyperlink ref="G1919" r:id="rId1915" xr:uid="{00000000-0004-0000-0500-00007A070000}"/>
    <hyperlink ref="G1920" r:id="rId1916" xr:uid="{00000000-0004-0000-0500-00007B070000}"/>
    <hyperlink ref="G1921" r:id="rId1917" xr:uid="{00000000-0004-0000-0500-00007C070000}"/>
    <hyperlink ref="G1922" r:id="rId1918" xr:uid="{00000000-0004-0000-0500-00007D070000}"/>
    <hyperlink ref="G1923" r:id="rId1919" xr:uid="{00000000-0004-0000-0500-00007E070000}"/>
    <hyperlink ref="G1924" r:id="rId1920" xr:uid="{00000000-0004-0000-0500-00007F070000}"/>
    <hyperlink ref="G1925" r:id="rId1921" xr:uid="{00000000-0004-0000-0500-000080070000}"/>
    <hyperlink ref="G1926" r:id="rId1922" xr:uid="{00000000-0004-0000-0500-000081070000}"/>
    <hyperlink ref="G1927" r:id="rId1923" xr:uid="{00000000-0004-0000-0500-000082070000}"/>
    <hyperlink ref="G1928" r:id="rId1924" xr:uid="{00000000-0004-0000-0500-000083070000}"/>
    <hyperlink ref="G1929" r:id="rId1925" xr:uid="{00000000-0004-0000-0500-000084070000}"/>
    <hyperlink ref="G1930" r:id="rId1926" xr:uid="{00000000-0004-0000-0500-000085070000}"/>
    <hyperlink ref="G1931" r:id="rId1927" xr:uid="{00000000-0004-0000-0500-000086070000}"/>
    <hyperlink ref="G1932" r:id="rId1928" xr:uid="{00000000-0004-0000-0500-000087070000}"/>
    <hyperlink ref="G1933" r:id="rId1929" xr:uid="{00000000-0004-0000-0500-000088070000}"/>
    <hyperlink ref="G1934" r:id="rId1930" xr:uid="{00000000-0004-0000-0500-000089070000}"/>
    <hyperlink ref="G1935" r:id="rId1931" xr:uid="{00000000-0004-0000-0500-00008A070000}"/>
    <hyperlink ref="G1936" r:id="rId1932" xr:uid="{00000000-0004-0000-0500-00008B070000}"/>
    <hyperlink ref="G1937" r:id="rId1933" xr:uid="{00000000-0004-0000-0500-00008C070000}"/>
    <hyperlink ref="G1938" r:id="rId1934" xr:uid="{00000000-0004-0000-0500-00008D070000}"/>
    <hyperlink ref="G1939" r:id="rId1935" xr:uid="{00000000-0004-0000-0500-00008E070000}"/>
    <hyperlink ref="G1940" r:id="rId1936" xr:uid="{00000000-0004-0000-0500-00008F070000}"/>
    <hyperlink ref="G1941" r:id="rId1937" xr:uid="{00000000-0004-0000-0500-000090070000}"/>
    <hyperlink ref="G1942" r:id="rId1938" xr:uid="{00000000-0004-0000-0500-000091070000}"/>
    <hyperlink ref="G1943" r:id="rId1939" xr:uid="{00000000-0004-0000-0500-000092070000}"/>
    <hyperlink ref="G1944" r:id="rId1940" xr:uid="{00000000-0004-0000-0500-000093070000}"/>
    <hyperlink ref="G1945" r:id="rId1941" xr:uid="{00000000-0004-0000-0500-000094070000}"/>
    <hyperlink ref="G1946" r:id="rId1942" xr:uid="{00000000-0004-0000-0500-000095070000}"/>
    <hyperlink ref="G1947" r:id="rId1943" xr:uid="{00000000-0004-0000-0500-000096070000}"/>
    <hyperlink ref="G1948" r:id="rId1944" xr:uid="{00000000-0004-0000-0500-000097070000}"/>
    <hyperlink ref="G1949" r:id="rId1945" xr:uid="{00000000-0004-0000-0500-000098070000}"/>
    <hyperlink ref="G1950" r:id="rId1946" xr:uid="{00000000-0004-0000-0500-000099070000}"/>
    <hyperlink ref="G1951" r:id="rId1947" xr:uid="{00000000-0004-0000-0500-00009A070000}"/>
    <hyperlink ref="G1952" r:id="rId1948" xr:uid="{00000000-0004-0000-0500-00009B070000}"/>
    <hyperlink ref="G1953" r:id="rId1949" xr:uid="{00000000-0004-0000-0500-00009C070000}"/>
    <hyperlink ref="G1954" r:id="rId1950" xr:uid="{00000000-0004-0000-0500-00009D070000}"/>
    <hyperlink ref="G1955" r:id="rId1951" xr:uid="{00000000-0004-0000-0500-00009E070000}"/>
    <hyperlink ref="G1956" r:id="rId1952" xr:uid="{00000000-0004-0000-0500-00009F070000}"/>
    <hyperlink ref="G1957" r:id="rId1953" xr:uid="{00000000-0004-0000-0500-0000A0070000}"/>
    <hyperlink ref="G1958" r:id="rId1954" xr:uid="{00000000-0004-0000-0500-0000A1070000}"/>
    <hyperlink ref="G1959" r:id="rId1955" xr:uid="{00000000-0004-0000-0500-0000A2070000}"/>
    <hyperlink ref="G1960" r:id="rId1956" xr:uid="{00000000-0004-0000-0500-0000A3070000}"/>
    <hyperlink ref="G1961" r:id="rId1957" xr:uid="{00000000-0004-0000-0500-0000A4070000}"/>
    <hyperlink ref="G1962" r:id="rId1958" xr:uid="{00000000-0004-0000-0500-0000A5070000}"/>
    <hyperlink ref="G1963" r:id="rId1959" xr:uid="{00000000-0004-0000-0500-0000A6070000}"/>
    <hyperlink ref="G1964" r:id="rId1960" xr:uid="{00000000-0004-0000-0500-0000A7070000}"/>
    <hyperlink ref="G1965" r:id="rId1961" xr:uid="{00000000-0004-0000-0500-0000A8070000}"/>
    <hyperlink ref="G1966" r:id="rId1962" xr:uid="{00000000-0004-0000-0500-0000A9070000}"/>
    <hyperlink ref="G1967" r:id="rId1963" xr:uid="{00000000-0004-0000-0500-0000AA070000}"/>
    <hyperlink ref="G1968" r:id="rId1964" xr:uid="{00000000-0004-0000-0500-0000AB070000}"/>
    <hyperlink ref="G1969" r:id="rId1965" xr:uid="{00000000-0004-0000-0500-0000AC070000}"/>
    <hyperlink ref="G1970" r:id="rId1966" xr:uid="{00000000-0004-0000-0500-0000AD070000}"/>
    <hyperlink ref="G1971" r:id="rId1967" xr:uid="{00000000-0004-0000-0500-0000AE070000}"/>
    <hyperlink ref="G1972" r:id="rId1968" xr:uid="{00000000-0004-0000-0500-0000AF070000}"/>
    <hyperlink ref="G1973" r:id="rId1969" xr:uid="{00000000-0004-0000-0500-0000B0070000}"/>
    <hyperlink ref="G1974" r:id="rId1970" xr:uid="{00000000-0004-0000-0500-0000B1070000}"/>
    <hyperlink ref="G1975" r:id="rId1971" xr:uid="{00000000-0004-0000-0500-0000B2070000}"/>
    <hyperlink ref="G1976" r:id="rId1972" xr:uid="{00000000-0004-0000-0500-0000B3070000}"/>
    <hyperlink ref="G1977" r:id="rId1973" xr:uid="{00000000-0004-0000-0500-0000B4070000}"/>
    <hyperlink ref="G1978" r:id="rId1974" xr:uid="{00000000-0004-0000-0500-0000B5070000}"/>
    <hyperlink ref="G1979" r:id="rId1975" xr:uid="{00000000-0004-0000-0500-0000B6070000}"/>
    <hyperlink ref="G1980" r:id="rId1976" xr:uid="{00000000-0004-0000-0500-0000B7070000}"/>
    <hyperlink ref="G1981" r:id="rId1977" xr:uid="{00000000-0004-0000-0500-0000B8070000}"/>
    <hyperlink ref="G1982" r:id="rId1978" xr:uid="{00000000-0004-0000-0500-0000B9070000}"/>
    <hyperlink ref="G1983" r:id="rId1979" xr:uid="{00000000-0004-0000-0500-0000BA070000}"/>
    <hyperlink ref="G1984" r:id="rId1980" xr:uid="{00000000-0004-0000-0500-0000BB070000}"/>
    <hyperlink ref="G1985" r:id="rId1981" xr:uid="{00000000-0004-0000-0500-0000BC070000}"/>
    <hyperlink ref="G1986" r:id="rId1982" xr:uid="{00000000-0004-0000-0500-0000BD070000}"/>
    <hyperlink ref="G1987" r:id="rId1983" xr:uid="{00000000-0004-0000-0500-0000BE070000}"/>
    <hyperlink ref="G1988" r:id="rId1984" xr:uid="{00000000-0004-0000-0500-0000BF070000}"/>
    <hyperlink ref="G1989" r:id="rId1985" xr:uid="{00000000-0004-0000-0500-0000C0070000}"/>
    <hyperlink ref="G1990" r:id="rId1986" xr:uid="{00000000-0004-0000-0500-0000C1070000}"/>
    <hyperlink ref="G1991" r:id="rId1987" xr:uid="{00000000-0004-0000-0500-0000C2070000}"/>
    <hyperlink ref="G1992" r:id="rId1988" xr:uid="{00000000-0004-0000-0500-0000C3070000}"/>
    <hyperlink ref="G1993" r:id="rId1989" xr:uid="{00000000-0004-0000-0500-0000C4070000}"/>
    <hyperlink ref="G1994" r:id="rId1990" xr:uid="{00000000-0004-0000-0500-0000C5070000}"/>
    <hyperlink ref="G1995" r:id="rId1991" xr:uid="{00000000-0004-0000-0500-0000C6070000}"/>
    <hyperlink ref="G1996" r:id="rId1992" xr:uid="{00000000-0004-0000-0500-0000C7070000}"/>
    <hyperlink ref="G1997" r:id="rId1993" xr:uid="{00000000-0004-0000-0500-0000C8070000}"/>
    <hyperlink ref="G1998" r:id="rId1994" xr:uid="{00000000-0004-0000-0500-0000C9070000}"/>
    <hyperlink ref="G1999" r:id="rId1995" xr:uid="{00000000-0004-0000-0500-0000CA070000}"/>
    <hyperlink ref="G2000" r:id="rId1996" xr:uid="{00000000-0004-0000-0500-0000CB070000}"/>
    <hyperlink ref="G2001" r:id="rId1997" xr:uid="{00000000-0004-0000-0500-0000CC070000}"/>
    <hyperlink ref="G2002" r:id="rId1998" xr:uid="{00000000-0004-0000-0500-0000CD070000}"/>
    <hyperlink ref="G2003" r:id="rId1999" xr:uid="{00000000-0004-0000-0500-0000CE070000}"/>
    <hyperlink ref="G2004" r:id="rId2000" xr:uid="{00000000-0004-0000-0500-0000CF070000}"/>
    <hyperlink ref="G2005" r:id="rId2001" xr:uid="{00000000-0004-0000-0500-0000D0070000}"/>
    <hyperlink ref="G2006" r:id="rId2002" xr:uid="{00000000-0004-0000-0500-0000D1070000}"/>
    <hyperlink ref="G2007" r:id="rId2003" xr:uid="{00000000-0004-0000-0500-0000D2070000}"/>
    <hyperlink ref="G2008" r:id="rId2004" xr:uid="{00000000-0004-0000-0500-0000D3070000}"/>
    <hyperlink ref="G2009" r:id="rId2005" xr:uid="{00000000-0004-0000-0500-0000D4070000}"/>
    <hyperlink ref="G2010" r:id="rId2006" xr:uid="{00000000-0004-0000-0500-0000D5070000}"/>
    <hyperlink ref="G2011" r:id="rId2007" xr:uid="{00000000-0004-0000-0500-0000D6070000}"/>
    <hyperlink ref="G2012" r:id="rId2008" xr:uid="{00000000-0004-0000-0500-0000D7070000}"/>
    <hyperlink ref="G2013" r:id="rId2009" xr:uid="{00000000-0004-0000-0500-0000D8070000}"/>
    <hyperlink ref="G2014" r:id="rId2010" xr:uid="{00000000-0004-0000-0500-0000D9070000}"/>
    <hyperlink ref="G2015" r:id="rId2011" xr:uid="{00000000-0004-0000-0500-0000DA070000}"/>
    <hyperlink ref="G2016" r:id="rId2012" xr:uid="{00000000-0004-0000-0500-0000DB070000}"/>
    <hyperlink ref="G2017" r:id="rId2013" xr:uid="{00000000-0004-0000-0500-0000DC070000}"/>
    <hyperlink ref="G2018" r:id="rId2014" xr:uid="{00000000-0004-0000-0500-0000DD070000}"/>
    <hyperlink ref="G2019" r:id="rId2015" xr:uid="{00000000-0004-0000-0500-0000DE070000}"/>
    <hyperlink ref="G2020" r:id="rId2016" xr:uid="{00000000-0004-0000-0500-0000DF070000}"/>
    <hyperlink ref="G2021" r:id="rId2017" xr:uid="{00000000-0004-0000-0500-0000E0070000}"/>
    <hyperlink ref="G2022" r:id="rId2018" xr:uid="{00000000-0004-0000-0500-0000E1070000}"/>
    <hyperlink ref="G2023" r:id="rId2019" xr:uid="{00000000-0004-0000-0500-0000E2070000}"/>
    <hyperlink ref="G2024" r:id="rId2020" xr:uid="{00000000-0004-0000-0500-0000E3070000}"/>
    <hyperlink ref="G2025" r:id="rId2021" xr:uid="{00000000-0004-0000-0500-0000E4070000}"/>
    <hyperlink ref="G2026" r:id="rId2022" xr:uid="{00000000-0004-0000-0500-0000E5070000}"/>
    <hyperlink ref="G2027" r:id="rId2023" xr:uid="{00000000-0004-0000-0500-0000E6070000}"/>
    <hyperlink ref="G2028" r:id="rId2024" xr:uid="{00000000-0004-0000-0500-0000E7070000}"/>
    <hyperlink ref="G2029" r:id="rId2025" xr:uid="{00000000-0004-0000-0500-0000E8070000}"/>
    <hyperlink ref="G2030" r:id="rId2026" xr:uid="{00000000-0004-0000-0500-0000E9070000}"/>
    <hyperlink ref="G2031" r:id="rId2027" xr:uid="{00000000-0004-0000-0500-0000EA070000}"/>
    <hyperlink ref="G2032" r:id="rId2028" xr:uid="{00000000-0004-0000-0500-0000EB070000}"/>
    <hyperlink ref="G2033" r:id="rId2029" xr:uid="{00000000-0004-0000-0500-0000EC070000}"/>
    <hyperlink ref="G2034" r:id="rId2030" xr:uid="{00000000-0004-0000-0500-0000ED070000}"/>
    <hyperlink ref="G2035" r:id="rId2031" xr:uid="{00000000-0004-0000-0500-0000EE070000}"/>
    <hyperlink ref="G2036" r:id="rId2032" xr:uid="{00000000-0004-0000-0500-0000EF070000}"/>
    <hyperlink ref="G2037" r:id="rId2033" xr:uid="{00000000-0004-0000-0500-0000F0070000}"/>
    <hyperlink ref="G2038" r:id="rId2034" xr:uid="{00000000-0004-0000-0500-0000F1070000}"/>
    <hyperlink ref="G2039" r:id="rId2035" xr:uid="{00000000-0004-0000-0500-0000F2070000}"/>
    <hyperlink ref="G2040" r:id="rId2036" xr:uid="{00000000-0004-0000-0500-0000F3070000}"/>
    <hyperlink ref="G2041" r:id="rId2037" xr:uid="{00000000-0004-0000-0500-0000F4070000}"/>
    <hyperlink ref="G2042" r:id="rId2038" xr:uid="{00000000-0004-0000-0500-0000F5070000}"/>
    <hyperlink ref="G2043" r:id="rId2039" xr:uid="{00000000-0004-0000-0500-0000F6070000}"/>
    <hyperlink ref="G2044" r:id="rId2040" xr:uid="{00000000-0004-0000-0500-0000F7070000}"/>
    <hyperlink ref="G2045" r:id="rId2041" xr:uid="{00000000-0004-0000-0500-0000F8070000}"/>
    <hyperlink ref="G2046" r:id="rId2042" xr:uid="{00000000-0004-0000-0500-0000F9070000}"/>
    <hyperlink ref="G2047" r:id="rId2043" xr:uid="{00000000-0004-0000-0500-0000FA070000}"/>
    <hyperlink ref="G2048" r:id="rId2044" xr:uid="{00000000-0004-0000-0500-0000FB070000}"/>
    <hyperlink ref="G2049" r:id="rId2045" xr:uid="{00000000-0004-0000-0500-0000FC070000}"/>
    <hyperlink ref="G2050" r:id="rId2046" xr:uid="{00000000-0004-0000-0500-0000FD070000}"/>
    <hyperlink ref="G2051" r:id="rId2047" xr:uid="{00000000-0004-0000-0500-0000FE070000}"/>
    <hyperlink ref="G2052" r:id="rId2048" xr:uid="{00000000-0004-0000-0500-0000FF070000}"/>
    <hyperlink ref="G2053" r:id="rId2049" xr:uid="{00000000-0004-0000-0500-000000080000}"/>
    <hyperlink ref="G2054" r:id="rId2050" xr:uid="{00000000-0004-0000-0500-000001080000}"/>
    <hyperlink ref="G2055" r:id="rId2051" xr:uid="{00000000-0004-0000-0500-000002080000}"/>
    <hyperlink ref="G2056" r:id="rId2052" xr:uid="{00000000-0004-0000-0500-000003080000}"/>
    <hyperlink ref="G2057" r:id="rId2053" xr:uid="{00000000-0004-0000-0500-000004080000}"/>
    <hyperlink ref="G2058" r:id="rId2054" xr:uid="{00000000-0004-0000-0500-000005080000}"/>
    <hyperlink ref="G2059" r:id="rId2055" xr:uid="{00000000-0004-0000-0500-000006080000}"/>
    <hyperlink ref="G2060" r:id="rId2056" xr:uid="{00000000-0004-0000-0500-000007080000}"/>
    <hyperlink ref="G2061" r:id="rId2057" xr:uid="{00000000-0004-0000-0500-000008080000}"/>
    <hyperlink ref="G2062" r:id="rId2058" xr:uid="{00000000-0004-0000-0500-000009080000}"/>
    <hyperlink ref="G2063" r:id="rId2059" xr:uid="{00000000-0004-0000-0500-00000A080000}"/>
    <hyperlink ref="G2064" r:id="rId2060" xr:uid="{00000000-0004-0000-0500-00000B080000}"/>
    <hyperlink ref="G2065" r:id="rId2061" xr:uid="{00000000-0004-0000-0500-00000C080000}"/>
    <hyperlink ref="G2066" r:id="rId2062" xr:uid="{00000000-0004-0000-0500-00000D080000}"/>
    <hyperlink ref="G2067" r:id="rId2063" xr:uid="{00000000-0004-0000-0500-00000E080000}"/>
    <hyperlink ref="G2068" r:id="rId2064" xr:uid="{00000000-0004-0000-0500-00000F080000}"/>
    <hyperlink ref="G2069" r:id="rId2065" xr:uid="{00000000-0004-0000-0500-000010080000}"/>
    <hyperlink ref="G2070" r:id="rId2066" xr:uid="{00000000-0004-0000-0500-000011080000}"/>
    <hyperlink ref="G2071" r:id="rId2067" xr:uid="{00000000-0004-0000-0500-000012080000}"/>
    <hyperlink ref="G2072" r:id="rId2068" xr:uid="{00000000-0004-0000-0500-000013080000}"/>
    <hyperlink ref="G2073" r:id="rId2069" xr:uid="{00000000-0004-0000-0500-000014080000}"/>
    <hyperlink ref="G2074" r:id="rId2070" xr:uid="{00000000-0004-0000-0500-000015080000}"/>
    <hyperlink ref="G2075" r:id="rId2071" xr:uid="{00000000-0004-0000-0500-000016080000}"/>
    <hyperlink ref="G2076" r:id="rId2072" xr:uid="{00000000-0004-0000-0500-000017080000}"/>
    <hyperlink ref="G2077" r:id="rId2073" xr:uid="{00000000-0004-0000-0500-000018080000}"/>
    <hyperlink ref="G2078" r:id="rId2074" xr:uid="{00000000-0004-0000-0500-000019080000}"/>
    <hyperlink ref="G2079" r:id="rId2075" xr:uid="{00000000-0004-0000-0500-00001A080000}"/>
    <hyperlink ref="G2080" r:id="rId2076" xr:uid="{00000000-0004-0000-0500-00001B080000}"/>
    <hyperlink ref="G2081" r:id="rId2077" xr:uid="{00000000-0004-0000-0500-00001C080000}"/>
    <hyperlink ref="G2082" r:id="rId2078" xr:uid="{00000000-0004-0000-0500-00001D080000}"/>
    <hyperlink ref="G2083" r:id="rId2079" xr:uid="{00000000-0004-0000-0500-00001E080000}"/>
    <hyperlink ref="G2084" r:id="rId2080" xr:uid="{00000000-0004-0000-0500-00001F080000}"/>
    <hyperlink ref="G2085" r:id="rId2081" xr:uid="{00000000-0004-0000-0500-000020080000}"/>
    <hyperlink ref="G2086" r:id="rId2082" xr:uid="{00000000-0004-0000-0500-000021080000}"/>
    <hyperlink ref="G2087" r:id="rId2083" xr:uid="{00000000-0004-0000-0500-000022080000}"/>
    <hyperlink ref="G2088" r:id="rId2084" xr:uid="{00000000-0004-0000-0500-000023080000}"/>
    <hyperlink ref="G2089" r:id="rId2085" xr:uid="{00000000-0004-0000-0500-000024080000}"/>
    <hyperlink ref="G2090" r:id="rId2086" xr:uid="{00000000-0004-0000-0500-000025080000}"/>
    <hyperlink ref="G2091" r:id="rId2087" xr:uid="{00000000-0004-0000-0500-000026080000}"/>
    <hyperlink ref="G2092" r:id="rId2088" xr:uid="{00000000-0004-0000-0500-000027080000}"/>
    <hyperlink ref="G2093" r:id="rId2089" xr:uid="{00000000-0004-0000-0500-000028080000}"/>
    <hyperlink ref="G2094" r:id="rId2090" xr:uid="{00000000-0004-0000-0500-000029080000}"/>
    <hyperlink ref="G2095" r:id="rId2091" xr:uid="{00000000-0004-0000-0500-00002A080000}"/>
    <hyperlink ref="G2096" r:id="rId2092" xr:uid="{00000000-0004-0000-0500-00002B080000}"/>
    <hyperlink ref="G2097" r:id="rId2093" xr:uid="{00000000-0004-0000-0500-00002C080000}"/>
    <hyperlink ref="G2098" r:id="rId2094" xr:uid="{00000000-0004-0000-0500-00002D080000}"/>
    <hyperlink ref="G2099" r:id="rId2095" xr:uid="{00000000-0004-0000-0500-00002E080000}"/>
    <hyperlink ref="G2100" r:id="rId2096" xr:uid="{00000000-0004-0000-0500-00002F080000}"/>
    <hyperlink ref="G2101" r:id="rId2097" xr:uid="{00000000-0004-0000-0500-000030080000}"/>
    <hyperlink ref="G2102" r:id="rId2098" xr:uid="{00000000-0004-0000-0500-000031080000}"/>
    <hyperlink ref="G2103" r:id="rId2099" xr:uid="{00000000-0004-0000-0500-000032080000}"/>
    <hyperlink ref="G2104" r:id="rId2100" xr:uid="{00000000-0004-0000-0500-000033080000}"/>
    <hyperlink ref="G2105" r:id="rId2101" xr:uid="{00000000-0004-0000-0500-000034080000}"/>
    <hyperlink ref="G2106" r:id="rId2102" xr:uid="{00000000-0004-0000-0500-000035080000}"/>
    <hyperlink ref="G2107" r:id="rId2103" xr:uid="{00000000-0004-0000-0500-000036080000}"/>
    <hyperlink ref="G2108" r:id="rId2104" xr:uid="{00000000-0004-0000-0500-000037080000}"/>
    <hyperlink ref="G2109" r:id="rId2105" xr:uid="{00000000-0004-0000-0500-000038080000}"/>
    <hyperlink ref="G2110" r:id="rId2106" xr:uid="{00000000-0004-0000-0500-000039080000}"/>
    <hyperlink ref="G2111" r:id="rId2107" xr:uid="{00000000-0004-0000-0500-00003A080000}"/>
    <hyperlink ref="G2112" r:id="rId2108" xr:uid="{00000000-0004-0000-0500-00003B080000}"/>
    <hyperlink ref="G2113" r:id="rId2109" xr:uid="{00000000-0004-0000-0500-00003C080000}"/>
    <hyperlink ref="G2114" r:id="rId2110" xr:uid="{00000000-0004-0000-0500-00003D080000}"/>
    <hyperlink ref="G2115" r:id="rId2111" xr:uid="{00000000-0004-0000-0500-00003E080000}"/>
    <hyperlink ref="G2116" r:id="rId2112" xr:uid="{00000000-0004-0000-0500-00003F080000}"/>
    <hyperlink ref="G2117" r:id="rId2113" xr:uid="{00000000-0004-0000-0500-000040080000}"/>
    <hyperlink ref="G2118" r:id="rId2114" xr:uid="{00000000-0004-0000-0500-000041080000}"/>
    <hyperlink ref="G2119" r:id="rId2115" xr:uid="{00000000-0004-0000-0500-000042080000}"/>
    <hyperlink ref="G2120" r:id="rId2116" xr:uid="{00000000-0004-0000-0500-000043080000}"/>
    <hyperlink ref="G2121" r:id="rId2117" xr:uid="{00000000-0004-0000-0500-000044080000}"/>
    <hyperlink ref="G2122" r:id="rId2118" xr:uid="{00000000-0004-0000-0500-000045080000}"/>
    <hyperlink ref="G2123" r:id="rId2119" xr:uid="{00000000-0004-0000-0500-000046080000}"/>
    <hyperlink ref="G2124" r:id="rId2120" xr:uid="{00000000-0004-0000-0500-000047080000}"/>
    <hyperlink ref="G2125" r:id="rId2121" xr:uid="{00000000-0004-0000-0500-000048080000}"/>
    <hyperlink ref="G2126" r:id="rId2122" xr:uid="{00000000-0004-0000-0500-000049080000}"/>
    <hyperlink ref="G2127" r:id="rId2123" xr:uid="{00000000-0004-0000-0500-00004A080000}"/>
    <hyperlink ref="G2128" r:id="rId2124" xr:uid="{00000000-0004-0000-0500-00004B080000}"/>
    <hyperlink ref="G2129" r:id="rId2125" xr:uid="{00000000-0004-0000-0500-00004C080000}"/>
    <hyperlink ref="G2130" r:id="rId2126" xr:uid="{00000000-0004-0000-0500-00004D080000}"/>
    <hyperlink ref="G2131" r:id="rId2127" xr:uid="{00000000-0004-0000-0500-00004E080000}"/>
    <hyperlink ref="G2132" r:id="rId2128" xr:uid="{00000000-0004-0000-0500-00004F080000}"/>
    <hyperlink ref="G2133" r:id="rId2129" xr:uid="{00000000-0004-0000-0500-000050080000}"/>
    <hyperlink ref="G2134" r:id="rId2130" xr:uid="{00000000-0004-0000-0500-000051080000}"/>
    <hyperlink ref="G2135" r:id="rId2131" xr:uid="{00000000-0004-0000-0500-000052080000}"/>
    <hyperlink ref="G2136" r:id="rId2132" xr:uid="{00000000-0004-0000-0500-000053080000}"/>
    <hyperlink ref="G2137" r:id="rId2133" xr:uid="{00000000-0004-0000-0500-000054080000}"/>
    <hyperlink ref="G2138" r:id="rId2134" xr:uid="{00000000-0004-0000-0500-000055080000}"/>
    <hyperlink ref="G2139" r:id="rId2135" xr:uid="{00000000-0004-0000-0500-000056080000}"/>
    <hyperlink ref="G2140" r:id="rId2136" xr:uid="{00000000-0004-0000-0500-000057080000}"/>
    <hyperlink ref="G2141" r:id="rId2137" xr:uid="{00000000-0004-0000-0500-000058080000}"/>
    <hyperlink ref="G2142" r:id="rId2138" xr:uid="{00000000-0004-0000-0500-000059080000}"/>
    <hyperlink ref="G2143" r:id="rId2139" xr:uid="{00000000-0004-0000-0500-00005A080000}"/>
    <hyperlink ref="G2144" r:id="rId2140" xr:uid="{00000000-0004-0000-0500-00005B080000}"/>
    <hyperlink ref="G2145" r:id="rId2141" xr:uid="{00000000-0004-0000-0500-00005C080000}"/>
    <hyperlink ref="G2146" r:id="rId2142" xr:uid="{00000000-0004-0000-0500-00005D080000}"/>
    <hyperlink ref="G2147" r:id="rId2143" xr:uid="{00000000-0004-0000-0500-00005E080000}"/>
    <hyperlink ref="G2148" r:id="rId2144" xr:uid="{00000000-0004-0000-0500-00005F080000}"/>
    <hyperlink ref="G2149" r:id="rId2145" xr:uid="{00000000-0004-0000-0500-000060080000}"/>
    <hyperlink ref="G2150" r:id="rId2146" xr:uid="{00000000-0004-0000-0500-000061080000}"/>
    <hyperlink ref="G2151" r:id="rId2147" xr:uid="{00000000-0004-0000-0500-000062080000}"/>
    <hyperlink ref="G2152" r:id="rId2148" xr:uid="{00000000-0004-0000-0500-000063080000}"/>
    <hyperlink ref="G2153" r:id="rId2149" xr:uid="{00000000-0004-0000-0500-000064080000}"/>
    <hyperlink ref="G2154" r:id="rId2150" xr:uid="{00000000-0004-0000-0500-000065080000}"/>
    <hyperlink ref="G2155" r:id="rId2151" xr:uid="{00000000-0004-0000-0500-000066080000}"/>
    <hyperlink ref="G2156" r:id="rId2152" xr:uid="{00000000-0004-0000-0500-000067080000}"/>
    <hyperlink ref="G2157" r:id="rId2153" xr:uid="{00000000-0004-0000-0500-000068080000}"/>
    <hyperlink ref="G2158" r:id="rId2154" xr:uid="{00000000-0004-0000-0500-000069080000}"/>
    <hyperlink ref="G2159" r:id="rId2155" xr:uid="{00000000-0004-0000-0500-00006A080000}"/>
    <hyperlink ref="G2160" r:id="rId2156" xr:uid="{00000000-0004-0000-0500-00006B080000}"/>
    <hyperlink ref="G2161" r:id="rId2157" xr:uid="{00000000-0004-0000-0500-00006C080000}"/>
    <hyperlink ref="G2162" r:id="rId2158" xr:uid="{00000000-0004-0000-0500-00006D080000}"/>
    <hyperlink ref="G2163" r:id="rId2159" xr:uid="{00000000-0004-0000-0500-00006E080000}"/>
    <hyperlink ref="G2164" r:id="rId2160" xr:uid="{00000000-0004-0000-0500-00006F080000}"/>
    <hyperlink ref="G2165" r:id="rId2161" xr:uid="{00000000-0004-0000-0500-000070080000}"/>
    <hyperlink ref="G2166" r:id="rId2162" xr:uid="{00000000-0004-0000-0500-000071080000}"/>
    <hyperlink ref="G2167" r:id="rId2163" xr:uid="{00000000-0004-0000-0500-000072080000}"/>
    <hyperlink ref="G2168" r:id="rId2164" xr:uid="{00000000-0004-0000-0500-000073080000}"/>
    <hyperlink ref="G2169" r:id="rId2165" xr:uid="{00000000-0004-0000-0500-000074080000}"/>
    <hyperlink ref="G2170" r:id="rId2166" xr:uid="{00000000-0004-0000-0500-000075080000}"/>
    <hyperlink ref="G2171" r:id="rId2167" xr:uid="{00000000-0004-0000-0500-000076080000}"/>
    <hyperlink ref="G2172" r:id="rId2168" xr:uid="{00000000-0004-0000-0500-000077080000}"/>
    <hyperlink ref="G2173" r:id="rId2169" xr:uid="{00000000-0004-0000-0500-000078080000}"/>
    <hyperlink ref="G2174" r:id="rId2170" xr:uid="{00000000-0004-0000-0500-000079080000}"/>
    <hyperlink ref="G2175" r:id="rId2171" xr:uid="{00000000-0004-0000-0500-00007A080000}"/>
    <hyperlink ref="G2176" r:id="rId2172" xr:uid="{00000000-0004-0000-0500-00007B080000}"/>
    <hyperlink ref="G2177" r:id="rId2173" xr:uid="{00000000-0004-0000-0500-00007C080000}"/>
    <hyperlink ref="G2178" r:id="rId2174" xr:uid="{00000000-0004-0000-0500-00007D080000}"/>
    <hyperlink ref="G2179" r:id="rId2175" xr:uid="{00000000-0004-0000-0500-00007E080000}"/>
    <hyperlink ref="G2180" r:id="rId2176" xr:uid="{00000000-0004-0000-0500-00007F080000}"/>
    <hyperlink ref="G2181" r:id="rId2177" xr:uid="{00000000-0004-0000-0500-000080080000}"/>
    <hyperlink ref="G2182" r:id="rId2178" xr:uid="{00000000-0004-0000-0500-000081080000}"/>
    <hyperlink ref="G2183" r:id="rId2179" xr:uid="{00000000-0004-0000-0500-000082080000}"/>
    <hyperlink ref="G2184" r:id="rId2180" xr:uid="{00000000-0004-0000-0500-000083080000}"/>
    <hyperlink ref="G2185" r:id="rId2181" xr:uid="{00000000-0004-0000-0500-000084080000}"/>
    <hyperlink ref="G2186" r:id="rId2182" xr:uid="{00000000-0004-0000-0500-000085080000}"/>
    <hyperlink ref="G2187" r:id="rId2183" xr:uid="{00000000-0004-0000-0500-000086080000}"/>
    <hyperlink ref="G2188" r:id="rId2184" xr:uid="{00000000-0004-0000-0500-000087080000}"/>
    <hyperlink ref="G2189" r:id="rId2185" xr:uid="{00000000-0004-0000-0500-000088080000}"/>
    <hyperlink ref="G2190" r:id="rId2186" xr:uid="{00000000-0004-0000-0500-000089080000}"/>
    <hyperlink ref="G2191" r:id="rId2187" xr:uid="{00000000-0004-0000-0500-00008A080000}"/>
    <hyperlink ref="G2192" r:id="rId2188" xr:uid="{00000000-0004-0000-0500-00008B080000}"/>
    <hyperlink ref="G2193" r:id="rId2189" xr:uid="{00000000-0004-0000-0500-00008C080000}"/>
    <hyperlink ref="G2194" r:id="rId2190" xr:uid="{00000000-0004-0000-0500-00008D080000}"/>
    <hyperlink ref="G2195" r:id="rId2191" xr:uid="{00000000-0004-0000-0500-00008E080000}"/>
    <hyperlink ref="G2196" r:id="rId2192" xr:uid="{00000000-0004-0000-0500-00008F080000}"/>
    <hyperlink ref="G2197" r:id="rId2193" xr:uid="{00000000-0004-0000-0500-000090080000}"/>
    <hyperlink ref="G2198" r:id="rId2194" xr:uid="{00000000-0004-0000-0500-000091080000}"/>
    <hyperlink ref="G2199" r:id="rId2195" xr:uid="{00000000-0004-0000-0500-000092080000}"/>
    <hyperlink ref="G2200" r:id="rId2196" xr:uid="{00000000-0004-0000-0500-000093080000}"/>
    <hyperlink ref="G2201" r:id="rId2197" xr:uid="{00000000-0004-0000-0500-000094080000}"/>
    <hyperlink ref="G2202" r:id="rId2198" xr:uid="{00000000-0004-0000-0500-000095080000}"/>
    <hyperlink ref="G2203" r:id="rId2199" xr:uid="{00000000-0004-0000-0500-000096080000}"/>
    <hyperlink ref="G2204" r:id="rId2200" xr:uid="{00000000-0004-0000-0500-000097080000}"/>
    <hyperlink ref="G2205" r:id="rId2201" xr:uid="{00000000-0004-0000-0500-000098080000}"/>
    <hyperlink ref="G2206" r:id="rId2202" xr:uid="{00000000-0004-0000-0500-000099080000}"/>
    <hyperlink ref="G2207" r:id="rId2203" xr:uid="{00000000-0004-0000-0500-00009A080000}"/>
    <hyperlink ref="G2208" r:id="rId2204" xr:uid="{00000000-0004-0000-0500-00009B080000}"/>
    <hyperlink ref="G2209" r:id="rId2205" xr:uid="{00000000-0004-0000-0500-00009C080000}"/>
    <hyperlink ref="G2210" r:id="rId2206" xr:uid="{00000000-0004-0000-0500-00009D080000}"/>
    <hyperlink ref="G2211" r:id="rId2207" xr:uid="{00000000-0004-0000-0500-00009E080000}"/>
    <hyperlink ref="G2212" r:id="rId2208" xr:uid="{00000000-0004-0000-0500-00009F080000}"/>
    <hyperlink ref="G2213" r:id="rId2209" xr:uid="{00000000-0004-0000-0500-0000A0080000}"/>
    <hyperlink ref="G2214" r:id="rId2210" xr:uid="{00000000-0004-0000-0500-0000A1080000}"/>
    <hyperlink ref="G2215" r:id="rId2211" xr:uid="{00000000-0004-0000-0500-0000A2080000}"/>
    <hyperlink ref="G2216" r:id="rId2212" xr:uid="{00000000-0004-0000-0500-0000A3080000}"/>
    <hyperlink ref="G2217" r:id="rId2213" xr:uid="{00000000-0004-0000-0500-0000A4080000}"/>
    <hyperlink ref="G2218" r:id="rId2214" xr:uid="{00000000-0004-0000-0500-0000A5080000}"/>
    <hyperlink ref="G2219" r:id="rId2215" xr:uid="{00000000-0004-0000-0500-0000A6080000}"/>
    <hyperlink ref="G2220" r:id="rId2216" xr:uid="{00000000-0004-0000-0500-0000A7080000}"/>
    <hyperlink ref="G2221" r:id="rId2217" xr:uid="{00000000-0004-0000-0500-0000A8080000}"/>
    <hyperlink ref="G2222" r:id="rId2218" xr:uid="{00000000-0004-0000-0500-0000A9080000}"/>
    <hyperlink ref="G2223" r:id="rId2219" xr:uid="{00000000-0004-0000-0500-0000AA080000}"/>
    <hyperlink ref="G2224" r:id="rId2220" xr:uid="{00000000-0004-0000-0500-0000AB080000}"/>
    <hyperlink ref="G2225" r:id="rId2221" xr:uid="{00000000-0004-0000-0500-0000AC080000}"/>
    <hyperlink ref="G2226" r:id="rId2222" xr:uid="{00000000-0004-0000-0500-0000AD080000}"/>
    <hyperlink ref="G2227" r:id="rId2223" xr:uid="{00000000-0004-0000-0500-0000AE080000}"/>
    <hyperlink ref="G2228" r:id="rId2224" xr:uid="{00000000-0004-0000-0500-0000AF080000}"/>
    <hyperlink ref="G2229" r:id="rId2225" xr:uid="{00000000-0004-0000-0500-0000B0080000}"/>
    <hyperlink ref="G2230" r:id="rId2226" xr:uid="{00000000-0004-0000-0500-0000B1080000}"/>
    <hyperlink ref="G2231" r:id="rId2227" xr:uid="{00000000-0004-0000-0500-0000B2080000}"/>
    <hyperlink ref="G2232" r:id="rId2228" xr:uid="{00000000-0004-0000-0500-0000B3080000}"/>
    <hyperlink ref="G2233" r:id="rId2229" xr:uid="{00000000-0004-0000-0500-0000B4080000}"/>
    <hyperlink ref="G2234" r:id="rId2230" xr:uid="{00000000-0004-0000-0500-0000B5080000}"/>
    <hyperlink ref="G2235" r:id="rId2231" xr:uid="{00000000-0004-0000-0500-0000B6080000}"/>
    <hyperlink ref="G2236" r:id="rId2232" xr:uid="{00000000-0004-0000-0500-0000B7080000}"/>
    <hyperlink ref="G2237" r:id="rId2233" xr:uid="{00000000-0004-0000-0500-0000B8080000}"/>
    <hyperlink ref="G2238" r:id="rId2234" xr:uid="{00000000-0004-0000-0500-0000B9080000}"/>
    <hyperlink ref="G2239" r:id="rId2235" xr:uid="{00000000-0004-0000-0500-0000BA080000}"/>
    <hyperlink ref="G2240" r:id="rId2236" xr:uid="{00000000-0004-0000-0500-0000BB080000}"/>
    <hyperlink ref="G2241" r:id="rId2237" xr:uid="{00000000-0004-0000-0500-0000BC080000}"/>
    <hyperlink ref="G2242" r:id="rId2238" xr:uid="{00000000-0004-0000-0500-0000BD080000}"/>
    <hyperlink ref="G2243" r:id="rId2239" xr:uid="{00000000-0004-0000-0500-0000BE080000}"/>
    <hyperlink ref="G2244" r:id="rId2240" xr:uid="{00000000-0004-0000-0500-0000BF080000}"/>
    <hyperlink ref="G2245" r:id="rId2241" xr:uid="{00000000-0004-0000-0500-0000C0080000}"/>
    <hyperlink ref="G2246" r:id="rId2242" xr:uid="{00000000-0004-0000-0500-0000C1080000}"/>
    <hyperlink ref="G2247" r:id="rId2243" xr:uid="{00000000-0004-0000-0500-0000C2080000}"/>
    <hyperlink ref="G2248" r:id="rId2244" xr:uid="{00000000-0004-0000-0500-0000C3080000}"/>
    <hyperlink ref="G2249" r:id="rId2245" xr:uid="{00000000-0004-0000-0500-0000C4080000}"/>
    <hyperlink ref="G2250" r:id="rId2246" xr:uid="{00000000-0004-0000-0500-0000C5080000}"/>
    <hyperlink ref="G2251" r:id="rId2247" xr:uid="{00000000-0004-0000-0500-0000C6080000}"/>
    <hyperlink ref="G2252" r:id="rId2248" xr:uid="{00000000-0004-0000-0500-0000C7080000}"/>
    <hyperlink ref="G2253" r:id="rId2249" xr:uid="{00000000-0004-0000-0500-0000C8080000}"/>
    <hyperlink ref="G2254" r:id="rId2250" xr:uid="{00000000-0004-0000-0500-0000C9080000}"/>
    <hyperlink ref="G2255" r:id="rId2251" xr:uid="{00000000-0004-0000-0500-0000CA080000}"/>
    <hyperlink ref="G2256" r:id="rId2252" xr:uid="{00000000-0004-0000-0500-0000CB080000}"/>
    <hyperlink ref="G2257" r:id="rId2253" xr:uid="{00000000-0004-0000-0500-0000CC080000}"/>
    <hyperlink ref="G2258" r:id="rId2254" xr:uid="{00000000-0004-0000-0500-0000CD080000}"/>
    <hyperlink ref="G2259" r:id="rId2255" xr:uid="{00000000-0004-0000-0500-0000CE080000}"/>
    <hyperlink ref="G2260" r:id="rId2256" xr:uid="{00000000-0004-0000-0500-0000CF080000}"/>
    <hyperlink ref="G2261" r:id="rId2257" xr:uid="{00000000-0004-0000-0500-0000D0080000}"/>
    <hyperlink ref="G2262" r:id="rId2258" xr:uid="{00000000-0004-0000-0500-0000D1080000}"/>
    <hyperlink ref="G2263" r:id="rId2259" xr:uid="{00000000-0004-0000-0500-0000D2080000}"/>
    <hyperlink ref="G2264" r:id="rId2260" xr:uid="{00000000-0004-0000-0500-0000D3080000}"/>
    <hyperlink ref="G2265" r:id="rId2261" xr:uid="{00000000-0004-0000-0500-0000D4080000}"/>
    <hyperlink ref="G2266" r:id="rId2262" xr:uid="{00000000-0004-0000-0500-0000D5080000}"/>
    <hyperlink ref="G2267" r:id="rId2263" xr:uid="{00000000-0004-0000-0500-0000D6080000}"/>
    <hyperlink ref="G2268" r:id="rId2264" xr:uid="{00000000-0004-0000-0500-0000D7080000}"/>
    <hyperlink ref="G2269" r:id="rId2265" xr:uid="{00000000-0004-0000-0500-0000D8080000}"/>
    <hyperlink ref="G2270" r:id="rId2266" xr:uid="{00000000-0004-0000-0500-0000D9080000}"/>
    <hyperlink ref="G2271" r:id="rId2267" xr:uid="{00000000-0004-0000-0500-0000DA080000}"/>
    <hyperlink ref="G2272" r:id="rId2268" xr:uid="{00000000-0004-0000-0500-0000DB080000}"/>
    <hyperlink ref="G2273" r:id="rId2269" xr:uid="{00000000-0004-0000-0500-0000DC080000}"/>
    <hyperlink ref="G2274" r:id="rId2270" xr:uid="{00000000-0004-0000-0500-0000DD080000}"/>
    <hyperlink ref="G2275" r:id="rId2271" xr:uid="{00000000-0004-0000-0500-0000DE080000}"/>
    <hyperlink ref="G2276" r:id="rId2272" xr:uid="{00000000-0004-0000-0500-0000DF080000}"/>
    <hyperlink ref="G2277" r:id="rId2273" xr:uid="{00000000-0004-0000-0500-0000E0080000}"/>
    <hyperlink ref="G2278" r:id="rId2274" xr:uid="{00000000-0004-0000-0500-0000E1080000}"/>
    <hyperlink ref="G2279" r:id="rId2275" xr:uid="{00000000-0004-0000-0500-0000E2080000}"/>
    <hyperlink ref="G2280" r:id="rId2276" xr:uid="{00000000-0004-0000-0500-0000E3080000}"/>
    <hyperlink ref="G2281" r:id="rId2277" xr:uid="{00000000-0004-0000-0500-0000E4080000}"/>
    <hyperlink ref="G2282" r:id="rId2278" xr:uid="{00000000-0004-0000-0500-0000E5080000}"/>
    <hyperlink ref="G2283" r:id="rId2279" xr:uid="{00000000-0004-0000-0500-0000E6080000}"/>
    <hyperlink ref="G2284" r:id="rId2280" xr:uid="{00000000-0004-0000-0500-0000E7080000}"/>
    <hyperlink ref="G2285" r:id="rId2281" xr:uid="{00000000-0004-0000-0500-0000E8080000}"/>
    <hyperlink ref="G2286" r:id="rId2282" xr:uid="{00000000-0004-0000-0500-0000E9080000}"/>
    <hyperlink ref="G2287" r:id="rId2283" xr:uid="{00000000-0004-0000-0500-0000EA080000}"/>
    <hyperlink ref="G2288" r:id="rId2284" xr:uid="{00000000-0004-0000-0500-0000EB080000}"/>
    <hyperlink ref="G2289" r:id="rId2285" xr:uid="{00000000-0004-0000-0500-0000EC080000}"/>
    <hyperlink ref="G2290" r:id="rId2286" xr:uid="{00000000-0004-0000-0500-0000ED080000}"/>
    <hyperlink ref="G2291" r:id="rId2287" xr:uid="{00000000-0004-0000-0500-0000EE080000}"/>
    <hyperlink ref="G2292" r:id="rId2288" xr:uid="{00000000-0004-0000-0500-0000EF080000}"/>
    <hyperlink ref="G2293" r:id="rId2289" xr:uid="{00000000-0004-0000-0500-0000F0080000}"/>
    <hyperlink ref="G2294" r:id="rId2290" xr:uid="{00000000-0004-0000-0500-0000F1080000}"/>
    <hyperlink ref="G2295" r:id="rId2291" xr:uid="{00000000-0004-0000-0500-0000F2080000}"/>
    <hyperlink ref="G2296" r:id="rId2292" xr:uid="{00000000-0004-0000-0500-0000F3080000}"/>
    <hyperlink ref="G2297" r:id="rId2293" xr:uid="{00000000-0004-0000-0500-0000F4080000}"/>
    <hyperlink ref="G2298" r:id="rId2294" xr:uid="{00000000-0004-0000-0500-0000F5080000}"/>
    <hyperlink ref="G2299" r:id="rId2295" xr:uid="{00000000-0004-0000-0500-0000F6080000}"/>
    <hyperlink ref="G2300" r:id="rId2296" xr:uid="{00000000-0004-0000-0500-0000F7080000}"/>
    <hyperlink ref="G2301" r:id="rId2297" xr:uid="{00000000-0004-0000-0500-0000F8080000}"/>
    <hyperlink ref="G2302" r:id="rId2298" xr:uid="{00000000-0004-0000-0500-0000F9080000}"/>
    <hyperlink ref="G2303" r:id="rId2299" xr:uid="{00000000-0004-0000-0500-0000FA080000}"/>
    <hyperlink ref="G2304" r:id="rId2300" xr:uid="{00000000-0004-0000-0500-0000FB080000}"/>
    <hyperlink ref="G2305" r:id="rId2301" xr:uid="{00000000-0004-0000-0500-0000FC080000}"/>
    <hyperlink ref="G2306" r:id="rId2302" xr:uid="{00000000-0004-0000-0500-0000FD080000}"/>
    <hyperlink ref="G2307" r:id="rId2303" xr:uid="{00000000-0004-0000-0500-0000FE080000}"/>
    <hyperlink ref="G2308" r:id="rId2304" xr:uid="{00000000-0004-0000-0500-0000FF080000}"/>
    <hyperlink ref="G2309" r:id="rId2305" xr:uid="{00000000-0004-0000-0500-000000090000}"/>
    <hyperlink ref="G2310" r:id="rId2306" xr:uid="{00000000-0004-0000-0500-000001090000}"/>
    <hyperlink ref="G2311" r:id="rId2307" xr:uid="{00000000-0004-0000-0500-000002090000}"/>
    <hyperlink ref="G2312" r:id="rId2308" xr:uid="{00000000-0004-0000-0500-000003090000}"/>
    <hyperlink ref="G2313" r:id="rId2309" xr:uid="{00000000-0004-0000-0500-000004090000}"/>
    <hyperlink ref="G2314" r:id="rId2310" xr:uid="{00000000-0004-0000-0500-000005090000}"/>
    <hyperlink ref="G2315" r:id="rId2311" xr:uid="{00000000-0004-0000-0500-000006090000}"/>
    <hyperlink ref="G2316" r:id="rId2312" xr:uid="{00000000-0004-0000-0500-000007090000}"/>
    <hyperlink ref="G2317" r:id="rId2313" xr:uid="{00000000-0004-0000-0500-000008090000}"/>
    <hyperlink ref="G2318" r:id="rId2314" xr:uid="{00000000-0004-0000-0500-000009090000}"/>
    <hyperlink ref="G2319" r:id="rId2315" xr:uid="{00000000-0004-0000-0500-00000A090000}"/>
    <hyperlink ref="G2320" r:id="rId2316" xr:uid="{00000000-0004-0000-0500-00000B090000}"/>
    <hyperlink ref="G2321" r:id="rId2317" xr:uid="{00000000-0004-0000-0500-00000C090000}"/>
    <hyperlink ref="G2322" r:id="rId2318" xr:uid="{00000000-0004-0000-0500-00000D090000}"/>
    <hyperlink ref="G2323" r:id="rId2319" xr:uid="{00000000-0004-0000-0500-00000E090000}"/>
    <hyperlink ref="G2324" r:id="rId2320" xr:uid="{00000000-0004-0000-0500-00000F090000}"/>
    <hyperlink ref="G2325" r:id="rId2321" xr:uid="{00000000-0004-0000-0500-000010090000}"/>
    <hyperlink ref="G2326" r:id="rId2322" xr:uid="{00000000-0004-0000-0500-000011090000}"/>
    <hyperlink ref="G2327" r:id="rId2323" xr:uid="{00000000-0004-0000-0500-000012090000}"/>
    <hyperlink ref="G2328" r:id="rId2324" xr:uid="{00000000-0004-0000-0500-000013090000}"/>
    <hyperlink ref="G2329" r:id="rId2325" xr:uid="{00000000-0004-0000-0500-000014090000}"/>
    <hyperlink ref="G2330" r:id="rId2326" xr:uid="{00000000-0004-0000-0500-000015090000}"/>
    <hyperlink ref="G2331" r:id="rId2327" xr:uid="{00000000-0004-0000-0500-000016090000}"/>
    <hyperlink ref="G2332" r:id="rId2328" xr:uid="{00000000-0004-0000-0500-000017090000}"/>
    <hyperlink ref="G2333" r:id="rId2329" xr:uid="{00000000-0004-0000-0500-000018090000}"/>
    <hyperlink ref="G2334" r:id="rId2330" xr:uid="{00000000-0004-0000-0500-000019090000}"/>
    <hyperlink ref="G2335" r:id="rId2331" xr:uid="{00000000-0004-0000-0500-00001A090000}"/>
    <hyperlink ref="G2336" r:id="rId2332" xr:uid="{00000000-0004-0000-0500-00001B090000}"/>
    <hyperlink ref="G2337" r:id="rId2333" xr:uid="{00000000-0004-0000-0500-00001C090000}"/>
    <hyperlink ref="G2338" r:id="rId2334" xr:uid="{00000000-0004-0000-0500-00001D090000}"/>
    <hyperlink ref="G2339" r:id="rId2335" xr:uid="{00000000-0004-0000-0500-00001E090000}"/>
    <hyperlink ref="G2340" r:id="rId2336" xr:uid="{00000000-0004-0000-0500-00001F090000}"/>
    <hyperlink ref="G2341" r:id="rId2337" xr:uid="{00000000-0004-0000-0500-000020090000}"/>
    <hyperlink ref="G2342" r:id="rId2338" xr:uid="{00000000-0004-0000-0500-000021090000}"/>
    <hyperlink ref="G2343" r:id="rId2339" xr:uid="{00000000-0004-0000-0500-000022090000}"/>
    <hyperlink ref="G2344" r:id="rId2340" xr:uid="{00000000-0004-0000-0500-000023090000}"/>
    <hyperlink ref="G2345" r:id="rId2341" xr:uid="{00000000-0004-0000-0500-000024090000}"/>
    <hyperlink ref="G2346" r:id="rId2342" xr:uid="{00000000-0004-0000-0500-000025090000}"/>
    <hyperlink ref="G2347" r:id="rId2343" xr:uid="{00000000-0004-0000-0500-000026090000}"/>
    <hyperlink ref="G2348" r:id="rId2344" xr:uid="{00000000-0004-0000-0500-000027090000}"/>
    <hyperlink ref="G2349" r:id="rId2345" xr:uid="{00000000-0004-0000-0500-000028090000}"/>
    <hyperlink ref="G2350" r:id="rId2346" xr:uid="{00000000-0004-0000-0500-000029090000}"/>
    <hyperlink ref="G2351" r:id="rId2347" xr:uid="{00000000-0004-0000-0500-00002A090000}"/>
    <hyperlink ref="G2352" r:id="rId2348" xr:uid="{00000000-0004-0000-0500-00002B090000}"/>
    <hyperlink ref="G2353" r:id="rId2349" xr:uid="{00000000-0004-0000-0500-00002C090000}"/>
    <hyperlink ref="G2354" r:id="rId2350" xr:uid="{00000000-0004-0000-0500-00002D090000}"/>
    <hyperlink ref="G2355" r:id="rId2351" xr:uid="{00000000-0004-0000-0500-00002E090000}"/>
    <hyperlink ref="G2356" r:id="rId2352" xr:uid="{00000000-0004-0000-0500-00002F090000}"/>
    <hyperlink ref="G2357" r:id="rId2353" xr:uid="{00000000-0004-0000-0500-000030090000}"/>
    <hyperlink ref="G2358" r:id="rId2354" xr:uid="{00000000-0004-0000-0500-000031090000}"/>
    <hyperlink ref="G2359" r:id="rId2355" xr:uid="{00000000-0004-0000-0500-000032090000}"/>
    <hyperlink ref="G2360" r:id="rId2356" xr:uid="{00000000-0004-0000-0500-000033090000}"/>
    <hyperlink ref="G2361" r:id="rId2357" xr:uid="{00000000-0004-0000-0500-000034090000}"/>
    <hyperlink ref="G2362" r:id="rId2358" xr:uid="{00000000-0004-0000-0500-000035090000}"/>
    <hyperlink ref="G2363" r:id="rId2359" xr:uid="{00000000-0004-0000-0500-000036090000}"/>
    <hyperlink ref="G2364" r:id="rId2360" xr:uid="{00000000-0004-0000-0500-000037090000}"/>
    <hyperlink ref="G2365" r:id="rId2361" xr:uid="{00000000-0004-0000-0500-000038090000}"/>
    <hyperlink ref="G2366" r:id="rId2362" xr:uid="{00000000-0004-0000-0500-000039090000}"/>
    <hyperlink ref="G2367" r:id="rId2363" xr:uid="{00000000-0004-0000-0500-00003A090000}"/>
    <hyperlink ref="G2368" r:id="rId2364" xr:uid="{00000000-0004-0000-0500-00003B090000}"/>
    <hyperlink ref="G2369" r:id="rId2365" xr:uid="{00000000-0004-0000-0500-00003C090000}"/>
    <hyperlink ref="G2370" r:id="rId2366" xr:uid="{00000000-0004-0000-0500-00003D090000}"/>
    <hyperlink ref="G2371" r:id="rId2367" xr:uid="{00000000-0004-0000-0500-00003E090000}"/>
    <hyperlink ref="G2372" r:id="rId2368" xr:uid="{00000000-0004-0000-0500-00003F090000}"/>
    <hyperlink ref="G2373" r:id="rId2369" xr:uid="{00000000-0004-0000-0500-000040090000}"/>
    <hyperlink ref="G2374" r:id="rId2370" xr:uid="{00000000-0004-0000-0500-000041090000}"/>
    <hyperlink ref="G2375" r:id="rId2371" xr:uid="{00000000-0004-0000-0500-000042090000}"/>
    <hyperlink ref="G2376" r:id="rId2372" xr:uid="{00000000-0004-0000-0500-000043090000}"/>
    <hyperlink ref="G2377" r:id="rId2373" xr:uid="{00000000-0004-0000-0500-000044090000}"/>
    <hyperlink ref="G2378" r:id="rId2374" xr:uid="{00000000-0004-0000-0500-000045090000}"/>
    <hyperlink ref="G2379" r:id="rId2375" xr:uid="{00000000-0004-0000-0500-000046090000}"/>
    <hyperlink ref="G2380" r:id="rId2376" xr:uid="{00000000-0004-0000-0500-000047090000}"/>
    <hyperlink ref="G2381" r:id="rId2377" xr:uid="{00000000-0004-0000-0500-000048090000}"/>
    <hyperlink ref="G2382" r:id="rId2378" xr:uid="{00000000-0004-0000-0500-000049090000}"/>
    <hyperlink ref="G2383" r:id="rId2379" xr:uid="{00000000-0004-0000-0500-00004A090000}"/>
    <hyperlink ref="G2384" r:id="rId2380" xr:uid="{00000000-0004-0000-0500-00004B090000}"/>
    <hyperlink ref="G2385" r:id="rId2381" xr:uid="{00000000-0004-0000-0500-00004C090000}"/>
    <hyperlink ref="G2386" r:id="rId2382" xr:uid="{00000000-0004-0000-0500-00004D090000}"/>
    <hyperlink ref="G2387" r:id="rId2383" xr:uid="{00000000-0004-0000-0500-00004E090000}"/>
    <hyperlink ref="G2388" r:id="rId2384" xr:uid="{00000000-0004-0000-0500-00004F090000}"/>
    <hyperlink ref="G2389" r:id="rId2385" xr:uid="{00000000-0004-0000-0500-000050090000}"/>
    <hyperlink ref="G2390" r:id="rId2386" xr:uid="{00000000-0004-0000-0500-000051090000}"/>
    <hyperlink ref="G2391" r:id="rId2387" xr:uid="{00000000-0004-0000-0500-000052090000}"/>
    <hyperlink ref="G2392" r:id="rId2388" xr:uid="{00000000-0004-0000-0500-000053090000}"/>
    <hyperlink ref="G2393" r:id="rId2389" xr:uid="{00000000-0004-0000-0500-000054090000}"/>
    <hyperlink ref="G2394" r:id="rId2390" xr:uid="{00000000-0004-0000-0500-000055090000}"/>
    <hyperlink ref="G2395" r:id="rId2391" xr:uid="{00000000-0004-0000-0500-000056090000}"/>
    <hyperlink ref="G2396" r:id="rId2392" xr:uid="{00000000-0004-0000-0500-000057090000}"/>
    <hyperlink ref="G2397" r:id="rId2393" xr:uid="{00000000-0004-0000-0500-000058090000}"/>
    <hyperlink ref="G2398" r:id="rId2394" xr:uid="{00000000-0004-0000-0500-000059090000}"/>
    <hyperlink ref="G2399" r:id="rId2395" xr:uid="{00000000-0004-0000-0500-00005A090000}"/>
    <hyperlink ref="G2400" r:id="rId2396" xr:uid="{00000000-0004-0000-0500-00005B090000}"/>
    <hyperlink ref="G2401" r:id="rId2397" xr:uid="{00000000-0004-0000-0500-00005C090000}"/>
    <hyperlink ref="G2402" r:id="rId2398" xr:uid="{00000000-0004-0000-0500-00005D090000}"/>
    <hyperlink ref="G2403" r:id="rId2399" xr:uid="{00000000-0004-0000-0500-00005E090000}"/>
    <hyperlink ref="G2404" r:id="rId2400" xr:uid="{00000000-0004-0000-0500-00005F090000}"/>
    <hyperlink ref="G2405" r:id="rId2401" xr:uid="{00000000-0004-0000-0500-000060090000}"/>
    <hyperlink ref="G2406" r:id="rId2402" xr:uid="{00000000-0004-0000-0500-000061090000}"/>
    <hyperlink ref="G2407" r:id="rId2403" xr:uid="{00000000-0004-0000-0500-000062090000}"/>
    <hyperlink ref="G2408" r:id="rId2404" xr:uid="{00000000-0004-0000-0500-000063090000}"/>
    <hyperlink ref="G2409" r:id="rId2405" xr:uid="{00000000-0004-0000-0500-000064090000}"/>
    <hyperlink ref="G2410" r:id="rId2406" xr:uid="{00000000-0004-0000-0500-000065090000}"/>
    <hyperlink ref="G2411" r:id="rId2407" xr:uid="{00000000-0004-0000-0500-000066090000}"/>
    <hyperlink ref="G2412" r:id="rId2408" xr:uid="{00000000-0004-0000-0500-000067090000}"/>
    <hyperlink ref="G2413" r:id="rId2409" xr:uid="{00000000-0004-0000-0500-000068090000}"/>
    <hyperlink ref="G2414" r:id="rId2410" xr:uid="{00000000-0004-0000-0500-000069090000}"/>
    <hyperlink ref="G2415" r:id="rId2411" xr:uid="{00000000-0004-0000-0500-00006A090000}"/>
    <hyperlink ref="G2416" r:id="rId2412" xr:uid="{00000000-0004-0000-0500-00006B090000}"/>
    <hyperlink ref="G2417" r:id="rId2413" xr:uid="{00000000-0004-0000-0500-00006C090000}"/>
    <hyperlink ref="G2418" r:id="rId2414" xr:uid="{00000000-0004-0000-0500-00006D090000}"/>
    <hyperlink ref="G2419" r:id="rId2415" xr:uid="{00000000-0004-0000-0500-00006E090000}"/>
    <hyperlink ref="G2420" r:id="rId2416" xr:uid="{00000000-0004-0000-0500-00006F090000}"/>
    <hyperlink ref="G2421" r:id="rId2417" xr:uid="{00000000-0004-0000-0500-000070090000}"/>
    <hyperlink ref="G2422" r:id="rId2418" xr:uid="{00000000-0004-0000-0500-000071090000}"/>
    <hyperlink ref="G2423" r:id="rId2419" xr:uid="{00000000-0004-0000-0500-000072090000}"/>
    <hyperlink ref="G2424" r:id="rId2420" xr:uid="{00000000-0004-0000-0500-000073090000}"/>
    <hyperlink ref="G2425" r:id="rId2421" xr:uid="{00000000-0004-0000-0500-000074090000}"/>
    <hyperlink ref="G2426" r:id="rId2422" xr:uid="{00000000-0004-0000-0500-000075090000}"/>
    <hyperlink ref="G2427" r:id="rId2423" xr:uid="{00000000-0004-0000-0500-000076090000}"/>
    <hyperlink ref="G2428" r:id="rId2424" xr:uid="{00000000-0004-0000-0500-000077090000}"/>
    <hyperlink ref="G2429" r:id="rId2425" xr:uid="{00000000-0004-0000-0500-000078090000}"/>
    <hyperlink ref="G2430" r:id="rId2426" xr:uid="{00000000-0004-0000-0500-000079090000}"/>
    <hyperlink ref="G2431" r:id="rId2427" xr:uid="{00000000-0004-0000-0500-00007A090000}"/>
    <hyperlink ref="G2432" r:id="rId2428" xr:uid="{00000000-0004-0000-0500-00007B090000}"/>
    <hyperlink ref="G2433" r:id="rId2429" xr:uid="{00000000-0004-0000-0500-00007C090000}"/>
    <hyperlink ref="G2434" r:id="rId2430" xr:uid="{00000000-0004-0000-0500-00007D090000}"/>
    <hyperlink ref="G2435" r:id="rId2431" xr:uid="{00000000-0004-0000-0500-00007E090000}"/>
    <hyperlink ref="G2436" r:id="rId2432" xr:uid="{00000000-0004-0000-0500-00007F090000}"/>
    <hyperlink ref="G2437" r:id="rId2433" xr:uid="{00000000-0004-0000-0500-000080090000}"/>
    <hyperlink ref="G2438" r:id="rId2434" xr:uid="{00000000-0004-0000-0500-000081090000}"/>
    <hyperlink ref="G2439" r:id="rId2435" xr:uid="{00000000-0004-0000-0500-000082090000}"/>
    <hyperlink ref="G2440" r:id="rId2436" xr:uid="{00000000-0004-0000-0500-000083090000}"/>
    <hyperlink ref="G2441" r:id="rId2437" xr:uid="{00000000-0004-0000-0500-000084090000}"/>
    <hyperlink ref="G2442" r:id="rId2438" xr:uid="{00000000-0004-0000-0500-000085090000}"/>
    <hyperlink ref="G2443" r:id="rId2439" xr:uid="{00000000-0004-0000-0500-000086090000}"/>
    <hyperlink ref="G2444" r:id="rId2440" xr:uid="{00000000-0004-0000-0500-000087090000}"/>
    <hyperlink ref="G2445" r:id="rId2441" xr:uid="{00000000-0004-0000-0500-000088090000}"/>
    <hyperlink ref="G2446" r:id="rId2442" xr:uid="{00000000-0004-0000-0500-000089090000}"/>
    <hyperlink ref="G2447" r:id="rId2443" xr:uid="{00000000-0004-0000-0500-00008A090000}"/>
    <hyperlink ref="G2448" r:id="rId2444" xr:uid="{00000000-0004-0000-0500-00008B090000}"/>
    <hyperlink ref="G2449" r:id="rId2445" xr:uid="{00000000-0004-0000-0500-00008C090000}"/>
    <hyperlink ref="G2450" r:id="rId2446" xr:uid="{00000000-0004-0000-0500-00008D090000}"/>
    <hyperlink ref="G2451" r:id="rId2447" xr:uid="{00000000-0004-0000-0500-00008E090000}"/>
    <hyperlink ref="G2452" r:id="rId2448" xr:uid="{00000000-0004-0000-0500-00008F090000}"/>
    <hyperlink ref="G2453" r:id="rId2449" xr:uid="{00000000-0004-0000-0500-000090090000}"/>
    <hyperlink ref="G2454" r:id="rId2450" xr:uid="{00000000-0004-0000-0500-000091090000}"/>
    <hyperlink ref="G2455" r:id="rId2451" xr:uid="{00000000-0004-0000-0500-000092090000}"/>
    <hyperlink ref="G2456" r:id="rId2452" xr:uid="{00000000-0004-0000-0500-000093090000}"/>
    <hyperlink ref="G2457" r:id="rId2453" xr:uid="{00000000-0004-0000-0500-000094090000}"/>
    <hyperlink ref="G2458" r:id="rId2454" xr:uid="{00000000-0004-0000-0500-000095090000}"/>
    <hyperlink ref="G2459" r:id="rId2455" xr:uid="{00000000-0004-0000-0500-000096090000}"/>
    <hyperlink ref="G2460" r:id="rId2456" xr:uid="{00000000-0004-0000-0500-000097090000}"/>
    <hyperlink ref="G2461" r:id="rId2457" xr:uid="{00000000-0004-0000-0500-000098090000}"/>
    <hyperlink ref="G2462" r:id="rId2458" xr:uid="{00000000-0004-0000-0500-000099090000}"/>
    <hyperlink ref="G2463" r:id="rId2459" xr:uid="{00000000-0004-0000-0500-00009A090000}"/>
    <hyperlink ref="G2464" r:id="rId2460" xr:uid="{00000000-0004-0000-0500-00009B090000}"/>
    <hyperlink ref="G2465" r:id="rId2461" xr:uid="{00000000-0004-0000-0500-00009C090000}"/>
    <hyperlink ref="G2466" r:id="rId2462" xr:uid="{00000000-0004-0000-0500-00009D090000}"/>
    <hyperlink ref="G2467" r:id="rId2463" xr:uid="{00000000-0004-0000-0500-00009E090000}"/>
    <hyperlink ref="G2468" r:id="rId2464" xr:uid="{00000000-0004-0000-0500-00009F090000}"/>
    <hyperlink ref="G2469" r:id="rId2465" xr:uid="{00000000-0004-0000-0500-0000A0090000}"/>
    <hyperlink ref="G2470" r:id="rId2466" xr:uid="{00000000-0004-0000-0500-0000A1090000}"/>
    <hyperlink ref="G2471" r:id="rId2467" xr:uid="{00000000-0004-0000-0500-0000A2090000}"/>
    <hyperlink ref="G2472" r:id="rId2468" xr:uid="{00000000-0004-0000-0500-0000A3090000}"/>
    <hyperlink ref="G2473" r:id="rId2469" xr:uid="{00000000-0004-0000-0500-0000A4090000}"/>
    <hyperlink ref="G2474" r:id="rId2470" xr:uid="{00000000-0004-0000-0500-0000A5090000}"/>
    <hyperlink ref="G2475" r:id="rId2471" xr:uid="{00000000-0004-0000-0500-0000A6090000}"/>
    <hyperlink ref="G2476" r:id="rId2472" xr:uid="{00000000-0004-0000-0500-0000A7090000}"/>
    <hyperlink ref="G2477" r:id="rId2473" xr:uid="{00000000-0004-0000-0500-0000A8090000}"/>
    <hyperlink ref="G2478" r:id="rId2474" xr:uid="{00000000-0004-0000-0500-0000A9090000}"/>
    <hyperlink ref="G2479" r:id="rId2475" xr:uid="{00000000-0004-0000-0500-0000AA090000}"/>
    <hyperlink ref="G2480" r:id="rId2476" xr:uid="{00000000-0004-0000-0500-0000AB090000}"/>
    <hyperlink ref="G2481" r:id="rId2477" xr:uid="{00000000-0004-0000-0500-0000AC090000}"/>
    <hyperlink ref="G2482" r:id="rId2478" xr:uid="{00000000-0004-0000-0500-0000AD090000}"/>
    <hyperlink ref="G2483" r:id="rId2479" xr:uid="{00000000-0004-0000-0500-0000AE090000}"/>
    <hyperlink ref="G2484" r:id="rId2480" xr:uid="{00000000-0004-0000-0500-0000AF090000}"/>
    <hyperlink ref="G2485" r:id="rId2481" xr:uid="{00000000-0004-0000-0500-0000B0090000}"/>
    <hyperlink ref="G2486" r:id="rId2482" xr:uid="{00000000-0004-0000-0500-0000B1090000}"/>
    <hyperlink ref="G2487" r:id="rId2483" xr:uid="{00000000-0004-0000-0500-0000B2090000}"/>
    <hyperlink ref="G2488" r:id="rId2484" xr:uid="{00000000-0004-0000-0500-0000B3090000}"/>
    <hyperlink ref="G2489" r:id="rId2485" xr:uid="{00000000-0004-0000-0500-0000B4090000}"/>
    <hyperlink ref="G2490" r:id="rId2486" xr:uid="{00000000-0004-0000-0500-0000B5090000}"/>
    <hyperlink ref="G2491" r:id="rId2487" xr:uid="{00000000-0004-0000-0500-0000B6090000}"/>
    <hyperlink ref="G2492" r:id="rId2488" xr:uid="{00000000-0004-0000-0500-0000B7090000}"/>
    <hyperlink ref="G2493" r:id="rId2489" xr:uid="{00000000-0004-0000-0500-0000B8090000}"/>
    <hyperlink ref="G2494" r:id="rId2490" xr:uid="{00000000-0004-0000-0500-0000B9090000}"/>
    <hyperlink ref="G2495" r:id="rId2491" xr:uid="{00000000-0004-0000-0500-0000BA090000}"/>
    <hyperlink ref="G2496" r:id="rId2492" xr:uid="{00000000-0004-0000-0500-0000BB090000}"/>
    <hyperlink ref="G2497" r:id="rId2493" xr:uid="{00000000-0004-0000-0500-0000BC090000}"/>
    <hyperlink ref="G2498" r:id="rId2494" xr:uid="{00000000-0004-0000-0500-0000BD090000}"/>
    <hyperlink ref="G2499" r:id="rId2495" xr:uid="{00000000-0004-0000-0500-0000BE090000}"/>
    <hyperlink ref="G2500" r:id="rId2496" xr:uid="{00000000-0004-0000-0500-0000BF090000}"/>
    <hyperlink ref="G2501" r:id="rId2497" xr:uid="{00000000-0004-0000-0500-0000C0090000}"/>
    <hyperlink ref="G2502" r:id="rId2498" xr:uid="{00000000-0004-0000-0500-0000C1090000}"/>
    <hyperlink ref="G2503" r:id="rId2499" xr:uid="{00000000-0004-0000-0500-0000C2090000}"/>
    <hyperlink ref="G2504" r:id="rId2500" xr:uid="{00000000-0004-0000-0500-0000C3090000}"/>
    <hyperlink ref="G2505" r:id="rId2501" xr:uid="{00000000-0004-0000-0500-0000C4090000}"/>
    <hyperlink ref="G2506" r:id="rId2502" xr:uid="{00000000-0004-0000-0500-0000C5090000}"/>
    <hyperlink ref="G2507" r:id="rId2503" xr:uid="{00000000-0004-0000-0500-0000C6090000}"/>
    <hyperlink ref="G2508" r:id="rId2504" xr:uid="{00000000-0004-0000-0500-0000C7090000}"/>
    <hyperlink ref="G2509" r:id="rId2505" xr:uid="{00000000-0004-0000-0500-0000C8090000}"/>
    <hyperlink ref="G2510" r:id="rId2506" xr:uid="{00000000-0004-0000-0500-0000C9090000}"/>
    <hyperlink ref="G2511" r:id="rId2507" xr:uid="{00000000-0004-0000-0500-0000CA090000}"/>
    <hyperlink ref="G2512" r:id="rId2508" xr:uid="{00000000-0004-0000-0500-0000CB090000}"/>
    <hyperlink ref="G2513" r:id="rId2509" xr:uid="{00000000-0004-0000-0500-0000CC090000}"/>
    <hyperlink ref="G2514" r:id="rId2510" xr:uid="{00000000-0004-0000-0500-0000CD090000}"/>
    <hyperlink ref="G2515" r:id="rId2511" xr:uid="{00000000-0004-0000-0500-0000CE090000}"/>
    <hyperlink ref="G2516" r:id="rId2512" xr:uid="{00000000-0004-0000-0500-0000CF090000}"/>
    <hyperlink ref="G2517" r:id="rId2513" xr:uid="{00000000-0004-0000-0500-0000D0090000}"/>
    <hyperlink ref="G2518" r:id="rId2514" xr:uid="{00000000-0004-0000-0500-0000D1090000}"/>
    <hyperlink ref="G2519" r:id="rId2515" xr:uid="{00000000-0004-0000-0500-0000D2090000}"/>
    <hyperlink ref="G2520" r:id="rId2516" xr:uid="{00000000-0004-0000-0500-0000D3090000}"/>
    <hyperlink ref="G2521" r:id="rId2517" xr:uid="{00000000-0004-0000-0500-0000D4090000}"/>
    <hyperlink ref="G2522" r:id="rId2518" xr:uid="{00000000-0004-0000-0500-0000D5090000}"/>
    <hyperlink ref="G2523" r:id="rId2519" xr:uid="{00000000-0004-0000-0500-0000D6090000}"/>
    <hyperlink ref="G2524" r:id="rId2520" xr:uid="{00000000-0004-0000-0500-0000D7090000}"/>
    <hyperlink ref="G2525" r:id="rId2521" xr:uid="{00000000-0004-0000-0500-0000D8090000}"/>
    <hyperlink ref="G2526" r:id="rId2522" xr:uid="{00000000-0004-0000-0500-0000D9090000}"/>
    <hyperlink ref="G2527" r:id="rId2523" xr:uid="{00000000-0004-0000-0500-0000DA090000}"/>
    <hyperlink ref="G2528" r:id="rId2524" xr:uid="{00000000-0004-0000-0500-0000DB090000}"/>
    <hyperlink ref="G2529" r:id="rId2525" xr:uid="{00000000-0004-0000-0500-0000DC090000}"/>
    <hyperlink ref="G2530" r:id="rId2526" xr:uid="{00000000-0004-0000-0500-0000DD090000}"/>
    <hyperlink ref="G2531" r:id="rId2527" xr:uid="{00000000-0004-0000-0500-0000DE090000}"/>
    <hyperlink ref="G2532" r:id="rId2528" xr:uid="{00000000-0004-0000-0500-0000DF090000}"/>
    <hyperlink ref="G2533" r:id="rId2529" xr:uid="{00000000-0004-0000-0500-0000E0090000}"/>
    <hyperlink ref="G2534" r:id="rId2530" xr:uid="{00000000-0004-0000-0500-0000E1090000}"/>
    <hyperlink ref="G2535" r:id="rId2531" xr:uid="{00000000-0004-0000-0500-0000E2090000}"/>
    <hyperlink ref="G2536" r:id="rId2532" xr:uid="{00000000-0004-0000-0500-0000E3090000}"/>
    <hyperlink ref="G2537" r:id="rId2533" xr:uid="{00000000-0004-0000-0500-0000E4090000}"/>
    <hyperlink ref="G2538" r:id="rId2534" xr:uid="{00000000-0004-0000-0500-0000E5090000}"/>
    <hyperlink ref="G2539" r:id="rId2535" xr:uid="{00000000-0004-0000-0500-0000E6090000}"/>
    <hyperlink ref="G2540" r:id="rId2536" xr:uid="{00000000-0004-0000-0500-0000E7090000}"/>
    <hyperlink ref="G2541" r:id="rId2537" xr:uid="{00000000-0004-0000-0500-0000E8090000}"/>
    <hyperlink ref="G2542" r:id="rId2538" xr:uid="{00000000-0004-0000-0500-0000E9090000}"/>
    <hyperlink ref="G2543" r:id="rId2539" xr:uid="{00000000-0004-0000-0500-0000EA090000}"/>
    <hyperlink ref="G2544" r:id="rId2540" xr:uid="{00000000-0004-0000-0500-0000EB090000}"/>
    <hyperlink ref="G2545" r:id="rId2541" xr:uid="{00000000-0004-0000-0500-0000EC090000}"/>
    <hyperlink ref="G2546" r:id="rId2542" xr:uid="{00000000-0004-0000-0500-0000ED090000}"/>
    <hyperlink ref="G2547" r:id="rId2543" xr:uid="{00000000-0004-0000-0500-0000EE090000}"/>
    <hyperlink ref="G2548" r:id="rId2544" xr:uid="{00000000-0004-0000-0500-0000EF090000}"/>
    <hyperlink ref="G2549" r:id="rId2545" xr:uid="{00000000-0004-0000-0500-0000F0090000}"/>
    <hyperlink ref="G2550" r:id="rId2546" xr:uid="{00000000-0004-0000-0500-0000F1090000}"/>
    <hyperlink ref="G2551" r:id="rId2547" xr:uid="{00000000-0004-0000-0500-0000F2090000}"/>
    <hyperlink ref="G2552" r:id="rId2548" xr:uid="{00000000-0004-0000-0500-0000F3090000}"/>
    <hyperlink ref="G2553" r:id="rId2549" xr:uid="{00000000-0004-0000-0500-0000F4090000}"/>
    <hyperlink ref="G2554" r:id="rId2550" xr:uid="{00000000-0004-0000-0500-0000F5090000}"/>
    <hyperlink ref="G2555" r:id="rId2551" xr:uid="{00000000-0004-0000-0500-0000F6090000}"/>
    <hyperlink ref="G2556" r:id="rId2552" xr:uid="{00000000-0004-0000-0500-0000F7090000}"/>
    <hyperlink ref="G2557" r:id="rId2553" xr:uid="{00000000-0004-0000-0500-0000F8090000}"/>
    <hyperlink ref="G2558" r:id="rId2554" xr:uid="{00000000-0004-0000-0500-0000F9090000}"/>
    <hyperlink ref="G2559" r:id="rId2555" xr:uid="{00000000-0004-0000-0500-0000FA090000}"/>
    <hyperlink ref="G2560" r:id="rId2556" xr:uid="{00000000-0004-0000-0500-0000FB090000}"/>
    <hyperlink ref="G2561" r:id="rId2557" xr:uid="{00000000-0004-0000-0500-0000FC090000}"/>
    <hyperlink ref="G2562" r:id="rId2558" xr:uid="{00000000-0004-0000-0500-0000FD090000}"/>
    <hyperlink ref="G2563" r:id="rId2559" xr:uid="{00000000-0004-0000-0500-0000FE090000}"/>
    <hyperlink ref="G2564" r:id="rId2560" xr:uid="{00000000-0004-0000-0500-0000FF090000}"/>
    <hyperlink ref="G2565" r:id="rId2561" xr:uid="{00000000-0004-0000-0500-0000000A0000}"/>
    <hyperlink ref="G2566" r:id="rId2562" xr:uid="{00000000-0004-0000-0500-0000010A0000}"/>
    <hyperlink ref="G2567" r:id="rId2563" xr:uid="{00000000-0004-0000-0500-0000020A0000}"/>
    <hyperlink ref="G2568" r:id="rId2564" xr:uid="{00000000-0004-0000-0500-0000030A0000}"/>
    <hyperlink ref="G2569" r:id="rId2565" xr:uid="{00000000-0004-0000-0500-0000040A0000}"/>
    <hyperlink ref="G2570" r:id="rId2566" xr:uid="{00000000-0004-0000-0500-0000050A0000}"/>
    <hyperlink ref="G2571" r:id="rId2567" xr:uid="{00000000-0004-0000-0500-0000060A0000}"/>
    <hyperlink ref="G2572" r:id="rId2568" xr:uid="{00000000-0004-0000-0500-0000070A0000}"/>
    <hyperlink ref="G2573" r:id="rId2569" xr:uid="{00000000-0004-0000-0500-0000080A0000}"/>
    <hyperlink ref="G2574" r:id="rId2570" xr:uid="{00000000-0004-0000-0500-0000090A0000}"/>
    <hyperlink ref="G2575" r:id="rId2571" xr:uid="{00000000-0004-0000-0500-00000A0A0000}"/>
    <hyperlink ref="G2576" r:id="rId2572" xr:uid="{00000000-0004-0000-0500-00000B0A0000}"/>
    <hyperlink ref="G2577" r:id="rId2573" xr:uid="{00000000-0004-0000-0500-00000C0A0000}"/>
    <hyperlink ref="G2578" r:id="rId2574" xr:uid="{00000000-0004-0000-0500-00000D0A0000}"/>
    <hyperlink ref="G2579" r:id="rId2575" xr:uid="{00000000-0004-0000-0500-00000E0A0000}"/>
    <hyperlink ref="G2580" r:id="rId2576" xr:uid="{00000000-0004-0000-0500-00000F0A0000}"/>
    <hyperlink ref="G2581" r:id="rId2577" xr:uid="{00000000-0004-0000-0500-0000100A0000}"/>
    <hyperlink ref="G2582" r:id="rId2578" xr:uid="{00000000-0004-0000-0500-0000110A0000}"/>
    <hyperlink ref="G2583" r:id="rId2579" xr:uid="{00000000-0004-0000-0500-0000120A0000}"/>
    <hyperlink ref="G2584" r:id="rId2580" xr:uid="{00000000-0004-0000-0500-0000130A0000}"/>
    <hyperlink ref="G2585" r:id="rId2581" xr:uid="{00000000-0004-0000-0500-0000140A0000}"/>
    <hyperlink ref="G2586" r:id="rId2582" xr:uid="{00000000-0004-0000-0500-0000150A0000}"/>
    <hyperlink ref="G2587" r:id="rId2583" xr:uid="{00000000-0004-0000-0500-0000160A0000}"/>
    <hyperlink ref="G2588" r:id="rId2584" xr:uid="{00000000-0004-0000-0500-0000170A0000}"/>
    <hyperlink ref="G2589" r:id="rId2585" xr:uid="{00000000-0004-0000-0500-0000180A0000}"/>
    <hyperlink ref="G2590" r:id="rId2586" xr:uid="{00000000-0004-0000-0500-0000190A0000}"/>
    <hyperlink ref="G2591" r:id="rId2587" xr:uid="{00000000-0004-0000-0500-00001A0A0000}"/>
    <hyperlink ref="G2592" r:id="rId2588" xr:uid="{00000000-0004-0000-0500-00001B0A0000}"/>
    <hyperlink ref="G2593" r:id="rId2589" xr:uid="{00000000-0004-0000-0500-00001C0A0000}"/>
    <hyperlink ref="G2594" r:id="rId2590" xr:uid="{00000000-0004-0000-0500-00001D0A0000}"/>
    <hyperlink ref="G2595" r:id="rId2591" xr:uid="{00000000-0004-0000-0500-00001E0A0000}"/>
    <hyperlink ref="G2596" r:id="rId2592" xr:uid="{00000000-0004-0000-0500-00001F0A0000}"/>
    <hyperlink ref="G2597" r:id="rId2593" xr:uid="{00000000-0004-0000-0500-0000200A0000}"/>
    <hyperlink ref="G2598" r:id="rId2594" xr:uid="{00000000-0004-0000-0500-0000210A0000}"/>
    <hyperlink ref="G2599" r:id="rId2595" xr:uid="{00000000-0004-0000-0500-0000220A0000}"/>
    <hyperlink ref="G2600" r:id="rId2596" xr:uid="{00000000-0004-0000-0500-0000230A0000}"/>
    <hyperlink ref="G2601" r:id="rId2597" xr:uid="{00000000-0004-0000-0500-0000240A0000}"/>
    <hyperlink ref="G2602" r:id="rId2598" xr:uid="{00000000-0004-0000-0500-0000250A0000}"/>
    <hyperlink ref="G2603" r:id="rId2599" xr:uid="{00000000-0004-0000-0500-0000260A0000}"/>
    <hyperlink ref="G2604" r:id="rId2600" xr:uid="{00000000-0004-0000-0500-0000270A0000}"/>
    <hyperlink ref="G2605" r:id="rId2601" xr:uid="{00000000-0004-0000-0500-0000280A0000}"/>
    <hyperlink ref="G2606" r:id="rId2602" xr:uid="{00000000-0004-0000-0500-0000290A0000}"/>
    <hyperlink ref="G2607" r:id="rId2603" xr:uid="{00000000-0004-0000-0500-00002A0A0000}"/>
    <hyperlink ref="G2608" r:id="rId2604" xr:uid="{00000000-0004-0000-0500-00002B0A0000}"/>
    <hyperlink ref="G2609" r:id="rId2605" xr:uid="{00000000-0004-0000-0500-00002C0A0000}"/>
    <hyperlink ref="G2610" r:id="rId2606" xr:uid="{00000000-0004-0000-0500-00002D0A0000}"/>
    <hyperlink ref="G2611" r:id="rId2607" xr:uid="{00000000-0004-0000-0500-00002E0A0000}"/>
    <hyperlink ref="G2612" r:id="rId2608" xr:uid="{00000000-0004-0000-0500-00002F0A0000}"/>
    <hyperlink ref="G2613" r:id="rId2609" xr:uid="{00000000-0004-0000-0500-0000300A0000}"/>
    <hyperlink ref="G2614" r:id="rId2610" xr:uid="{00000000-0004-0000-0500-0000310A0000}"/>
    <hyperlink ref="G2615" r:id="rId2611" xr:uid="{00000000-0004-0000-0500-0000320A0000}"/>
    <hyperlink ref="G2616" r:id="rId2612" xr:uid="{00000000-0004-0000-0500-0000330A0000}"/>
    <hyperlink ref="G2617" r:id="rId2613" xr:uid="{00000000-0004-0000-0500-0000340A0000}"/>
    <hyperlink ref="G2618" r:id="rId2614" xr:uid="{00000000-0004-0000-0500-0000350A0000}"/>
    <hyperlink ref="G2619" r:id="rId2615" xr:uid="{00000000-0004-0000-0500-0000360A0000}"/>
    <hyperlink ref="G2620" r:id="rId2616" xr:uid="{00000000-0004-0000-0500-0000370A0000}"/>
    <hyperlink ref="G2621" r:id="rId2617" xr:uid="{00000000-0004-0000-0500-0000380A0000}"/>
    <hyperlink ref="G2622" r:id="rId2618" xr:uid="{00000000-0004-0000-0500-0000390A0000}"/>
    <hyperlink ref="G2623" r:id="rId2619" xr:uid="{00000000-0004-0000-0500-00003A0A0000}"/>
    <hyperlink ref="G2624" r:id="rId2620" xr:uid="{00000000-0004-0000-0500-00003B0A0000}"/>
    <hyperlink ref="G2625" r:id="rId2621" xr:uid="{00000000-0004-0000-0500-00003C0A0000}"/>
    <hyperlink ref="G2626" r:id="rId2622" xr:uid="{00000000-0004-0000-0500-00003D0A0000}"/>
    <hyperlink ref="G2627" r:id="rId2623" xr:uid="{00000000-0004-0000-0500-00003E0A0000}"/>
    <hyperlink ref="G2628" r:id="rId2624" xr:uid="{00000000-0004-0000-0500-00003F0A0000}"/>
    <hyperlink ref="G2629" r:id="rId2625" xr:uid="{00000000-0004-0000-0500-0000400A0000}"/>
    <hyperlink ref="G2630" r:id="rId2626" xr:uid="{00000000-0004-0000-0500-0000410A0000}"/>
    <hyperlink ref="G2631" r:id="rId2627" xr:uid="{00000000-0004-0000-0500-0000420A0000}"/>
    <hyperlink ref="G2632" r:id="rId2628" xr:uid="{00000000-0004-0000-0500-0000430A0000}"/>
    <hyperlink ref="G2633" r:id="rId2629" xr:uid="{00000000-0004-0000-0500-0000440A0000}"/>
    <hyperlink ref="G2634" r:id="rId2630" xr:uid="{00000000-0004-0000-0500-0000450A0000}"/>
    <hyperlink ref="G2635" r:id="rId2631" xr:uid="{00000000-0004-0000-0500-0000460A0000}"/>
    <hyperlink ref="G2636" r:id="rId2632" xr:uid="{00000000-0004-0000-0500-0000470A0000}"/>
    <hyperlink ref="G2637" r:id="rId2633" xr:uid="{00000000-0004-0000-0500-0000480A0000}"/>
    <hyperlink ref="G2638" r:id="rId2634" xr:uid="{00000000-0004-0000-0500-0000490A0000}"/>
    <hyperlink ref="G2639" r:id="rId2635" xr:uid="{00000000-0004-0000-0500-00004A0A0000}"/>
    <hyperlink ref="G2640" r:id="rId2636" xr:uid="{00000000-0004-0000-0500-00004B0A0000}"/>
    <hyperlink ref="G2641" r:id="rId2637" xr:uid="{00000000-0004-0000-0500-00004C0A0000}"/>
    <hyperlink ref="G2642" r:id="rId2638" xr:uid="{00000000-0004-0000-0500-00004D0A0000}"/>
    <hyperlink ref="G2643" r:id="rId2639" xr:uid="{00000000-0004-0000-0500-00004E0A0000}"/>
    <hyperlink ref="G2644" r:id="rId2640" xr:uid="{00000000-0004-0000-0500-00004F0A0000}"/>
    <hyperlink ref="G2645" r:id="rId2641" xr:uid="{00000000-0004-0000-0500-0000500A0000}"/>
    <hyperlink ref="G2646" r:id="rId2642" xr:uid="{00000000-0004-0000-0500-0000510A0000}"/>
    <hyperlink ref="G2647" r:id="rId2643" xr:uid="{00000000-0004-0000-0500-0000520A0000}"/>
    <hyperlink ref="G2648" r:id="rId2644" xr:uid="{00000000-0004-0000-0500-0000530A0000}"/>
    <hyperlink ref="G2649" r:id="rId2645" xr:uid="{00000000-0004-0000-0500-0000540A0000}"/>
    <hyperlink ref="G2650" r:id="rId2646" xr:uid="{00000000-0004-0000-0500-0000550A0000}"/>
    <hyperlink ref="G2651" r:id="rId2647" xr:uid="{00000000-0004-0000-0500-0000560A0000}"/>
    <hyperlink ref="G2652" r:id="rId2648" xr:uid="{00000000-0004-0000-0500-0000570A0000}"/>
    <hyperlink ref="G2653" r:id="rId2649" xr:uid="{00000000-0004-0000-0500-0000580A0000}"/>
    <hyperlink ref="G2654" r:id="rId2650" xr:uid="{00000000-0004-0000-0500-0000590A0000}"/>
    <hyperlink ref="G2655" r:id="rId2651" xr:uid="{00000000-0004-0000-0500-00005A0A0000}"/>
    <hyperlink ref="G2656" r:id="rId2652" xr:uid="{00000000-0004-0000-0500-00005B0A0000}"/>
    <hyperlink ref="G2657" r:id="rId2653" xr:uid="{00000000-0004-0000-0500-00005C0A0000}"/>
    <hyperlink ref="G2658" r:id="rId2654" xr:uid="{00000000-0004-0000-0500-00005D0A0000}"/>
    <hyperlink ref="G2659" r:id="rId2655" xr:uid="{00000000-0004-0000-0500-00005E0A0000}"/>
    <hyperlink ref="G2660" r:id="rId2656" xr:uid="{00000000-0004-0000-0500-00005F0A0000}"/>
    <hyperlink ref="G2661" r:id="rId2657" xr:uid="{00000000-0004-0000-0500-0000600A0000}"/>
    <hyperlink ref="G2662" r:id="rId2658" xr:uid="{00000000-0004-0000-0500-0000610A0000}"/>
    <hyperlink ref="G2663" r:id="rId2659" xr:uid="{00000000-0004-0000-0500-0000620A0000}"/>
    <hyperlink ref="G2664" r:id="rId2660" xr:uid="{00000000-0004-0000-0500-0000630A0000}"/>
    <hyperlink ref="G2665" r:id="rId2661" xr:uid="{00000000-0004-0000-0500-0000640A0000}"/>
    <hyperlink ref="G2666" r:id="rId2662" xr:uid="{00000000-0004-0000-0500-0000650A0000}"/>
    <hyperlink ref="G2667" r:id="rId2663" xr:uid="{00000000-0004-0000-0500-0000660A0000}"/>
    <hyperlink ref="G2668" r:id="rId2664" xr:uid="{00000000-0004-0000-0500-0000670A0000}"/>
    <hyperlink ref="G2669" r:id="rId2665" xr:uid="{00000000-0004-0000-0500-0000680A0000}"/>
    <hyperlink ref="G2670" r:id="rId2666" xr:uid="{00000000-0004-0000-0500-0000690A0000}"/>
    <hyperlink ref="G2671" r:id="rId2667" xr:uid="{00000000-0004-0000-0500-00006A0A0000}"/>
    <hyperlink ref="G2672" r:id="rId2668" xr:uid="{00000000-0004-0000-0500-00006B0A0000}"/>
    <hyperlink ref="G2673" r:id="rId2669" xr:uid="{00000000-0004-0000-0500-00006C0A0000}"/>
    <hyperlink ref="G2674" r:id="rId2670" xr:uid="{00000000-0004-0000-0500-00006D0A0000}"/>
    <hyperlink ref="G2675" r:id="rId2671" xr:uid="{00000000-0004-0000-0500-00006E0A0000}"/>
    <hyperlink ref="G2676" r:id="rId2672" xr:uid="{00000000-0004-0000-0500-00006F0A0000}"/>
    <hyperlink ref="G2677" r:id="rId2673" xr:uid="{00000000-0004-0000-0500-0000700A0000}"/>
    <hyperlink ref="G2678" r:id="rId2674" xr:uid="{00000000-0004-0000-0500-0000710A0000}"/>
    <hyperlink ref="G2679" r:id="rId2675" xr:uid="{00000000-0004-0000-0500-0000720A0000}"/>
    <hyperlink ref="G2680" r:id="rId2676" xr:uid="{00000000-0004-0000-0500-0000730A0000}"/>
    <hyperlink ref="G2681" r:id="rId2677" xr:uid="{00000000-0004-0000-0500-0000740A0000}"/>
    <hyperlink ref="G2682" r:id="rId2678" xr:uid="{00000000-0004-0000-0500-0000750A0000}"/>
    <hyperlink ref="G2683" r:id="rId2679" xr:uid="{00000000-0004-0000-0500-0000760A0000}"/>
    <hyperlink ref="G2684" r:id="rId2680" xr:uid="{00000000-0004-0000-0500-0000770A0000}"/>
    <hyperlink ref="G2685" r:id="rId2681" xr:uid="{00000000-0004-0000-0500-0000780A0000}"/>
    <hyperlink ref="G2686" r:id="rId2682" xr:uid="{00000000-0004-0000-0500-0000790A0000}"/>
    <hyperlink ref="G2687" r:id="rId2683" xr:uid="{00000000-0004-0000-0500-00007A0A0000}"/>
    <hyperlink ref="G2688" r:id="rId2684" xr:uid="{00000000-0004-0000-0500-00007B0A0000}"/>
    <hyperlink ref="G2689" r:id="rId2685" xr:uid="{00000000-0004-0000-0500-00007C0A0000}"/>
    <hyperlink ref="G2690" r:id="rId2686" xr:uid="{00000000-0004-0000-0500-00007D0A0000}"/>
    <hyperlink ref="G2691" r:id="rId2687" xr:uid="{00000000-0004-0000-0500-00007E0A0000}"/>
    <hyperlink ref="G2692" r:id="rId2688" xr:uid="{00000000-0004-0000-0500-00007F0A0000}"/>
    <hyperlink ref="G2693" r:id="rId2689" xr:uid="{00000000-0004-0000-0500-0000800A0000}"/>
    <hyperlink ref="G2694" r:id="rId2690" xr:uid="{00000000-0004-0000-0500-0000810A0000}"/>
    <hyperlink ref="G2695" r:id="rId2691" xr:uid="{00000000-0004-0000-0500-0000820A0000}"/>
    <hyperlink ref="G2696" r:id="rId2692" xr:uid="{00000000-0004-0000-0500-0000830A0000}"/>
    <hyperlink ref="G2697" r:id="rId2693" xr:uid="{00000000-0004-0000-0500-0000840A0000}"/>
    <hyperlink ref="G2698" r:id="rId2694" xr:uid="{00000000-0004-0000-0500-0000850A0000}"/>
    <hyperlink ref="G2699" r:id="rId2695" xr:uid="{00000000-0004-0000-0500-0000860A0000}"/>
    <hyperlink ref="G2700" r:id="rId2696" xr:uid="{00000000-0004-0000-0500-0000870A0000}"/>
    <hyperlink ref="G2701" r:id="rId2697" xr:uid="{00000000-0004-0000-0500-0000880A0000}"/>
    <hyperlink ref="G2702" r:id="rId2698" xr:uid="{00000000-0004-0000-0500-0000890A0000}"/>
    <hyperlink ref="G2703" r:id="rId2699" xr:uid="{00000000-0004-0000-0500-00008A0A0000}"/>
    <hyperlink ref="G2704" r:id="rId2700" xr:uid="{00000000-0004-0000-0500-00008B0A0000}"/>
    <hyperlink ref="G2705" r:id="rId2701" xr:uid="{00000000-0004-0000-0500-00008C0A0000}"/>
    <hyperlink ref="G2706" r:id="rId2702" xr:uid="{00000000-0004-0000-0500-00008D0A0000}"/>
    <hyperlink ref="G2707" r:id="rId2703" xr:uid="{00000000-0004-0000-0500-00008E0A0000}"/>
    <hyperlink ref="G2708" r:id="rId2704" xr:uid="{00000000-0004-0000-0500-00008F0A0000}"/>
    <hyperlink ref="G2709" r:id="rId2705" xr:uid="{00000000-0004-0000-0500-0000900A0000}"/>
    <hyperlink ref="G2710" r:id="rId2706" xr:uid="{00000000-0004-0000-0500-0000910A0000}"/>
    <hyperlink ref="G2711" r:id="rId2707" xr:uid="{00000000-0004-0000-0500-0000920A0000}"/>
    <hyperlink ref="G2712" r:id="rId2708" xr:uid="{00000000-0004-0000-0500-0000930A0000}"/>
    <hyperlink ref="G2713" r:id="rId2709" xr:uid="{00000000-0004-0000-0500-0000940A0000}"/>
    <hyperlink ref="G2714" r:id="rId2710" xr:uid="{00000000-0004-0000-0500-0000950A0000}"/>
    <hyperlink ref="G2715" r:id="rId2711" xr:uid="{00000000-0004-0000-0500-0000960A0000}"/>
    <hyperlink ref="G2716" r:id="rId2712" xr:uid="{00000000-0004-0000-0500-0000970A0000}"/>
    <hyperlink ref="G2717" r:id="rId2713" xr:uid="{00000000-0004-0000-0500-0000980A0000}"/>
    <hyperlink ref="G2718" r:id="rId2714" xr:uid="{00000000-0004-0000-0500-0000990A0000}"/>
    <hyperlink ref="G2719" r:id="rId2715" xr:uid="{00000000-0004-0000-0500-00009A0A0000}"/>
    <hyperlink ref="G2720" r:id="rId2716" xr:uid="{00000000-0004-0000-0500-00009B0A0000}"/>
    <hyperlink ref="G2721" r:id="rId2717" xr:uid="{00000000-0004-0000-0500-00009C0A0000}"/>
    <hyperlink ref="G2722" r:id="rId2718" xr:uid="{00000000-0004-0000-0500-00009D0A0000}"/>
    <hyperlink ref="G2723" r:id="rId2719" xr:uid="{00000000-0004-0000-0500-00009E0A0000}"/>
    <hyperlink ref="G2724" r:id="rId2720" xr:uid="{00000000-0004-0000-0500-00009F0A0000}"/>
    <hyperlink ref="G2725" r:id="rId2721" xr:uid="{00000000-0004-0000-0500-0000A00A0000}"/>
    <hyperlink ref="G2726" r:id="rId2722" xr:uid="{00000000-0004-0000-0500-0000A10A0000}"/>
    <hyperlink ref="G2727" r:id="rId2723" xr:uid="{00000000-0004-0000-0500-0000A20A0000}"/>
    <hyperlink ref="G2728" r:id="rId2724" xr:uid="{00000000-0004-0000-0500-0000A30A0000}"/>
    <hyperlink ref="G2729" r:id="rId2725" xr:uid="{00000000-0004-0000-0500-0000A40A0000}"/>
    <hyperlink ref="G2730" r:id="rId2726" xr:uid="{00000000-0004-0000-0500-0000A50A0000}"/>
    <hyperlink ref="G2731" r:id="rId2727" xr:uid="{00000000-0004-0000-0500-0000A60A0000}"/>
    <hyperlink ref="G2732" r:id="rId2728" xr:uid="{00000000-0004-0000-0500-0000A70A0000}"/>
    <hyperlink ref="G2733" r:id="rId2729" xr:uid="{00000000-0004-0000-0500-0000A80A0000}"/>
    <hyperlink ref="G2734" r:id="rId2730" xr:uid="{00000000-0004-0000-0500-0000A90A0000}"/>
    <hyperlink ref="G2735" r:id="rId2731" xr:uid="{00000000-0004-0000-0500-0000AA0A0000}"/>
    <hyperlink ref="G2736" r:id="rId2732" xr:uid="{00000000-0004-0000-0500-0000AB0A0000}"/>
    <hyperlink ref="G2737" r:id="rId2733" xr:uid="{00000000-0004-0000-0500-0000AC0A0000}"/>
    <hyperlink ref="G2738" r:id="rId2734" xr:uid="{00000000-0004-0000-0500-0000AD0A0000}"/>
    <hyperlink ref="G2739" r:id="rId2735" xr:uid="{00000000-0004-0000-0500-0000AE0A0000}"/>
    <hyperlink ref="G2740" r:id="rId2736" xr:uid="{00000000-0004-0000-0500-0000AF0A0000}"/>
    <hyperlink ref="G2741" r:id="rId2737" xr:uid="{00000000-0004-0000-0500-0000B00A0000}"/>
    <hyperlink ref="G2742" r:id="rId2738" xr:uid="{00000000-0004-0000-0500-0000B10A0000}"/>
    <hyperlink ref="G2743" r:id="rId2739" xr:uid="{00000000-0004-0000-0500-0000B20A0000}"/>
    <hyperlink ref="G2744" r:id="rId2740" xr:uid="{00000000-0004-0000-0500-0000B30A0000}"/>
    <hyperlink ref="G2745" r:id="rId2741" xr:uid="{00000000-0004-0000-0500-0000B40A0000}"/>
    <hyperlink ref="G2746" r:id="rId2742" xr:uid="{00000000-0004-0000-0500-0000B50A0000}"/>
    <hyperlink ref="G2747" r:id="rId2743" xr:uid="{00000000-0004-0000-0500-0000B60A0000}"/>
    <hyperlink ref="G2748" r:id="rId2744" xr:uid="{00000000-0004-0000-0500-0000B70A0000}"/>
    <hyperlink ref="G2749" r:id="rId2745" xr:uid="{00000000-0004-0000-0500-0000B80A0000}"/>
    <hyperlink ref="G2750" r:id="rId2746" xr:uid="{00000000-0004-0000-0500-0000B90A0000}"/>
    <hyperlink ref="G2751" r:id="rId2747" xr:uid="{00000000-0004-0000-0500-0000BA0A0000}"/>
    <hyperlink ref="G2752" r:id="rId2748" xr:uid="{00000000-0004-0000-0500-0000BB0A0000}"/>
    <hyperlink ref="G2753" r:id="rId2749" xr:uid="{00000000-0004-0000-0500-0000BC0A0000}"/>
    <hyperlink ref="G2754" r:id="rId2750" xr:uid="{00000000-0004-0000-0500-0000BD0A0000}"/>
    <hyperlink ref="G2755" r:id="rId2751" xr:uid="{00000000-0004-0000-0500-0000BE0A0000}"/>
    <hyperlink ref="G2756" r:id="rId2752" xr:uid="{00000000-0004-0000-0500-0000BF0A0000}"/>
    <hyperlink ref="G2757" r:id="rId2753" xr:uid="{00000000-0004-0000-0500-0000C00A0000}"/>
    <hyperlink ref="G2758" r:id="rId2754" xr:uid="{00000000-0004-0000-0500-0000C10A0000}"/>
    <hyperlink ref="G2759" r:id="rId2755" xr:uid="{00000000-0004-0000-0500-0000C20A0000}"/>
    <hyperlink ref="G2760" r:id="rId2756" xr:uid="{00000000-0004-0000-0500-0000C30A0000}"/>
    <hyperlink ref="G2761" r:id="rId2757" xr:uid="{00000000-0004-0000-0500-0000C40A0000}"/>
    <hyperlink ref="G2762" r:id="rId2758" xr:uid="{00000000-0004-0000-0500-0000C50A0000}"/>
    <hyperlink ref="G2763" r:id="rId2759" xr:uid="{00000000-0004-0000-0500-0000C60A0000}"/>
    <hyperlink ref="G2764" r:id="rId2760" xr:uid="{00000000-0004-0000-0500-0000C70A0000}"/>
    <hyperlink ref="G2765" r:id="rId2761" xr:uid="{00000000-0004-0000-0500-0000C80A0000}"/>
    <hyperlink ref="G2766" r:id="rId2762" xr:uid="{00000000-0004-0000-0500-0000C90A0000}"/>
    <hyperlink ref="G2767" r:id="rId2763" xr:uid="{00000000-0004-0000-0500-0000CA0A0000}"/>
    <hyperlink ref="G2768" r:id="rId2764" xr:uid="{00000000-0004-0000-0500-0000CB0A0000}"/>
    <hyperlink ref="G2769" r:id="rId2765" xr:uid="{00000000-0004-0000-0500-0000CC0A0000}"/>
    <hyperlink ref="G2770" r:id="rId2766" xr:uid="{00000000-0004-0000-0500-0000CD0A0000}"/>
    <hyperlink ref="G2771" r:id="rId2767" xr:uid="{00000000-0004-0000-0500-0000CE0A0000}"/>
    <hyperlink ref="G2772" r:id="rId2768" xr:uid="{00000000-0004-0000-0500-0000CF0A0000}"/>
    <hyperlink ref="G2773" r:id="rId2769" xr:uid="{00000000-0004-0000-0500-0000D00A0000}"/>
    <hyperlink ref="G2774" r:id="rId2770" xr:uid="{00000000-0004-0000-0500-0000D10A0000}"/>
    <hyperlink ref="G2775" r:id="rId2771" xr:uid="{00000000-0004-0000-0500-0000D20A0000}"/>
    <hyperlink ref="G2776" r:id="rId2772" xr:uid="{00000000-0004-0000-0500-0000D30A0000}"/>
    <hyperlink ref="G2777" r:id="rId2773" xr:uid="{00000000-0004-0000-0500-0000D40A0000}"/>
    <hyperlink ref="G2778" r:id="rId2774" xr:uid="{00000000-0004-0000-0500-0000D50A0000}"/>
    <hyperlink ref="G2779" r:id="rId2775" xr:uid="{00000000-0004-0000-0500-0000D60A0000}"/>
    <hyperlink ref="G2780" r:id="rId2776" xr:uid="{00000000-0004-0000-0500-0000D70A0000}"/>
    <hyperlink ref="G2781" r:id="rId2777" xr:uid="{00000000-0004-0000-0500-0000D80A0000}"/>
    <hyperlink ref="G2782" r:id="rId2778" xr:uid="{00000000-0004-0000-0500-0000D90A0000}"/>
    <hyperlink ref="G2783" r:id="rId2779" xr:uid="{00000000-0004-0000-0500-0000DA0A0000}"/>
    <hyperlink ref="G2784" r:id="rId2780" xr:uid="{00000000-0004-0000-0500-0000DB0A0000}"/>
    <hyperlink ref="G2785" r:id="rId2781" xr:uid="{00000000-0004-0000-0500-0000DC0A0000}"/>
    <hyperlink ref="G2786" r:id="rId2782" xr:uid="{00000000-0004-0000-0500-0000DD0A0000}"/>
    <hyperlink ref="G2787" r:id="rId2783" xr:uid="{00000000-0004-0000-0500-0000DE0A0000}"/>
    <hyperlink ref="G2788" r:id="rId2784" xr:uid="{00000000-0004-0000-0500-0000DF0A0000}"/>
    <hyperlink ref="G2789" r:id="rId2785" xr:uid="{00000000-0004-0000-0500-0000E00A0000}"/>
    <hyperlink ref="G2790" r:id="rId2786" xr:uid="{00000000-0004-0000-0500-0000E10A0000}"/>
    <hyperlink ref="G2791" r:id="rId2787" xr:uid="{00000000-0004-0000-0500-0000E20A0000}"/>
    <hyperlink ref="G2792" r:id="rId2788" xr:uid="{00000000-0004-0000-0500-0000E30A0000}"/>
    <hyperlink ref="G2793" r:id="rId2789" xr:uid="{00000000-0004-0000-0500-0000E40A0000}"/>
    <hyperlink ref="G2794" r:id="rId2790" xr:uid="{00000000-0004-0000-0500-0000E50A0000}"/>
    <hyperlink ref="G2795" r:id="rId2791" xr:uid="{00000000-0004-0000-0500-0000E60A0000}"/>
    <hyperlink ref="G2796" r:id="rId2792" xr:uid="{00000000-0004-0000-0500-0000E70A0000}"/>
    <hyperlink ref="G2797" r:id="rId2793" xr:uid="{00000000-0004-0000-0500-0000E80A0000}"/>
    <hyperlink ref="G2798" r:id="rId2794" xr:uid="{00000000-0004-0000-0500-0000E90A0000}"/>
    <hyperlink ref="G2799" r:id="rId2795" xr:uid="{00000000-0004-0000-0500-0000EA0A0000}"/>
    <hyperlink ref="G2800" r:id="rId2796" xr:uid="{00000000-0004-0000-0500-0000EB0A0000}"/>
    <hyperlink ref="G2801" r:id="rId2797" xr:uid="{00000000-0004-0000-0500-0000EC0A0000}"/>
    <hyperlink ref="G2802" r:id="rId2798" xr:uid="{00000000-0004-0000-0500-0000ED0A0000}"/>
    <hyperlink ref="G2803" r:id="rId2799" xr:uid="{00000000-0004-0000-0500-0000EE0A0000}"/>
    <hyperlink ref="G2804" r:id="rId2800" xr:uid="{00000000-0004-0000-0500-0000EF0A0000}"/>
    <hyperlink ref="G2805" r:id="rId2801" xr:uid="{00000000-0004-0000-0500-0000F00A0000}"/>
    <hyperlink ref="G2806" r:id="rId2802" xr:uid="{00000000-0004-0000-0500-0000F10A0000}"/>
    <hyperlink ref="G2807" r:id="rId2803" xr:uid="{00000000-0004-0000-0500-0000F20A0000}"/>
    <hyperlink ref="G2808" r:id="rId2804" xr:uid="{00000000-0004-0000-0500-0000F30A0000}"/>
    <hyperlink ref="G2809" r:id="rId2805" xr:uid="{00000000-0004-0000-0500-0000F40A0000}"/>
    <hyperlink ref="G2810" r:id="rId2806" xr:uid="{00000000-0004-0000-0500-0000F50A0000}"/>
    <hyperlink ref="G2811" r:id="rId2807" xr:uid="{00000000-0004-0000-0500-0000F60A0000}"/>
    <hyperlink ref="G2812" r:id="rId2808" xr:uid="{00000000-0004-0000-0500-0000F70A0000}"/>
    <hyperlink ref="G2813" r:id="rId2809" xr:uid="{00000000-0004-0000-0500-0000F80A0000}"/>
    <hyperlink ref="G2814" r:id="rId2810" xr:uid="{00000000-0004-0000-0500-0000F90A0000}"/>
    <hyperlink ref="G2815" r:id="rId2811" xr:uid="{00000000-0004-0000-0500-0000FA0A0000}"/>
    <hyperlink ref="G2816" r:id="rId2812" xr:uid="{00000000-0004-0000-0500-0000FB0A0000}"/>
    <hyperlink ref="G2817" r:id="rId2813" xr:uid="{00000000-0004-0000-0500-0000FC0A0000}"/>
    <hyperlink ref="G2818" r:id="rId2814" xr:uid="{00000000-0004-0000-0500-0000FD0A0000}"/>
    <hyperlink ref="G2819" r:id="rId2815" xr:uid="{00000000-0004-0000-0500-0000FE0A0000}"/>
    <hyperlink ref="G2820" r:id="rId2816" xr:uid="{00000000-0004-0000-0500-0000FF0A0000}"/>
    <hyperlink ref="G2821" r:id="rId2817" xr:uid="{00000000-0004-0000-0500-0000000B0000}"/>
    <hyperlink ref="G2822" r:id="rId2818" xr:uid="{00000000-0004-0000-0500-0000010B0000}"/>
    <hyperlink ref="G2823" r:id="rId2819" xr:uid="{00000000-0004-0000-0500-0000020B0000}"/>
    <hyperlink ref="G2824" r:id="rId2820" xr:uid="{00000000-0004-0000-0500-0000030B0000}"/>
    <hyperlink ref="G2825" r:id="rId2821" xr:uid="{00000000-0004-0000-0500-0000040B0000}"/>
    <hyperlink ref="G2826" r:id="rId2822" xr:uid="{00000000-0004-0000-0500-0000050B0000}"/>
    <hyperlink ref="G2827" r:id="rId2823" xr:uid="{00000000-0004-0000-0500-0000060B0000}"/>
    <hyperlink ref="G2828" r:id="rId2824" xr:uid="{00000000-0004-0000-0500-0000070B0000}"/>
    <hyperlink ref="G2829" r:id="rId2825" xr:uid="{00000000-0004-0000-0500-0000080B0000}"/>
    <hyperlink ref="G2830" r:id="rId2826" xr:uid="{00000000-0004-0000-0500-0000090B0000}"/>
    <hyperlink ref="G2831" r:id="rId2827" xr:uid="{00000000-0004-0000-0500-00000A0B0000}"/>
    <hyperlink ref="G2832" r:id="rId2828" xr:uid="{00000000-0004-0000-0500-00000B0B0000}"/>
    <hyperlink ref="G2833" r:id="rId2829" xr:uid="{00000000-0004-0000-0500-00000C0B0000}"/>
    <hyperlink ref="G2834" r:id="rId2830" xr:uid="{00000000-0004-0000-0500-00000D0B0000}"/>
    <hyperlink ref="G2835" r:id="rId2831" xr:uid="{00000000-0004-0000-0500-00000E0B0000}"/>
    <hyperlink ref="G2836" r:id="rId2832" xr:uid="{00000000-0004-0000-0500-00000F0B0000}"/>
    <hyperlink ref="G2837" r:id="rId2833" xr:uid="{00000000-0004-0000-0500-0000100B0000}"/>
    <hyperlink ref="G2838" r:id="rId2834" xr:uid="{00000000-0004-0000-0500-0000110B0000}"/>
    <hyperlink ref="G2839" r:id="rId2835" xr:uid="{00000000-0004-0000-0500-0000120B0000}"/>
    <hyperlink ref="G2840" r:id="rId2836" xr:uid="{00000000-0004-0000-0500-0000130B0000}"/>
    <hyperlink ref="G2841" r:id="rId2837" xr:uid="{00000000-0004-0000-0500-0000140B0000}"/>
    <hyperlink ref="G2842" r:id="rId2838" xr:uid="{00000000-0004-0000-0500-0000150B0000}"/>
    <hyperlink ref="G2843" r:id="rId2839" xr:uid="{00000000-0004-0000-0500-0000160B0000}"/>
    <hyperlink ref="G2844" r:id="rId2840" xr:uid="{00000000-0004-0000-0500-0000170B0000}"/>
    <hyperlink ref="G2845" r:id="rId2841" xr:uid="{00000000-0004-0000-0500-0000180B0000}"/>
    <hyperlink ref="G2846" r:id="rId2842" xr:uid="{00000000-0004-0000-0500-0000190B0000}"/>
    <hyperlink ref="G2847" r:id="rId2843" xr:uid="{00000000-0004-0000-0500-00001A0B0000}"/>
    <hyperlink ref="G2848" r:id="rId2844" xr:uid="{00000000-0004-0000-0500-00001B0B0000}"/>
    <hyperlink ref="G2849" r:id="rId2845" xr:uid="{00000000-0004-0000-0500-00001C0B0000}"/>
    <hyperlink ref="G2850" r:id="rId2846" xr:uid="{00000000-0004-0000-0500-00001D0B0000}"/>
    <hyperlink ref="G2851" r:id="rId2847" xr:uid="{00000000-0004-0000-0500-00001E0B0000}"/>
    <hyperlink ref="G2852" r:id="rId2848" xr:uid="{00000000-0004-0000-0500-00001F0B0000}"/>
    <hyperlink ref="G2853" r:id="rId2849" xr:uid="{00000000-0004-0000-0500-0000200B0000}"/>
    <hyperlink ref="G2854" r:id="rId2850" xr:uid="{00000000-0004-0000-0500-0000210B0000}"/>
    <hyperlink ref="G2855" r:id="rId2851" xr:uid="{00000000-0004-0000-0500-0000220B0000}"/>
    <hyperlink ref="G2856" r:id="rId2852" xr:uid="{00000000-0004-0000-0500-0000230B0000}"/>
    <hyperlink ref="G2857" r:id="rId2853" xr:uid="{00000000-0004-0000-0500-0000240B0000}"/>
    <hyperlink ref="G2858" r:id="rId2854" xr:uid="{00000000-0004-0000-0500-0000250B0000}"/>
    <hyperlink ref="G2859" r:id="rId2855" xr:uid="{00000000-0004-0000-0500-0000260B0000}"/>
    <hyperlink ref="G2860" r:id="rId2856" xr:uid="{00000000-0004-0000-0500-0000270B0000}"/>
    <hyperlink ref="G2861" r:id="rId2857" xr:uid="{00000000-0004-0000-0500-0000280B0000}"/>
    <hyperlink ref="G2862" r:id="rId2858" xr:uid="{00000000-0004-0000-0500-0000290B0000}"/>
    <hyperlink ref="G2863" r:id="rId2859" xr:uid="{00000000-0004-0000-0500-00002A0B0000}"/>
    <hyperlink ref="G2864" r:id="rId2860" xr:uid="{00000000-0004-0000-0500-00002B0B0000}"/>
    <hyperlink ref="G2865" r:id="rId2861" xr:uid="{00000000-0004-0000-0500-00002C0B0000}"/>
    <hyperlink ref="G2866" r:id="rId2862" xr:uid="{00000000-0004-0000-0500-00002D0B0000}"/>
    <hyperlink ref="G2867" r:id="rId2863" xr:uid="{00000000-0004-0000-0500-00002E0B0000}"/>
    <hyperlink ref="G2868" r:id="rId2864" xr:uid="{00000000-0004-0000-0500-00002F0B0000}"/>
    <hyperlink ref="G2869" r:id="rId2865" xr:uid="{00000000-0004-0000-0500-0000300B0000}"/>
    <hyperlink ref="G2870" r:id="rId2866" xr:uid="{00000000-0004-0000-0500-0000310B0000}"/>
    <hyperlink ref="G2871" r:id="rId2867" xr:uid="{00000000-0004-0000-0500-0000320B0000}"/>
    <hyperlink ref="G2872" r:id="rId2868" xr:uid="{00000000-0004-0000-0500-0000330B0000}"/>
    <hyperlink ref="G2873" r:id="rId2869" xr:uid="{00000000-0004-0000-0500-0000340B0000}"/>
    <hyperlink ref="G2874" r:id="rId2870" xr:uid="{00000000-0004-0000-0500-0000350B0000}"/>
    <hyperlink ref="G2875" r:id="rId2871" xr:uid="{00000000-0004-0000-0500-0000360B0000}"/>
    <hyperlink ref="G2876" r:id="rId2872" xr:uid="{00000000-0004-0000-0500-0000370B0000}"/>
    <hyperlink ref="G2877" r:id="rId2873" xr:uid="{00000000-0004-0000-0500-0000380B0000}"/>
    <hyperlink ref="G2878" r:id="rId2874" xr:uid="{00000000-0004-0000-0500-0000390B0000}"/>
    <hyperlink ref="G2879" r:id="rId2875" xr:uid="{00000000-0004-0000-0500-00003A0B0000}"/>
    <hyperlink ref="G2880" r:id="rId2876" xr:uid="{00000000-0004-0000-0500-00003B0B0000}"/>
    <hyperlink ref="G2881" r:id="rId2877" xr:uid="{00000000-0004-0000-0500-00003C0B0000}"/>
    <hyperlink ref="G2882" r:id="rId2878" xr:uid="{00000000-0004-0000-0500-00003D0B0000}"/>
    <hyperlink ref="G2883" r:id="rId2879" xr:uid="{00000000-0004-0000-0500-00003E0B0000}"/>
    <hyperlink ref="G2884" r:id="rId2880" xr:uid="{00000000-0004-0000-0500-00003F0B0000}"/>
    <hyperlink ref="G2885" r:id="rId2881" xr:uid="{00000000-0004-0000-0500-0000400B0000}"/>
    <hyperlink ref="G2886" r:id="rId2882" xr:uid="{00000000-0004-0000-0500-0000410B0000}"/>
    <hyperlink ref="G2887" r:id="rId2883" xr:uid="{00000000-0004-0000-0500-0000420B0000}"/>
    <hyperlink ref="G2888" r:id="rId2884" xr:uid="{00000000-0004-0000-0500-0000430B0000}"/>
    <hyperlink ref="G2889" r:id="rId2885" xr:uid="{00000000-0004-0000-0500-0000440B0000}"/>
    <hyperlink ref="G2890" r:id="rId2886" xr:uid="{00000000-0004-0000-0500-0000450B0000}"/>
    <hyperlink ref="G2891" r:id="rId2887" xr:uid="{00000000-0004-0000-0500-0000460B0000}"/>
    <hyperlink ref="G2892" r:id="rId2888" xr:uid="{00000000-0004-0000-0500-0000470B0000}"/>
    <hyperlink ref="G2893" r:id="rId2889" xr:uid="{00000000-0004-0000-0500-0000480B0000}"/>
    <hyperlink ref="G2894" r:id="rId2890" xr:uid="{00000000-0004-0000-0500-0000490B0000}"/>
    <hyperlink ref="G2895" r:id="rId2891" xr:uid="{00000000-0004-0000-0500-00004A0B0000}"/>
    <hyperlink ref="G2896" r:id="rId2892" xr:uid="{00000000-0004-0000-0500-00004B0B0000}"/>
    <hyperlink ref="G2897" r:id="rId2893" xr:uid="{00000000-0004-0000-0500-00004C0B0000}"/>
    <hyperlink ref="G2898" r:id="rId2894" xr:uid="{00000000-0004-0000-0500-00004D0B0000}"/>
    <hyperlink ref="G2899" r:id="rId2895" xr:uid="{00000000-0004-0000-0500-00004E0B0000}"/>
    <hyperlink ref="G2900" r:id="rId2896" xr:uid="{00000000-0004-0000-0500-00004F0B0000}"/>
    <hyperlink ref="G2901" r:id="rId2897" xr:uid="{00000000-0004-0000-0500-0000500B0000}"/>
    <hyperlink ref="G2902" r:id="rId2898" xr:uid="{00000000-0004-0000-0500-0000510B0000}"/>
    <hyperlink ref="G2903" r:id="rId2899" xr:uid="{00000000-0004-0000-0500-0000520B0000}"/>
    <hyperlink ref="G2904" r:id="rId2900" xr:uid="{00000000-0004-0000-0500-0000530B0000}"/>
    <hyperlink ref="G2905" r:id="rId2901" xr:uid="{00000000-0004-0000-0500-0000540B0000}"/>
    <hyperlink ref="G2906" r:id="rId2902" xr:uid="{00000000-0004-0000-0500-0000550B0000}"/>
    <hyperlink ref="G2907" r:id="rId2903" xr:uid="{00000000-0004-0000-0500-0000560B0000}"/>
    <hyperlink ref="G2908" r:id="rId2904" xr:uid="{00000000-0004-0000-0500-0000570B0000}"/>
    <hyperlink ref="G2909" r:id="rId2905" xr:uid="{00000000-0004-0000-0500-0000580B0000}"/>
    <hyperlink ref="G2910" r:id="rId2906" xr:uid="{00000000-0004-0000-0500-0000590B0000}"/>
    <hyperlink ref="G2911" r:id="rId2907" xr:uid="{00000000-0004-0000-0500-00005A0B0000}"/>
    <hyperlink ref="G2912" r:id="rId2908" xr:uid="{00000000-0004-0000-0500-00005B0B0000}"/>
    <hyperlink ref="G2913" r:id="rId2909" xr:uid="{00000000-0004-0000-0500-00005C0B0000}"/>
    <hyperlink ref="G2914" r:id="rId2910" xr:uid="{00000000-0004-0000-0500-00005D0B0000}"/>
    <hyperlink ref="G2915" r:id="rId2911" xr:uid="{00000000-0004-0000-0500-00005E0B0000}"/>
    <hyperlink ref="G2916" r:id="rId2912" xr:uid="{00000000-0004-0000-0500-00005F0B0000}"/>
    <hyperlink ref="G2917" r:id="rId2913" xr:uid="{00000000-0004-0000-0500-0000600B0000}"/>
    <hyperlink ref="G2918" r:id="rId2914" xr:uid="{00000000-0004-0000-0500-0000610B0000}"/>
    <hyperlink ref="G2919" r:id="rId2915" xr:uid="{00000000-0004-0000-0500-0000620B0000}"/>
    <hyperlink ref="G2920" r:id="rId2916" xr:uid="{00000000-0004-0000-0500-0000630B0000}"/>
    <hyperlink ref="G2921" r:id="rId2917" xr:uid="{00000000-0004-0000-0500-0000640B0000}"/>
    <hyperlink ref="G2922" r:id="rId2918" xr:uid="{00000000-0004-0000-0500-0000650B0000}"/>
    <hyperlink ref="G2923" r:id="rId2919" xr:uid="{00000000-0004-0000-0500-0000660B0000}"/>
    <hyperlink ref="G2924" r:id="rId2920" xr:uid="{00000000-0004-0000-0500-0000670B0000}"/>
    <hyperlink ref="G2925" r:id="rId2921" xr:uid="{00000000-0004-0000-0500-0000680B0000}"/>
    <hyperlink ref="G2926" r:id="rId2922" xr:uid="{00000000-0004-0000-0500-0000690B0000}"/>
    <hyperlink ref="G2927" r:id="rId2923" xr:uid="{00000000-0004-0000-0500-00006A0B0000}"/>
    <hyperlink ref="G2928" r:id="rId2924" xr:uid="{00000000-0004-0000-0500-00006B0B0000}"/>
    <hyperlink ref="G2929" r:id="rId2925" xr:uid="{00000000-0004-0000-0500-00006C0B0000}"/>
    <hyperlink ref="G2930" r:id="rId2926" xr:uid="{00000000-0004-0000-0500-00006D0B0000}"/>
    <hyperlink ref="G2931" r:id="rId2927" xr:uid="{00000000-0004-0000-0500-00006E0B0000}"/>
    <hyperlink ref="G2932" r:id="rId2928" xr:uid="{00000000-0004-0000-0500-00006F0B0000}"/>
    <hyperlink ref="G2933" r:id="rId2929" xr:uid="{00000000-0004-0000-0500-0000700B0000}"/>
    <hyperlink ref="G2934" r:id="rId2930" xr:uid="{00000000-0004-0000-0500-0000710B0000}"/>
    <hyperlink ref="G2935" r:id="rId2931" xr:uid="{00000000-0004-0000-0500-0000720B0000}"/>
    <hyperlink ref="G2936" r:id="rId2932" xr:uid="{00000000-0004-0000-0500-0000730B0000}"/>
    <hyperlink ref="G2937" r:id="rId2933" xr:uid="{00000000-0004-0000-0500-0000740B0000}"/>
    <hyperlink ref="G2938" r:id="rId2934" xr:uid="{00000000-0004-0000-0500-0000750B0000}"/>
    <hyperlink ref="G2939" r:id="rId2935" xr:uid="{00000000-0004-0000-0500-0000760B0000}"/>
    <hyperlink ref="G2940" r:id="rId2936" xr:uid="{00000000-0004-0000-0500-0000770B0000}"/>
    <hyperlink ref="G2941" r:id="rId2937" xr:uid="{00000000-0004-0000-0500-0000780B0000}"/>
    <hyperlink ref="G2942" r:id="rId2938" xr:uid="{00000000-0004-0000-0500-0000790B0000}"/>
    <hyperlink ref="G2943" r:id="rId2939" xr:uid="{00000000-0004-0000-0500-00007A0B0000}"/>
    <hyperlink ref="G2944" r:id="rId2940" xr:uid="{00000000-0004-0000-0500-00007B0B0000}"/>
    <hyperlink ref="G2945" r:id="rId2941" xr:uid="{00000000-0004-0000-0500-00007C0B0000}"/>
    <hyperlink ref="G2946" r:id="rId2942" xr:uid="{00000000-0004-0000-0500-00007D0B0000}"/>
    <hyperlink ref="G2947" r:id="rId2943" xr:uid="{00000000-0004-0000-0500-00007E0B0000}"/>
    <hyperlink ref="G2948" r:id="rId2944" xr:uid="{00000000-0004-0000-0500-00007F0B0000}"/>
    <hyperlink ref="G2949" r:id="rId2945" xr:uid="{00000000-0004-0000-0500-0000800B0000}"/>
    <hyperlink ref="G2950" r:id="rId2946" xr:uid="{00000000-0004-0000-0500-0000810B0000}"/>
    <hyperlink ref="G2951" r:id="rId2947" xr:uid="{00000000-0004-0000-0500-0000820B0000}"/>
    <hyperlink ref="G2952" r:id="rId2948" xr:uid="{00000000-0004-0000-0500-0000830B0000}"/>
    <hyperlink ref="G2953" r:id="rId2949" xr:uid="{00000000-0004-0000-0500-0000840B0000}"/>
    <hyperlink ref="G2954" r:id="rId2950" xr:uid="{00000000-0004-0000-0500-0000850B0000}"/>
    <hyperlink ref="G2955" r:id="rId2951" xr:uid="{00000000-0004-0000-0500-0000860B0000}"/>
    <hyperlink ref="G2956" r:id="rId2952" xr:uid="{00000000-0004-0000-0500-0000870B0000}"/>
    <hyperlink ref="G2957" r:id="rId2953" xr:uid="{00000000-0004-0000-0500-0000880B0000}"/>
    <hyperlink ref="G2958" r:id="rId2954" xr:uid="{00000000-0004-0000-0500-0000890B0000}"/>
    <hyperlink ref="G2959" r:id="rId2955" xr:uid="{00000000-0004-0000-0500-00008A0B0000}"/>
    <hyperlink ref="G2960" r:id="rId2956" xr:uid="{00000000-0004-0000-0500-00008B0B0000}"/>
    <hyperlink ref="G2961" r:id="rId2957" xr:uid="{00000000-0004-0000-0500-00008C0B0000}"/>
    <hyperlink ref="G2962" r:id="rId2958" xr:uid="{00000000-0004-0000-0500-00008D0B0000}"/>
    <hyperlink ref="G2963" r:id="rId2959" xr:uid="{00000000-0004-0000-0500-00008E0B0000}"/>
    <hyperlink ref="G2964" r:id="rId2960" xr:uid="{00000000-0004-0000-0500-00008F0B0000}"/>
    <hyperlink ref="G2965" r:id="rId2961" xr:uid="{00000000-0004-0000-0500-0000900B0000}"/>
    <hyperlink ref="G2966" r:id="rId2962" xr:uid="{00000000-0004-0000-0500-0000910B0000}"/>
    <hyperlink ref="G2967" r:id="rId2963" xr:uid="{00000000-0004-0000-0500-0000920B0000}"/>
    <hyperlink ref="G2968" r:id="rId2964" xr:uid="{00000000-0004-0000-0500-0000930B0000}"/>
    <hyperlink ref="G2969" r:id="rId2965" xr:uid="{00000000-0004-0000-0500-0000940B0000}"/>
    <hyperlink ref="G2970" r:id="rId2966" xr:uid="{00000000-0004-0000-0500-0000950B0000}"/>
    <hyperlink ref="G2971" r:id="rId2967" xr:uid="{00000000-0004-0000-0500-0000960B0000}"/>
    <hyperlink ref="G2972" r:id="rId2968" xr:uid="{00000000-0004-0000-0500-0000970B0000}"/>
    <hyperlink ref="G2973" r:id="rId2969" xr:uid="{00000000-0004-0000-0500-0000980B0000}"/>
    <hyperlink ref="G2974" r:id="rId2970" xr:uid="{00000000-0004-0000-0500-0000990B0000}"/>
    <hyperlink ref="G2975" r:id="rId2971" xr:uid="{00000000-0004-0000-0500-00009A0B0000}"/>
    <hyperlink ref="G2976" r:id="rId2972" xr:uid="{00000000-0004-0000-0500-00009B0B0000}"/>
    <hyperlink ref="G2977" r:id="rId2973" xr:uid="{00000000-0004-0000-0500-00009C0B0000}"/>
    <hyperlink ref="G2978" r:id="rId2974" xr:uid="{00000000-0004-0000-0500-00009D0B0000}"/>
    <hyperlink ref="G2979" r:id="rId2975" xr:uid="{00000000-0004-0000-0500-00009E0B0000}"/>
    <hyperlink ref="G2980" r:id="rId2976" xr:uid="{00000000-0004-0000-0500-00009F0B0000}"/>
    <hyperlink ref="G2981" r:id="rId2977" xr:uid="{00000000-0004-0000-0500-0000A00B0000}"/>
    <hyperlink ref="G2982" r:id="rId2978" xr:uid="{00000000-0004-0000-0500-0000A10B0000}"/>
    <hyperlink ref="G2983" r:id="rId2979" xr:uid="{00000000-0004-0000-0500-0000A20B0000}"/>
    <hyperlink ref="G2984" r:id="rId2980" xr:uid="{00000000-0004-0000-0500-0000A30B0000}"/>
    <hyperlink ref="G2985" r:id="rId2981" xr:uid="{00000000-0004-0000-0500-0000A40B0000}"/>
    <hyperlink ref="G2986" r:id="rId2982" xr:uid="{00000000-0004-0000-0500-0000A50B0000}"/>
    <hyperlink ref="G2987" r:id="rId2983" xr:uid="{00000000-0004-0000-0500-0000A60B0000}"/>
    <hyperlink ref="G2988" r:id="rId2984" xr:uid="{00000000-0004-0000-0500-0000A70B0000}"/>
    <hyperlink ref="G2989" r:id="rId2985" xr:uid="{00000000-0004-0000-0500-0000A80B0000}"/>
    <hyperlink ref="G2990" r:id="rId2986" xr:uid="{00000000-0004-0000-0500-0000A90B0000}"/>
    <hyperlink ref="G2991" r:id="rId2987" xr:uid="{00000000-0004-0000-0500-0000AA0B0000}"/>
    <hyperlink ref="G2992" r:id="rId2988" xr:uid="{00000000-0004-0000-0500-0000AB0B0000}"/>
    <hyperlink ref="G2993" r:id="rId2989" xr:uid="{00000000-0004-0000-0500-0000AC0B0000}"/>
    <hyperlink ref="G2994" r:id="rId2990" xr:uid="{00000000-0004-0000-0500-0000AD0B0000}"/>
    <hyperlink ref="G2995" r:id="rId2991" xr:uid="{00000000-0004-0000-0500-0000AE0B0000}"/>
    <hyperlink ref="G2996" r:id="rId2992" xr:uid="{00000000-0004-0000-0500-0000AF0B0000}"/>
    <hyperlink ref="G2997" r:id="rId2993" xr:uid="{00000000-0004-0000-0500-0000B00B0000}"/>
    <hyperlink ref="G2998" r:id="rId2994" xr:uid="{00000000-0004-0000-0500-0000B10B0000}"/>
    <hyperlink ref="G2999" r:id="rId2995" xr:uid="{00000000-0004-0000-0500-0000B20B0000}"/>
    <hyperlink ref="G3000" r:id="rId2996" xr:uid="{00000000-0004-0000-0500-0000B30B0000}"/>
    <hyperlink ref="G3001" r:id="rId2997" xr:uid="{00000000-0004-0000-0500-0000B40B0000}"/>
    <hyperlink ref="G3002" r:id="rId2998" xr:uid="{00000000-0004-0000-0500-0000B50B0000}"/>
    <hyperlink ref="G3003" r:id="rId2999" xr:uid="{00000000-0004-0000-0500-0000B60B0000}"/>
    <hyperlink ref="G3004" r:id="rId3000" xr:uid="{00000000-0004-0000-0500-0000B70B0000}"/>
    <hyperlink ref="G3005" r:id="rId3001" xr:uid="{00000000-0004-0000-0500-0000B80B0000}"/>
    <hyperlink ref="G3006" r:id="rId3002" xr:uid="{00000000-0004-0000-0500-0000B90B0000}"/>
    <hyperlink ref="G3007" r:id="rId3003" xr:uid="{00000000-0004-0000-0500-0000BA0B0000}"/>
    <hyperlink ref="G3008" r:id="rId3004" xr:uid="{00000000-0004-0000-0500-0000BB0B0000}"/>
    <hyperlink ref="G3009" r:id="rId3005" xr:uid="{00000000-0004-0000-0500-0000BC0B0000}"/>
    <hyperlink ref="G3010" r:id="rId3006" xr:uid="{00000000-0004-0000-0500-0000BD0B0000}"/>
    <hyperlink ref="G3011" r:id="rId3007" xr:uid="{00000000-0004-0000-0500-0000BE0B0000}"/>
    <hyperlink ref="G3012" r:id="rId3008" xr:uid="{00000000-0004-0000-0500-0000BF0B0000}"/>
    <hyperlink ref="G3013" r:id="rId3009" xr:uid="{00000000-0004-0000-0500-0000C00B0000}"/>
    <hyperlink ref="G3014" r:id="rId3010" xr:uid="{00000000-0004-0000-0500-0000C10B0000}"/>
    <hyperlink ref="G3015" r:id="rId3011" xr:uid="{00000000-0004-0000-0500-0000C20B0000}"/>
    <hyperlink ref="G3016" r:id="rId3012" xr:uid="{00000000-0004-0000-0500-0000C30B0000}"/>
    <hyperlink ref="G3017" r:id="rId3013" xr:uid="{00000000-0004-0000-0500-0000C40B0000}"/>
    <hyperlink ref="G3018" r:id="rId3014" xr:uid="{00000000-0004-0000-0500-0000C50B0000}"/>
    <hyperlink ref="G3019" r:id="rId3015" xr:uid="{00000000-0004-0000-0500-0000C60B0000}"/>
    <hyperlink ref="G3020" r:id="rId3016" xr:uid="{00000000-0004-0000-0500-0000C70B0000}"/>
    <hyperlink ref="G3021" r:id="rId3017" xr:uid="{00000000-0004-0000-0500-0000C80B0000}"/>
    <hyperlink ref="G3022" r:id="rId3018" xr:uid="{00000000-0004-0000-0500-0000C90B0000}"/>
    <hyperlink ref="G3023" r:id="rId3019" xr:uid="{00000000-0004-0000-0500-0000CA0B0000}"/>
    <hyperlink ref="G3024" r:id="rId3020" xr:uid="{00000000-0004-0000-0500-0000CB0B0000}"/>
    <hyperlink ref="G3025" r:id="rId3021" xr:uid="{00000000-0004-0000-0500-0000CC0B0000}"/>
    <hyperlink ref="G3026" r:id="rId3022" xr:uid="{00000000-0004-0000-0500-0000CD0B0000}"/>
    <hyperlink ref="G3027" r:id="rId3023" xr:uid="{00000000-0004-0000-0500-0000CE0B0000}"/>
    <hyperlink ref="G3028" r:id="rId3024" xr:uid="{00000000-0004-0000-0500-0000CF0B0000}"/>
    <hyperlink ref="G3029" r:id="rId3025" xr:uid="{00000000-0004-0000-0500-0000D00B0000}"/>
    <hyperlink ref="G3030" r:id="rId3026" xr:uid="{00000000-0004-0000-0500-0000D10B0000}"/>
    <hyperlink ref="G3031" r:id="rId3027" xr:uid="{00000000-0004-0000-0500-0000D20B0000}"/>
    <hyperlink ref="G3032" r:id="rId3028" xr:uid="{00000000-0004-0000-0500-0000D30B0000}"/>
    <hyperlink ref="G3033" r:id="rId3029" xr:uid="{00000000-0004-0000-0500-0000D40B0000}"/>
    <hyperlink ref="G3034" r:id="rId3030" xr:uid="{00000000-0004-0000-0500-0000D50B0000}"/>
    <hyperlink ref="G3035" r:id="rId3031" xr:uid="{00000000-0004-0000-0500-0000D60B0000}"/>
    <hyperlink ref="G3036" r:id="rId3032" xr:uid="{00000000-0004-0000-0500-0000D70B0000}"/>
    <hyperlink ref="G3037" r:id="rId3033" xr:uid="{00000000-0004-0000-0500-0000D80B0000}"/>
    <hyperlink ref="G3038" r:id="rId3034" xr:uid="{00000000-0004-0000-0500-0000D90B0000}"/>
    <hyperlink ref="G3039" r:id="rId3035" xr:uid="{00000000-0004-0000-0500-0000DA0B0000}"/>
    <hyperlink ref="G3040" r:id="rId3036" xr:uid="{00000000-0004-0000-0500-0000DB0B0000}"/>
    <hyperlink ref="G3041" r:id="rId3037" xr:uid="{00000000-0004-0000-0500-0000DC0B0000}"/>
    <hyperlink ref="G3042" r:id="rId3038" xr:uid="{00000000-0004-0000-0500-0000DD0B0000}"/>
    <hyperlink ref="G3043" r:id="rId3039" xr:uid="{00000000-0004-0000-0500-0000DE0B0000}"/>
    <hyperlink ref="G3044" r:id="rId3040" xr:uid="{00000000-0004-0000-0500-0000DF0B0000}"/>
    <hyperlink ref="G3045" r:id="rId3041" xr:uid="{00000000-0004-0000-0500-0000E00B0000}"/>
    <hyperlink ref="G3046" r:id="rId3042" xr:uid="{00000000-0004-0000-0500-0000E10B0000}"/>
    <hyperlink ref="G3047" r:id="rId3043" xr:uid="{00000000-0004-0000-0500-0000E20B0000}"/>
    <hyperlink ref="G3048" r:id="rId3044" xr:uid="{00000000-0004-0000-0500-0000E30B0000}"/>
    <hyperlink ref="G3049" r:id="rId3045" xr:uid="{00000000-0004-0000-0500-0000E40B0000}"/>
    <hyperlink ref="G3050" r:id="rId3046" xr:uid="{00000000-0004-0000-0500-0000E50B0000}"/>
    <hyperlink ref="G3051" r:id="rId3047" xr:uid="{00000000-0004-0000-0500-0000E60B0000}"/>
    <hyperlink ref="G3052" r:id="rId3048" xr:uid="{00000000-0004-0000-0500-0000E70B0000}"/>
    <hyperlink ref="G3053" r:id="rId3049" xr:uid="{00000000-0004-0000-0500-0000E80B0000}"/>
    <hyperlink ref="G3054" r:id="rId3050" xr:uid="{00000000-0004-0000-0500-0000E90B0000}"/>
    <hyperlink ref="G3055" r:id="rId3051" xr:uid="{00000000-0004-0000-0500-0000EA0B0000}"/>
    <hyperlink ref="G3056" r:id="rId3052" xr:uid="{00000000-0004-0000-0500-0000EB0B0000}"/>
    <hyperlink ref="G3057" r:id="rId3053" xr:uid="{00000000-0004-0000-0500-0000EC0B0000}"/>
    <hyperlink ref="G3058" r:id="rId3054" xr:uid="{00000000-0004-0000-0500-0000ED0B0000}"/>
    <hyperlink ref="G3059" r:id="rId3055" xr:uid="{00000000-0004-0000-0500-0000EE0B0000}"/>
    <hyperlink ref="G3060" r:id="rId3056" xr:uid="{00000000-0004-0000-0500-0000EF0B0000}"/>
    <hyperlink ref="G3061" r:id="rId3057" xr:uid="{00000000-0004-0000-0500-0000F00B0000}"/>
    <hyperlink ref="G3062" r:id="rId3058" xr:uid="{00000000-0004-0000-0500-0000F10B0000}"/>
    <hyperlink ref="G3063" r:id="rId3059" xr:uid="{00000000-0004-0000-0500-0000F20B0000}"/>
    <hyperlink ref="G3064" r:id="rId3060" xr:uid="{00000000-0004-0000-0500-0000F30B0000}"/>
    <hyperlink ref="G3065" r:id="rId3061" xr:uid="{00000000-0004-0000-0500-0000F40B0000}"/>
    <hyperlink ref="G3066" r:id="rId3062" xr:uid="{00000000-0004-0000-0500-0000F50B0000}"/>
    <hyperlink ref="G3067" r:id="rId3063" xr:uid="{00000000-0004-0000-0500-0000F60B0000}"/>
    <hyperlink ref="G3068" r:id="rId3064" xr:uid="{00000000-0004-0000-0500-0000F70B0000}"/>
    <hyperlink ref="G3069" r:id="rId3065" xr:uid="{00000000-0004-0000-0500-0000F80B0000}"/>
    <hyperlink ref="G3070" r:id="rId3066" xr:uid="{00000000-0004-0000-0500-0000F90B0000}"/>
    <hyperlink ref="G3071" r:id="rId3067" xr:uid="{00000000-0004-0000-0500-0000FA0B0000}"/>
    <hyperlink ref="G3072" r:id="rId3068" xr:uid="{00000000-0004-0000-0500-0000FB0B0000}"/>
    <hyperlink ref="G3073" r:id="rId3069" xr:uid="{00000000-0004-0000-0500-0000FC0B0000}"/>
    <hyperlink ref="G3074" r:id="rId3070" xr:uid="{00000000-0004-0000-0500-0000FD0B0000}"/>
    <hyperlink ref="G3075" r:id="rId3071" xr:uid="{00000000-0004-0000-0500-0000FE0B0000}"/>
    <hyperlink ref="G3076" r:id="rId3072" xr:uid="{00000000-0004-0000-0500-0000FF0B0000}"/>
    <hyperlink ref="G3077" r:id="rId3073" xr:uid="{00000000-0004-0000-0500-0000000C0000}"/>
    <hyperlink ref="G3078" r:id="rId3074" xr:uid="{00000000-0004-0000-0500-0000010C0000}"/>
    <hyperlink ref="G3079" r:id="rId3075" xr:uid="{00000000-0004-0000-0500-0000020C0000}"/>
    <hyperlink ref="G3080" r:id="rId3076" xr:uid="{00000000-0004-0000-0500-0000030C0000}"/>
    <hyperlink ref="G3081" r:id="rId3077" xr:uid="{00000000-0004-0000-0500-0000040C0000}"/>
    <hyperlink ref="G3082" r:id="rId3078" xr:uid="{00000000-0004-0000-0500-0000050C0000}"/>
    <hyperlink ref="G3083" r:id="rId3079" xr:uid="{00000000-0004-0000-0500-0000060C0000}"/>
    <hyperlink ref="G3084" r:id="rId3080" xr:uid="{00000000-0004-0000-0500-0000070C0000}"/>
    <hyperlink ref="G3085" r:id="rId3081" xr:uid="{00000000-0004-0000-0500-0000080C0000}"/>
    <hyperlink ref="G3086" r:id="rId3082" xr:uid="{00000000-0004-0000-0500-0000090C0000}"/>
    <hyperlink ref="G3087" r:id="rId3083" xr:uid="{00000000-0004-0000-0500-00000A0C0000}"/>
    <hyperlink ref="G3088" r:id="rId3084" xr:uid="{00000000-0004-0000-0500-00000B0C0000}"/>
    <hyperlink ref="G3089" r:id="rId3085" xr:uid="{00000000-0004-0000-0500-00000C0C0000}"/>
    <hyperlink ref="G3090" r:id="rId3086" xr:uid="{00000000-0004-0000-0500-00000D0C0000}"/>
    <hyperlink ref="G3091" r:id="rId3087" xr:uid="{00000000-0004-0000-0500-00000E0C0000}"/>
    <hyperlink ref="G3092" r:id="rId3088" xr:uid="{00000000-0004-0000-0500-00000F0C0000}"/>
    <hyperlink ref="G3093" r:id="rId3089" xr:uid="{00000000-0004-0000-0500-0000100C0000}"/>
    <hyperlink ref="G3094" r:id="rId3090" xr:uid="{00000000-0004-0000-0500-0000110C0000}"/>
    <hyperlink ref="G3095" r:id="rId3091" xr:uid="{00000000-0004-0000-0500-0000120C0000}"/>
    <hyperlink ref="G3096" r:id="rId3092" xr:uid="{00000000-0004-0000-0500-0000130C0000}"/>
    <hyperlink ref="G3097" r:id="rId3093" xr:uid="{00000000-0004-0000-0500-0000140C0000}"/>
    <hyperlink ref="G3098" r:id="rId3094" xr:uid="{00000000-0004-0000-0500-0000150C0000}"/>
    <hyperlink ref="G3099" r:id="rId3095" xr:uid="{00000000-0004-0000-0500-0000160C0000}"/>
    <hyperlink ref="G3100" r:id="rId3096" xr:uid="{00000000-0004-0000-0500-0000170C0000}"/>
    <hyperlink ref="G3101" r:id="rId3097" xr:uid="{00000000-0004-0000-0500-0000180C0000}"/>
    <hyperlink ref="G3102" r:id="rId3098" xr:uid="{00000000-0004-0000-0500-0000190C0000}"/>
    <hyperlink ref="G3103" r:id="rId3099" xr:uid="{00000000-0004-0000-0500-00001A0C0000}"/>
    <hyperlink ref="G3104" r:id="rId3100" xr:uid="{00000000-0004-0000-0500-00001B0C0000}"/>
    <hyperlink ref="G3105" r:id="rId3101" xr:uid="{00000000-0004-0000-0500-00001C0C0000}"/>
    <hyperlink ref="G3106" r:id="rId3102" xr:uid="{00000000-0004-0000-0500-00001D0C0000}"/>
    <hyperlink ref="G3107" r:id="rId3103" xr:uid="{00000000-0004-0000-0500-00001E0C0000}"/>
    <hyperlink ref="G3108" r:id="rId3104" xr:uid="{00000000-0004-0000-0500-00001F0C0000}"/>
    <hyperlink ref="G3109" r:id="rId3105" xr:uid="{00000000-0004-0000-0500-0000200C0000}"/>
    <hyperlink ref="G3110" r:id="rId3106" xr:uid="{00000000-0004-0000-0500-0000210C0000}"/>
    <hyperlink ref="G3111" r:id="rId3107" xr:uid="{00000000-0004-0000-0500-0000220C0000}"/>
    <hyperlink ref="G3112" r:id="rId3108" xr:uid="{00000000-0004-0000-0500-0000230C0000}"/>
    <hyperlink ref="G3113" r:id="rId3109" xr:uid="{00000000-0004-0000-0500-0000240C0000}"/>
    <hyperlink ref="G3114" r:id="rId3110" xr:uid="{00000000-0004-0000-0500-0000250C0000}"/>
    <hyperlink ref="G3115" r:id="rId3111" xr:uid="{00000000-0004-0000-0500-0000260C0000}"/>
    <hyperlink ref="G3116" r:id="rId3112" xr:uid="{00000000-0004-0000-0500-0000270C0000}"/>
    <hyperlink ref="G3117" r:id="rId3113" xr:uid="{00000000-0004-0000-0500-0000280C0000}"/>
    <hyperlink ref="G3118" r:id="rId3114" xr:uid="{00000000-0004-0000-0500-0000290C0000}"/>
    <hyperlink ref="G3119" r:id="rId3115" xr:uid="{00000000-0004-0000-0500-00002A0C0000}"/>
    <hyperlink ref="G3120" r:id="rId3116" xr:uid="{00000000-0004-0000-0500-00002B0C0000}"/>
    <hyperlink ref="G3121" r:id="rId3117" xr:uid="{00000000-0004-0000-0500-00002C0C0000}"/>
    <hyperlink ref="G3122" r:id="rId3118" xr:uid="{00000000-0004-0000-0500-00002D0C0000}"/>
    <hyperlink ref="G3123" r:id="rId3119" xr:uid="{00000000-0004-0000-0500-00002E0C0000}"/>
    <hyperlink ref="G3124" r:id="rId3120" xr:uid="{00000000-0004-0000-0500-00002F0C0000}"/>
    <hyperlink ref="G3125" r:id="rId3121" xr:uid="{00000000-0004-0000-0500-0000300C0000}"/>
    <hyperlink ref="G3126" r:id="rId3122" xr:uid="{00000000-0004-0000-0500-0000310C0000}"/>
    <hyperlink ref="G3127" r:id="rId3123" xr:uid="{00000000-0004-0000-0500-0000320C0000}"/>
    <hyperlink ref="G3128" r:id="rId3124" xr:uid="{00000000-0004-0000-0500-0000330C0000}"/>
    <hyperlink ref="G3129" r:id="rId3125" xr:uid="{00000000-0004-0000-0500-0000340C0000}"/>
    <hyperlink ref="G3130" r:id="rId3126" xr:uid="{00000000-0004-0000-0500-0000350C0000}"/>
    <hyperlink ref="G3131" r:id="rId3127" xr:uid="{00000000-0004-0000-0500-0000360C0000}"/>
    <hyperlink ref="G3132" r:id="rId3128" xr:uid="{00000000-0004-0000-0500-0000370C0000}"/>
    <hyperlink ref="G3133" r:id="rId3129" xr:uid="{00000000-0004-0000-0500-0000380C0000}"/>
    <hyperlink ref="G3134" r:id="rId3130" xr:uid="{00000000-0004-0000-0500-0000390C0000}"/>
    <hyperlink ref="G3135" r:id="rId3131" xr:uid="{00000000-0004-0000-0500-00003A0C0000}"/>
    <hyperlink ref="G3136" r:id="rId3132" xr:uid="{00000000-0004-0000-0500-00003B0C0000}"/>
    <hyperlink ref="G3137" r:id="rId3133" xr:uid="{00000000-0004-0000-0500-00003C0C0000}"/>
    <hyperlink ref="G3138" r:id="rId3134" xr:uid="{00000000-0004-0000-0500-00003D0C0000}"/>
    <hyperlink ref="G3139" r:id="rId3135" xr:uid="{00000000-0004-0000-0500-00003E0C0000}"/>
    <hyperlink ref="G3140" r:id="rId3136" xr:uid="{00000000-0004-0000-0500-00003F0C0000}"/>
    <hyperlink ref="G3141" r:id="rId3137" xr:uid="{00000000-0004-0000-0500-0000400C0000}"/>
    <hyperlink ref="G3142" r:id="rId3138" xr:uid="{00000000-0004-0000-0500-0000410C0000}"/>
    <hyperlink ref="G3143" r:id="rId3139" xr:uid="{00000000-0004-0000-0500-0000420C0000}"/>
    <hyperlink ref="G3144" r:id="rId3140" xr:uid="{00000000-0004-0000-0500-0000430C0000}"/>
    <hyperlink ref="G3145" r:id="rId3141" xr:uid="{00000000-0004-0000-0500-0000440C0000}"/>
    <hyperlink ref="G3146" r:id="rId3142" xr:uid="{00000000-0004-0000-0500-0000450C0000}"/>
    <hyperlink ref="G3147" r:id="rId3143" xr:uid="{00000000-0004-0000-0500-0000460C0000}"/>
    <hyperlink ref="G3148" r:id="rId3144" xr:uid="{00000000-0004-0000-0500-0000470C0000}"/>
    <hyperlink ref="G3149" r:id="rId3145" xr:uid="{00000000-0004-0000-0500-0000480C0000}"/>
    <hyperlink ref="G3150" r:id="rId3146" xr:uid="{00000000-0004-0000-0500-0000490C0000}"/>
    <hyperlink ref="G3151" r:id="rId3147" xr:uid="{00000000-0004-0000-0500-00004A0C0000}"/>
    <hyperlink ref="G3152" r:id="rId3148" xr:uid="{00000000-0004-0000-0500-00004B0C0000}"/>
    <hyperlink ref="G3153" r:id="rId3149" xr:uid="{00000000-0004-0000-0500-00004C0C0000}"/>
    <hyperlink ref="G3154" r:id="rId3150" xr:uid="{00000000-0004-0000-0500-00004D0C0000}"/>
    <hyperlink ref="G3155" r:id="rId3151" xr:uid="{00000000-0004-0000-0500-00004E0C0000}"/>
    <hyperlink ref="G3156" r:id="rId3152" xr:uid="{00000000-0004-0000-0500-00004F0C0000}"/>
    <hyperlink ref="G3157" r:id="rId3153" xr:uid="{00000000-0004-0000-0500-0000500C0000}"/>
    <hyperlink ref="G3158" r:id="rId3154" xr:uid="{00000000-0004-0000-0500-0000510C0000}"/>
    <hyperlink ref="G3159" r:id="rId3155" xr:uid="{00000000-0004-0000-0500-0000520C0000}"/>
    <hyperlink ref="G3160" r:id="rId3156" xr:uid="{00000000-0004-0000-0500-0000530C0000}"/>
    <hyperlink ref="G3161" r:id="rId3157" xr:uid="{00000000-0004-0000-0500-0000540C0000}"/>
    <hyperlink ref="G3162" r:id="rId3158" xr:uid="{00000000-0004-0000-0500-0000550C0000}"/>
    <hyperlink ref="G3163" r:id="rId3159" xr:uid="{00000000-0004-0000-0500-0000560C0000}"/>
    <hyperlink ref="G3164" r:id="rId3160" xr:uid="{00000000-0004-0000-0500-0000570C0000}"/>
    <hyperlink ref="G3165" r:id="rId3161" xr:uid="{00000000-0004-0000-0500-0000580C0000}"/>
    <hyperlink ref="G3166" r:id="rId3162" xr:uid="{00000000-0004-0000-0500-0000590C0000}"/>
    <hyperlink ref="G3167" r:id="rId3163" xr:uid="{00000000-0004-0000-0500-00005A0C0000}"/>
    <hyperlink ref="G3168" r:id="rId3164" xr:uid="{00000000-0004-0000-0500-00005B0C0000}"/>
    <hyperlink ref="G3169" r:id="rId3165" xr:uid="{00000000-0004-0000-0500-00005C0C0000}"/>
    <hyperlink ref="G3170" r:id="rId3166" xr:uid="{00000000-0004-0000-0500-00005D0C0000}"/>
    <hyperlink ref="G3171" r:id="rId3167" xr:uid="{00000000-0004-0000-0500-00005E0C0000}"/>
    <hyperlink ref="G3172" r:id="rId3168" xr:uid="{00000000-0004-0000-0500-00005F0C0000}"/>
    <hyperlink ref="G3173" r:id="rId3169" xr:uid="{00000000-0004-0000-0500-0000600C0000}"/>
    <hyperlink ref="G3174" r:id="rId3170" xr:uid="{00000000-0004-0000-0500-0000610C0000}"/>
    <hyperlink ref="G3175" r:id="rId3171" xr:uid="{00000000-0004-0000-0500-0000620C0000}"/>
    <hyperlink ref="G3176" r:id="rId3172" xr:uid="{00000000-0004-0000-0500-0000630C0000}"/>
    <hyperlink ref="G3177" r:id="rId3173" xr:uid="{00000000-0004-0000-0500-0000640C0000}"/>
    <hyperlink ref="G3178" r:id="rId3174" xr:uid="{00000000-0004-0000-0500-0000650C0000}"/>
    <hyperlink ref="G3179" r:id="rId3175" xr:uid="{00000000-0004-0000-0500-0000660C0000}"/>
    <hyperlink ref="G3180" r:id="rId3176" xr:uid="{00000000-0004-0000-0500-0000670C0000}"/>
    <hyperlink ref="G3181" r:id="rId3177" xr:uid="{00000000-0004-0000-0500-0000680C0000}"/>
    <hyperlink ref="G3182" r:id="rId3178" xr:uid="{00000000-0004-0000-0500-0000690C0000}"/>
    <hyperlink ref="G3183" r:id="rId3179" xr:uid="{00000000-0004-0000-0500-00006A0C0000}"/>
    <hyperlink ref="G3184" r:id="rId3180" xr:uid="{00000000-0004-0000-0500-00006B0C0000}"/>
    <hyperlink ref="G3185" r:id="rId3181" xr:uid="{00000000-0004-0000-0500-00006C0C0000}"/>
    <hyperlink ref="G3186" r:id="rId3182" xr:uid="{00000000-0004-0000-0500-00006D0C0000}"/>
    <hyperlink ref="G3187" r:id="rId3183" xr:uid="{00000000-0004-0000-0500-00006E0C0000}"/>
    <hyperlink ref="G3188" r:id="rId3184" xr:uid="{00000000-0004-0000-0500-00006F0C0000}"/>
    <hyperlink ref="G3189" r:id="rId3185" xr:uid="{00000000-0004-0000-0500-0000700C0000}"/>
    <hyperlink ref="G3190" r:id="rId3186" xr:uid="{00000000-0004-0000-0500-0000710C0000}"/>
    <hyperlink ref="G3191" r:id="rId3187" xr:uid="{00000000-0004-0000-0500-0000720C0000}"/>
    <hyperlink ref="G3192" r:id="rId3188" xr:uid="{00000000-0004-0000-0500-0000730C0000}"/>
    <hyperlink ref="G3193" r:id="rId3189" xr:uid="{00000000-0004-0000-0500-0000740C0000}"/>
    <hyperlink ref="G3194" r:id="rId3190" xr:uid="{00000000-0004-0000-0500-0000750C0000}"/>
    <hyperlink ref="G3195" r:id="rId3191" xr:uid="{00000000-0004-0000-0500-0000760C0000}"/>
    <hyperlink ref="G3196" r:id="rId3192" xr:uid="{00000000-0004-0000-0500-0000770C0000}"/>
    <hyperlink ref="G3197" r:id="rId3193" xr:uid="{00000000-0004-0000-0500-0000780C0000}"/>
    <hyperlink ref="G3198" r:id="rId3194" xr:uid="{00000000-0004-0000-0500-0000790C0000}"/>
    <hyperlink ref="G3199" r:id="rId3195" xr:uid="{00000000-0004-0000-0500-00007A0C0000}"/>
    <hyperlink ref="G3200" r:id="rId3196" xr:uid="{00000000-0004-0000-0500-00007B0C0000}"/>
    <hyperlink ref="G3201" r:id="rId3197" xr:uid="{00000000-0004-0000-0500-00007C0C0000}"/>
    <hyperlink ref="G3202" r:id="rId3198" xr:uid="{00000000-0004-0000-0500-00007D0C0000}"/>
    <hyperlink ref="G3203" r:id="rId3199" xr:uid="{00000000-0004-0000-0500-00007E0C0000}"/>
    <hyperlink ref="G3204" r:id="rId3200" xr:uid="{00000000-0004-0000-0500-00007F0C0000}"/>
    <hyperlink ref="G3205" r:id="rId3201" xr:uid="{00000000-0004-0000-0500-0000800C0000}"/>
    <hyperlink ref="G3206" r:id="rId3202" xr:uid="{00000000-0004-0000-0500-0000810C0000}"/>
    <hyperlink ref="G3207" r:id="rId3203" xr:uid="{00000000-0004-0000-0500-0000820C0000}"/>
    <hyperlink ref="G3208" r:id="rId3204" xr:uid="{00000000-0004-0000-0500-0000830C0000}"/>
    <hyperlink ref="G3209" r:id="rId3205" xr:uid="{00000000-0004-0000-0500-0000840C0000}"/>
    <hyperlink ref="G3210" r:id="rId3206" xr:uid="{00000000-0004-0000-0500-0000850C0000}"/>
    <hyperlink ref="G3211" r:id="rId3207" xr:uid="{00000000-0004-0000-0500-0000860C0000}"/>
    <hyperlink ref="G3212" r:id="rId3208" xr:uid="{00000000-0004-0000-0500-0000870C0000}"/>
    <hyperlink ref="G3213" r:id="rId3209" xr:uid="{00000000-0004-0000-0500-0000880C0000}"/>
    <hyperlink ref="G3214" r:id="rId3210" xr:uid="{00000000-0004-0000-0500-0000890C0000}"/>
    <hyperlink ref="G3215" r:id="rId3211" xr:uid="{00000000-0004-0000-0500-00008A0C0000}"/>
    <hyperlink ref="G3216" r:id="rId3212" xr:uid="{00000000-0004-0000-0500-00008B0C0000}"/>
    <hyperlink ref="G3217" r:id="rId3213" xr:uid="{00000000-0004-0000-0500-00008C0C0000}"/>
    <hyperlink ref="G3218" r:id="rId3214" xr:uid="{00000000-0004-0000-0500-00008D0C0000}"/>
    <hyperlink ref="G3219" r:id="rId3215" xr:uid="{00000000-0004-0000-0500-00008E0C0000}"/>
    <hyperlink ref="G3220" r:id="rId3216" xr:uid="{00000000-0004-0000-0500-00008F0C0000}"/>
    <hyperlink ref="G3221" r:id="rId3217" xr:uid="{00000000-0004-0000-0500-0000900C0000}"/>
    <hyperlink ref="G3222" r:id="rId3218" xr:uid="{00000000-0004-0000-0500-0000910C0000}"/>
    <hyperlink ref="G3223" r:id="rId3219" xr:uid="{00000000-0004-0000-0500-0000920C0000}"/>
    <hyperlink ref="G3224" r:id="rId3220" xr:uid="{00000000-0004-0000-0500-0000930C0000}"/>
    <hyperlink ref="G3225" r:id="rId3221" xr:uid="{00000000-0004-0000-0500-0000940C0000}"/>
    <hyperlink ref="G3226" r:id="rId3222" xr:uid="{00000000-0004-0000-0500-0000950C0000}"/>
    <hyperlink ref="G3227" r:id="rId3223" xr:uid="{00000000-0004-0000-0500-0000960C0000}"/>
    <hyperlink ref="G3228" r:id="rId3224" xr:uid="{00000000-0004-0000-0500-0000970C0000}"/>
    <hyperlink ref="G3229" r:id="rId3225" xr:uid="{00000000-0004-0000-0500-0000980C0000}"/>
    <hyperlink ref="G3230" r:id="rId3226" xr:uid="{00000000-0004-0000-0500-0000990C0000}"/>
    <hyperlink ref="G3231" r:id="rId3227" xr:uid="{00000000-0004-0000-0500-00009A0C0000}"/>
    <hyperlink ref="G3232" r:id="rId3228" xr:uid="{00000000-0004-0000-0500-00009B0C0000}"/>
    <hyperlink ref="G3233" r:id="rId3229" xr:uid="{00000000-0004-0000-0500-00009C0C0000}"/>
    <hyperlink ref="G3234" r:id="rId3230" xr:uid="{00000000-0004-0000-0500-00009D0C0000}"/>
    <hyperlink ref="G3235" r:id="rId3231" xr:uid="{00000000-0004-0000-0500-00009E0C0000}"/>
    <hyperlink ref="G3236" r:id="rId3232" xr:uid="{00000000-0004-0000-0500-00009F0C0000}"/>
    <hyperlink ref="G3237" r:id="rId3233" xr:uid="{00000000-0004-0000-0500-0000A00C0000}"/>
    <hyperlink ref="G3238" r:id="rId3234" xr:uid="{00000000-0004-0000-0500-0000A10C0000}"/>
    <hyperlink ref="G3239" r:id="rId3235" xr:uid="{00000000-0004-0000-0500-0000A20C0000}"/>
    <hyperlink ref="G3240" r:id="rId3236" xr:uid="{00000000-0004-0000-0500-0000A30C0000}"/>
    <hyperlink ref="G3241" r:id="rId3237" xr:uid="{00000000-0004-0000-0500-0000A40C0000}"/>
    <hyperlink ref="G3242" r:id="rId3238" xr:uid="{00000000-0004-0000-0500-0000A50C0000}"/>
    <hyperlink ref="G3243" r:id="rId3239" xr:uid="{00000000-0004-0000-0500-0000A60C0000}"/>
    <hyperlink ref="G3244" r:id="rId3240" xr:uid="{00000000-0004-0000-0500-0000A70C0000}"/>
    <hyperlink ref="G3245" r:id="rId3241" xr:uid="{00000000-0004-0000-0500-0000A80C0000}"/>
    <hyperlink ref="G3246" r:id="rId3242" xr:uid="{00000000-0004-0000-0500-0000A90C0000}"/>
    <hyperlink ref="G3247" r:id="rId3243" xr:uid="{00000000-0004-0000-0500-0000AA0C0000}"/>
    <hyperlink ref="G3248" r:id="rId3244" xr:uid="{00000000-0004-0000-0500-0000AB0C0000}"/>
    <hyperlink ref="G3249" r:id="rId3245" xr:uid="{00000000-0004-0000-0500-0000AC0C0000}"/>
    <hyperlink ref="G3250" r:id="rId3246" xr:uid="{00000000-0004-0000-0500-0000AD0C0000}"/>
    <hyperlink ref="G3251" r:id="rId3247" xr:uid="{00000000-0004-0000-0500-0000AE0C0000}"/>
    <hyperlink ref="G3252" r:id="rId3248" xr:uid="{00000000-0004-0000-0500-0000AF0C0000}"/>
    <hyperlink ref="G3253" r:id="rId3249" xr:uid="{00000000-0004-0000-0500-0000B00C0000}"/>
    <hyperlink ref="G3254" r:id="rId3250" xr:uid="{00000000-0004-0000-0500-0000B10C0000}"/>
    <hyperlink ref="G3255" r:id="rId3251" xr:uid="{00000000-0004-0000-0500-0000B20C0000}"/>
    <hyperlink ref="G3256" r:id="rId3252" xr:uid="{00000000-0004-0000-0500-0000B30C0000}"/>
    <hyperlink ref="G3257" r:id="rId3253" xr:uid="{00000000-0004-0000-0500-0000B40C0000}"/>
    <hyperlink ref="G3258" r:id="rId3254" xr:uid="{00000000-0004-0000-0500-0000B50C0000}"/>
    <hyperlink ref="G3259" r:id="rId3255" xr:uid="{00000000-0004-0000-0500-0000B60C0000}"/>
    <hyperlink ref="G3260" r:id="rId3256" xr:uid="{00000000-0004-0000-0500-0000B70C0000}"/>
    <hyperlink ref="G3261" r:id="rId3257" xr:uid="{00000000-0004-0000-0500-0000B80C0000}"/>
    <hyperlink ref="G3262" r:id="rId3258" xr:uid="{00000000-0004-0000-0500-0000B90C0000}"/>
    <hyperlink ref="G3263" r:id="rId3259" xr:uid="{00000000-0004-0000-0500-0000BA0C0000}"/>
    <hyperlink ref="G3264" r:id="rId3260" xr:uid="{00000000-0004-0000-0500-0000BB0C0000}"/>
    <hyperlink ref="G3265" r:id="rId3261" xr:uid="{00000000-0004-0000-0500-0000BC0C0000}"/>
    <hyperlink ref="G3266" r:id="rId3262" xr:uid="{00000000-0004-0000-0500-0000BD0C0000}"/>
    <hyperlink ref="G3267" r:id="rId3263" xr:uid="{00000000-0004-0000-0500-0000BE0C0000}"/>
    <hyperlink ref="G3268" r:id="rId3264" xr:uid="{00000000-0004-0000-0500-0000BF0C0000}"/>
    <hyperlink ref="G3269" r:id="rId3265" xr:uid="{00000000-0004-0000-0500-0000C00C0000}"/>
    <hyperlink ref="G3270" r:id="rId3266" xr:uid="{00000000-0004-0000-0500-0000C10C0000}"/>
    <hyperlink ref="G3271" r:id="rId3267" xr:uid="{00000000-0004-0000-0500-0000C20C0000}"/>
    <hyperlink ref="G3272" r:id="rId3268" xr:uid="{00000000-0004-0000-0500-0000C30C0000}"/>
    <hyperlink ref="G3273" r:id="rId3269" xr:uid="{00000000-0004-0000-0500-0000C40C0000}"/>
    <hyperlink ref="G3274" r:id="rId3270" xr:uid="{00000000-0004-0000-0500-0000C50C0000}"/>
    <hyperlink ref="G3275" r:id="rId3271" xr:uid="{00000000-0004-0000-0500-0000C60C0000}"/>
    <hyperlink ref="G3276" r:id="rId3272" xr:uid="{00000000-0004-0000-0500-0000C70C0000}"/>
    <hyperlink ref="G3277" r:id="rId3273" xr:uid="{00000000-0004-0000-0500-0000C80C0000}"/>
    <hyperlink ref="G3278" r:id="rId3274" xr:uid="{00000000-0004-0000-0500-0000C90C0000}"/>
    <hyperlink ref="G3279" r:id="rId3275" xr:uid="{00000000-0004-0000-0500-0000CA0C0000}"/>
    <hyperlink ref="G3280" r:id="rId3276" xr:uid="{00000000-0004-0000-0500-0000CB0C0000}"/>
    <hyperlink ref="G3281" r:id="rId3277" xr:uid="{00000000-0004-0000-0500-0000CC0C0000}"/>
    <hyperlink ref="G3282" r:id="rId3278" xr:uid="{00000000-0004-0000-0500-0000CD0C0000}"/>
    <hyperlink ref="G3283" r:id="rId3279" xr:uid="{00000000-0004-0000-0500-0000CE0C0000}"/>
    <hyperlink ref="G3284" r:id="rId3280" xr:uid="{00000000-0004-0000-0500-0000CF0C0000}"/>
    <hyperlink ref="G3285" r:id="rId3281" xr:uid="{00000000-0004-0000-0500-0000D00C0000}"/>
    <hyperlink ref="G3286" r:id="rId3282" xr:uid="{00000000-0004-0000-0500-0000D10C0000}"/>
    <hyperlink ref="G3287" r:id="rId3283" xr:uid="{00000000-0004-0000-0500-0000D20C0000}"/>
    <hyperlink ref="G3288" r:id="rId3284" xr:uid="{00000000-0004-0000-0500-0000D30C0000}"/>
    <hyperlink ref="G3289" r:id="rId3285" xr:uid="{00000000-0004-0000-0500-0000D40C0000}"/>
    <hyperlink ref="G3290" r:id="rId3286" xr:uid="{00000000-0004-0000-0500-0000D50C0000}"/>
    <hyperlink ref="G3291" r:id="rId3287" xr:uid="{00000000-0004-0000-0500-0000D60C0000}"/>
    <hyperlink ref="G3292" r:id="rId3288" xr:uid="{00000000-0004-0000-0500-0000D70C0000}"/>
    <hyperlink ref="G3293" r:id="rId3289" xr:uid="{00000000-0004-0000-0500-0000D80C0000}"/>
    <hyperlink ref="G3294" r:id="rId3290" xr:uid="{00000000-0004-0000-0500-0000D90C0000}"/>
    <hyperlink ref="G3295" r:id="rId3291" xr:uid="{00000000-0004-0000-0500-0000DA0C0000}"/>
    <hyperlink ref="G3296" r:id="rId3292" xr:uid="{00000000-0004-0000-0500-0000DB0C0000}"/>
    <hyperlink ref="G3297" r:id="rId3293" xr:uid="{00000000-0004-0000-0500-0000DC0C0000}"/>
    <hyperlink ref="G3298" r:id="rId3294" xr:uid="{00000000-0004-0000-0500-0000DD0C0000}"/>
    <hyperlink ref="G3299" r:id="rId3295" xr:uid="{00000000-0004-0000-0500-0000DE0C0000}"/>
    <hyperlink ref="G3300" r:id="rId3296" xr:uid="{00000000-0004-0000-0500-0000DF0C0000}"/>
    <hyperlink ref="G3301" r:id="rId3297" xr:uid="{00000000-0004-0000-0500-0000E00C0000}"/>
    <hyperlink ref="G3302" r:id="rId3298" xr:uid="{00000000-0004-0000-0500-0000E10C0000}"/>
    <hyperlink ref="G3303" r:id="rId3299" xr:uid="{00000000-0004-0000-0500-0000E20C0000}"/>
    <hyperlink ref="G3304" r:id="rId3300" xr:uid="{00000000-0004-0000-0500-0000E30C0000}"/>
    <hyperlink ref="G3305" r:id="rId3301" xr:uid="{00000000-0004-0000-0500-0000E40C0000}"/>
    <hyperlink ref="G3306" r:id="rId3302" xr:uid="{00000000-0004-0000-0500-0000E50C0000}"/>
    <hyperlink ref="G3307" r:id="rId3303" xr:uid="{00000000-0004-0000-0500-0000E60C0000}"/>
    <hyperlink ref="G3308" r:id="rId3304" xr:uid="{00000000-0004-0000-0500-0000E70C0000}"/>
    <hyperlink ref="G3309" r:id="rId3305" xr:uid="{00000000-0004-0000-0500-0000E80C0000}"/>
    <hyperlink ref="G3310" r:id="rId3306" xr:uid="{00000000-0004-0000-0500-0000E90C0000}"/>
    <hyperlink ref="G3311" r:id="rId3307" xr:uid="{00000000-0004-0000-0500-0000EA0C0000}"/>
    <hyperlink ref="G3312" r:id="rId3308" xr:uid="{00000000-0004-0000-0500-0000EB0C0000}"/>
    <hyperlink ref="G3313" r:id="rId3309" xr:uid="{00000000-0004-0000-0500-0000EC0C0000}"/>
    <hyperlink ref="G3314" r:id="rId3310" xr:uid="{00000000-0004-0000-0500-0000ED0C0000}"/>
    <hyperlink ref="G3315" r:id="rId3311" xr:uid="{00000000-0004-0000-0500-0000EE0C0000}"/>
    <hyperlink ref="G3316" r:id="rId3312" xr:uid="{00000000-0004-0000-0500-0000EF0C0000}"/>
    <hyperlink ref="G3317" r:id="rId3313" xr:uid="{00000000-0004-0000-0500-0000F00C0000}"/>
    <hyperlink ref="G3318" r:id="rId3314" xr:uid="{00000000-0004-0000-0500-0000F10C0000}"/>
    <hyperlink ref="G3319" r:id="rId3315" xr:uid="{00000000-0004-0000-0500-0000F20C0000}"/>
    <hyperlink ref="G3320" r:id="rId3316" xr:uid="{00000000-0004-0000-0500-0000F30C0000}"/>
    <hyperlink ref="G3321" r:id="rId3317" xr:uid="{00000000-0004-0000-0500-0000F40C0000}"/>
    <hyperlink ref="G3322" r:id="rId3318" xr:uid="{00000000-0004-0000-0500-0000F50C0000}"/>
    <hyperlink ref="G3323" r:id="rId3319" xr:uid="{00000000-0004-0000-0500-0000F60C0000}"/>
    <hyperlink ref="G3324" r:id="rId3320" xr:uid="{00000000-0004-0000-0500-0000F70C0000}"/>
    <hyperlink ref="G3325" r:id="rId3321" xr:uid="{00000000-0004-0000-0500-0000F80C0000}"/>
    <hyperlink ref="G3326" r:id="rId3322" xr:uid="{00000000-0004-0000-0500-0000F90C0000}"/>
    <hyperlink ref="G3327" r:id="rId3323" xr:uid="{00000000-0004-0000-0500-0000FA0C0000}"/>
    <hyperlink ref="G3328" r:id="rId3324" xr:uid="{00000000-0004-0000-0500-0000FB0C0000}"/>
    <hyperlink ref="G3329" r:id="rId3325" xr:uid="{00000000-0004-0000-0500-0000FC0C0000}"/>
    <hyperlink ref="G3330" r:id="rId3326" xr:uid="{00000000-0004-0000-0500-0000FD0C0000}"/>
    <hyperlink ref="G3331" r:id="rId3327" xr:uid="{00000000-0004-0000-0500-0000FE0C0000}"/>
    <hyperlink ref="G3332" r:id="rId3328" xr:uid="{00000000-0004-0000-0500-0000FF0C0000}"/>
    <hyperlink ref="G3333" r:id="rId3329" xr:uid="{00000000-0004-0000-0500-0000000D0000}"/>
    <hyperlink ref="G3334" r:id="rId3330" xr:uid="{00000000-0004-0000-0500-0000010D0000}"/>
    <hyperlink ref="G3335" r:id="rId3331" xr:uid="{00000000-0004-0000-0500-0000020D0000}"/>
    <hyperlink ref="G3336" r:id="rId3332" xr:uid="{00000000-0004-0000-0500-0000030D0000}"/>
    <hyperlink ref="G3337" r:id="rId3333" xr:uid="{00000000-0004-0000-0500-0000040D0000}"/>
    <hyperlink ref="G3338" r:id="rId3334" xr:uid="{00000000-0004-0000-0500-0000050D0000}"/>
    <hyperlink ref="G3339" r:id="rId3335" xr:uid="{00000000-0004-0000-0500-0000060D0000}"/>
    <hyperlink ref="G3340" r:id="rId3336" xr:uid="{00000000-0004-0000-0500-0000070D0000}"/>
    <hyperlink ref="G3341" r:id="rId3337" xr:uid="{00000000-0004-0000-0500-0000080D0000}"/>
    <hyperlink ref="G3342" r:id="rId3338" xr:uid="{00000000-0004-0000-0500-0000090D0000}"/>
    <hyperlink ref="G3343" r:id="rId3339" xr:uid="{00000000-0004-0000-0500-00000A0D0000}"/>
    <hyperlink ref="G3344" r:id="rId3340" xr:uid="{00000000-0004-0000-0500-00000B0D0000}"/>
    <hyperlink ref="G3345" r:id="rId3341" xr:uid="{00000000-0004-0000-0500-00000C0D0000}"/>
    <hyperlink ref="G3346" r:id="rId3342" xr:uid="{00000000-0004-0000-0500-00000D0D0000}"/>
    <hyperlink ref="G3347" r:id="rId3343" xr:uid="{00000000-0004-0000-0500-00000E0D0000}"/>
    <hyperlink ref="G3348" r:id="rId3344" xr:uid="{00000000-0004-0000-0500-00000F0D0000}"/>
    <hyperlink ref="G3349" r:id="rId3345" xr:uid="{00000000-0004-0000-0500-0000100D0000}"/>
    <hyperlink ref="G3350" r:id="rId3346" xr:uid="{00000000-0004-0000-0500-0000110D0000}"/>
    <hyperlink ref="G3351" r:id="rId3347" xr:uid="{00000000-0004-0000-0500-0000120D0000}"/>
    <hyperlink ref="G3352" r:id="rId3348" xr:uid="{00000000-0004-0000-0500-0000130D0000}"/>
    <hyperlink ref="G3353" r:id="rId3349" xr:uid="{00000000-0004-0000-0500-0000140D0000}"/>
    <hyperlink ref="G3354" r:id="rId3350" xr:uid="{00000000-0004-0000-0500-0000150D0000}"/>
    <hyperlink ref="G3355" r:id="rId3351" xr:uid="{00000000-0004-0000-0500-0000160D0000}"/>
    <hyperlink ref="G3356" r:id="rId3352" xr:uid="{00000000-0004-0000-0500-0000170D0000}"/>
    <hyperlink ref="G3357" r:id="rId3353" xr:uid="{00000000-0004-0000-0500-0000180D0000}"/>
    <hyperlink ref="G3358" r:id="rId3354" xr:uid="{00000000-0004-0000-0500-0000190D0000}"/>
    <hyperlink ref="G3359" r:id="rId3355" xr:uid="{00000000-0004-0000-0500-00001A0D0000}"/>
    <hyperlink ref="G3360" r:id="rId3356" xr:uid="{00000000-0004-0000-0500-00001B0D0000}"/>
    <hyperlink ref="G3361" r:id="rId3357" xr:uid="{00000000-0004-0000-0500-00001C0D0000}"/>
    <hyperlink ref="G3362" r:id="rId3358" xr:uid="{00000000-0004-0000-0500-00001D0D0000}"/>
    <hyperlink ref="G3363" r:id="rId3359" xr:uid="{00000000-0004-0000-0500-00001E0D0000}"/>
    <hyperlink ref="G3364" r:id="rId3360" xr:uid="{00000000-0004-0000-0500-00001F0D0000}"/>
    <hyperlink ref="G3365" r:id="rId3361" xr:uid="{00000000-0004-0000-0500-0000200D0000}"/>
    <hyperlink ref="G3366" r:id="rId3362" xr:uid="{00000000-0004-0000-0500-0000210D0000}"/>
    <hyperlink ref="G3367" r:id="rId3363" xr:uid="{00000000-0004-0000-0500-0000220D0000}"/>
    <hyperlink ref="G3368" r:id="rId3364" xr:uid="{00000000-0004-0000-0500-0000230D0000}"/>
    <hyperlink ref="G3369" r:id="rId3365" xr:uid="{00000000-0004-0000-0500-0000240D0000}"/>
    <hyperlink ref="G3370" r:id="rId3366" xr:uid="{00000000-0004-0000-0500-0000250D0000}"/>
    <hyperlink ref="G3371" r:id="rId3367" xr:uid="{00000000-0004-0000-0500-0000260D0000}"/>
    <hyperlink ref="G3372" r:id="rId3368" xr:uid="{00000000-0004-0000-0500-0000270D0000}"/>
    <hyperlink ref="G3373" r:id="rId3369" xr:uid="{00000000-0004-0000-0500-0000280D0000}"/>
    <hyperlink ref="G3374" r:id="rId3370" xr:uid="{00000000-0004-0000-0500-0000290D0000}"/>
    <hyperlink ref="G3375" r:id="rId3371" xr:uid="{00000000-0004-0000-0500-00002A0D0000}"/>
    <hyperlink ref="G3376" r:id="rId3372" xr:uid="{00000000-0004-0000-0500-00002B0D0000}"/>
    <hyperlink ref="G3377" r:id="rId3373" xr:uid="{00000000-0004-0000-0500-00002C0D0000}"/>
    <hyperlink ref="G3378" r:id="rId3374" xr:uid="{00000000-0004-0000-0500-00002D0D0000}"/>
    <hyperlink ref="G3379" r:id="rId3375" xr:uid="{00000000-0004-0000-0500-00002E0D0000}"/>
    <hyperlink ref="G3380" r:id="rId3376" xr:uid="{00000000-0004-0000-0500-00002F0D0000}"/>
    <hyperlink ref="G3381" r:id="rId3377" xr:uid="{00000000-0004-0000-0500-0000300D0000}"/>
    <hyperlink ref="G3382" r:id="rId3378" xr:uid="{00000000-0004-0000-0500-0000310D0000}"/>
    <hyperlink ref="G3383" r:id="rId3379" xr:uid="{00000000-0004-0000-0500-0000320D0000}"/>
    <hyperlink ref="G3384" r:id="rId3380" xr:uid="{00000000-0004-0000-0500-0000330D0000}"/>
    <hyperlink ref="G3385" r:id="rId3381" xr:uid="{00000000-0004-0000-0500-0000340D0000}"/>
    <hyperlink ref="G3386" r:id="rId3382" xr:uid="{00000000-0004-0000-0500-0000350D0000}"/>
    <hyperlink ref="G3387" r:id="rId3383" xr:uid="{00000000-0004-0000-0500-0000360D0000}"/>
    <hyperlink ref="G3388" r:id="rId3384" xr:uid="{00000000-0004-0000-0500-0000370D0000}"/>
    <hyperlink ref="G3389" r:id="rId3385" xr:uid="{00000000-0004-0000-0500-0000380D0000}"/>
    <hyperlink ref="G3390" r:id="rId3386" xr:uid="{00000000-0004-0000-0500-0000390D0000}"/>
    <hyperlink ref="G3391" r:id="rId3387" xr:uid="{00000000-0004-0000-0500-00003A0D0000}"/>
    <hyperlink ref="G3392" r:id="rId3388" xr:uid="{00000000-0004-0000-0500-00003B0D0000}"/>
    <hyperlink ref="G3393" r:id="rId3389" xr:uid="{00000000-0004-0000-0500-00003C0D0000}"/>
    <hyperlink ref="G3394" r:id="rId3390" xr:uid="{00000000-0004-0000-0500-00003D0D0000}"/>
    <hyperlink ref="G3395" r:id="rId3391" xr:uid="{00000000-0004-0000-0500-00003E0D0000}"/>
    <hyperlink ref="G3396" r:id="rId3392" xr:uid="{00000000-0004-0000-0500-00003F0D0000}"/>
    <hyperlink ref="G3397" r:id="rId3393" xr:uid="{00000000-0004-0000-0500-0000400D0000}"/>
    <hyperlink ref="G3398" r:id="rId3394" xr:uid="{00000000-0004-0000-0500-0000410D0000}"/>
    <hyperlink ref="G3399" r:id="rId3395" xr:uid="{00000000-0004-0000-0500-0000420D0000}"/>
    <hyperlink ref="G3400" r:id="rId3396" xr:uid="{00000000-0004-0000-0500-0000430D0000}"/>
    <hyperlink ref="G3401" r:id="rId3397" xr:uid="{00000000-0004-0000-0500-0000440D0000}"/>
    <hyperlink ref="G3402" r:id="rId3398" xr:uid="{00000000-0004-0000-0500-0000450D0000}"/>
    <hyperlink ref="G3403" r:id="rId3399" xr:uid="{00000000-0004-0000-0500-0000460D0000}"/>
    <hyperlink ref="G3404" r:id="rId3400" xr:uid="{00000000-0004-0000-0500-0000470D0000}"/>
    <hyperlink ref="G3405" r:id="rId3401" xr:uid="{00000000-0004-0000-0500-0000480D0000}"/>
    <hyperlink ref="G3406" r:id="rId3402" xr:uid="{00000000-0004-0000-0500-0000490D0000}"/>
    <hyperlink ref="G3407" r:id="rId3403" xr:uid="{00000000-0004-0000-0500-00004A0D0000}"/>
    <hyperlink ref="G3408" r:id="rId3404" xr:uid="{00000000-0004-0000-0500-00004B0D0000}"/>
    <hyperlink ref="G3409" r:id="rId3405" xr:uid="{00000000-0004-0000-0500-00004C0D0000}"/>
    <hyperlink ref="G3410" r:id="rId3406" xr:uid="{00000000-0004-0000-0500-00004D0D0000}"/>
    <hyperlink ref="G3411" r:id="rId3407" xr:uid="{00000000-0004-0000-0500-00004E0D0000}"/>
    <hyperlink ref="G3412" r:id="rId3408" xr:uid="{00000000-0004-0000-0500-00004F0D0000}"/>
    <hyperlink ref="G3413" r:id="rId3409" xr:uid="{00000000-0004-0000-0500-0000500D0000}"/>
    <hyperlink ref="G3414" r:id="rId3410" xr:uid="{00000000-0004-0000-0500-0000510D0000}"/>
    <hyperlink ref="G3415" r:id="rId3411" xr:uid="{00000000-0004-0000-0500-0000520D0000}"/>
    <hyperlink ref="G3416" r:id="rId3412" xr:uid="{00000000-0004-0000-0500-0000530D0000}"/>
    <hyperlink ref="G3417" r:id="rId3413" xr:uid="{00000000-0004-0000-0500-0000540D0000}"/>
    <hyperlink ref="G3418" r:id="rId3414" xr:uid="{00000000-0004-0000-0500-0000550D0000}"/>
    <hyperlink ref="G3419" r:id="rId3415" xr:uid="{00000000-0004-0000-0500-0000560D0000}"/>
    <hyperlink ref="G3420" r:id="rId3416" xr:uid="{00000000-0004-0000-0500-0000570D0000}"/>
    <hyperlink ref="G3421" r:id="rId3417" xr:uid="{00000000-0004-0000-0500-0000580D0000}"/>
    <hyperlink ref="G3422" r:id="rId3418" xr:uid="{00000000-0004-0000-0500-0000590D0000}"/>
    <hyperlink ref="G3423" r:id="rId3419" xr:uid="{00000000-0004-0000-0500-00005A0D0000}"/>
    <hyperlink ref="G3424" r:id="rId3420" xr:uid="{00000000-0004-0000-0500-00005B0D0000}"/>
    <hyperlink ref="G3425" r:id="rId3421" xr:uid="{00000000-0004-0000-0500-00005C0D0000}"/>
    <hyperlink ref="G3426" r:id="rId3422" xr:uid="{00000000-0004-0000-0500-00005D0D0000}"/>
    <hyperlink ref="G3427" r:id="rId3423" xr:uid="{00000000-0004-0000-0500-00005E0D0000}"/>
    <hyperlink ref="G3428" r:id="rId3424" xr:uid="{00000000-0004-0000-0500-00005F0D0000}"/>
    <hyperlink ref="G3429" r:id="rId3425" xr:uid="{00000000-0004-0000-0500-0000600D0000}"/>
    <hyperlink ref="G3430" r:id="rId3426" xr:uid="{00000000-0004-0000-0500-0000610D0000}"/>
    <hyperlink ref="G3431" r:id="rId3427" xr:uid="{00000000-0004-0000-0500-0000620D0000}"/>
    <hyperlink ref="G3432" r:id="rId3428" xr:uid="{00000000-0004-0000-0500-0000630D0000}"/>
    <hyperlink ref="G3433" r:id="rId3429" xr:uid="{00000000-0004-0000-0500-0000640D0000}"/>
    <hyperlink ref="G3434" r:id="rId3430" xr:uid="{00000000-0004-0000-0500-0000650D0000}"/>
    <hyperlink ref="G3435" r:id="rId3431" xr:uid="{00000000-0004-0000-0500-0000660D0000}"/>
    <hyperlink ref="G3436" r:id="rId3432" xr:uid="{00000000-0004-0000-0500-0000670D0000}"/>
    <hyperlink ref="G3437" r:id="rId3433" xr:uid="{00000000-0004-0000-0500-0000680D0000}"/>
    <hyperlink ref="G3438" r:id="rId3434" xr:uid="{00000000-0004-0000-0500-0000690D0000}"/>
    <hyperlink ref="G3439" r:id="rId3435" xr:uid="{00000000-0004-0000-0500-00006A0D0000}"/>
    <hyperlink ref="G3440" r:id="rId3436" xr:uid="{00000000-0004-0000-0500-00006B0D0000}"/>
    <hyperlink ref="G3441" r:id="rId3437" xr:uid="{00000000-0004-0000-0500-00006C0D0000}"/>
    <hyperlink ref="G3442" r:id="rId3438" xr:uid="{00000000-0004-0000-0500-00006D0D0000}"/>
    <hyperlink ref="G3443" r:id="rId3439" xr:uid="{00000000-0004-0000-0500-00006E0D0000}"/>
    <hyperlink ref="G3444" r:id="rId3440" xr:uid="{00000000-0004-0000-0500-00006F0D0000}"/>
    <hyperlink ref="G3445" r:id="rId3441" xr:uid="{00000000-0004-0000-0500-0000700D0000}"/>
    <hyperlink ref="G3446" r:id="rId3442" xr:uid="{00000000-0004-0000-0500-0000710D0000}"/>
    <hyperlink ref="G3447" r:id="rId3443" xr:uid="{00000000-0004-0000-0500-0000720D0000}"/>
    <hyperlink ref="G3448" r:id="rId3444" xr:uid="{00000000-0004-0000-0500-0000730D0000}"/>
    <hyperlink ref="G3449" r:id="rId3445" xr:uid="{00000000-0004-0000-0500-0000740D0000}"/>
    <hyperlink ref="G3450" r:id="rId3446" xr:uid="{00000000-0004-0000-0500-0000750D0000}"/>
    <hyperlink ref="G3451" r:id="rId3447" xr:uid="{00000000-0004-0000-0500-0000760D0000}"/>
    <hyperlink ref="G3452" r:id="rId3448" xr:uid="{00000000-0004-0000-0500-0000770D0000}"/>
    <hyperlink ref="G3453" r:id="rId3449" xr:uid="{00000000-0004-0000-0500-0000780D0000}"/>
    <hyperlink ref="G3454" r:id="rId3450" xr:uid="{00000000-0004-0000-0500-0000790D0000}"/>
    <hyperlink ref="G3455" r:id="rId3451" xr:uid="{00000000-0004-0000-0500-00007A0D0000}"/>
    <hyperlink ref="G3456" r:id="rId3452" xr:uid="{00000000-0004-0000-0500-00007B0D0000}"/>
    <hyperlink ref="G3457" r:id="rId3453" xr:uid="{00000000-0004-0000-0500-00007C0D0000}"/>
    <hyperlink ref="G3458" r:id="rId3454" xr:uid="{00000000-0004-0000-0500-00007D0D0000}"/>
    <hyperlink ref="G3459" r:id="rId3455" xr:uid="{00000000-0004-0000-0500-00007E0D0000}"/>
    <hyperlink ref="G3460" r:id="rId3456" xr:uid="{00000000-0004-0000-0500-00007F0D0000}"/>
    <hyperlink ref="G3461" r:id="rId3457" xr:uid="{00000000-0004-0000-0500-0000800D0000}"/>
    <hyperlink ref="G3462" r:id="rId3458" xr:uid="{00000000-0004-0000-0500-0000810D0000}"/>
    <hyperlink ref="G3463" r:id="rId3459" xr:uid="{00000000-0004-0000-0500-0000820D0000}"/>
    <hyperlink ref="G3464" r:id="rId3460" xr:uid="{00000000-0004-0000-0500-0000830D0000}"/>
    <hyperlink ref="G3465" r:id="rId3461" xr:uid="{00000000-0004-0000-0500-0000840D0000}"/>
    <hyperlink ref="G3466" r:id="rId3462" xr:uid="{00000000-0004-0000-0500-0000850D0000}"/>
    <hyperlink ref="G3467" r:id="rId3463" xr:uid="{00000000-0004-0000-0500-0000860D0000}"/>
    <hyperlink ref="G3468" r:id="rId3464" xr:uid="{00000000-0004-0000-0500-0000870D0000}"/>
    <hyperlink ref="G3469" r:id="rId3465" xr:uid="{00000000-0004-0000-0500-0000880D0000}"/>
    <hyperlink ref="G3470" r:id="rId3466" xr:uid="{00000000-0004-0000-0500-0000890D0000}"/>
    <hyperlink ref="G3471" r:id="rId3467" xr:uid="{00000000-0004-0000-0500-00008A0D0000}"/>
    <hyperlink ref="G3472" r:id="rId3468" xr:uid="{00000000-0004-0000-0500-00008B0D0000}"/>
    <hyperlink ref="G3473" r:id="rId3469" xr:uid="{00000000-0004-0000-0500-00008C0D0000}"/>
    <hyperlink ref="G3474" r:id="rId3470" xr:uid="{00000000-0004-0000-0500-00008D0D0000}"/>
    <hyperlink ref="G3475" r:id="rId3471" xr:uid="{00000000-0004-0000-0500-00008E0D0000}"/>
    <hyperlink ref="G3476" r:id="rId3472" xr:uid="{00000000-0004-0000-0500-00008F0D0000}"/>
    <hyperlink ref="G3477" r:id="rId3473" xr:uid="{00000000-0004-0000-0500-0000900D0000}"/>
    <hyperlink ref="G3478" r:id="rId3474" xr:uid="{00000000-0004-0000-0500-0000910D0000}"/>
    <hyperlink ref="G3479" r:id="rId3475" xr:uid="{00000000-0004-0000-0500-0000920D0000}"/>
    <hyperlink ref="G3480" r:id="rId3476" xr:uid="{00000000-0004-0000-0500-0000930D0000}"/>
    <hyperlink ref="G3481" r:id="rId3477" xr:uid="{00000000-0004-0000-0500-0000940D0000}"/>
    <hyperlink ref="G3482" r:id="rId3478" xr:uid="{00000000-0004-0000-0500-0000950D0000}"/>
    <hyperlink ref="G3483" r:id="rId3479" xr:uid="{00000000-0004-0000-0500-0000960D0000}"/>
    <hyperlink ref="G3484" r:id="rId3480" xr:uid="{00000000-0004-0000-0500-0000970D0000}"/>
    <hyperlink ref="G3485" r:id="rId3481" xr:uid="{00000000-0004-0000-0500-0000980D0000}"/>
    <hyperlink ref="G3486" r:id="rId3482" xr:uid="{00000000-0004-0000-0500-0000990D0000}"/>
    <hyperlink ref="G3487" r:id="rId3483" xr:uid="{00000000-0004-0000-0500-00009A0D0000}"/>
    <hyperlink ref="G3488" r:id="rId3484" xr:uid="{00000000-0004-0000-0500-00009B0D0000}"/>
    <hyperlink ref="G3489" r:id="rId3485" xr:uid="{00000000-0004-0000-0500-00009C0D0000}"/>
    <hyperlink ref="G3490" r:id="rId3486" xr:uid="{00000000-0004-0000-0500-00009D0D0000}"/>
    <hyperlink ref="G3491" r:id="rId3487" xr:uid="{00000000-0004-0000-0500-00009E0D0000}"/>
    <hyperlink ref="G3492" r:id="rId3488" xr:uid="{00000000-0004-0000-0500-00009F0D0000}"/>
    <hyperlink ref="G3493" r:id="rId3489" xr:uid="{00000000-0004-0000-0500-0000A00D0000}"/>
    <hyperlink ref="G3494" r:id="rId3490" xr:uid="{00000000-0004-0000-0500-0000A10D0000}"/>
    <hyperlink ref="G3495" r:id="rId3491" xr:uid="{00000000-0004-0000-0500-0000A20D0000}"/>
    <hyperlink ref="G3496" r:id="rId3492" xr:uid="{00000000-0004-0000-0500-0000A30D0000}"/>
    <hyperlink ref="G3497" r:id="rId3493" xr:uid="{00000000-0004-0000-0500-0000A40D0000}"/>
    <hyperlink ref="G3498" r:id="rId3494" xr:uid="{00000000-0004-0000-0500-0000A50D0000}"/>
    <hyperlink ref="G3499" r:id="rId3495" xr:uid="{00000000-0004-0000-0500-0000A60D0000}"/>
    <hyperlink ref="G3500" r:id="rId3496" xr:uid="{00000000-0004-0000-0500-0000A70D0000}"/>
    <hyperlink ref="G3501" r:id="rId3497" xr:uid="{00000000-0004-0000-0500-0000A80D0000}"/>
    <hyperlink ref="G3502" r:id="rId3498" xr:uid="{00000000-0004-0000-0500-0000A90D0000}"/>
    <hyperlink ref="G3503" r:id="rId3499" xr:uid="{00000000-0004-0000-0500-0000AA0D0000}"/>
    <hyperlink ref="G3504" r:id="rId3500" xr:uid="{00000000-0004-0000-0500-0000AB0D0000}"/>
    <hyperlink ref="G3505" r:id="rId3501" xr:uid="{00000000-0004-0000-0500-0000AC0D0000}"/>
    <hyperlink ref="G3506" r:id="rId3502" xr:uid="{00000000-0004-0000-0500-0000AD0D0000}"/>
    <hyperlink ref="G3507" r:id="rId3503" xr:uid="{00000000-0004-0000-0500-0000AE0D0000}"/>
    <hyperlink ref="G3508" r:id="rId3504" xr:uid="{00000000-0004-0000-0500-0000AF0D0000}"/>
    <hyperlink ref="G3509" r:id="rId3505" xr:uid="{00000000-0004-0000-0500-0000B00D0000}"/>
    <hyperlink ref="G3510" r:id="rId3506" xr:uid="{00000000-0004-0000-0500-0000B10D0000}"/>
    <hyperlink ref="G3511" r:id="rId3507" xr:uid="{00000000-0004-0000-0500-0000B20D0000}"/>
    <hyperlink ref="G3512" r:id="rId3508" xr:uid="{00000000-0004-0000-0500-0000B30D0000}"/>
    <hyperlink ref="G3513" r:id="rId3509" xr:uid="{00000000-0004-0000-0500-0000B40D0000}"/>
    <hyperlink ref="G3514" r:id="rId3510" xr:uid="{00000000-0004-0000-0500-0000B50D0000}"/>
    <hyperlink ref="G3515" r:id="rId3511" xr:uid="{00000000-0004-0000-0500-0000B60D0000}"/>
    <hyperlink ref="G3516" r:id="rId3512" xr:uid="{00000000-0004-0000-0500-0000B70D0000}"/>
    <hyperlink ref="G3517" r:id="rId3513" xr:uid="{00000000-0004-0000-0500-0000B80D0000}"/>
    <hyperlink ref="G3518" r:id="rId3514" xr:uid="{00000000-0004-0000-0500-0000B90D0000}"/>
    <hyperlink ref="G3519" r:id="rId3515" xr:uid="{00000000-0004-0000-0500-0000BA0D0000}"/>
    <hyperlink ref="G3520" r:id="rId3516" xr:uid="{00000000-0004-0000-0500-0000BB0D0000}"/>
    <hyperlink ref="G3521" r:id="rId3517" xr:uid="{00000000-0004-0000-0500-0000BC0D0000}"/>
    <hyperlink ref="G3522" r:id="rId3518" xr:uid="{00000000-0004-0000-0500-0000BD0D0000}"/>
    <hyperlink ref="G3523" r:id="rId3519" xr:uid="{00000000-0004-0000-0500-0000BE0D0000}"/>
    <hyperlink ref="G3524" r:id="rId3520" xr:uid="{00000000-0004-0000-0500-0000BF0D0000}"/>
    <hyperlink ref="G3525" r:id="rId3521" xr:uid="{00000000-0004-0000-0500-0000C00D0000}"/>
    <hyperlink ref="G3526" r:id="rId3522" xr:uid="{00000000-0004-0000-0500-0000C10D0000}"/>
    <hyperlink ref="G3527" r:id="rId3523" xr:uid="{00000000-0004-0000-0500-0000C20D0000}"/>
    <hyperlink ref="G3528" r:id="rId3524" xr:uid="{00000000-0004-0000-0500-0000C30D0000}"/>
    <hyperlink ref="G3529" r:id="rId3525" xr:uid="{00000000-0004-0000-0500-0000C40D0000}"/>
    <hyperlink ref="G3530" r:id="rId3526" xr:uid="{00000000-0004-0000-0500-0000C50D0000}"/>
    <hyperlink ref="G3531" r:id="rId3527" xr:uid="{00000000-0004-0000-0500-0000C60D0000}"/>
    <hyperlink ref="G3532" r:id="rId3528" xr:uid="{00000000-0004-0000-0500-0000C70D0000}"/>
    <hyperlink ref="G3533" r:id="rId3529" xr:uid="{00000000-0004-0000-0500-0000C80D0000}"/>
    <hyperlink ref="G3534" r:id="rId3530" xr:uid="{00000000-0004-0000-0500-0000C90D0000}"/>
    <hyperlink ref="G3535" r:id="rId3531" xr:uid="{00000000-0004-0000-0500-0000CA0D0000}"/>
    <hyperlink ref="G3536" r:id="rId3532" xr:uid="{00000000-0004-0000-0500-0000CB0D0000}"/>
    <hyperlink ref="G3537" r:id="rId3533" xr:uid="{00000000-0004-0000-0500-0000CC0D0000}"/>
    <hyperlink ref="G3538" r:id="rId3534" xr:uid="{00000000-0004-0000-0500-0000CD0D0000}"/>
    <hyperlink ref="G3539" r:id="rId3535" xr:uid="{00000000-0004-0000-0500-0000CE0D0000}"/>
    <hyperlink ref="G3540" r:id="rId3536" xr:uid="{00000000-0004-0000-0500-0000CF0D0000}"/>
    <hyperlink ref="G3541" r:id="rId3537" xr:uid="{00000000-0004-0000-0500-0000D00D0000}"/>
    <hyperlink ref="G3542" r:id="rId3538" xr:uid="{00000000-0004-0000-0500-0000D10D0000}"/>
    <hyperlink ref="G3543" r:id="rId3539" xr:uid="{00000000-0004-0000-0500-0000D20D0000}"/>
    <hyperlink ref="G3544" r:id="rId3540" xr:uid="{00000000-0004-0000-0500-0000D30D0000}"/>
    <hyperlink ref="G3545" r:id="rId3541" xr:uid="{00000000-0004-0000-0500-0000D40D0000}"/>
    <hyperlink ref="G3546" r:id="rId3542" xr:uid="{00000000-0004-0000-0500-0000D50D0000}"/>
    <hyperlink ref="G3547" r:id="rId3543" xr:uid="{00000000-0004-0000-0500-0000D60D0000}"/>
    <hyperlink ref="G3548" r:id="rId3544" xr:uid="{00000000-0004-0000-0500-0000D70D0000}"/>
    <hyperlink ref="G3549" r:id="rId3545" xr:uid="{00000000-0004-0000-0500-0000D80D0000}"/>
    <hyperlink ref="G3550" r:id="rId3546" xr:uid="{00000000-0004-0000-0500-0000D90D0000}"/>
    <hyperlink ref="G3551" r:id="rId3547" xr:uid="{00000000-0004-0000-0500-0000DA0D0000}"/>
    <hyperlink ref="G3552" r:id="rId3548" xr:uid="{00000000-0004-0000-0500-0000DB0D0000}"/>
    <hyperlink ref="G3553" r:id="rId3549" xr:uid="{00000000-0004-0000-0500-0000DC0D0000}"/>
    <hyperlink ref="G3554" r:id="rId3550" xr:uid="{00000000-0004-0000-0500-0000DD0D0000}"/>
    <hyperlink ref="G3555" r:id="rId3551" xr:uid="{00000000-0004-0000-0500-0000DE0D0000}"/>
    <hyperlink ref="G3556" r:id="rId3552" xr:uid="{00000000-0004-0000-0500-0000DF0D0000}"/>
    <hyperlink ref="G3557" r:id="rId3553" xr:uid="{00000000-0004-0000-0500-0000E00D0000}"/>
    <hyperlink ref="G3558" r:id="rId3554" xr:uid="{00000000-0004-0000-0500-0000E10D0000}"/>
    <hyperlink ref="G3559" r:id="rId3555" xr:uid="{00000000-0004-0000-0500-0000E20D0000}"/>
    <hyperlink ref="G3560" r:id="rId3556" xr:uid="{00000000-0004-0000-0500-0000E30D0000}"/>
    <hyperlink ref="G3561" r:id="rId3557" xr:uid="{00000000-0004-0000-0500-0000E40D0000}"/>
    <hyperlink ref="G3562" r:id="rId3558" xr:uid="{00000000-0004-0000-0500-0000E50D0000}"/>
    <hyperlink ref="G3563" r:id="rId3559" xr:uid="{00000000-0004-0000-0500-0000E60D0000}"/>
    <hyperlink ref="G3564" r:id="rId3560" xr:uid="{00000000-0004-0000-0500-0000E70D0000}"/>
    <hyperlink ref="G3565" r:id="rId3561" xr:uid="{00000000-0004-0000-0500-0000E80D0000}"/>
    <hyperlink ref="G3566" r:id="rId3562" xr:uid="{00000000-0004-0000-0500-0000E90D0000}"/>
    <hyperlink ref="G3567" r:id="rId3563" xr:uid="{00000000-0004-0000-0500-0000EA0D0000}"/>
    <hyperlink ref="G3568" r:id="rId3564" xr:uid="{00000000-0004-0000-0500-0000EB0D0000}"/>
    <hyperlink ref="G3569" r:id="rId3565" xr:uid="{00000000-0004-0000-0500-0000EC0D0000}"/>
    <hyperlink ref="G3570" r:id="rId3566" xr:uid="{00000000-0004-0000-0500-0000ED0D0000}"/>
    <hyperlink ref="G3571" r:id="rId3567" xr:uid="{00000000-0004-0000-0500-0000EE0D0000}"/>
    <hyperlink ref="G3572" r:id="rId3568" xr:uid="{00000000-0004-0000-0500-0000EF0D0000}"/>
    <hyperlink ref="G3573" r:id="rId3569" xr:uid="{00000000-0004-0000-0500-0000F00D0000}"/>
    <hyperlink ref="G3574" r:id="rId3570" xr:uid="{00000000-0004-0000-0500-0000F10D0000}"/>
    <hyperlink ref="G3575" r:id="rId3571" xr:uid="{00000000-0004-0000-0500-0000F20D0000}"/>
    <hyperlink ref="G3576" r:id="rId3572" xr:uid="{00000000-0004-0000-0500-0000F30D0000}"/>
    <hyperlink ref="G3577" r:id="rId3573" xr:uid="{00000000-0004-0000-0500-0000F40D0000}"/>
    <hyperlink ref="G3578" r:id="rId3574" xr:uid="{00000000-0004-0000-0500-0000F50D0000}"/>
    <hyperlink ref="G3579" r:id="rId3575" xr:uid="{00000000-0004-0000-0500-0000F60D0000}"/>
    <hyperlink ref="G3580" r:id="rId3576" xr:uid="{00000000-0004-0000-0500-0000F70D0000}"/>
    <hyperlink ref="G3581" r:id="rId3577" xr:uid="{00000000-0004-0000-0500-0000F80D0000}"/>
    <hyperlink ref="G3582" r:id="rId3578" xr:uid="{00000000-0004-0000-0500-0000F90D0000}"/>
    <hyperlink ref="G3583" r:id="rId3579" xr:uid="{00000000-0004-0000-0500-0000FA0D0000}"/>
    <hyperlink ref="G3584" r:id="rId3580" xr:uid="{00000000-0004-0000-0500-0000FB0D0000}"/>
    <hyperlink ref="G3585" r:id="rId3581" xr:uid="{00000000-0004-0000-0500-0000FC0D0000}"/>
    <hyperlink ref="G3586" r:id="rId3582" xr:uid="{00000000-0004-0000-0500-0000FD0D0000}"/>
    <hyperlink ref="G3587" r:id="rId3583" xr:uid="{00000000-0004-0000-0500-0000FE0D0000}"/>
    <hyperlink ref="G3588" r:id="rId3584" xr:uid="{00000000-0004-0000-0500-0000FF0D0000}"/>
    <hyperlink ref="G3589" r:id="rId3585" xr:uid="{00000000-0004-0000-0500-0000000E0000}"/>
    <hyperlink ref="G3590" r:id="rId3586" xr:uid="{00000000-0004-0000-0500-0000010E0000}"/>
    <hyperlink ref="G3591" r:id="rId3587" xr:uid="{00000000-0004-0000-0500-0000020E0000}"/>
    <hyperlink ref="G3592" r:id="rId3588" xr:uid="{00000000-0004-0000-0500-0000030E0000}"/>
    <hyperlink ref="G3593" r:id="rId3589" xr:uid="{00000000-0004-0000-0500-0000040E0000}"/>
    <hyperlink ref="G3594" r:id="rId3590" xr:uid="{00000000-0004-0000-0500-0000050E0000}"/>
    <hyperlink ref="G3595" r:id="rId3591" xr:uid="{00000000-0004-0000-0500-0000060E0000}"/>
    <hyperlink ref="G3596" r:id="rId3592" xr:uid="{00000000-0004-0000-0500-0000070E0000}"/>
    <hyperlink ref="G3597" r:id="rId3593" xr:uid="{00000000-0004-0000-0500-0000080E0000}"/>
    <hyperlink ref="G3598" r:id="rId3594" xr:uid="{00000000-0004-0000-0500-0000090E0000}"/>
    <hyperlink ref="G3599" r:id="rId3595" xr:uid="{00000000-0004-0000-0500-00000A0E0000}"/>
    <hyperlink ref="G3600" r:id="rId3596" xr:uid="{00000000-0004-0000-0500-00000B0E0000}"/>
    <hyperlink ref="G3601" r:id="rId3597" xr:uid="{00000000-0004-0000-0500-00000C0E0000}"/>
    <hyperlink ref="G3602" r:id="rId3598" xr:uid="{00000000-0004-0000-0500-00000D0E0000}"/>
    <hyperlink ref="G3603" r:id="rId3599" xr:uid="{00000000-0004-0000-0500-00000E0E0000}"/>
    <hyperlink ref="G3604" r:id="rId3600" xr:uid="{00000000-0004-0000-0500-00000F0E0000}"/>
    <hyperlink ref="G3605" r:id="rId3601" xr:uid="{00000000-0004-0000-0500-0000100E0000}"/>
    <hyperlink ref="G3606" r:id="rId3602" xr:uid="{00000000-0004-0000-0500-0000110E0000}"/>
    <hyperlink ref="G3607" r:id="rId3603" xr:uid="{00000000-0004-0000-0500-0000120E0000}"/>
    <hyperlink ref="G3608" r:id="rId3604" xr:uid="{00000000-0004-0000-0500-0000130E0000}"/>
    <hyperlink ref="G3609" r:id="rId3605" xr:uid="{00000000-0004-0000-0500-0000140E0000}"/>
    <hyperlink ref="G3610" r:id="rId3606" xr:uid="{00000000-0004-0000-0500-0000150E0000}"/>
    <hyperlink ref="G3611" r:id="rId3607" xr:uid="{00000000-0004-0000-0500-0000160E0000}"/>
    <hyperlink ref="G3612" r:id="rId3608" xr:uid="{00000000-0004-0000-0500-0000170E0000}"/>
    <hyperlink ref="G3613" r:id="rId3609" xr:uid="{00000000-0004-0000-0500-0000180E0000}"/>
    <hyperlink ref="G3614" r:id="rId3610" xr:uid="{00000000-0004-0000-0500-0000190E0000}"/>
    <hyperlink ref="G3615" r:id="rId3611" xr:uid="{00000000-0004-0000-0500-00001A0E0000}"/>
    <hyperlink ref="G3616" r:id="rId3612" xr:uid="{00000000-0004-0000-0500-00001B0E0000}"/>
    <hyperlink ref="G3617" r:id="rId3613" xr:uid="{00000000-0004-0000-0500-00001C0E0000}"/>
    <hyperlink ref="G3618" r:id="rId3614" xr:uid="{00000000-0004-0000-0500-00001D0E0000}"/>
    <hyperlink ref="G3619" r:id="rId3615" xr:uid="{00000000-0004-0000-0500-00001E0E0000}"/>
    <hyperlink ref="G3620" r:id="rId3616" xr:uid="{00000000-0004-0000-0500-00001F0E0000}"/>
    <hyperlink ref="G3621" r:id="rId3617" xr:uid="{00000000-0004-0000-0500-0000200E0000}"/>
    <hyperlink ref="G3622" r:id="rId3618" xr:uid="{00000000-0004-0000-0500-0000210E0000}"/>
    <hyperlink ref="G3623" r:id="rId3619" xr:uid="{00000000-0004-0000-0500-0000220E0000}"/>
    <hyperlink ref="G3624" r:id="rId3620" xr:uid="{00000000-0004-0000-0500-0000230E0000}"/>
    <hyperlink ref="G3625" r:id="rId3621" xr:uid="{00000000-0004-0000-0500-0000240E0000}"/>
    <hyperlink ref="G3626" r:id="rId3622" xr:uid="{00000000-0004-0000-0500-0000250E0000}"/>
    <hyperlink ref="G3627" r:id="rId3623" xr:uid="{00000000-0004-0000-0500-0000260E0000}"/>
    <hyperlink ref="G3628" r:id="rId3624" xr:uid="{00000000-0004-0000-0500-0000270E0000}"/>
    <hyperlink ref="G3629" r:id="rId3625" xr:uid="{00000000-0004-0000-0500-0000280E0000}"/>
    <hyperlink ref="G3630" r:id="rId3626" xr:uid="{00000000-0004-0000-0500-0000290E0000}"/>
    <hyperlink ref="G3631" r:id="rId3627" xr:uid="{00000000-0004-0000-0500-00002A0E0000}"/>
    <hyperlink ref="G3632" r:id="rId3628" xr:uid="{00000000-0004-0000-0500-00002B0E0000}"/>
    <hyperlink ref="G3633" r:id="rId3629" xr:uid="{00000000-0004-0000-0500-00002C0E0000}"/>
    <hyperlink ref="G3634" r:id="rId3630" xr:uid="{00000000-0004-0000-0500-00002D0E0000}"/>
    <hyperlink ref="G3635" r:id="rId3631" xr:uid="{00000000-0004-0000-0500-00002E0E0000}"/>
    <hyperlink ref="G3636" r:id="rId3632" xr:uid="{00000000-0004-0000-0500-00002F0E0000}"/>
    <hyperlink ref="G3637" r:id="rId3633" xr:uid="{00000000-0004-0000-0500-0000300E0000}"/>
    <hyperlink ref="G3638" r:id="rId3634" xr:uid="{00000000-0004-0000-0500-0000310E0000}"/>
    <hyperlink ref="G3639" r:id="rId3635" xr:uid="{00000000-0004-0000-0500-0000320E0000}"/>
    <hyperlink ref="G3640" r:id="rId3636" xr:uid="{00000000-0004-0000-0500-0000330E0000}"/>
    <hyperlink ref="G3641" r:id="rId3637" xr:uid="{00000000-0004-0000-0500-0000340E0000}"/>
    <hyperlink ref="G3642" r:id="rId3638" xr:uid="{00000000-0004-0000-0500-0000350E0000}"/>
    <hyperlink ref="G3643" r:id="rId3639" xr:uid="{00000000-0004-0000-0500-0000360E0000}"/>
    <hyperlink ref="G3644" r:id="rId3640" xr:uid="{00000000-0004-0000-0500-0000370E0000}"/>
    <hyperlink ref="G3645" r:id="rId3641" xr:uid="{00000000-0004-0000-0500-0000380E0000}"/>
    <hyperlink ref="G3646" r:id="rId3642" xr:uid="{00000000-0004-0000-0500-0000390E0000}"/>
    <hyperlink ref="G3647" r:id="rId3643" xr:uid="{00000000-0004-0000-0500-00003A0E0000}"/>
    <hyperlink ref="G3648" r:id="rId3644" xr:uid="{00000000-0004-0000-0500-00003B0E0000}"/>
    <hyperlink ref="G3649" r:id="rId3645" xr:uid="{00000000-0004-0000-0500-00003C0E0000}"/>
    <hyperlink ref="G3650" r:id="rId3646" xr:uid="{00000000-0004-0000-0500-00003D0E0000}"/>
    <hyperlink ref="G3651" r:id="rId3647" xr:uid="{00000000-0004-0000-0500-00003E0E0000}"/>
    <hyperlink ref="G3652" r:id="rId3648" xr:uid="{00000000-0004-0000-0500-00003F0E0000}"/>
    <hyperlink ref="G3653" r:id="rId3649" xr:uid="{00000000-0004-0000-0500-0000400E0000}"/>
    <hyperlink ref="G3654" r:id="rId3650" xr:uid="{00000000-0004-0000-0500-0000410E0000}"/>
    <hyperlink ref="G3655" r:id="rId3651" xr:uid="{00000000-0004-0000-0500-0000420E0000}"/>
    <hyperlink ref="G3656" r:id="rId3652" xr:uid="{00000000-0004-0000-0500-0000430E0000}"/>
    <hyperlink ref="G3657" r:id="rId3653" xr:uid="{00000000-0004-0000-0500-0000440E0000}"/>
    <hyperlink ref="G3658" r:id="rId3654" xr:uid="{00000000-0004-0000-0500-0000450E0000}"/>
    <hyperlink ref="G3659" r:id="rId3655" xr:uid="{00000000-0004-0000-0500-0000460E0000}"/>
    <hyperlink ref="G3660" r:id="rId3656" xr:uid="{00000000-0004-0000-0500-0000470E0000}"/>
    <hyperlink ref="G3661" r:id="rId3657" xr:uid="{00000000-0004-0000-0500-0000480E0000}"/>
    <hyperlink ref="G3662" r:id="rId3658" xr:uid="{00000000-0004-0000-0500-0000490E0000}"/>
    <hyperlink ref="G3663" r:id="rId3659" xr:uid="{00000000-0004-0000-0500-00004A0E0000}"/>
    <hyperlink ref="G3664" r:id="rId3660" xr:uid="{00000000-0004-0000-0500-00004B0E0000}"/>
    <hyperlink ref="G3665" r:id="rId3661" xr:uid="{00000000-0004-0000-0500-00004C0E0000}"/>
    <hyperlink ref="G3666" r:id="rId3662" xr:uid="{00000000-0004-0000-0500-00004D0E0000}"/>
    <hyperlink ref="G3667" r:id="rId3663" xr:uid="{00000000-0004-0000-0500-00004E0E0000}"/>
    <hyperlink ref="G3668" r:id="rId3664" xr:uid="{00000000-0004-0000-0500-00004F0E0000}"/>
    <hyperlink ref="G3669" r:id="rId3665" xr:uid="{00000000-0004-0000-0500-0000500E0000}"/>
    <hyperlink ref="G3670" r:id="rId3666" xr:uid="{00000000-0004-0000-0500-0000510E0000}"/>
    <hyperlink ref="G3671" r:id="rId3667" xr:uid="{00000000-0004-0000-0500-0000520E0000}"/>
    <hyperlink ref="G3672" r:id="rId3668" xr:uid="{00000000-0004-0000-0500-0000530E0000}"/>
    <hyperlink ref="G3673" r:id="rId3669" xr:uid="{00000000-0004-0000-0500-0000540E0000}"/>
    <hyperlink ref="G3674" r:id="rId3670" xr:uid="{00000000-0004-0000-0500-0000550E0000}"/>
    <hyperlink ref="G3675" r:id="rId3671" xr:uid="{00000000-0004-0000-0500-0000560E0000}"/>
    <hyperlink ref="G3676" r:id="rId3672" xr:uid="{00000000-0004-0000-0500-0000570E0000}"/>
    <hyperlink ref="G3677" r:id="rId3673" xr:uid="{00000000-0004-0000-0500-0000580E0000}"/>
    <hyperlink ref="G3678" r:id="rId3674" xr:uid="{00000000-0004-0000-0500-0000590E0000}"/>
    <hyperlink ref="G3679" r:id="rId3675" xr:uid="{00000000-0004-0000-0500-00005A0E0000}"/>
    <hyperlink ref="G3680" r:id="rId3676" xr:uid="{00000000-0004-0000-0500-00005B0E0000}"/>
    <hyperlink ref="G3681" r:id="rId3677" xr:uid="{00000000-0004-0000-0500-00005C0E0000}"/>
    <hyperlink ref="G3682" r:id="rId3678" xr:uid="{00000000-0004-0000-0500-00005D0E0000}"/>
    <hyperlink ref="G3683" r:id="rId3679" xr:uid="{00000000-0004-0000-0500-00005E0E0000}"/>
    <hyperlink ref="G3684" r:id="rId3680" xr:uid="{00000000-0004-0000-0500-00005F0E0000}"/>
    <hyperlink ref="G3685" r:id="rId3681" xr:uid="{00000000-0004-0000-0500-0000600E0000}"/>
    <hyperlink ref="G3686" r:id="rId3682" xr:uid="{00000000-0004-0000-0500-0000610E0000}"/>
    <hyperlink ref="G3687" r:id="rId3683" xr:uid="{00000000-0004-0000-0500-0000620E0000}"/>
    <hyperlink ref="G3688" r:id="rId3684" xr:uid="{00000000-0004-0000-0500-0000630E0000}"/>
    <hyperlink ref="G3689" r:id="rId3685" xr:uid="{00000000-0004-0000-0500-0000640E0000}"/>
    <hyperlink ref="G3690" r:id="rId3686" xr:uid="{00000000-0004-0000-0500-0000650E0000}"/>
    <hyperlink ref="G3691" r:id="rId3687" xr:uid="{00000000-0004-0000-0500-0000660E0000}"/>
    <hyperlink ref="G3692" r:id="rId3688" xr:uid="{00000000-0004-0000-0500-0000670E0000}"/>
    <hyperlink ref="G3693" r:id="rId3689" xr:uid="{00000000-0004-0000-0500-0000680E0000}"/>
    <hyperlink ref="G3694" r:id="rId3690" xr:uid="{00000000-0004-0000-0500-0000690E0000}"/>
    <hyperlink ref="G3695" r:id="rId3691" xr:uid="{00000000-0004-0000-0500-00006A0E0000}"/>
    <hyperlink ref="G3696" r:id="rId3692" xr:uid="{00000000-0004-0000-0500-00006B0E0000}"/>
    <hyperlink ref="G3697" r:id="rId3693" xr:uid="{00000000-0004-0000-0500-00006C0E0000}"/>
    <hyperlink ref="G3698" r:id="rId3694" xr:uid="{00000000-0004-0000-0500-00006D0E0000}"/>
    <hyperlink ref="G3699" r:id="rId3695" xr:uid="{00000000-0004-0000-0500-00006E0E0000}"/>
    <hyperlink ref="G3700" r:id="rId3696" xr:uid="{00000000-0004-0000-0500-00006F0E0000}"/>
    <hyperlink ref="G3701" r:id="rId3697" xr:uid="{00000000-0004-0000-0500-0000700E0000}"/>
    <hyperlink ref="G3702" r:id="rId3698" xr:uid="{00000000-0004-0000-0500-0000710E0000}"/>
    <hyperlink ref="G3703" r:id="rId3699" xr:uid="{00000000-0004-0000-0500-0000720E0000}"/>
    <hyperlink ref="G3704" r:id="rId3700" xr:uid="{00000000-0004-0000-0500-0000730E0000}"/>
    <hyperlink ref="G3705" r:id="rId3701" xr:uid="{00000000-0004-0000-0500-0000740E0000}"/>
    <hyperlink ref="G3706" r:id="rId3702" xr:uid="{00000000-0004-0000-0500-0000750E0000}"/>
    <hyperlink ref="G3707" r:id="rId3703" xr:uid="{00000000-0004-0000-0500-0000760E0000}"/>
    <hyperlink ref="G3708" r:id="rId3704" xr:uid="{00000000-0004-0000-0500-0000770E0000}"/>
    <hyperlink ref="G3709" r:id="rId3705" xr:uid="{00000000-0004-0000-0500-0000780E0000}"/>
    <hyperlink ref="G3710" r:id="rId3706" xr:uid="{00000000-0004-0000-0500-0000790E0000}"/>
    <hyperlink ref="G3711" r:id="rId3707" xr:uid="{00000000-0004-0000-0500-00007A0E0000}"/>
    <hyperlink ref="G3712" r:id="rId3708" xr:uid="{00000000-0004-0000-0500-00007B0E0000}"/>
    <hyperlink ref="G3713" r:id="rId3709" xr:uid="{00000000-0004-0000-0500-00007C0E0000}"/>
    <hyperlink ref="G3714" r:id="rId3710" xr:uid="{00000000-0004-0000-0500-00007D0E0000}"/>
    <hyperlink ref="G3715" r:id="rId3711" xr:uid="{00000000-0004-0000-0500-00007E0E0000}"/>
    <hyperlink ref="G3716" r:id="rId3712" xr:uid="{00000000-0004-0000-0500-00007F0E0000}"/>
    <hyperlink ref="G3717" r:id="rId3713" xr:uid="{00000000-0004-0000-0500-0000800E0000}"/>
    <hyperlink ref="G3718" r:id="rId3714" xr:uid="{00000000-0004-0000-0500-0000810E0000}"/>
    <hyperlink ref="G3719" r:id="rId3715" xr:uid="{00000000-0004-0000-0500-0000820E0000}"/>
    <hyperlink ref="G3720" r:id="rId3716" xr:uid="{00000000-0004-0000-0500-0000830E0000}"/>
    <hyperlink ref="G3721" r:id="rId3717" xr:uid="{00000000-0004-0000-0500-0000840E0000}"/>
    <hyperlink ref="G3722" r:id="rId3718" xr:uid="{00000000-0004-0000-0500-0000850E0000}"/>
    <hyperlink ref="G3723" r:id="rId3719" xr:uid="{00000000-0004-0000-0500-0000860E0000}"/>
    <hyperlink ref="G3724" r:id="rId3720" xr:uid="{00000000-0004-0000-0500-0000870E0000}"/>
    <hyperlink ref="G3725" r:id="rId3721" xr:uid="{00000000-0004-0000-0500-0000880E0000}"/>
    <hyperlink ref="G3726" r:id="rId3722" xr:uid="{00000000-0004-0000-0500-0000890E0000}"/>
    <hyperlink ref="G3727" r:id="rId3723" xr:uid="{00000000-0004-0000-0500-00008A0E0000}"/>
    <hyperlink ref="G3728" r:id="rId3724" xr:uid="{00000000-0004-0000-0500-00008B0E0000}"/>
    <hyperlink ref="G3729" r:id="rId3725" xr:uid="{00000000-0004-0000-0500-00008C0E0000}"/>
    <hyperlink ref="G3730" r:id="rId3726" xr:uid="{00000000-0004-0000-0500-00008D0E0000}"/>
    <hyperlink ref="G3731" r:id="rId3727" xr:uid="{00000000-0004-0000-0500-00008E0E0000}"/>
    <hyperlink ref="G3732" r:id="rId3728" xr:uid="{00000000-0004-0000-0500-00008F0E0000}"/>
    <hyperlink ref="G3733" r:id="rId3729" xr:uid="{00000000-0004-0000-0500-0000900E0000}"/>
    <hyperlink ref="G3734" r:id="rId3730" xr:uid="{00000000-0004-0000-0500-0000910E0000}"/>
    <hyperlink ref="G3735" r:id="rId3731" xr:uid="{00000000-0004-0000-0500-0000920E0000}"/>
    <hyperlink ref="G3736" r:id="rId3732" xr:uid="{00000000-0004-0000-0500-0000930E0000}"/>
    <hyperlink ref="G3737" r:id="rId3733" xr:uid="{00000000-0004-0000-0500-0000940E0000}"/>
    <hyperlink ref="G3738" r:id="rId3734" xr:uid="{00000000-0004-0000-0500-0000950E0000}"/>
    <hyperlink ref="G3739" r:id="rId3735" xr:uid="{00000000-0004-0000-0500-0000960E0000}"/>
    <hyperlink ref="G3740" r:id="rId3736" xr:uid="{00000000-0004-0000-0500-0000970E0000}"/>
    <hyperlink ref="G3741" r:id="rId3737" xr:uid="{00000000-0004-0000-0500-0000980E0000}"/>
    <hyperlink ref="G3742" r:id="rId3738" xr:uid="{00000000-0004-0000-0500-0000990E0000}"/>
    <hyperlink ref="G3743" r:id="rId3739" xr:uid="{00000000-0004-0000-0500-00009A0E0000}"/>
    <hyperlink ref="G3744" r:id="rId3740" xr:uid="{00000000-0004-0000-0500-00009B0E0000}"/>
    <hyperlink ref="G3745" r:id="rId3741" xr:uid="{00000000-0004-0000-0500-00009C0E0000}"/>
    <hyperlink ref="G3746" r:id="rId3742" xr:uid="{00000000-0004-0000-0500-00009D0E0000}"/>
    <hyperlink ref="G3747" r:id="rId3743" xr:uid="{00000000-0004-0000-0500-00009E0E0000}"/>
    <hyperlink ref="G3748" r:id="rId3744" xr:uid="{00000000-0004-0000-0500-00009F0E0000}"/>
    <hyperlink ref="G3749" r:id="rId3745" xr:uid="{00000000-0004-0000-0500-0000A00E0000}"/>
    <hyperlink ref="G3750" r:id="rId3746" xr:uid="{00000000-0004-0000-0500-0000A10E0000}"/>
    <hyperlink ref="G3751" r:id="rId3747" xr:uid="{00000000-0004-0000-0500-0000A20E0000}"/>
    <hyperlink ref="G3752" r:id="rId3748" xr:uid="{00000000-0004-0000-0500-0000A30E0000}"/>
    <hyperlink ref="G3753" r:id="rId3749" xr:uid="{00000000-0004-0000-0500-0000A40E0000}"/>
    <hyperlink ref="G3754" r:id="rId3750" xr:uid="{00000000-0004-0000-0500-0000A50E0000}"/>
    <hyperlink ref="G3755" r:id="rId3751" xr:uid="{00000000-0004-0000-0500-0000A60E0000}"/>
    <hyperlink ref="G3756" r:id="rId3752" xr:uid="{00000000-0004-0000-0500-0000A70E0000}"/>
    <hyperlink ref="G3757" r:id="rId3753" xr:uid="{00000000-0004-0000-0500-0000A80E0000}"/>
    <hyperlink ref="G3758" r:id="rId3754" xr:uid="{00000000-0004-0000-0500-0000A90E0000}"/>
    <hyperlink ref="G3759" r:id="rId3755" xr:uid="{00000000-0004-0000-0500-0000AA0E0000}"/>
    <hyperlink ref="G3760" r:id="rId3756" xr:uid="{00000000-0004-0000-0500-0000AB0E0000}"/>
    <hyperlink ref="G3761" r:id="rId3757" xr:uid="{00000000-0004-0000-0500-0000AC0E0000}"/>
    <hyperlink ref="G3762" r:id="rId3758" xr:uid="{00000000-0004-0000-0500-0000AD0E0000}"/>
    <hyperlink ref="G3763" r:id="rId3759" xr:uid="{00000000-0004-0000-0500-0000AE0E0000}"/>
    <hyperlink ref="G3764" r:id="rId3760" xr:uid="{00000000-0004-0000-0500-0000AF0E0000}"/>
    <hyperlink ref="G3765" r:id="rId3761" xr:uid="{00000000-0004-0000-0500-0000B00E0000}"/>
    <hyperlink ref="G3766" r:id="rId3762" xr:uid="{00000000-0004-0000-0500-0000B10E0000}"/>
    <hyperlink ref="G3767" r:id="rId3763" xr:uid="{00000000-0004-0000-0500-0000B20E0000}"/>
    <hyperlink ref="G3768" r:id="rId3764" xr:uid="{00000000-0004-0000-0500-0000B30E0000}"/>
    <hyperlink ref="G3769" r:id="rId3765" xr:uid="{00000000-0004-0000-0500-0000B40E0000}"/>
    <hyperlink ref="G3770" r:id="rId3766" xr:uid="{00000000-0004-0000-0500-0000B50E0000}"/>
    <hyperlink ref="G3771" r:id="rId3767" xr:uid="{00000000-0004-0000-0500-0000B60E0000}"/>
    <hyperlink ref="G3772" r:id="rId3768" xr:uid="{00000000-0004-0000-0500-0000B70E0000}"/>
    <hyperlink ref="G3773" r:id="rId3769" xr:uid="{00000000-0004-0000-0500-0000B80E0000}"/>
    <hyperlink ref="G3774" r:id="rId3770" xr:uid="{00000000-0004-0000-0500-0000B90E0000}"/>
    <hyperlink ref="G3775" r:id="rId3771" xr:uid="{00000000-0004-0000-0500-0000BA0E0000}"/>
    <hyperlink ref="G3776" r:id="rId3772" xr:uid="{00000000-0004-0000-0500-0000BB0E0000}"/>
    <hyperlink ref="G3777" r:id="rId3773" xr:uid="{00000000-0004-0000-0500-0000BC0E0000}"/>
    <hyperlink ref="G3778" r:id="rId3774" xr:uid="{00000000-0004-0000-0500-0000BD0E0000}"/>
    <hyperlink ref="G3779" r:id="rId3775" xr:uid="{00000000-0004-0000-0500-0000BE0E0000}"/>
    <hyperlink ref="G3780" r:id="rId3776" xr:uid="{00000000-0004-0000-0500-0000BF0E0000}"/>
    <hyperlink ref="G3781" r:id="rId3777" xr:uid="{00000000-0004-0000-0500-0000C00E0000}"/>
    <hyperlink ref="G3782" r:id="rId3778" xr:uid="{00000000-0004-0000-0500-0000C10E0000}"/>
    <hyperlink ref="G3783" r:id="rId3779" xr:uid="{00000000-0004-0000-0500-0000C20E0000}"/>
    <hyperlink ref="G3784" r:id="rId3780" xr:uid="{00000000-0004-0000-0500-0000C30E0000}"/>
    <hyperlink ref="G3785" r:id="rId3781" xr:uid="{00000000-0004-0000-0500-0000C40E0000}"/>
    <hyperlink ref="G3786" r:id="rId3782" xr:uid="{00000000-0004-0000-0500-0000C50E0000}"/>
    <hyperlink ref="G3787" r:id="rId3783" xr:uid="{00000000-0004-0000-0500-0000C60E0000}"/>
    <hyperlink ref="G3788" r:id="rId3784" xr:uid="{00000000-0004-0000-0500-0000C70E0000}"/>
    <hyperlink ref="G3789" r:id="rId3785" xr:uid="{00000000-0004-0000-0500-0000C80E0000}"/>
    <hyperlink ref="G3790" r:id="rId3786" xr:uid="{00000000-0004-0000-0500-0000C90E0000}"/>
    <hyperlink ref="G3791" r:id="rId3787" xr:uid="{00000000-0004-0000-0500-0000CA0E0000}"/>
    <hyperlink ref="G3792" r:id="rId3788" xr:uid="{00000000-0004-0000-0500-0000CB0E0000}"/>
    <hyperlink ref="G3793" r:id="rId3789" xr:uid="{00000000-0004-0000-0500-0000CC0E0000}"/>
    <hyperlink ref="G3794" r:id="rId3790" xr:uid="{00000000-0004-0000-0500-0000CD0E0000}"/>
    <hyperlink ref="G3795" r:id="rId3791" xr:uid="{00000000-0004-0000-0500-0000CE0E0000}"/>
    <hyperlink ref="G3796" r:id="rId3792" xr:uid="{00000000-0004-0000-0500-0000CF0E0000}"/>
    <hyperlink ref="G3797" r:id="rId3793" xr:uid="{00000000-0004-0000-0500-0000D00E0000}"/>
    <hyperlink ref="G3798" r:id="rId3794" xr:uid="{00000000-0004-0000-0500-0000D10E0000}"/>
    <hyperlink ref="G3799" r:id="rId3795" xr:uid="{00000000-0004-0000-0500-0000D20E0000}"/>
    <hyperlink ref="G3800" r:id="rId3796" xr:uid="{00000000-0004-0000-0500-0000D30E0000}"/>
    <hyperlink ref="G3801" r:id="rId3797" xr:uid="{00000000-0004-0000-0500-0000D40E0000}"/>
    <hyperlink ref="G3802" r:id="rId3798" xr:uid="{00000000-0004-0000-0500-0000D50E0000}"/>
    <hyperlink ref="G3803" r:id="rId3799" xr:uid="{00000000-0004-0000-0500-0000D60E0000}"/>
    <hyperlink ref="G3804" r:id="rId3800" xr:uid="{00000000-0004-0000-0500-0000D70E0000}"/>
    <hyperlink ref="G3805" r:id="rId3801" xr:uid="{00000000-0004-0000-0500-0000D80E0000}"/>
    <hyperlink ref="G3806" r:id="rId3802" xr:uid="{00000000-0004-0000-0500-0000D90E0000}"/>
    <hyperlink ref="G3807" r:id="rId3803" xr:uid="{00000000-0004-0000-0500-0000DA0E0000}"/>
    <hyperlink ref="G3808" r:id="rId3804" xr:uid="{00000000-0004-0000-0500-0000DB0E0000}"/>
    <hyperlink ref="G3809" r:id="rId3805" xr:uid="{00000000-0004-0000-0500-0000DC0E0000}"/>
    <hyperlink ref="G3810" r:id="rId3806" xr:uid="{00000000-0004-0000-0500-0000DD0E0000}"/>
    <hyperlink ref="G3811" r:id="rId3807" xr:uid="{00000000-0004-0000-0500-0000DE0E0000}"/>
    <hyperlink ref="G3812" r:id="rId3808" xr:uid="{00000000-0004-0000-0500-0000DF0E0000}"/>
    <hyperlink ref="G3813" r:id="rId3809" xr:uid="{00000000-0004-0000-0500-0000E00E0000}"/>
    <hyperlink ref="G3814" r:id="rId3810" xr:uid="{00000000-0004-0000-0500-0000E10E0000}"/>
    <hyperlink ref="G3815" r:id="rId3811" xr:uid="{00000000-0004-0000-0500-0000E20E0000}"/>
    <hyperlink ref="G3816" r:id="rId3812" xr:uid="{00000000-0004-0000-0500-0000E30E0000}"/>
    <hyperlink ref="G3817" r:id="rId3813" xr:uid="{00000000-0004-0000-0500-0000E40E0000}"/>
    <hyperlink ref="G3818" r:id="rId3814" xr:uid="{00000000-0004-0000-0500-0000E50E0000}"/>
    <hyperlink ref="G3819" r:id="rId3815" xr:uid="{00000000-0004-0000-0500-0000E60E0000}"/>
    <hyperlink ref="G3820" r:id="rId3816" xr:uid="{00000000-0004-0000-0500-0000E70E0000}"/>
    <hyperlink ref="G3821" r:id="rId3817" xr:uid="{00000000-0004-0000-0500-0000E80E0000}"/>
    <hyperlink ref="G3822" r:id="rId3818" xr:uid="{00000000-0004-0000-0500-0000E90E0000}"/>
    <hyperlink ref="G3823" r:id="rId3819" xr:uid="{00000000-0004-0000-0500-0000EA0E0000}"/>
    <hyperlink ref="G3824" r:id="rId3820" xr:uid="{00000000-0004-0000-0500-0000EB0E0000}"/>
    <hyperlink ref="G3825" r:id="rId3821" xr:uid="{00000000-0004-0000-0500-0000EC0E0000}"/>
    <hyperlink ref="G3826" r:id="rId3822" xr:uid="{00000000-0004-0000-0500-0000ED0E0000}"/>
    <hyperlink ref="G3827" r:id="rId3823" xr:uid="{00000000-0004-0000-0500-0000EE0E0000}"/>
    <hyperlink ref="G3828" r:id="rId3824" xr:uid="{00000000-0004-0000-0500-0000EF0E0000}"/>
    <hyperlink ref="G3829" r:id="rId3825" xr:uid="{00000000-0004-0000-0500-0000F00E0000}"/>
    <hyperlink ref="G3830" r:id="rId3826" xr:uid="{00000000-0004-0000-0500-0000F10E0000}"/>
    <hyperlink ref="G3831" r:id="rId3827" xr:uid="{00000000-0004-0000-0500-0000F20E0000}"/>
    <hyperlink ref="G3832" r:id="rId3828" xr:uid="{00000000-0004-0000-0500-0000F30E0000}"/>
    <hyperlink ref="G3833" r:id="rId3829" xr:uid="{00000000-0004-0000-0500-0000F40E0000}"/>
    <hyperlink ref="G3834" r:id="rId3830" xr:uid="{00000000-0004-0000-0500-0000F50E0000}"/>
    <hyperlink ref="G3835" r:id="rId3831" xr:uid="{00000000-0004-0000-0500-0000F60E0000}"/>
    <hyperlink ref="G3836" r:id="rId3832" xr:uid="{00000000-0004-0000-0500-0000F70E0000}"/>
    <hyperlink ref="G3837" r:id="rId3833" xr:uid="{00000000-0004-0000-0500-0000F80E0000}"/>
    <hyperlink ref="G3838" r:id="rId3834" xr:uid="{00000000-0004-0000-0500-0000F90E0000}"/>
    <hyperlink ref="G3839" r:id="rId3835" xr:uid="{00000000-0004-0000-0500-0000FA0E0000}"/>
    <hyperlink ref="G3840" r:id="rId3836" xr:uid="{00000000-0004-0000-0500-0000FB0E0000}"/>
    <hyperlink ref="G3841" r:id="rId3837" xr:uid="{00000000-0004-0000-0500-0000FC0E0000}"/>
    <hyperlink ref="G3842" r:id="rId3838" xr:uid="{00000000-0004-0000-0500-0000FD0E0000}"/>
    <hyperlink ref="G3843" r:id="rId3839" xr:uid="{00000000-0004-0000-0500-0000FE0E0000}"/>
    <hyperlink ref="G3844" r:id="rId3840" xr:uid="{00000000-0004-0000-0500-0000FF0E0000}"/>
    <hyperlink ref="G3845" r:id="rId3841" xr:uid="{00000000-0004-0000-0500-0000000F0000}"/>
    <hyperlink ref="G3846" r:id="rId3842" xr:uid="{00000000-0004-0000-0500-0000010F0000}"/>
    <hyperlink ref="G3847" r:id="rId3843" xr:uid="{00000000-0004-0000-0500-0000020F0000}"/>
    <hyperlink ref="G3848" r:id="rId3844" xr:uid="{00000000-0004-0000-0500-0000030F0000}"/>
    <hyperlink ref="G3849" r:id="rId3845" xr:uid="{00000000-0004-0000-0500-0000040F0000}"/>
    <hyperlink ref="G3850" r:id="rId3846" xr:uid="{00000000-0004-0000-0500-0000050F0000}"/>
    <hyperlink ref="G3851" r:id="rId3847" xr:uid="{00000000-0004-0000-0500-0000060F0000}"/>
    <hyperlink ref="G3852" r:id="rId3848" xr:uid="{00000000-0004-0000-0500-0000070F0000}"/>
    <hyperlink ref="G3853" r:id="rId3849" xr:uid="{00000000-0004-0000-0500-0000080F0000}"/>
    <hyperlink ref="G3854" r:id="rId3850" xr:uid="{00000000-0004-0000-0500-0000090F0000}"/>
    <hyperlink ref="G3855" r:id="rId3851" xr:uid="{00000000-0004-0000-0500-00000A0F0000}"/>
    <hyperlink ref="G3856" r:id="rId3852" xr:uid="{00000000-0004-0000-0500-00000B0F0000}"/>
    <hyperlink ref="G3857" r:id="rId3853" xr:uid="{00000000-0004-0000-0500-00000C0F0000}"/>
    <hyperlink ref="G3858" r:id="rId3854" xr:uid="{00000000-0004-0000-0500-00000D0F0000}"/>
    <hyperlink ref="G3859" r:id="rId3855" xr:uid="{00000000-0004-0000-0500-00000E0F0000}"/>
    <hyperlink ref="G3860" r:id="rId3856" xr:uid="{00000000-0004-0000-0500-00000F0F0000}"/>
    <hyperlink ref="G3861" r:id="rId3857" xr:uid="{00000000-0004-0000-0500-0000100F0000}"/>
    <hyperlink ref="G3862" r:id="rId3858" xr:uid="{00000000-0004-0000-0500-0000110F0000}"/>
    <hyperlink ref="G3863" r:id="rId3859" xr:uid="{00000000-0004-0000-0500-0000120F0000}"/>
    <hyperlink ref="G3864" r:id="rId3860" xr:uid="{00000000-0004-0000-0500-0000130F0000}"/>
    <hyperlink ref="G3865" r:id="rId3861" xr:uid="{00000000-0004-0000-0500-0000140F0000}"/>
    <hyperlink ref="G3866" r:id="rId3862" xr:uid="{00000000-0004-0000-0500-0000150F0000}"/>
    <hyperlink ref="G3867" r:id="rId3863" xr:uid="{00000000-0004-0000-0500-0000160F0000}"/>
    <hyperlink ref="G3868" r:id="rId3864" xr:uid="{00000000-0004-0000-0500-0000170F0000}"/>
    <hyperlink ref="G3869" r:id="rId3865" xr:uid="{00000000-0004-0000-0500-0000180F0000}"/>
    <hyperlink ref="G3870" r:id="rId3866" xr:uid="{00000000-0004-0000-0500-0000190F0000}"/>
    <hyperlink ref="G3871" r:id="rId3867" xr:uid="{00000000-0004-0000-0500-00001A0F0000}"/>
    <hyperlink ref="G3872" r:id="rId3868" xr:uid="{00000000-0004-0000-0500-00001B0F0000}"/>
    <hyperlink ref="G3873" r:id="rId3869" xr:uid="{00000000-0004-0000-0500-00001C0F0000}"/>
    <hyperlink ref="G3874" r:id="rId3870" xr:uid="{00000000-0004-0000-0500-00001D0F0000}"/>
    <hyperlink ref="G3875" r:id="rId3871" xr:uid="{00000000-0004-0000-0500-00001E0F0000}"/>
    <hyperlink ref="G3876" r:id="rId3872" xr:uid="{00000000-0004-0000-0500-00001F0F0000}"/>
    <hyperlink ref="G3877" r:id="rId3873" xr:uid="{00000000-0004-0000-0500-0000200F0000}"/>
    <hyperlink ref="G3878" r:id="rId3874" xr:uid="{00000000-0004-0000-0500-0000210F0000}"/>
    <hyperlink ref="G3879" r:id="rId3875" xr:uid="{00000000-0004-0000-0500-0000220F0000}"/>
    <hyperlink ref="G3880" r:id="rId3876" xr:uid="{00000000-0004-0000-0500-0000230F0000}"/>
    <hyperlink ref="G3881" r:id="rId3877" xr:uid="{00000000-0004-0000-0500-0000240F0000}"/>
    <hyperlink ref="G3882" r:id="rId3878" xr:uid="{00000000-0004-0000-0500-0000250F0000}"/>
    <hyperlink ref="G3883" r:id="rId3879" xr:uid="{00000000-0004-0000-0500-0000260F0000}"/>
    <hyperlink ref="G3884" r:id="rId3880" xr:uid="{00000000-0004-0000-0500-0000270F0000}"/>
    <hyperlink ref="G3885" r:id="rId3881" xr:uid="{00000000-0004-0000-0500-0000280F0000}"/>
    <hyperlink ref="G3886" r:id="rId3882" xr:uid="{00000000-0004-0000-0500-0000290F0000}"/>
    <hyperlink ref="G3887" r:id="rId3883" xr:uid="{00000000-0004-0000-0500-00002A0F0000}"/>
    <hyperlink ref="G3888" r:id="rId3884" xr:uid="{00000000-0004-0000-0500-00002B0F0000}"/>
    <hyperlink ref="G3889" r:id="rId3885" xr:uid="{00000000-0004-0000-0500-00002C0F0000}"/>
    <hyperlink ref="G3890" r:id="rId3886" xr:uid="{00000000-0004-0000-0500-00002D0F0000}"/>
    <hyperlink ref="G3891" r:id="rId3887" xr:uid="{00000000-0004-0000-0500-00002E0F0000}"/>
    <hyperlink ref="G3892" r:id="rId3888" xr:uid="{00000000-0004-0000-0500-00002F0F0000}"/>
    <hyperlink ref="G3893" r:id="rId3889" xr:uid="{00000000-0004-0000-0500-0000300F0000}"/>
    <hyperlink ref="G3894" r:id="rId3890" xr:uid="{00000000-0004-0000-0500-0000310F0000}"/>
    <hyperlink ref="G3895" r:id="rId3891" xr:uid="{00000000-0004-0000-0500-0000320F0000}"/>
    <hyperlink ref="G3896" r:id="rId3892" xr:uid="{00000000-0004-0000-0500-0000330F0000}"/>
    <hyperlink ref="G3897" r:id="rId3893" xr:uid="{00000000-0004-0000-0500-0000340F0000}"/>
    <hyperlink ref="G3898" r:id="rId3894" xr:uid="{00000000-0004-0000-0500-0000350F0000}"/>
    <hyperlink ref="G3899" r:id="rId3895" xr:uid="{00000000-0004-0000-0500-0000360F0000}"/>
    <hyperlink ref="G3900" r:id="rId3896" xr:uid="{00000000-0004-0000-0500-0000370F0000}"/>
    <hyperlink ref="G3901" r:id="rId3897" xr:uid="{00000000-0004-0000-0500-0000380F0000}"/>
    <hyperlink ref="G3902" r:id="rId3898" xr:uid="{00000000-0004-0000-0500-0000390F0000}"/>
    <hyperlink ref="G3903" r:id="rId3899" xr:uid="{00000000-0004-0000-0500-00003A0F0000}"/>
    <hyperlink ref="G3904" r:id="rId3900" xr:uid="{00000000-0004-0000-0500-00003B0F0000}"/>
    <hyperlink ref="G3905" r:id="rId3901" xr:uid="{00000000-0004-0000-0500-00003C0F0000}"/>
    <hyperlink ref="G3906" r:id="rId3902" xr:uid="{00000000-0004-0000-0500-00003D0F0000}"/>
    <hyperlink ref="G3907" r:id="rId3903" xr:uid="{00000000-0004-0000-0500-00003E0F0000}"/>
    <hyperlink ref="G3908" r:id="rId3904" xr:uid="{00000000-0004-0000-0500-00003F0F0000}"/>
    <hyperlink ref="G3909" r:id="rId3905" xr:uid="{00000000-0004-0000-0500-0000400F0000}"/>
    <hyperlink ref="G3910" r:id="rId3906" xr:uid="{00000000-0004-0000-0500-0000410F0000}"/>
    <hyperlink ref="G3911" r:id="rId3907" xr:uid="{00000000-0004-0000-0500-0000420F0000}"/>
    <hyperlink ref="G3912" r:id="rId3908" xr:uid="{00000000-0004-0000-0500-0000430F0000}"/>
    <hyperlink ref="G3913" r:id="rId3909" xr:uid="{00000000-0004-0000-0500-0000440F0000}"/>
    <hyperlink ref="G3914" r:id="rId3910" xr:uid="{00000000-0004-0000-0500-0000450F0000}"/>
    <hyperlink ref="G3915" r:id="rId3911" xr:uid="{00000000-0004-0000-0500-0000460F0000}"/>
    <hyperlink ref="G3916" r:id="rId3912" xr:uid="{00000000-0004-0000-0500-0000470F0000}"/>
    <hyperlink ref="G3917" r:id="rId3913" xr:uid="{00000000-0004-0000-0500-0000480F0000}"/>
    <hyperlink ref="G3918" r:id="rId3914" xr:uid="{00000000-0004-0000-0500-0000490F0000}"/>
    <hyperlink ref="G3919" r:id="rId3915" xr:uid="{00000000-0004-0000-0500-00004A0F0000}"/>
    <hyperlink ref="G3920" r:id="rId3916" xr:uid="{00000000-0004-0000-0500-00004B0F0000}"/>
    <hyperlink ref="G3921" r:id="rId3917" xr:uid="{00000000-0004-0000-0500-00004C0F0000}"/>
    <hyperlink ref="G3922" r:id="rId3918" xr:uid="{00000000-0004-0000-0500-00004D0F0000}"/>
    <hyperlink ref="G3923" r:id="rId3919" xr:uid="{00000000-0004-0000-0500-00004E0F0000}"/>
    <hyperlink ref="G3924" r:id="rId3920" xr:uid="{00000000-0004-0000-0500-00004F0F0000}"/>
    <hyperlink ref="G3925" r:id="rId3921" xr:uid="{00000000-0004-0000-0500-0000500F0000}"/>
    <hyperlink ref="G3926" r:id="rId3922" xr:uid="{00000000-0004-0000-0500-0000510F0000}"/>
    <hyperlink ref="G3927" r:id="rId3923" xr:uid="{00000000-0004-0000-0500-0000520F0000}"/>
    <hyperlink ref="G3928" r:id="rId3924" xr:uid="{00000000-0004-0000-0500-0000530F0000}"/>
    <hyperlink ref="G3929" r:id="rId3925" xr:uid="{00000000-0004-0000-0500-0000540F0000}"/>
    <hyperlink ref="G3930" r:id="rId3926" xr:uid="{00000000-0004-0000-0500-0000550F0000}"/>
    <hyperlink ref="G3931" r:id="rId3927" xr:uid="{00000000-0004-0000-0500-0000560F0000}"/>
    <hyperlink ref="G3932" r:id="rId3928" xr:uid="{00000000-0004-0000-0500-0000570F0000}"/>
    <hyperlink ref="G3933" r:id="rId3929" xr:uid="{00000000-0004-0000-0500-0000580F0000}"/>
    <hyperlink ref="G3934" r:id="rId3930" xr:uid="{00000000-0004-0000-0500-0000590F0000}"/>
    <hyperlink ref="G3935" r:id="rId3931" xr:uid="{00000000-0004-0000-0500-00005A0F0000}"/>
    <hyperlink ref="G3936" r:id="rId3932" xr:uid="{00000000-0004-0000-0500-00005B0F0000}"/>
    <hyperlink ref="G3937" r:id="rId3933" xr:uid="{00000000-0004-0000-0500-00005C0F0000}"/>
    <hyperlink ref="G3938" r:id="rId3934" xr:uid="{00000000-0004-0000-0500-00005D0F0000}"/>
    <hyperlink ref="G3939" r:id="rId3935" xr:uid="{00000000-0004-0000-0500-00005E0F0000}"/>
    <hyperlink ref="G3940" r:id="rId3936" xr:uid="{00000000-0004-0000-0500-00005F0F0000}"/>
    <hyperlink ref="G3941" r:id="rId3937" xr:uid="{00000000-0004-0000-0500-0000600F0000}"/>
    <hyperlink ref="G3942" r:id="rId3938" xr:uid="{00000000-0004-0000-0500-0000610F0000}"/>
    <hyperlink ref="G3943" r:id="rId3939" xr:uid="{00000000-0004-0000-0500-0000620F0000}"/>
    <hyperlink ref="G3944" r:id="rId3940" xr:uid="{00000000-0004-0000-0500-0000630F0000}"/>
    <hyperlink ref="G3945" r:id="rId3941" xr:uid="{00000000-0004-0000-0500-0000640F0000}"/>
    <hyperlink ref="G3946" r:id="rId3942" xr:uid="{00000000-0004-0000-0500-0000650F0000}"/>
    <hyperlink ref="G3947" r:id="rId3943" xr:uid="{00000000-0004-0000-0500-0000660F0000}"/>
    <hyperlink ref="G3948" r:id="rId3944" xr:uid="{00000000-0004-0000-0500-0000670F0000}"/>
    <hyperlink ref="G3949" r:id="rId3945" xr:uid="{00000000-0004-0000-0500-0000680F0000}"/>
    <hyperlink ref="G3950" r:id="rId3946" xr:uid="{00000000-0004-0000-0500-0000690F0000}"/>
    <hyperlink ref="G3951" r:id="rId3947" xr:uid="{00000000-0004-0000-0500-00006A0F0000}"/>
    <hyperlink ref="G3952" r:id="rId3948" xr:uid="{00000000-0004-0000-0500-00006B0F0000}"/>
    <hyperlink ref="G3953" r:id="rId3949" xr:uid="{00000000-0004-0000-0500-00006C0F0000}"/>
    <hyperlink ref="G3954" r:id="rId3950" xr:uid="{00000000-0004-0000-0500-00006D0F0000}"/>
    <hyperlink ref="G3955" r:id="rId3951" xr:uid="{00000000-0004-0000-0500-00006E0F0000}"/>
    <hyperlink ref="G3956" r:id="rId3952" xr:uid="{00000000-0004-0000-0500-00006F0F0000}"/>
    <hyperlink ref="G3957" r:id="rId3953" xr:uid="{00000000-0004-0000-0500-0000700F0000}"/>
    <hyperlink ref="G3958" r:id="rId3954" xr:uid="{00000000-0004-0000-0500-0000710F0000}"/>
    <hyperlink ref="G3959" r:id="rId3955" xr:uid="{00000000-0004-0000-0500-0000720F0000}"/>
    <hyperlink ref="G3960" r:id="rId3956" xr:uid="{00000000-0004-0000-0500-0000730F0000}"/>
    <hyperlink ref="G3961" r:id="rId3957" xr:uid="{00000000-0004-0000-0500-0000740F0000}"/>
    <hyperlink ref="G3962" r:id="rId3958" xr:uid="{00000000-0004-0000-0500-0000750F0000}"/>
    <hyperlink ref="G3963" r:id="rId3959" xr:uid="{00000000-0004-0000-0500-0000760F0000}"/>
    <hyperlink ref="G3964" r:id="rId3960" xr:uid="{00000000-0004-0000-0500-0000770F0000}"/>
    <hyperlink ref="G3965" r:id="rId3961" xr:uid="{00000000-0004-0000-0500-0000780F0000}"/>
    <hyperlink ref="G3966" r:id="rId3962" xr:uid="{00000000-0004-0000-0500-0000790F0000}"/>
    <hyperlink ref="G3967" r:id="rId3963" xr:uid="{00000000-0004-0000-0500-00007A0F0000}"/>
    <hyperlink ref="G3968" r:id="rId3964" xr:uid="{00000000-0004-0000-0500-00007B0F0000}"/>
    <hyperlink ref="G3969" r:id="rId3965" xr:uid="{00000000-0004-0000-0500-00007C0F0000}"/>
    <hyperlink ref="G3970" r:id="rId3966" xr:uid="{00000000-0004-0000-0500-00007D0F0000}"/>
    <hyperlink ref="G3971" r:id="rId3967" xr:uid="{00000000-0004-0000-0500-00007E0F0000}"/>
    <hyperlink ref="G3972" r:id="rId3968" xr:uid="{00000000-0004-0000-0500-00007F0F0000}"/>
    <hyperlink ref="G3973" r:id="rId3969" xr:uid="{00000000-0004-0000-0500-0000800F0000}"/>
    <hyperlink ref="G3974" r:id="rId3970" xr:uid="{00000000-0004-0000-0500-0000810F0000}"/>
    <hyperlink ref="G3975" r:id="rId3971" xr:uid="{00000000-0004-0000-0500-0000820F0000}"/>
    <hyperlink ref="G3976" r:id="rId3972" xr:uid="{00000000-0004-0000-0500-0000830F0000}"/>
    <hyperlink ref="G3977" r:id="rId3973" xr:uid="{00000000-0004-0000-0500-0000840F0000}"/>
    <hyperlink ref="G3978" r:id="rId3974" xr:uid="{00000000-0004-0000-0500-0000850F0000}"/>
    <hyperlink ref="G3979" r:id="rId3975" xr:uid="{00000000-0004-0000-0500-0000860F0000}"/>
    <hyperlink ref="G3980" r:id="rId3976" xr:uid="{00000000-0004-0000-0500-0000870F0000}"/>
    <hyperlink ref="G3981" r:id="rId3977" xr:uid="{00000000-0004-0000-0500-0000880F0000}"/>
    <hyperlink ref="G3982" r:id="rId3978" xr:uid="{00000000-0004-0000-0500-0000890F0000}"/>
    <hyperlink ref="G3983" r:id="rId3979" xr:uid="{00000000-0004-0000-0500-00008A0F0000}"/>
    <hyperlink ref="G3984" r:id="rId3980" xr:uid="{00000000-0004-0000-0500-00008B0F0000}"/>
    <hyperlink ref="G3985" r:id="rId3981" xr:uid="{00000000-0004-0000-0500-00008C0F0000}"/>
    <hyperlink ref="G3986" r:id="rId3982" xr:uid="{00000000-0004-0000-0500-00008D0F0000}"/>
    <hyperlink ref="G3987" r:id="rId3983" xr:uid="{00000000-0004-0000-0500-00008E0F0000}"/>
    <hyperlink ref="G3988" r:id="rId3984" xr:uid="{00000000-0004-0000-0500-00008F0F0000}"/>
    <hyperlink ref="G3989" r:id="rId3985" xr:uid="{00000000-0004-0000-0500-0000900F0000}"/>
    <hyperlink ref="G3990" r:id="rId3986" xr:uid="{00000000-0004-0000-0500-0000910F0000}"/>
    <hyperlink ref="G3991" r:id="rId3987" xr:uid="{00000000-0004-0000-0500-0000920F0000}"/>
    <hyperlink ref="G3992" r:id="rId3988" xr:uid="{00000000-0004-0000-0500-0000930F0000}"/>
    <hyperlink ref="G3994" r:id="rId3989" xr:uid="{00000000-0004-0000-0500-0000940F0000}"/>
    <hyperlink ref="G3995" r:id="rId3990" xr:uid="{00000000-0004-0000-0500-0000950F0000}"/>
    <hyperlink ref="G3996" r:id="rId3991" xr:uid="{00000000-0004-0000-0500-0000960F0000}"/>
    <hyperlink ref="G3997" r:id="rId3992" xr:uid="{00000000-0004-0000-0500-0000970F0000}"/>
    <hyperlink ref="G3998" r:id="rId3993" xr:uid="{00000000-0004-0000-0500-0000980F0000}"/>
    <hyperlink ref="G3999" r:id="rId3994" xr:uid="{00000000-0004-0000-0500-0000990F0000}"/>
    <hyperlink ref="G4000" r:id="rId3995" xr:uid="{00000000-0004-0000-0500-00009A0F0000}"/>
    <hyperlink ref="G4001" r:id="rId3996" xr:uid="{00000000-0004-0000-0500-00009B0F0000}"/>
    <hyperlink ref="G4002" r:id="rId3997" xr:uid="{00000000-0004-0000-0500-00009C0F0000}"/>
    <hyperlink ref="G4003" r:id="rId3998" xr:uid="{00000000-0004-0000-0500-00009D0F0000}"/>
    <hyperlink ref="G4004" r:id="rId3999" xr:uid="{00000000-0004-0000-0500-00009E0F0000}"/>
    <hyperlink ref="G4005" r:id="rId4000" xr:uid="{00000000-0004-0000-0500-00009F0F0000}"/>
    <hyperlink ref="G4006" r:id="rId4001" xr:uid="{00000000-0004-0000-0500-0000A00F0000}"/>
    <hyperlink ref="G4007" r:id="rId4002" xr:uid="{00000000-0004-0000-0500-0000A10F0000}"/>
    <hyperlink ref="G4008" r:id="rId4003" xr:uid="{00000000-0004-0000-0500-0000A20F0000}"/>
    <hyperlink ref="G4009" r:id="rId4004" xr:uid="{00000000-0004-0000-0500-0000A30F0000}"/>
    <hyperlink ref="G4010" r:id="rId4005" xr:uid="{00000000-0004-0000-0500-0000A40F0000}"/>
    <hyperlink ref="G4011" r:id="rId4006" xr:uid="{00000000-0004-0000-0500-0000A50F0000}"/>
    <hyperlink ref="G4013" r:id="rId4007" xr:uid="{00000000-0004-0000-0500-0000A60F0000}"/>
    <hyperlink ref="G4014" r:id="rId4008" xr:uid="{00000000-0004-0000-0500-0000A70F0000}"/>
    <hyperlink ref="G4015" r:id="rId4009" xr:uid="{00000000-0004-0000-0500-0000A80F0000}"/>
    <hyperlink ref="G4016" r:id="rId4010" xr:uid="{00000000-0004-0000-0500-0000A90F0000}"/>
    <hyperlink ref="G4017" r:id="rId4011" xr:uid="{00000000-0004-0000-0500-0000AA0F0000}"/>
    <hyperlink ref="G4018" r:id="rId4012" xr:uid="{00000000-0004-0000-0500-0000AB0F0000}"/>
    <hyperlink ref="G4019" r:id="rId4013" xr:uid="{00000000-0004-0000-0500-0000AC0F0000}"/>
    <hyperlink ref="G4020" r:id="rId4014" xr:uid="{00000000-0004-0000-0500-0000AD0F0000}"/>
    <hyperlink ref="G4021" r:id="rId4015" xr:uid="{00000000-0004-0000-0500-0000AE0F0000}"/>
    <hyperlink ref="G4022" r:id="rId4016" xr:uid="{00000000-0004-0000-0500-0000AF0F0000}"/>
    <hyperlink ref="G4023" r:id="rId4017" xr:uid="{00000000-0004-0000-0500-0000B00F0000}"/>
    <hyperlink ref="G4024" r:id="rId4018" xr:uid="{00000000-0004-0000-0500-0000B10F0000}"/>
    <hyperlink ref="G4025" r:id="rId4019" xr:uid="{00000000-0004-0000-0500-0000B20F0000}"/>
    <hyperlink ref="G4026" r:id="rId4020" xr:uid="{00000000-0004-0000-0500-0000B30F0000}"/>
    <hyperlink ref="G4027" r:id="rId4021" xr:uid="{00000000-0004-0000-0500-0000B40F0000}"/>
    <hyperlink ref="G4028" r:id="rId4022" xr:uid="{00000000-0004-0000-0500-0000B50F0000}"/>
    <hyperlink ref="G4029" r:id="rId4023" xr:uid="{00000000-0004-0000-0500-0000B60F0000}"/>
    <hyperlink ref="G4030" r:id="rId4024" xr:uid="{00000000-0004-0000-0500-0000B70F0000}"/>
    <hyperlink ref="G4031" r:id="rId4025" xr:uid="{00000000-0004-0000-0500-0000B80F0000}"/>
    <hyperlink ref="G4032" r:id="rId4026" xr:uid="{00000000-0004-0000-0500-0000B90F0000}"/>
    <hyperlink ref="G4033" r:id="rId4027" xr:uid="{00000000-0004-0000-0500-0000BA0F0000}"/>
    <hyperlink ref="G4034" r:id="rId4028" xr:uid="{00000000-0004-0000-0500-0000BB0F0000}"/>
    <hyperlink ref="G4035" r:id="rId4029" xr:uid="{00000000-0004-0000-0500-0000BC0F0000}"/>
    <hyperlink ref="G4036" r:id="rId4030" xr:uid="{00000000-0004-0000-0500-0000BD0F0000}"/>
    <hyperlink ref="G4037" r:id="rId4031" xr:uid="{00000000-0004-0000-0500-0000BE0F0000}"/>
    <hyperlink ref="G4038" r:id="rId4032" xr:uid="{00000000-0004-0000-0500-0000BF0F0000}"/>
    <hyperlink ref="G4039" r:id="rId4033" xr:uid="{00000000-0004-0000-0500-0000C00F0000}"/>
    <hyperlink ref="G4040" r:id="rId4034" xr:uid="{00000000-0004-0000-0500-0000C10F0000}"/>
    <hyperlink ref="G4041" r:id="rId4035" xr:uid="{00000000-0004-0000-0500-0000C20F0000}"/>
    <hyperlink ref="G4042" r:id="rId4036" xr:uid="{00000000-0004-0000-0500-0000C30F0000}"/>
    <hyperlink ref="G4043" r:id="rId4037" xr:uid="{00000000-0004-0000-0500-0000C40F0000}"/>
    <hyperlink ref="G4044" r:id="rId4038" xr:uid="{00000000-0004-0000-0500-0000C50F0000}"/>
    <hyperlink ref="G4045" r:id="rId4039" xr:uid="{00000000-0004-0000-0500-0000C60F0000}"/>
    <hyperlink ref="G4046" r:id="rId4040" xr:uid="{00000000-0004-0000-0500-0000C70F0000}"/>
    <hyperlink ref="G4047" r:id="rId4041" xr:uid="{00000000-0004-0000-0500-0000C80F0000}"/>
    <hyperlink ref="G4048" r:id="rId4042" xr:uid="{00000000-0004-0000-0500-0000C90F0000}"/>
    <hyperlink ref="G4049" r:id="rId4043" xr:uid="{00000000-0004-0000-0500-0000CA0F0000}"/>
    <hyperlink ref="G4050" r:id="rId4044" xr:uid="{00000000-0004-0000-0500-0000CB0F0000}"/>
    <hyperlink ref="G4051" r:id="rId4045" xr:uid="{00000000-0004-0000-0500-0000CC0F0000}"/>
    <hyperlink ref="G4052" r:id="rId4046" xr:uid="{00000000-0004-0000-0500-0000CD0F0000}"/>
    <hyperlink ref="G4053" r:id="rId4047" xr:uid="{00000000-0004-0000-0500-0000CE0F0000}"/>
    <hyperlink ref="G4054" r:id="rId4048" xr:uid="{00000000-0004-0000-0500-0000CF0F0000}"/>
    <hyperlink ref="G4055" r:id="rId4049" xr:uid="{00000000-0004-0000-0500-0000D00F0000}"/>
    <hyperlink ref="G4056" r:id="rId4050" xr:uid="{00000000-0004-0000-0500-0000D10F0000}"/>
    <hyperlink ref="G4057" r:id="rId4051" xr:uid="{00000000-0004-0000-0500-0000D20F0000}"/>
    <hyperlink ref="G4058" r:id="rId4052" xr:uid="{00000000-0004-0000-0500-0000D30F0000}"/>
    <hyperlink ref="G4059" r:id="rId4053" xr:uid="{00000000-0004-0000-0500-0000D40F0000}"/>
    <hyperlink ref="G4060" r:id="rId4054" xr:uid="{00000000-0004-0000-0500-0000D50F0000}"/>
    <hyperlink ref="G4061" r:id="rId4055" xr:uid="{00000000-0004-0000-0500-0000D60F0000}"/>
  </hyperlinks>
  <printOptions horizontalCentered="1" gridLines="1"/>
  <pageMargins left="0.7" right="0.7" top="0.75" bottom="0.75" header="0" footer="0"/>
  <pageSetup paperSize="9" fitToHeight="0" pageOrder="overThenDown" orientation="portrait"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pageSetUpPr fitToPage="1"/>
  </sheetPr>
  <dimension ref="A1:Z910"/>
  <sheetViews>
    <sheetView workbookViewId="0"/>
  </sheetViews>
  <sheetFormatPr baseColWidth="10" defaultColWidth="12.6640625" defaultRowHeight="15.75" customHeight="1" x14ac:dyDescent="0.15"/>
  <cols>
    <col min="1" max="1" width="6.6640625" customWidth="1"/>
    <col min="2" max="2" width="19.83203125" customWidth="1"/>
    <col min="3" max="3" width="12.6640625" hidden="1"/>
    <col min="4" max="4" width="33" customWidth="1"/>
    <col min="5" max="5" width="32.1640625" customWidth="1"/>
    <col min="6" max="6" width="20" customWidth="1"/>
    <col min="7" max="8" width="12.6640625" hidden="1"/>
  </cols>
  <sheetData>
    <row r="1" spans="1:26" ht="23" x14ac:dyDescent="0.2">
      <c r="A1" s="71" t="s">
        <v>10</v>
      </c>
      <c r="B1" s="72" t="s">
        <v>15533</v>
      </c>
      <c r="C1" s="72" t="s">
        <v>3487</v>
      </c>
      <c r="D1" s="73" t="s">
        <v>3488</v>
      </c>
      <c r="E1" s="72" t="s">
        <v>3489</v>
      </c>
      <c r="F1" s="74" t="s">
        <v>15534</v>
      </c>
      <c r="G1" s="36" t="s">
        <v>3491</v>
      </c>
      <c r="H1" s="36" t="s">
        <v>3489</v>
      </c>
      <c r="I1" s="47"/>
      <c r="J1" s="47"/>
      <c r="K1" s="47"/>
      <c r="L1" s="47"/>
      <c r="M1" s="47"/>
      <c r="N1" s="47"/>
      <c r="O1" s="47"/>
      <c r="P1" s="47"/>
      <c r="Q1" s="47"/>
      <c r="R1" s="47"/>
      <c r="S1" s="47"/>
      <c r="T1" s="47"/>
      <c r="U1" s="47"/>
      <c r="V1" s="47"/>
      <c r="W1" s="47"/>
      <c r="X1" s="47"/>
      <c r="Y1" s="47"/>
      <c r="Z1" s="47"/>
    </row>
    <row r="2" spans="1:26" ht="112.5" customHeight="1" x14ac:dyDescent="0.2">
      <c r="A2" s="75">
        <v>1</v>
      </c>
      <c r="B2" s="76" t="s">
        <v>3898</v>
      </c>
      <c r="C2" s="76" t="s">
        <v>13534</v>
      </c>
      <c r="D2" s="77" t="s">
        <v>13535</v>
      </c>
      <c r="E2" s="78"/>
      <c r="F2" s="79" t="s">
        <v>15535</v>
      </c>
      <c r="G2" s="80" t="s">
        <v>15536</v>
      </c>
      <c r="H2" s="81" t="s">
        <v>3611</v>
      </c>
      <c r="I2" s="82"/>
      <c r="J2" s="47"/>
      <c r="K2" s="47"/>
      <c r="L2" s="47"/>
      <c r="M2" s="47"/>
      <c r="N2" s="47"/>
      <c r="O2" s="47"/>
      <c r="P2" s="47"/>
      <c r="Q2" s="47"/>
      <c r="R2" s="47"/>
      <c r="S2" s="47"/>
      <c r="T2" s="47"/>
      <c r="U2" s="47"/>
      <c r="V2" s="47"/>
      <c r="W2" s="47"/>
      <c r="X2" s="47"/>
      <c r="Y2" s="47"/>
      <c r="Z2" s="47"/>
    </row>
    <row r="3" spans="1:26" ht="112.5" hidden="1" customHeight="1" x14ac:dyDescent="0.3">
      <c r="A3" s="83">
        <v>50</v>
      </c>
      <c r="B3" s="84" t="s">
        <v>3898</v>
      </c>
      <c r="C3" s="84" t="s">
        <v>15506</v>
      </c>
      <c r="D3" s="85" t="s">
        <v>15507</v>
      </c>
      <c r="E3" s="47"/>
      <c r="F3" s="86" t="s">
        <v>15537</v>
      </c>
      <c r="G3" s="87" t="s">
        <v>15538</v>
      </c>
      <c r="H3" s="88" t="s">
        <v>3651</v>
      </c>
      <c r="I3" s="47"/>
      <c r="J3" s="47"/>
      <c r="K3" s="47"/>
      <c r="L3" s="47"/>
      <c r="M3" s="47"/>
      <c r="N3" s="47"/>
      <c r="O3" s="47"/>
      <c r="P3" s="47"/>
      <c r="Q3" s="47"/>
      <c r="R3" s="47"/>
      <c r="S3" s="47"/>
      <c r="T3" s="47"/>
      <c r="U3" s="47"/>
      <c r="V3" s="47"/>
      <c r="W3" s="47"/>
      <c r="X3" s="47"/>
      <c r="Y3" s="47"/>
      <c r="Z3" s="47"/>
    </row>
    <row r="4" spans="1:26" ht="112.5" hidden="1" customHeight="1" x14ac:dyDescent="0.3">
      <c r="A4" s="89">
        <v>51</v>
      </c>
      <c r="B4" s="90" t="s">
        <v>3898</v>
      </c>
      <c r="C4" s="90" t="s">
        <v>15509</v>
      </c>
      <c r="D4" s="91" t="s">
        <v>15510</v>
      </c>
      <c r="E4" s="47"/>
      <c r="F4" s="92" t="s">
        <v>15537</v>
      </c>
      <c r="G4" s="80" t="s">
        <v>15538</v>
      </c>
      <c r="H4" s="81" t="s">
        <v>3654</v>
      </c>
      <c r="I4" s="47"/>
      <c r="J4" s="47"/>
      <c r="K4" s="47"/>
      <c r="L4" s="47"/>
      <c r="M4" s="47"/>
      <c r="N4" s="47"/>
      <c r="O4" s="47"/>
      <c r="P4" s="47"/>
      <c r="Q4" s="47"/>
      <c r="R4" s="47"/>
      <c r="S4" s="47"/>
      <c r="T4" s="47"/>
      <c r="U4" s="47"/>
      <c r="V4" s="47"/>
      <c r="W4" s="47"/>
      <c r="X4" s="47"/>
      <c r="Y4" s="47"/>
      <c r="Z4" s="47"/>
    </row>
    <row r="5" spans="1:26" ht="112.5" customHeight="1" x14ac:dyDescent="0.2">
      <c r="A5" s="75">
        <v>2</v>
      </c>
      <c r="B5" s="76" t="s">
        <v>3898</v>
      </c>
      <c r="C5" s="76" t="s">
        <v>14468</v>
      </c>
      <c r="D5" s="77" t="s">
        <v>14469</v>
      </c>
      <c r="E5" s="78"/>
      <c r="F5" s="79" t="s">
        <v>15539</v>
      </c>
      <c r="G5" s="80" t="s">
        <v>15540</v>
      </c>
      <c r="H5" s="81" t="s">
        <v>3961</v>
      </c>
      <c r="I5" s="47"/>
      <c r="J5" s="47"/>
      <c r="K5" s="47"/>
      <c r="L5" s="47"/>
      <c r="M5" s="47"/>
      <c r="N5" s="47"/>
      <c r="O5" s="47"/>
      <c r="P5" s="47"/>
      <c r="Q5" s="47"/>
      <c r="R5" s="47"/>
      <c r="S5" s="47"/>
      <c r="T5" s="47"/>
      <c r="U5" s="47"/>
      <c r="V5" s="47"/>
      <c r="W5" s="47"/>
      <c r="X5" s="47"/>
      <c r="Y5" s="47"/>
      <c r="Z5" s="47"/>
    </row>
    <row r="6" spans="1:26" ht="112.5" customHeight="1" x14ac:dyDescent="0.2">
      <c r="A6" s="75">
        <v>3</v>
      </c>
      <c r="B6" s="76" t="s">
        <v>3526</v>
      </c>
      <c r="C6" s="76" t="s">
        <v>15184</v>
      </c>
      <c r="D6" s="77" t="s">
        <v>15185</v>
      </c>
      <c r="E6" s="78"/>
      <c r="F6" s="79" t="s">
        <v>15541</v>
      </c>
      <c r="G6" s="80" t="s">
        <v>15542</v>
      </c>
      <c r="H6" s="81" t="s">
        <v>4021</v>
      </c>
      <c r="I6" s="47"/>
      <c r="J6" s="47"/>
      <c r="K6" s="47"/>
      <c r="L6" s="47"/>
      <c r="M6" s="47"/>
      <c r="N6" s="47"/>
      <c r="O6" s="47"/>
      <c r="P6" s="47"/>
      <c r="Q6" s="47"/>
      <c r="R6" s="47"/>
      <c r="S6" s="47"/>
      <c r="T6" s="47"/>
      <c r="U6" s="47"/>
      <c r="V6" s="47"/>
      <c r="W6" s="47"/>
      <c r="X6" s="47"/>
      <c r="Y6" s="47"/>
      <c r="Z6" s="47"/>
    </row>
    <row r="7" spans="1:26" ht="112.5" customHeight="1" x14ac:dyDescent="0.2">
      <c r="A7" s="75">
        <v>4</v>
      </c>
      <c r="B7" s="76" t="s">
        <v>3526</v>
      </c>
      <c r="C7" s="76" t="s">
        <v>14396</v>
      </c>
      <c r="D7" s="77" t="s">
        <v>14397</v>
      </c>
      <c r="E7" s="78"/>
      <c r="F7" s="79" t="s">
        <v>15543</v>
      </c>
      <c r="G7" s="80" t="s">
        <v>15544</v>
      </c>
      <c r="H7" s="81" t="s">
        <v>4057</v>
      </c>
      <c r="I7" s="47"/>
      <c r="J7" s="47"/>
      <c r="K7" s="47"/>
      <c r="L7" s="47"/>
      <c r="M7" s="47"/>
      <c r="N7" s="47"/>
      <c r="O7" s="47"/>
      <c r="P7" s="47"/>
      <c r="Q7" s="47"/>
      <c r="R7" s="47"/>
      <c r="S7" s="47"/>
      <c r="T7" s="47"/>
      <c r="U7" s="47"/>
      <c r="V7" s="47"/>
      <c r="W7" s="47"/>
      <c r="X7" s="47"/>
      <c r="Y7" s="47"/>
      <c r="Z7" s="47"/>
    </row>
    <row r="8" spans="1:26" ht="112.5" hidden="1" customHeight="1" x14ac:dyDescent="0.3">
      <c r="A8" s="83">
        <v>218</v>
      </c>
      <c r="B8" s="84" t="s">
        <v>3526</v>
      </c>
      <c r="C8" s="84" t="s">
        <v>12435</v>
      </c>
      <c r="D8" s="85" t="s">
        <v>12436</v>
      </c>
      <c r="E8" s="47"/>
      <c r="F8" s="86" t="s">
        <v>15545</v>
      </c>
      <c r="G8" s="87" t="s">
        <v>15538</v>
      </c>
      <c r="H8" s="88" t="s">
        <v>4161</v>
      </c>
      <c r="I8" s="47"/>
      <c r="J8" s="47"/>
      <c r="K8" s="47"/>
      <c r="L8" s="47"/>
      <c r="M8" s="47"/>
      <c r="N8" s="47"/>
      <c r="O8" s="47"/>
      <c r="P8" s="47"/>
      <c r="Q8" s="47"/>
      <c r="R8" s="47"/>
      <c r="S8" s="47"/>
      <c r="T8" s="47"/>
      <c r="U8" s="47"/>
      <c r="V8" s="47"/>
      <c r="W8" s="47"/>
      <c r="X8" s="47"/>
      <c r="Y8" s="47"/>
      <c r="Z8" s="47"/>
    </row>
    <row r="9" spans="1:26" ht="112.5" customHeight="1" x14ac:dyDescent="0.2">
      <c r="A9" s="75">
        <v>5</v>
      </c>
      <c r="B9" s="76" t="s">
        <v>3526</v>
      </c>
      <c r="C9" s="76" t="s">
        <v>12694</v>
      </c>
      <c r="D9" s="77" t="s">
        <v>12695</v>
      </c>
      <c r="E9" s="78"/>
      <c r="F9" s="79" t="s">
        <v>15546</v>
      </c>
      <c r="G9" s="80" t="s">
        <v>15547</v>
      </c>
      <c r="H9" s="81" t="s">
        <v>4177</v>
      </c>
      <c r="I9" s="47"/>
      <c r="J9" s="47"/>
      <c r="K9" s="47"/>
      <c r="L9" s="47"/>
      <c r="M9" s="47"/>
      <c r="N9" s="47"/>
      <c r="O9" s="47"/>
      <c r="P9" s="47"/>
      <c r="Q9" s="47"/>
      <c r="R9" s="47"/>
      <c r="S9" s="47"/>
      <c r="T9" s="47"/>
      <c r="U9" s="47"/>
      <c r="V9" s="47"/>
      <c r="W9" s="47"/>
      <c r="X9" s="47"/>
      <c r="Y9" s="47"/>
      <c r="Z9" s="47"/>
    </row>
    <row r="10" spans="1:26" ht="112.5" hidden="1" customHeight="1" x14ac:dyDescent="0.3">
      <c r="A10" s="83">
        <v>224</v>
      </c>
      <c r="B10" s="84" t="s">
        <v>3526</v>
      </c>
      <c r="C10" s="84" t="s">
        <v>12946</v>
      </c>
      <c r="D10" s="85" t="s">
        <v>12947</v>
      </c>
      <c r="E10" s="47"/>
      <c r="F10" s="86" t="s">
        <v>15548</v>
      </c>
      <c r="G10" s="87" t="s">
        <v>15538</v>
      </c>
      <c r="H10" s="88" t="s">
        <v>4180</v>
      </c>
      <c r="I10" s="47"/>
      <c r="J10" s="47"/>
      <c r="K10" s="47"/>
      <c r="L10" s="47"/>
      <c r="M10" s="47"/>
      <c r="N10" s="47"/>
      <c r="O10" s="47"/>
      <c r="P10" s="47"/>
      <c r="Q10" s="47"/>
      <c r="R10" s="47"/>
      <c r="S10" s="47"/>
      <c r="T10" s="47"/>
      <c r="U10" s="47"/>
      <c r="V10" s="47"/>
      <c r="W10" s="47"/>
      <c r="X10" s="47"/>
      <c r="Y10" s="47"/>
      <c r="Z10" s="47"/>
    </row>
    <row r="11" spans="1:26" ht="112.5" hidden="1" customHeight="1" x14ac:dyDescent="0.3">
      <c r="A11" s="83">
        <v>236</v>
      </c>
      <c r="B11" s="84" t="s">
        <v>3526</v>
      </c>
      <c r="C11" s="84" t="s">
        <v>12467</v>
      </c>
      <c r="D11" s="85" t="s">
        <v>12468</v>
      </c>
      <c r="E11" s="47"/>
      <c r="F11" s="86" t="s">
        <v>15549</v>
      </c>
      <c r="G11" s="87" t="s">
        <v>15538</v>
      </c>
      <c r="H11" s="88" t="s">
        <v>4216</v>
      </c>
      <c r="I11" s="47"/>
      <c r="J11" s="47"/>
      <c r="K11" s="47"/>
      <c r="L11" s="47"/>
      <c r="M11" s="47"/>
      <c r="N11" s="47"/>
      <c r="O11" s="47"/>
      <c r="P11" s="47"/>
      <c r="Q11" s="47"/>
      <c r="R11" s="47"/>
      <c r="S11" s="47"/>
      <c r="T11" s="47"/>
      <c r="U11" s="47"/>
      <c r="V11" s="47"/>
      <c r="W11" s="47"/>
      <c r="X11" s="47"/>
      <c r="Y11" s="47"/>
      <c r="Z11" s="47"/>
    </row>
    <row r="12" spans="1:26" ht="112.5" hidden="1" customHeight="1" x14ac:dyDescent="0.3">
      <c r="A12" s="89">
        <v>269</v>
      </c>
      <c r="B12" s="90" t="s">
        <v>3526</v>
      </c>
      <c r="C12" s="90" t="s">
        <v>13208</v>
      </c>
      <c r="D12" s="91" t="s">
        <v>13209</v>
      </c>
      <c r="E12" s="47"/>
      <c r="F12" s="92" t="s">
        <v>15550</v>
      </c>
      <c r="G12" s="80" t="s">
        <v>15538</v>
      </c>
      <c r="H12" s="81" t="s">
        <v>4315</v>
      </c>
      <c r="I12" s="47"/>
      <c r="J12" s="47"/>
      <c r="K12" s="47"/>
      <c r="L12" s="47"/>
      <c r="M12" s="47"/>
      <c r="N12" s="47"/>
      <c r="O12" s="47"/>
      <c r="P12" s="47"/>
      <c r="Q12" s="47"/>
      <c r="R12" s="47"/>
      <c r="S12" s="47"/>
      <c r="T12" s="47"/>
      <c r="U12" s="47"/>
      <c r="V12" s="47"/>
      <c r="W12" s="47"/>
      <c r="X12" s="47"/>
      <c r="Y12" s="47"/>
      <c r="Z12" s="47"/>
    </row>
    <row r="13" spans="1:26" ht="112.5" hidden="1" customHeight="1" x14ac:dyDescent="0.3">
      <c r="A13" s="89">
        <v>289</v>
      </c>
      <c r="B13" s="90" t="s">
        <v>3526</v>
      </c>
      <c r="C13" s="90" t="s">
        <v>13446</v>
      </c>
      <c r="D13" s="91" t="s">
        <v>13447</v>
      </c>
      <c r="E13" s="47"/>
      <c r="F13" s="92" t="s">
        <v>15551</v>
      </c>
      <c r="G13" s="80" t="s">
        <v>15538</v>
      </c>
      <c r="H13" s="81" t="s">
        <v>4376</v>
      </c>
      <c r="I13" s="47"/>
      <c r="J13" s="47"/>
      <c r="K13" s="47"/>
      <c r="L13" s="47"/>
      <c r="M13" s="47"/>
      <c r="N13" s="47"/>
      <c r="O13" s="47"/>
      <c r="P13" s="47"/>
      <c r="Q13" s="47"/>
      <c r="R13" s="47"/>
      <c r="S13" s="47"/>
      <c r="T13" s="47"/>
      <c r="U13" s="47"/>
      <c r="V13" s="47"/>
      <c r="W13" s="47"/>
      <c r="X13" s="47"/>
      <c r="Y13" s="47"/>
      <c r="Z13" s="47"/>
    </row>
    <row r="14" spans="1:26" ht="112.5" hidden="1" customHeight="1" x14ac:dyDescent="0.3">
      <c r="A14" s="89">
        <v>453</v>
      </c>
      <c r="B14" s="90" t="s">
        <v>3526</v>
      </c>
      <c r="C14" s="90" t="s">
        <v>13383</v>
      </c>
      <c r="D14" s="91" t="s">
        <v>13384</v>
      </c>
      <c r="E14" s="47"/>
      <c r="F14" s="92" t="s">
        <v>15552</v>
      </c>
      <c r="G14" s="80" t="s">
        <v>15538</v>
      </c>
      <c r="H14" s="81" t="s">
        <v>4864</v>
      </c>
      <c r="I14" s="47"/>
      <c r="J14" s="47"/>
      <c r="K14" s="47"/>
      <c r="L14" s="47"/>
      <c r="M14" s="47"/>
      <c r="N14" s="47"/>
      <c r="O14" s="47"/>
      <c r="P14" s="47"/>
      <c r="Q14" s="47"/>
      <c r="R14" s="47"/>
      <c r="S14" s="47"/>
      <c r="T14" s="47"/>
      <c r="U14" s="47"/>
      <c r="V14" s="47"/>
      <c r="W14" s="47"/>
      <c r="X14" s="47"/>
      <c r="Y14" s="47"/>
      <c r="Z14" s="47"/>
    </row>
    <row r="15" spans="1:26" ht="112.5" hidden="1" customHeight="1" x14ac:dyDescent="0.2">
      <c r="A15" s="75">
        <v>6</v>
      </c>
      <c r="B15" s="76" t="s">
        <v>3526</v>
      </c>
      <c r="C15" s="76" t="s">
        <v>15071</v>
      </c>
      <c r="D15" s="77" t="s">
        <v>15072</v>
      </c>
      <c r="E15" s="78"/>
      <c r="F15" s="79"/>
      <c r="G15" s="80" t="s">
        <v>15553</v>
      </c>
      <c r="H15" s="81" t="s">
        <v>8664</v>
      </c>
      <c r="I15" s="47"/>
      <c r="J15" s="47"/>
      <c r="K15" s="47"/>
      <c r="L15" s="47"/>
      <c r="M15" s="47"/>
      <c r="N15" s="47"/>
      <c r="O15" s="47"/>
      <c r="P15" s="47"/>
      <c r="Q15" s="47"/>
      <c r="R15" s="47"/>
      <c r="S15" s="47"/>
      <c r="T15" s="47"/>
      <c r="U15" s="47"/>
      <c r="V15" s="47"/>
      <c r="W15" s="47"/>
      <c r="X15" s="47"/>
      <c r="Y15" s="47"/>
      <c r="Z15" s="47"/>
    </row>
    <row r="16" spans="1:26" ht="112.5" hidden="1" customHeight="1" x14ac:dyDescent="0.3">
      <c r="A16" s="89">
        <v>1843</v>
      </c>
      <c r="B16" s="90" t="s">
        <v>3526</v>
      </c>
      <c r="C16" s="90" t="s">
        <v>13294</v>
      </c>
      <c r="D16" s="91" t="s">
        <v>13295</v>
      </c>
      <c r="E16" s="47"/>
      <c r="F16" s="92" t="s">
        <v>15554</v>
      </c>
      <c r="G16" s="80" t="s">
        <v>15538</v>
      </c>
      <c r="H16" s="81" t="s">
        <v>8987</v>
      </c>
      <c r="I16" s="47"/>
      <c r="J16" s="47"/>
      <c r="K16" s="47"/>
      <c r="L16" s="47"/>
      <c r="M16" s="47"/>
      <c r="N16" s="47"/>
      <c r="O16" s="47"/>
      <c r="P16" s="47"/>
      <c r="Q16" s="47"/>
      <c r="R16" s="47"/>
      <c r="S16" s="47"/>
      <c r="T16" s="47"/>
      <c r="U16" s="47"/>
      <c r="V16" s="47"/>
      <c r="W16" s="47"/>
      <c r="X16" s="47"/>
      <c r="Y16" s="47"/>
      <c r="Z16" s="47"/>
    </row>
    <row r="17" spans="1:26" ht="112.5" hidden="1" customHeight="1" x14ac:dyDescent="0.3">
      <c r="A17" s="89">
        <v>3573</v>
      </c>
      <c r="B17" s="90" t="s">
        <v>3526</v>
      </c>
      <c r="C17" s="90" t="s">
        <v>15310</v>
      </c>
      <c r="D17" s="91" t="s">
        <v>15311</v>
      </c>
      <c r="E17" s="47"/>
      <c r="F17" s="92" t="s">
        <v>15555</v>
      </c>
      <c r="G17" s="80" t="s">
        <v>15538</v>
      </c>
      <c r="H17" s="81" t="s">
        <v>14083</v>
      </c>
      <c r="I17" s="47"/>
      <c r="J17" s="47"/>
      <c r="K17" s="47"/>
      <c r="L17" s="47"/>
      <c r="M17" s="47"/>
      <c r="N17" s="47"/>
      <c r="O17" s="47"/>
      <c r="P17" s="47"/>
      <c r="Q17" s="47"/>
      <c r="R17" s="47"/>
      <c r="S17" s="47"/>
      <c r="T17" s="47"/>
      <c r="U17" s="47"/>
      <c r="V17" s="47"/>
      <c r="W17" s="47"/>
      <c r="X17" s="47"/>
      <c r="Y17" s="47"/>
      <c r="Z17" s="47"/>
    </row>
    <row r="18" spans="1:26" ht="112.5" hidden="1" customHeight="1" x14ac:dyDescent="0.3">
      <c r="A18" s="89">
        <v>3577</v>
      </c>
      <c r="B18" s="90" t="s">
        <v>3526</v>
      </c>
      <c r="C18" s="90" t="s">
        <v>12874</v>
      </c>
      <c r="D18" s="91" t="s">
        <v>12875</v>
      </c>
      <c r="E18" s="47"/>
      <c r="F18" s="92" t="s">
        <v>15556</v>
      </c>
      <c r="G18" s="80" t="s">
        <v>15538</v>
      </c>
      <c r="H18" s="81" t="s">
        <v>14095</v>
      </c>
      <c r="I18" s="47"/>
      <c r="J18" s="47"/>
      <c r="K18" s="47"/>
      <c r="L18" s="47"/>
      <c r="M18" s="47"/>
      <c r="N18" s="47"/>
      <c r="O18" s="47"/>
      <c r="P18" s="47"/>
      <c r="Q18" s="47"/>
      <c r="R18" s="47"/>
      <c r="S18" s="47"/>
      <c r="T18" s="47"/>
      <c r="U18" s="47"/>
      <c r="V18" s="47"/>
      <c r="W18" s="47"/>
      <c r="X18" s="47"/>
      <c r="Y18" s="47"/>
      <c r="Z18" s="47"/>
    </row>
    <row r="19" spans="1:26" ht="112.5" customHeight="1" x14ac:dyDescent="0.2">
      <c r="A19" s="75">
        <v>7</v>
      </c>
      <c r="B19" s="76" t="s">
        <v>3526</v>
      </c>
      <c r="C19" s="76" t="s">
        <v>12535</v>
      </c>
      <c r="D19" s="77" t="s">
        <v>12536</v>
      </c>
      <c r="E19" s="78"/>
      <c r="F19" s="79" t="s">
        <v>15557</v>
      </c>
      <c r="G19" s="87" t="s">
        <v>15558</v>
      </c>
      <c r="H19" s="88" t="s">
        <v>14098</v>
      </c>
      <c r="I19" s="47"/>
      <c r="J19" s="47"/>
      <c r="K19" s="47"/>
      <c r="L19" s="47"/>
      <c r="M19" s="47"/>
      <c r="N19" s="47"/>
      <c r="O19" s="47"/>
      <c r="P19" s="47"/>
      <c r="Q19" s="47"/>
      <c r="R19" s="47"/>
      <c r="S19" s="47"/>
      <c r="T19" s="47"/>
      <c r="U19" s="47"/>
      <c r="V19" s="47"/>
      <c r="W19" s="47"/>
      <c r="X19" s="47"/>
      <c r="Y19" s="47"/>
      <c r="Z19" s="47"/>
    </row>
    <row r="20" spans="1:26" ht="112.5" hidden="1" customHeight="1" x14ac:dyDescent="0.3">
      <c r="A20" s="83">
        <v>3648</v>
      </c>
      <c r="B20" s="84" t="s">
        <v>3526</v>
      </c>
      <c r="C20" s="84" t="s">
        <v>15074</v>
      </c>
      <c r="D20" s="85" t="s">
        <v>15075</v>
      </c>
      <c r="E20" s="47"/>
      <c r="F20" s="86" t="s">
        <v>15559</v>
      </c>
      <c r="G20" s="87" t="s">
        <v>15538</v>
      </c>
      <c r="H20" s="88" t="s">
        <v>14305</v>
      </c>
      <c r="I20" s="47"/>
      <c r="J20" s="47"/>
      <c r="K20" s="47"/>
      <c r="L20" s="47"/>
      <c r="M20" s="47"/>
      <c r="N20" s="47"/>
      <c r="O20" s="47"/>
      <c r="P20" s="47"/>
      <c r="Q20" s="47"/>
      <c r="R20" s="47"/>
      <c r="S20" s="47"/>
      <c r="T20" s="47"/>
      <c r="U20" s="47"/>
      <c r="V20" s="47"/>
      <c r="W20" s="47"/>
      <c r="X20" s="47"/>
      <c r="Y20" s="47"/>
      <c r="Z20" s="47"/>
    </row>
    <row r="21" spans="1:26" ht="112.5" hidden="1" customHeight="1" x14ac:dyDescent="0.3">
      <c r="A21" s="83">
        <v>3676</v>
      </c>
      <c r="B21" s="84" t="s">
        <v>3526</v>
      </c>
      <c r="C21" s="84" t="s">
        <v>15009</v>
      </c>
      <c r="D21" s="85" t="s">
        <v>15010</v>
      </c>
      <c r="E21" s="47"/>
      <c r="F21" s="86" t="s">
        <v>15560</v>
      </c>
      <c r="G21" s="87" t="s">
        <v>15538</v>
      </c>
      <c r="H21" s="88" t="s">
        <v>14389</v>
      </c>
      <c r="I21" s="47"/>
      <c r="J21" s="47"/>
      <c r="K21" s="47"/>
      <c r="L21" s="47"/>
      <c r="M21" s="47"/>
      <c r="N21" s="47"/>
      <c r="O21" s="47"/>
      <c r="P21" s="47"/>
      <c r="Q21" s="47"/>
      <c r="R21" s="47"/>
      <c r="S21" s="47"/>
      <c r="T21" s="47"/>
      <c r="U21" s="47"/>
      <c r="V21" s="47"/>
      <c r="W21" s="47"/>
      <c r="X21" s="47"/>
      <c r="Y21" s="47"/>
      <c r="Z21" s="47"/>
    </row>
    <row r="22" spans="1:26" ht="112.5" customHeight="1" x14ac:dyDescent="0.2">
      <c r="A22" s="75">
        <v>8</v>
      </c>
      <c r="B22" s="76" t="s">
        <v>3526</v>
      </c>
      <c r="C22" s="76" t="s">
        <v>12497</v>
      </c>
      <c r="D22" s="77" t="s">
        <v>12498</v>
      </c>
      <c r="E22" s="78"/>
      <c r="F22" s="79" t="s">
        <v>15561</v>
      </c>
      <c r="G22" s="87" t="s">
        <v>15562</v>
      </c>
      <c r="H22" s="88" t="s">
        <v>14401</v>
      </c>
      <c r="I22" s="47"/>
      <c r="J22" s="47"/>
      <c r="K22" s="47"/>
      <c r="L22" s="47"/>
      <c r="M22" s="47"/>
      <c r="N22" s="47"/>
      <c r="O22" s="47"/>
      <c r="P22" s="47"/>
      <c r="Q22" s="47"/>
      <c r="R22" s="47"/>
      <c r="S22" s="47"/>
      <c r="T22" s="47"/>
      <c r="U22" s="47"/>
      <c r="V22" s="47"/>
      <c r="W22" s="47"/>
      <c r="X22" s="47"/>
      <c r="Y22" s="47"/>
      <c r="Z22" s="47"/>
    </row>
    <row r="23" spans="1:26" ht="112.5" hidden="1" customHeight="1" x14ac:dyDescent="0.3">
      <c r="A23" s="83">
        <v>3696</v>
      </c>
      <c r="B23" s="84" t="s">
        <v>3526</v>
      </c>
      <c r="C23" s="84" t="s">
        <v>12830</v>
      </c>
      <c r="D23" s="85" t="s">
        <v>12831</v>
      </c>
      <c r="E23" s="47"/>
      <c r="F23" s="86" t="s">
        <v>15563</v>
      </c>
      <c r="G23" s="87" t="s">
        <v>15538</v>
      </c>
      <c r="H23" s="88" t="s">
        <v>14449</v>
      </c>
      <c r="I23" s="47"/>
      <c r="J23" s="47"/>
      <c r="K23" s="47"/>
      <c r="L23" s="47"/>
      <c r="M23" s="47"/>
      <c r="N23" s="47"/>
      <c r="O23" s="47"/>
      <c r="P23" s="47"/>
      <c r="Q23" s="47"/>
      <c r="R23" s="47"/>
      <c r="S23" s="47"/>
      <c r="T23" s="47"/>
      <c r="U23" s="47"/>
      <c r="V23" s="47"/>
      <c r="W23" s="47"/>
      <c r="X23" s="47"/>
      <c r="Y23" s="47"/>
      <c r="Z23" s="47"/>
    </row>
    <row r="24" spans="1:26" ht="112.5" customHeight="1" x14ac:dyDescent="0.2">
      <c r="A24" s="75">
        <v>9</v>
      </c>
      <c r="B24" s="76" t="s">
        <v>3526</v>
      </c>
      <c r="C24" s="76" t="s">
        <v>14872</v>
      </c>
      <c r="D24" s="77" t="s">
        <v>14873</v>
      </c>
      <c r="E24" s="78"/>
      <c r="F24" s="79" t="s">
        <v>15564</v>
      </c>
      <c r="G24" s="80" t="s">
        <v>15565</v>
      </c>
      <c r="H24" s="81" t="s">
        <v>14546</v>
      </c>
      <c r="I24" s="47"/>
      <c r="J24" s="47"/>
      <c r="K24" s="47"/>
      <c r="L24" s="47"/>
      <c r="M24" s="47"/>
      <c r="N24" s="47"/>
      <c r="O24" s="47"/>
      <c r="P24" s="47"/>
      <c r="Q24" s="47"/>
      <c r="R24" s="47"/>
      <c r="S24" s="47"/>
      <c r="T24" s="47"/>
      <c r="U24" s="47"/>
      <c r="V24" s="47"/>
      <c r="W24" s="47"/>
      <c r="X24" s="47"/>
      <c r="Y24" s="47"/>
      <c r="Z24" s="47"/>
    </row>
    <row r="25" spans="1:26" ht="112.5" hidden="1" customHeight="1" x14ac:dyDescent="0.3">
      <c r="A25" s="83">
        <v>3730</v>
      </c>
      <c r="B25" s="84" t="s">
        <v>3526</v>
      </c>
      <c r="C25" s="84" t="s">
        <v>12464</v>
      </c>
      <c r="D25" s="85" t="s">
        <v>12465</v>
      </c>
      <c r="E25" s="47"/>
      <c r="F25" s="86" t="s">
        <v>15535</v>
      </c>
      <c r="G25" s="93" t="s">
        <v>4171</v>
      </c>
      <c r="H25" s="88" t="s">
        <v>14549</v>
      </c>
      <c r="I25" s="47"/>
      <c r="J25" s="47"/>
      <c r="K25" s="47"/>
      <c r="L25" s="47"/>
      <c r="M25" s="47"/>
      <c r="N25" s="47"/>
      <c r="O25" s="47"/>
      <c r="P25" s="47"/>
      <c r="Q25" s="47"/>
      <c r="R25" s="47"/>
      <c r="S25" s="47"/>
      <c r="T25" s="47"/>
      <c r="U25" s="47"/>
      <c r="V25" s="47"/>
      <c r="W25" s="47"/>
      <c r="X25" s="47"/>
      <c r="Y25" s="47"/>
      <c r="Z25" s="47"/>
    </row>
    <row r="26" spans="1:26" ht="112.5" customHeight="1" x14ac:dyDescent="0.2">
      <c r="A26" s="75">
        <v>10</v>
      </c>
      <c r="B26" s="76" t="s">
        <v>3526</v>
      </c>
      <c r="C26" s="76" t="s">
        <v>12425</v>
      </c>
      <c r="D26" s="77" t="s">
        <v>12426</v>
      </c>
      <c r="E26" s="78"/>
      <c r="F26" s="79" t="s">
        <v>15566</v>
      </c>
      <c r="G26" s="80" t="s">
        <v>15567</v>
      </c>
      <c r="H26" s="81" t="s">
        <v>14558</v>
      </c>
      <c r="I26" s="47"/>
      <c r="J26" s="47"/>
      <c r="K26" s="47"/>
      <c r="L26" s="47"/>
      <c r="M26" s="47"/>
      <c r="N26" s="47"/>
      <c r="O26" s="47"/>
      <c r="P26" s="47"/>
      <c r="Q26" s="47"/>
      <c r="R26" s="47"/>
      <c r="S26" s="47"/>
      <c r="T26" s="47"/>
      <c r="U26" s="47"/>
      <c r="V26" s="47"/>
      <c r="W26" s="47"/>
      <c r="X26" s="47"/>
      <c r="Y26" s="47"/>
      <c r="Z26" s="47"/>
    </row>
    <row r="27" spans="1:26" ht="112.5" hidden="1" customHeight="1" x14ac:dyDescent="0.3">
      <c r="A27" s="89">
        <v>3887</v>
      </c>
      <c r="B27" s="90" t="s">
        <v>3526</v>
      </c>
      <c r="C27" s="90" t="s">
        <v>14432</v>
      </c>
      <c r="D27" s="91" t="s">
        <v>14433</v>
      </c>
      <c r="E27" s="47"/>
      <c r="F27" s="92" t="s">
        <v>15568</v>
      </c>
      <c r="G27" s="80" t="s">
        <v>15538</v>
      </c>
      <c r="H27" s="81" t="s">
        <v>15017</v>
      </c>
      <c r="I27" s="47"/>
      <c r="J27" s="47"/>
      <c r="K27" s="47"/>
      <c r="L27" s="47"/>
      <c r="M27" s="47"/>
      <c r="N27" s="47"/>
      <c r="O27" s="47"/>
      <c r="P27" s="47"/>
      <c r="Q27" s="47"/>
      <c r="R27" s="47"/>
      <c r="S27" s="47"/>
      <c r="T27" s="47"/>
      <c r="U27" s="47"/>
      <c r="V27" s="47"/>
      <c r="W27" s="47"/>
      <c r="X27" s="47"/>
      <c r="Y27" s="47"/>
      <c r="Z27" s="47"/>
    </row>
    <row r="28" spans="1:26" ht="112.5" customHeight="1" x14ac:dyDescent="0.2">
      <c r="A28" s="75">
        <v>11</v>
      </c>
      <c r="B28" s="76" t="s">
        <v>3526</v>
      </c>
      <c r="C28" s="76" t="s">
        <v>13180</v>
      </c>
      <c r="D28" s="77" t="s">
        <v>13181</v>
      </c>
      <c r="E28" s="78"/>
      <c r="F28" s="79" t="s">
        <v>15569</v>
      </c>
      <c r="G28" s="87" t="s">
        <v>15570</v>
      </c>
      <c r="H28" s="88" t="s">
        <v>15020</v>
      </c>
      <c r="I28" s="47"/>
      <c r="J28" s="47"/>
      <c r="K28" s="47"/>
      <c r="L28" s="47"/>
      <c r="M28" s="47"/>
      <c r="N28" s="47"/>
      <c r="O28" s="47"/>
      <c r="P28" s="47"/>
      <c r="Q28" s="47"/>
      <c r="R28" s="47"/>
      <c r="S28" s="47"/>
      <c r="T28" s="47"/>
      <c r="U28" s="47"/>
      <c r="V28" s="47"/>
      <c r="W28" s="47"/>
      <c r="X28" s="47"/>
      <c r="Y28" s="47"/>
      <c r="Z28" s="47"/>
    </row>
    <row r="29" spans="1:26" ht="112.5" customHeight="1" x14ac:dyDescent="0.2">
      <c r="A29" s="75">
        <v>12</v>
      </c>
      <c r="B29" s="76" t="s">
        <v>3526</v>
      </c>
      <c r="C29" s="76" t="s">
        <v>13881</v>
      </c>
      <c r="D29" s="77" t="s">
        <v>13882</v>
      </c>
      <c r="E29" s="78"/>
      <c r="F29" s="79" t="s">
        <v>15571</v>
      </c>
      <c r="G29" s="80" t="s">
        <v>15572</v>
      </c>
      <c r="H29" s="81" t="s">
        <v>15118</v>
      </c>
      <c r="I29" s="47"/>
      <c r="J29" s="47"/>
      <c r="K29" s="47"/>
      <c r="L29" s="47"/>
      <c r="M29" s="47"/>
      <c r="N29" s="47"/>
      <c r="O29" s="47"/>
      <c r="P29" s="47"/>
      <c r="Q29" s="47"/>
      <c r="R29" s="47"/>
      <c r="S29" s="47"/>
      <c r="T29" s="47"/>
      <c r="U29" s="47"/>
      <c r="V29" s="47"/>
      <c r="W29" s="47"/>
      <c r="X29" s="47"/>
      <c r="Y29" s="47"/>
      <c r="Z29" s="47"/>
    </row>
    <row r="30" spans="1:26" ht="112.5" hidden="1" customHeight="1" x14ac:dyDescent="0.3">
      <c r="A30" s="83">
        <v>3960</v>
      </c>
      <c r="B30" s="84" t="s">
        <v>3526</v>
      </c>
      <c r="C30" s="84" t="s">
        <v>12565</v>
      </c>
      <c r="D30" s="85" t="s">
        <v>12566</v>
      </c>
      <c r="E30" s="47"/>
      <c r="F30" s="86" t="s">
        <v>15573</v>
      </c>
      <c r="G30" s="87" t="s">
        <v>15538</v>
      </c>
      <c r="H30" s="88" t="s">
        <v>15234</v>
      </c>
      <c r="I30" s="47"/>
      <c r="J30" s="47"/>
      <c r="K30" s="47"/>
      <c r="L30" s="47"/>
      <c r="M30" s="47"/>
      <c r="N30" s="47"/>
      <c r="O30" s="47"/>
      <c r="P30" s="47"/>
      <c r="Q30" s="47"/>
      <c r="R30" s="47"/>
      <c r="S30" s="47"/>
      <c r="T30" s="47"/>
      <c r="U30" s="47"/>
      <c r="V30" s="47"/>
      <c r="W30" s="47"/>
      <c r="X30" s="47"/>
      <c r="Y30" s="47"/>
      <c r="Z30" s="47"/>
    </row>
    <row r="31" spans="1:26" ht="112.5" customHeight="1" x14ac:dyDescent="0.2">
      <c r="A31" s="75">
        <v>13</v>
      </c>
      <c r="B31" s="76" t="s">
        <v>3526</v>
      </c>
      <c r="C31" s="76" t="s">
        <v>12824</v>
      </c>
      <c r="D31" s="77" t="s">
        <v>12825</v>
      </c>
      <c r="E31" s="78"/>
      <c r="F31" s="79" t="s">
        <v>15574</v>
      </c>
      <c r="G31" s="87" t="s">
        <v>15575</v>
      </c>
      <c r="H31" s="88" t="s">
        <v>15288</v>
      </c>
      <c r="I31" s="47"/>
      <c r="J31" s="47"/>
      <c r="K31" s="47"/>
      <c r="L31" s="47"/>
      <c r="M31" s="47"/>
      <c r="N31" s="47"/>
      <c r="O31" s="47"/>
      <c r="P31" s="47"/>
      <c r="Q31" s="47"/>
      <c r="R31" s="47"/>
      <c r="S31" s="47"/>
      <c r="T31" s="47"/>
      <c r="U31" s="47"/>
      <c r="V31" s="47"/>
      <c r="W31" s="47"/>
      <c r="X31" s="47"/>
      <c r="Y31" s="47"/>
      <c r="Z31" s="47"/>
    </row>
    <row r="32" spans="1:26" ht="112.5" hidden="1" customHeight="1" x14ac:dyDescent="0.3">
      <c r="A32" s="83">
        <v>4004</v>
      </c>
      <c r="B32" s="84" t="s">
        <v>3526</v>
      </c>
      <c r="C32" s="84" t="s">
        <v>12952</v>
      </c>
      <c r="D32" s="85" t="s">
        <v>12953</v>
      </c>
      <c r="E32" s="47"/>
      <c r="F32" s="86" t="s">
        <v>15576</v>
      </c>
      <c r="G32" s="87" t="s">
        <v>15538</v>
      </c>
      <c r="H32" s="88" t="s">
        <v>15365</v>
      </c>
      <c r="I32" s="47"/>
      <c r="J32" s="47"/>
      <c r="K32" s="47"/>
      <c r="L32" s="47"/>
      <c r="M32" s="47"/>
      <c r="N32" s="47"/>
      <c r="O32" s="47"/>
      <c r="P32" s="47"/>
      <c r="Q32" s="47"/>
      <c r="R32" s="47"/>
      <c r="S32" s="47"/>
      <c r="T32" s="47"/>
      <c r="U32" s="47"/>
      <c r="V32" s="47"/>
      <c r="W32" s="47"/>
      <c r="X32" s="47"/>
      <c r="Y32" s="47"/>
      <c r="Z32" s="47"/>
    </row>
    <row r="33" spans="1:26" ht="112.5" customHeight="1" x14ac:dyDescent="0.2">
      <c r="A33" s="75">
        <v>14</v>
      </c>
      <c r="B33" s="76" t="s">
        <v>3526</v>
      </c>
      <c r="C33" s="76" t="s">
        <v>13509</v>
      </c>
      <c r="D33" s="77" t="s">
        <v>13510</v>
      </c>
      <c r="E33" s="78"/>
      <c r="F33" s="79" t="s">
        <v>15577</v>
      </c>
      <c r="G33" s="87" t="s">
        <v>15578</v>
      </c>
      <c r="H33" s="88" t="s">
        <v>15490</v>
      </c>
      <c r="I33" s="47"/>
      <c r="J33" s="47"/>
      <c r="K33" s="47"/>
      <c r="L33" s="47"/>
      <c r="M33" s="47"/>
      <c r="N33" s="47"/>
      <c r="O33" s="47"/>
      <c r="P33" s="47"/>
      <c r="Q33" s="47"/>
      <c r="R33" s="47"/>
      <c r="S33" s="47"/>
      <c r="T33" s="47"/>
      <c r="U33" s="47"/>
      <c r="V33" s="47"/>
      <c r="W33" s="47"/>
      <c r="X33" s="47"/>
      <c r="Y33" s="47"/>
      <c r="Z33" s="47"/>
    </row>
    <row r="34" spans="1:26" ht="112.5" customHeight="1" x14ac:dyDescent="0.2">
      <c r="A34" s="75">
        <v>15</v>
      </c>
      <c r="B34" s="76" t="s">
        <v>3526</v>
      </c>
      <c r="C34" s="76" t="s">
        <v>13506</v>
      </c>
      <c r="D34" s="77" t="s">
        <v>13507</v>
      </c>
      <c r="E34" s="78"/>
      <c r="F34" s="79" t="s">
        <v>15579</v>
      </c>
      <c r="G34" s="80" t="s">
        <v>15580</v>
      </c>
      <c r="H34" s="81" t="s">
        <v>15493</v>
      </c>
      <c r="I34" s="47"/>
      <c r="J34" s="47"/>
      <c r="K34" s="47"/>
      <c r="L34" s="47"/>
      <c r="M34" s="47"/>
      <c r="N34" s="47"/>
      <c r="O34" s="47"/>
      <c r="P34" s="47"/>
      <c r="Q34" s="47"/>
      <c r="R34" s="47"/>
      <c r="S34" s="47"/>
      <c r="T34" s="47"/>
      <c r="U34" s="47"/>
      <c r="V34" s="47"/>
      <c r="W34" s="47"/>
      <c r="X34" s="47"/>
      <c r="Y34" s="47"/>
      <c r="Z34" s="47"/>
    </row>
    <row r="35" spans="1:26" ht="112.5" customHeight="1" x14ac:dyDescent="0.2">
      <c r="A35" s="75">
        <v>16</v>
      </c>
      <c r="B35" s="94" t="s">
        <v>3876</v>
      </c>
      <c r="C35" s="94" t="s">
        <v>13831</v>
      </c>
      <c r="D35" s="95" t="s">
        <v>13832</v>
      </c>
      <c r="E35" s="96"/>
      <c r="F35" s="97" t="s">
        <v>15581</v>
      </c>
      <c r="G35" s="98" t="s">
        <v>15582</v>
      </c>
      <c r="H35" s="99" t="s">
        <v>3522</v>
      </c>
      <c r="I35" s="29"/>
      <c r="J35" s="29"/>
      <c r="K35" s="29"/>
      <c r="L35" s="29"/>
      <c r="M35" s="29"/>
      <c r="N35" s="29"/>
      <c r="O35" s="29"/>
      <c r="P35" s="29"/>
    </row>
    <row r="36" spans="1:26" ht="112.5" hidden="1" customHeight="1" x14ac:dyDescent="0.3">
      <c r="A36" s="100">
        <v>60</v>
      </c>
      <c r="B36" s="24" t="s">
        <v>3876</v>
      </c>
      <c r="C36" s="24" t="s">
        <v>13771</v>
      </c>
      <c r="D36" s="25" t="s">
        <v>13772</v>
      </c>
      <c r="E36" s="29"/>
      <c r="F36" s="101" t="s">
        <v>15583</v>
      </c>
      <c r="G36" s="102" t="s">
        <v>15538</v>
      </c>
      <c r="H36" s="103" t="s">
        <v>3682</v>
      </c>
      <c r="I36" s="29"/>
      <c r="J36" s="29"/>
      <c r="K36" s="29"/>
      <c r="L36" s="29"/>
      <c r="M36" s="29"/>
      <c r="N36" s="29"/>
      <c r="O36" s="29"/>
      <c r="P36" s="29"/>
    </row>
    <row r="37" spans="1:26" ht="112.5" customHeight="1" x14ac:dyDescent="0.2">
      <c r="A37" s="75">
        <v>17</v>
      </c>
      <c r="B37" s="94" t="s">
        <v>3876</v>
      </c>
      <c r="C37" s="94" t="s">
        <v>15389</v>
      </c>
      <c r="D37" s="95" t="s">
        <v>15390</v>
      </c>
      <c r="E37" s="96"/>
      <c r="F37" s="97" t="s">
        <v>15584</v>
      </c>
      <c r="G37" s="102" t="s">
        <v>15585</v>
      </c>
      <c r="H37" s="103" t="s">
        <v>3700</v>
      </c>
      <c r="I37" s="29"/>
      <c r="J37" s="29"/>
      <c r="K37" s="29"/>
      <c r="L37" s="29"/>
      <c r="M37" s="29"/>
      <c r="N37" s="29"/>
      <c r="O37" s="29"/>
      <c r="P37" s="29"/>
    </row>
    <row r="38" spans="1:26" ht="112.5" hidden="1" customHeight="1" x14ac:dyDescent="0.3">
      <c r="A38" s="104">
        <v>69</v>
      </c>
      <c r="B38" s="28" t="s">
        <v>3876</v>
      </c>
      <c r="C38" s="28" t="s">
        <v>13765</v>
      </c>
      <c r="D38" s="27" t="s">
        <v>13766</v>
      </c>
      <c r="E38" s="29"/>
      <c r="F38" s="105" t="s">
        <v>15545</v>
      </c>
      <c r="G38" s="98" t="s">
        <v>15538</v>
      </c>
      <c r="H38" s="99" t="s">
        <v>3709</v>
      </c>
      <c r="I38" s="29"/>
      <c r="J38" s="29"/>
      <c r="K38" s="29"/>
      <c r="L38" s="29"/>
      <c r="M38" s="29"/>
      <c r="N38" s="29"/>
      <c r="O38" s="29"/>
      <c r="P38" s="29"/>
    </row>
    <row r="39" spans="1:26" ht="112.5" hidden="1" customHeight="1" x14ac:dyDescent="0.3">
      <c r="A39" s="104">
        <v>79</v>
      </c>
      <c r="B39" s="28" t="s">
        <v>3876</v>
      </c>
      <c r="C39" s="28" t="s">
        <v>14940</v>
      </c>
      <c r="D39" s="27" t="s">
        <v>14941</v>
      </c>
      <c r="E39" s="29"/>
      <c r="F39" s="105" t="s">
        <v>15586</v>
      </c>
      <c r="G39" s="98" t="s">
        <v>15538</v>
      </c>
      <c r="H39" s="99" t="s">
        <v>3739</v>
      </c>
      <c r="I39" s="29"/>
      <c r="J39" s="29"/>
      <c r="K39" s="29"/>
      <c r="L39" s="29"/>
      <c r="M39" s="29"/>
      <c r="N39" s="29"/>
      <c r="O39" s="29"/>
      <c r="P39" s="29"/>
    </row>
    <row r="40" spans="1:26" ht="112.5" customHeight="1" x14ac:dyDescent="0.2">
      <c r="A40" s="75">
        <v>18</v>
      </c>
      <c r="B40" s="94" t="s">
        <v>3876</v>
      </c>
      <c r="C40" s="94" t="s">
        <v>14372</v>
      </c>
      <c r="D40" s="95" t="s">
        <v>14373</v>
      </c>
      <c r="E40" s="96"/>
      <c r="F40" s="97" t="s">
        <v>15563</v>
      </c>
      <c r="G40" s="102" t="s">
        <v>15587</v>
      </c>
      <c r="H40" s="103" t="s">
        <v>3742</v>
      </c>
      <c r="I40" s="29"/>
      <c r="J40" s="29"/>
      <c r="K40" s="29"/>
      <c r="L40" s="29"/>
      <c r="M40" s="29"/>
      <c r="N40" s="29"/>
      <c r="O40" s="29"/>
      <c r="P40" s="29"/>
    </row>
    <row r="41" spans="1:26" ht="112.5" hidden="1" customHeight="1" x14ac:dyDescent="0.3">
      <c r="A41" s="100">
        <v>172</v>
      </c>
      <c r="B41" s="24" t="s">
        <v>3876</v>
      </c>
      <c r="C41" s="24" t="s">
        <v>14502</v>
      </c>
      <c r="D41" s="25" t="s">
        <v>14503</v>
      </c>
      <c r="E41" s="29"/>
      <c r="F41" s="101" t="s">
        <v>15588</v>
      </c>
      <c r="G41" s="102" t="s">
        <v>15538</v>
      </c>
      <c r="H41" s="103" t="s">
        <v>4024</v>
      </c>
      <c r="I41" s="29"/>
      <c r="J41" s="29"/>
      <c r="K41" s="29"/>
      <c r="L41" s="29"/>
      <c r="M41" s="29"/>
      <c r="N41" s="29"/>
      <c r="O41" s="29"/>
      <c r="P41" s="29"/>
    </row>
    <row r="42" spans="1:26" ht="112.5" hidden="1" customHeight="1" x14ac:dyDescent="0.3">
      <c r="A42" s="104">
        <v>173</v>
      </c>
      <c r="B42" s="28" t="s">
        <v>3876</v>
      </c>
      <c r="C42" s="28" t="s">
        <v>14736</v>
      </c>
      <c r="D42" s="27" t="s">
        <v>14737</v>
      </c>
      <c r="E42" s="29"/>
      <c r="F42" s="105" t="s">
        <v>15589</v>
      </c>
      <c r="G42" s="98" t="s">
        <v>15538</v>
      </c>
      <c r="H42" s="99" t="s">
        <v>4027</v>
      </c>
      <c r="I42" s="29"/>
      <c r="J42" s="29"/>
      <c r="K42" s="29"/>
      <c r="L42" s="29"/>
      <c r="M42" s="29"/>
      <c r="N42" s="29"/>
      <c r="O42" s="29"/>
      <c r="P42" s="29"/>
    </row>
    <row r="43" spans="1:26" ht="112.5" hidden="1" customHeight="1" x14ac:dyDescent="0.3">
      <c r="A43" s="100">
        <v>198</v>
      </c>
      <c r="B43" s="24" t="s">
        <v>3876</v>
      </c>
      <c r="C43" s="24" t="s">
        <v>14937</v>
      </c>
      <c r="D43" s="25" t="s">
        <v>14938</v>
      </c>
      <c r="E43" s="29"/>
      <c r="F43" s="101" t="s">
        <v>15590</v>
      </c>
      <c r="G43" s="102" t="s">
        <v>15538</v>
      </c>
      <c r="H43" s="103" t="s">
        <v>4101</v>
      </c>
      <c r="I43" s="29"/>
      <c r="J43" s="29"/>
      <c r="K43" s="29"/>
      <c r="L43" s="29"/>
      <c r="M43" s="29"/>
      <c r="N43" s="29"/>
      <c r="O43" s="29"/>
      <c r="P43" s="29"/>
    </row>
    <row r="44" spans="1:26" ht="112.5" customHeight="1" x14ac:dyDescent="0.2">
      <c r="A44" s="75">
        <v>19</v>
      </c>
      <c r="B44" s="94" t="s">
        <v>3876</v>
      </c>
      <c r="C44" s="94" t="s">
        <v>14505</v>
      </c>
      <c r="D44" s="95" t="s">
        <v>14506</v>
      </c>
      <c r="E44" s="96"/>
      <c r="F44" s="97" t="s">
        <v>15591</v>
      </c>
      <c r="G44" s="98" t="s">
        <v>15592</v>
      </c>
      <c r="H44" s="99" t="s">
        <v>4906</v>
      </c>
      <c r="I44" s="29"/>
      <c r="J44" s="29"/>
      <c r="K44" s="29"/>
      <c r="L44" s="29"/>
      <c r="M44" s="29"/>
      <c r="N44" s="29"/>
      <c r="O44" s="29"/>
      <c r="P44" s="29"/>
    </row>
    <row r="45" spans="1:26" ht="112.5" customHeight="1" x14ac:dyDescent="0.2">
      <c r="A45" s="75">
        <v>20</v>
      </c>
      <c r="B45" s="94" t="s">
        <v>3876</v>
      </c>
      <c r="C45" s="94" t="s">
        <v>12529</v>
      </c>
      <c r="D45" s="95" t="s">
        <v>12530</v>
      </c>
      <c r="E45" s="96"/>
      <c r="F45" s="97" t="s">
        <v>15593</v>
      </c>
      <c r="G45" s="98" t="s">
        <v>15594</v>
      </c>
      <c r="H45" s="99" t="s">
        <v>13618</v>
      </c>
      <c r="I45" s="29"/>
      <c r="J45" s="29"/>
      <c r="K45" s="29"/>
      <c r="L45" s="29"/>
      <c r="M45" s="29"/>
      <c r="N45" s="29"/>
      <c r="O45" s="29"/>
      <c r="P45" s="29"/>
    </row>
    <row r="46" spans="1:26" ht="112.5" hidden="1" customHeight="1" x14ac:dyDescent="0.3">
      <c r="A46" s="104">
        <v>3665</v>
      </c>
      <c r="B46" s="28" t="s">
        <v>3876</v>
      </c>
      <c r="C46" s="28" t="s">
        <v>12928</v>
      </c>
      <c r="D46" s="27" t="s">
        <v>12929</v>
      </c>
      <c r="E46" s="29"/>
      <c r="F46" s="105" t="s">
        <v>15595</v>
      </c>
      <c r="G46" s="98" t="s">
        <v>15538</v>
      </c>
      <c r="H46" s="99" t="s">
        <v>14356</v>
      </c>
      <c r="I46" s="29"/>
      <c r="J46" s="29"/>
      <c r="K46" s="29"/>
      <c r="L46" s="29"/>
      <c r="M46" s="29"/>
      <c r="N46" s="29"/>
      <c r="O46" s="29"/>
      <c r="P46" s="29"/>
    </row>
    <row r="47" spans="1:26" ht="112.5" hidden="1" customHeight="1" x14ac:dyDescent="0.3">
      <c r="A47" s="104">
        <v>3727</v>
      </c>
      <c r="B47" s="28" t="s">
        <v>3876</v>
      </c>
      <c r="C47" s="28" t="s">
        <v>14884</v>
      </c>
      <c r="D47" s="27" t="s">
        <v>14885</v>
      </c>
      <c r="E47" s="29"/>
      <c r="F47" s="105" t="s">
        <v>15552</v>
      </c>
      <c r="G47" s="98" t="s">
        <v>15538</v>
      </c>
      <c r="H47" s="99" t="s">
        <v>14540</v>
      </c>
      <c r="I47" s="29"/>
      <c r="J47" s="29"/>
      <c r="K47" s="29"/>
      <c r="L47" s="29"/>
      <c r="M47" s="29"/>
      <c r="N47" s="29"/>
      <c r="O47" s="29"/>
      <c r="P47" s="29"/>
    </row>
    <row r="48" spans="1:26" ht="112.5" hidden="1" customHeight="1" x14ac:dyDescent="0.3">
      <c r="A48" s="104">
        <v>3739</v>
      </c>
      <c r="B48" s="28" t="s">
        <v>3876</v>
      </c>
      <c r="C48" s="28" t="s">
        <v>14855</v>
      </c>
      <c r="D48" s="27" t="s">
        <v>14856</v>
      </c>
      <c r="E48" s="29"/>
      <c r="F48" s="105" t="s">
        <v>15596</v>
      </c>
      <c r="G48" s="98" t="s">
        <v>15538</v>
      </c>
      <c r="H48" s="99" t="s">
        <v>14576</v>
      </c>
      <c r="I48" s="29"/>
      <c r="J48" s="29"/>
      <c r="K48" s="29"/>
      <c r="L48" s="29"/>
      <c r="M48" s="29"/>
      <c r="N48" s="29"/>
      <c r="O48" s="29"/>
      <c r="P48" s="29"/>
    </row>
    <row r="49" spans="1:16" ht="112.5" customHeight="1" x14ac:dyDescent="0.2">
      <c r="A49" s="75">
        <v>21</v>
      </c>
      <c r="B49" s="94" t="s">
        <v>3876</v>
      </c>
      <c r="C49" s="94" t="s">
        <v>12571</v>
      </c>
      <c r="D49" s="95" t="s">
        <v>12572</v>
      </c>
      <c r="E49" s="96"/>
      <c r="F49" s="97" t="s">
        <v>15552</v>
      </c>
      <c r="G49" s="102" t="s">
        <v>15597</v>
      </c>
      <c r="H49" s="103" t="s">
        <v>14639</v>
      </c>
      <c r="I49" s="29"/>
      <c r="J49" s="29"/>
      <c r="K49" s="29"/>
      <c r="L49" s="29"/>
      <c r="M49" s="29"/>
      <c r="N49" s="29"/>
      <c r="O49" s="29"/>
      <c r="P49" s="29"/>
    </row>
    <row r="50" spans="1:16" ht="112.5" customHeight="1" x14ac:dyDescent="0.2">
      <c r="A50" s="75">
        <v>22</v>
      </c>
      <c r="B50" s="94" t="s">
        <v>3876</v>
      </c>
      <c r="C50" s="94" t="s">
        <v>12940</v>
      </c>
      <c r="D50" s="95" t="s">
        <v>12941</v>
      </c>
      <c r="E50" s="96"/>
      <c r="F50" s="97" t="s">
        <v>15581</v>
      </c>
      <c r="G50" s="98" t="s">
        <v>15598</v>
      </c>
      <c r="H50" s="99" t="s">
        <v>14642</v>
      </c>
      <c r="I50" s="29"/>
      <c r="J50" s="29"/>
      <c r="K50" s="29"/>
      <c r="L50" s="29"/>
      <c r="M50" s="29"/>
      <c r="N50" s="29"/>
      <c r="O50" s="29"/>
      <c r="P50" s="29"/>
    </row>
    <row r="51" spans="1:16" ht="112.5" hidden="1" customHeight="1" x14ac:dyDescent="0.3">
      <c r="A51" s="104">
        <v>3827</v>
      </c>
      <c r="B51" s="28" t="s">
        <v>3876</v>
      </c>
      <c r="C51" s="28" t="s">
        <v>14643</v>
      </c>
      <c r="D51" s="27" t="s">
        <v>14644</v>
      </c>
      <c r="E51" s="29"/>
      <c r="F51" s="105" t="s">
        <v>15599</v>
      </c>
      <c r="G51" s="98" t="s">
        <v>15538</v>
      </c>
      <c r="H51" s="99" t="s">
        <v>14840</v>
      </c>
      <c r="I51" s="29"/>
      <c r="J51" s="29"/>
      <c r="K51" s="29"/>
      <c r="L51" s="29"/>
      <c r="M51" s="29"/>
      <c r="N51" s="29"/>
      <c r="O51" s="29"/>
      <c r="P51" s="29"/>
    </row>
    <row r="52" spans="1:16" ht="112.5" hidden="1" customHeight="1" x14ac:dyDescent="0.3">
      <c r="A52" s="104">
        <v>3941</v>
      </c>
      <c r="B52" s="28" t="s">
        <v>3876</v>
      </c>
      <c r="C52" s="28" t="s">
        <v>13825</v>
      </c>
      <c r="D52" s="27" t="s">
        <v>13826</v>
      </c>
      <c r="E52" s="29"/>
      <c r="F52" s="105" t="s">
        <v>15538</v>
      </c>
      <c r="G52" s="98" t="s">
        <v>15538</v>
      </c>
      <c r="H52" s="99" t="s">
        <v>15177</v>
      </c>
      <c r="I52" s="29"/>
      <c r="J52" s="29"/>
      <c r="K52" s="29"/>
      <c r="L52" s="29"/>
      <c r="M52" s="29"/>
      <c r="N52" s="29"/>
      <c r="O52" s="29"/>
      <c r="P52" s="29"/>
    </row>
    <row r="53" spans="1:16" ht="112.5" hidden="1" customHeight="1" x14ac:dyDescent="0.3">
      <c r="A53" s="100">
        <v>290</v>
      </c>
      <c r="B53" s="24" t="s">
        <v>3556</v>
      </c>
      <c r="C53" s="24" t="s">
        <v>14300</v>
      </c>
      <c r="D53" s="25" t="s">
        <v>14301</v>
      </c>
      <c r="E53" s="29"/>
      <c r="F53" s="101" t="s">
        <v>15600</v>
      </c>
      <c r="G53" s="102" t="s">
        <v>15538</v>
      </c>
      <c r="H53" s="103" t="s">
        <v>4379</v>
      </c>
      <c r="I53" s="29"/>
      <c r="J53" s="29"/>
      <c r="K53" s="29"/>
      <c r="L53" s="29"/>
      <c r="M53" s="29"/>
      <c r="N53" s="29"/>
      <c r="O53" s="29"/>
      <c r="P53" s="29"/>
    </row>
    <row r="54" spans="1:16" ht="112.5" hidden="1" customHeight="1" x14ac:dyDescent="0.3">
      <c r="A54" s="104">
        <v>291</v>
      </c>
      <c r="B54" s="28" t="s">
        <v>3556</v>
      </c>
      <c r="C54" s="28" t="s">
        <v>14303</v>
      </c>
      <c r="D54" s="27" t="s">
        <v>14304</v>
      </c>
      <c r="E54" s="29"/>
      <c r="F54" s="105" t="s">
        <v>15601</v>
      </c>
      <c r="G54" s="98" t="s">
        <v>15538</v>
      </c>
      <c r="H54" s="99" t="s">
        <v>4382</v>
      </c>
      <c r="I54" s="29"/>
      <c r="J54" s="29"/>
      <c r="K54" s="29"/>
      <c r="L54" s="29"/>
      <c r="M54" s="29"/>
      <c r="N54" s="29"/>
      <c r="O54" s="29"/>
      <c r="P54" s="29"/>
    </row>
    <row r="55" spans="1:16" ht="112.5" hidden="1" customHeight="1" x14ac:dyDescent="0.3">
      <c r="A55" s="104">
        <v>439</v>
      </c>
      <c r="B55" s="28" t="s">
        <v>3556</v>
      </c>
      <c r="C55" s="28" t="s">
        <v>14306</v>
      </c>
      <c r="D55" s="27" t="s">
        <v>14307</v>
      </c>
      <c r="E55" s="29"/>
      <c r="F55" s="105" t="s">
        <v>15602</v>
      </c>
      <c r="G55" s="98" t="s">
        <v>15538</v>
      </c>
      <c r="H55" s="99" t="s">
        <v>4824</v>
      </c>
      <c r="I55" s="29"/>
      <c r="J55" s="29"/>
      <c r="K55" s="29"/>
      <c r="L55" s="29"/>
      <c r="M55" s="29"/>
      <c r="N55" s="29"/>
      <c r="O55" s="29"/>
      <c r="P55" s="29"/>
    </row>
    <row r="56" spans="1:16" ht="112.5" hidden="1" customHeight="1" x14ac:dyDescent="0.3">
      <c r="A56" s="104">
        <v>447</v>
      </c>
      <c r="B56" s="28" t="s">
        <v>3556</v>
      </c>
      <c r="C56" s="28" t="s">
        <v>13288</v>
      </c>
      <c r="D56" s="27" t="s">
        <v>13289</v>
      </c>
      <c r="E56" s="29"/>
      <c r="F56" s="105" t="s">
        <v>15603</v>
      </c>
      <c r="G56" s="98" t="s">
        <v>15538</v>
      </c>
      <c r="H56" s="99" t="s">
        <v>4847</v>
      </c>
      <c r="I56" s="29"/>
      <c r="J56" s="29"/>
      <c r="K56" s="29"/>
      <c r="L56" s="29"/>
      <c r="M56" s="29"/>
      <c r="N56" s="29"/>
      <c r="O56" s="29"/>
      <c r="P56" s="29"/>
    </row>
    <row r="57" spans="1:16" ht="112.5" hidden="1" customHeight="1" x14ac:dyDescent="0.3">
      <c r="A57" s="104">
        <v>457</v>
      </c>
      <c r="B57" s="28" t="s">
        <v>3556</v>
      </c>
      <c r="C57" s="28" t="s">
        <v>13407</v>
      </c>
      <c r="D57" s="27" t="s">
        <v>13408</v>
      </c>
      <c r="E57" s="29"/>
      <c r="F57" s="105" t="s">
        <v>15604</v>
      </c>
      <c r="G57" s="98" t="s">
        <v>15538</v>
      </c>
      <c r="H57" s="99" t="s">
        <v>4876</v>
      </c>
      <c r="I57" s="29"/>
      <c r="J57" s="29"/>
      <c r="K57" s="29"/>
      <c r="L57" s="29"/>
      <c r="M57" s="29"/>
      <c r="N57" s="29"/>
      <c r="O57" s="29"/>
      <c r="P57" s="29"/>
    </row>
    <row r="58" spans="1:16" ht="112.5" hidden="1" customHeight="1" x14ac:dyDescent="0.3">
      <c r="A58" s="104">
        <v>479</v>
      </c>
      <c r="B58" s="28" t="s">
        <v>3556</v>
      </c>
      <c r="C58" s="28" t="s">
        <v>13126</v>
      </c>
      <c r="D58" s="27" t="s">
        <v>13127</v>
      </c>
      <c r="E58" s="29"/>
      <c r="F58" s="105" t="s">
        <v>15602</v>
      </c>
      <c r="G58" s="98" t="s">
        <v>15538</v>
      </c>
      <c r="H58" s="99" t="s">
        <v>4824</v>
      </c>
      <c r="I58" s="29"/>
      <c r="J58" s="29"/>
      <c r="K58" s="29"/>
      <c r="L58" s="29"/>
      <c r="M58" s="29"/>
      <c r="N58" s="29"/>
      <c r="O58" s="29"/>
      <c r="P58" s="29"/>
    </row>
    <row r="59" spans="1:16" ht="112.5" hidden="1" customHeight="1" x14ac:dyDescent="0.3">
      <c r="A59" s="100">
        <v>3098</v>
      </c>
      <c r="B59" s="24" t="s">
        <v>3556</v>
      </c>
      <c r="C59" s="24" t="s">
        <v>13443</v>
      </c>
      <c r="D59" s="25" t="s">
        <v>13444</v>
      </c>
      <c r="E59" s="29"/>
      <c r="F59" s="101" t="s">
        <v>15576</v>
      </c>
      <c r="G59" s="102" t="s">
        <v>15538</v>
      </c>
      <c r="H59" s="103" t="s">
        <v>12696</v>
      </c>
      <c r="I59" s="29"/>
      <c r="J59" s="29"/>
      <c r="K59" s="29"/>
      <c r="L59" s="29"/>
      <c r="M59" s="29"/>
      <c r="N59" s="29"/>
      <c r="O59" s="29"/>
      <c r="P59" s="29"/>
    </row>
    <row r="60" spans="1:16" ht="112.5" hidden="1" customHeight="1" x14ac:dyDescent="0.3">
      <c r="A60" s="100">
        <v>3474</v>
      </c>
      <c r="B60" s="24" t="s">
        <v>3556</v>
      </c>
      <c r="C60" s="24" t="s">
        <v>12595</v>
      </c>
      <c r="D60" s="25" t="s">
        <v>12596</v>
      </c>
      <c r="E60" s="29"/>
      <c r="F60" s="101" t="s">
        <v>15605</v>
      </c>
      <c r="G60" s="102" t="s">
        <v>15538</v>
      </c>
      <c r="H60" s="103" t="s">
        <v>13788</v>
      </c>
      <c r="I60" s="29"/>
      <c r="J60" s="29"/>
      <c r="K60" s="29"/>
      <c r="L60" s="29"/>
      <c r="M60" s="29"/>
      <c r="N60" s="29"/>
      <c r="O60" s="29"/>
      <c r="P60" s="29"/>
    </row>
    <row r="61" spans="1:16" ht="112.5" customHeight="1" x14ac:dyDescent="0.2">
      <c r="A61" s="75">
        <v>23</v>
      </c>
      <c r="B61" s="94" t="s">
        <v>3556</v>
      </c>
      <c r="C61" s="94" t="s">
        <v>15193</v>
      </c>
      <c r="D61" s="95" t="s">
        <v>15194</v>
      </c>
      <c r="E61" s="96"/>
      <c r="F61" s="97" t="s">
        <v>15606</v>
      </c>
      <c r="G61" s="102" t="s">
        <v>15607</v>
      </c>
      <c r="H61" s="103" t="s">
        <v>14179</v>
      </c>
      <c r="I61" s="29"/>
      <c r="J61" s="29"/>
      <c r="K61" s="29"/>
      <c r="L61" s="29"/>
      <c r="M61" s="29"/>
      <c r="N61" s="29"/>
      <c r="O61" s="29"/>
      <c r="P61" s="29"/>
    </row>
    <row r="62" spans="1:16" ht="112.5" customHeight="1" x14ac:dyDescent="0.2">
      <c r="A62" s="75">
        <v>24</v>
      </c>
      <c r="B62" s="94" t="s">
        <v>3556</v>
      </c>
      <c r="C62" s="94" t="s">
        <v>15151</v>
      </c>
      <c r="D62" s="95" t="s">
        <v>15152</v>
      </c>
      <c r="E62" s="96"/>
      <c r="F62" s="97" t="s">
        <v>15566</v>
      </c>
      <c r="G62" s="102" t="s">
        <v>15608</v>
      </c>
      <c r="H62" s="103" t="s">
        <v>14245</v>
      </c>
      <c r="I62" s="29"/>
      <c r="J62" s="29"/>
      <c r="K62" s="29"/>
      <c r="L62" s="29"/>
      <c r="M62" s="29"/>
      <c r="N62" s="29"/>
      <c r="O62" s="29"/>
      <c r="P62" s="29"/>
    </row>
    <row r="63" spans="1:16" ht="112.5" customHeight="1" x14ac:dyDescent="0.2">
      <c r="A63" s="75">
        <v>25</v>
      </c>
      <c r="B63" s="94" t="s">
        <v>3556</v>
      </c>
      <c r="C63" s="94" t="s">
        <v>12553</v>
      </c>
      <c r="D63" s="95" t="s">
        <v>12554</v>
      </c>
      <c r="E63" s="96"/>
      <c r="F63" s="97" t="s">
        <v>15609</v>
      </c>
      <c r="G63" s="102" t="s">
        <v>15610</v>
      </c>
      <c r="H63" s="103" t="s">
        <v>14543</v>
      </c>
      <c r="I63" s="29"/>
      <c r="J63" s="29"/>
      <c r="K63" s="29"/>
      <c r="L63" s="29"/>
      <c r="M63" s="29"/>
      <c r="N63" s="29"/>
      <c r="O63" s="29"/>
      <c r="P63" s="29"/>
    </row>
    <row r="64" spans="1:16" ht="112.5" hidden="1" customHeight="1" x14ac:dyDescent="0.3">
      <c r="A64" s="100">
        <v>3810</v>
      </c>
      <c r="B64" s="24" t="s">
        <v>3556</v>
      </c>
      <c r="C64" s="24" t="s">
        <v>12863</v>
      </c>
      <c r="D64" s="25" t="s">
        <v>12864</v>
      </c>
      <c r="E64" s="29"/>
      <c r="F64" s="101" t="s">
        <v>15611</v>
      </c>
      <c r="G64" s="102" t="s">
        <v>15538</v>
      </c>
      <c r="H64" s="103" t="s">
        <v>14789</v>
      </c>
      <c r="I64" s="29"/>
      <c r="J64" s="29"/>
      <c r="K64" s="29"/>
      <c r="L64" s="29"/>
      <c r="M64" s="29"/>
      <c r="N64" s="29"/>
      <c r="O64" s="29"/>
      <c r="P64" s="29"/>
    </row>
    <row r="65" spans="1:16" ht="112.5" customHeight="1" x14ac:dyDescent="0.2">
      <c r="A65" s="75">
        <v>26</v>
      </c>
      <c r="B65" s="94" t="s">
        <v>3556</v>
      </c>
      <c r="C65" s="94" t="s">
        <v>14598</v>
      </c>
      <c r="D65" s="95" t="s">
        <v>14599</v>
      </c>
      <c r="E65" s="96"/>
      <c r="F65" s="97" t="s">
        <v>15612</v>
      </c>
      <c r="G65" s="102" t="s">
        <v>15613</v>
      </c>
      <c r="H65" s="103" t="s">
        <v>14860</v>
      </c>
      <c r="I65" s="29"/>
      <c r="J65" s="29"/>
      <c r="K65" s="29"/>
      <c r="L65" s="29"/>
      <c r="M65" s="29"/>
      <c r="N65" s="29"/>
      <c r="O65" s="29"/>
      <c r="P65" s="29"/>
    </row>
    <row r="66" spans="1:16" ht="112.5" customHeight="1" x14ac:dyDescent="0.2">
      <c r="A66" s="75">
        <v>27</v>
      </c>
      <c r="B66" s="94" t="s">
        <v>3556</v>
      </c>
      <c r="C66" s="94" t="s">
        <v>12432</v>
      </c>
      <c r="D66" s="95" t="s">
        <v>12433</v>
      </c>
      <c r="E66" s="96"/>
      <c r="F66" s="97" t="s">
        <v>15614</v>
      </c>
      <c r="G66" s="98" t="s">
        <v>15615</v>
      </c>
      <c r="H66" s="99" t="s">
        <v>14863</v>
      </c>
      <c r="I66" s="29"/>
      <c r="J66" s="29"/>
      <c r="K66" s="29"/>
      <c r="L66" s="29"/>
      <c r="M66" s="29"/>
      <c r="N66" s="29"/>
      <c r="O66" s="29"/>
      <c r="P66" s="29"/>
    </row>
    <row r="67" spans="1:16" ht="112.5" hidden="1" customHeight="1" x14ac:dyDescent="0.3">
      <c r="A67" s="104">
        <v>3837</v>
      </c>
      <c r="B67" s="28" t="s">
        <v>3556</v>
      </c>
      <c r="C67" s="28" t="s">
        <v>13192</v>
      </c>
      <c r="D67" s="27" t="s">
        <v>13193</v>
      </c>
      <c r="E67" s="29"/>
      <c r="F67" s="105" t="s">
        <v>15616</v>
      </c>
      <c r="G67" s="98" t="s">
        <v>15538</v>
      </c>
      <c r="H67" s="99" t="s">
        <v>14868</v>
      </c>
      <c r="I67" s="29"/>
      <c r="J67" s="29"/>
      <c r="K67" s="29"/>
      <c r="L67" s="29"/>
      <c r="M67" s="29"/>
      <c r="N67" s="29"/>
      <c r="O67" s="29"/>
      <c r="P67" s="29"/>
    </row>
    <row r="68" spans="1:16" ht="112.5" hidden="1" customHeight="1" x14ac:dyDescent="0.3">
      <c r="A68" s="104">
        <v>3839</v>
      </c>
      <c r="B68" s="28" t="s">
        <v>3556</v>
      </c>
      <c r="C68" s="28" t="s">
        <v>13422</v>
      </c>
      <c r="D68" s="27" t="s">
        <v>13423</v>
      </c>
      <c r="E68" s="29"/>
      <c r="F68" s="105" t="s">
        <v>15617</v>
      </c>
      <c r="G68" s="98" t="s">
        <v>15538</v>
      </c>
      <c r="H68" s="99" t="s">
        <v>14874</v>
      </c>
      <c r="I68" s="29"/>
      <c r="J68" s="29"/>
      <c r="K68" s="29"/>
      <c r="L68" s="29"/>
      <c r="M68" s="29"/>
      <c r="N68" s="29"/>
      <c r="O68" s="29"/>
      <c r="P68" s="29"/>
    </row>
    <row r="69" spans="1:16" ht="112.5" customHeight="1" x14ac:dyDescent="0.2">
      <c r="A69" s="75">
        <v>28</v>
      </c>
      <c r="B69" s="94" t="s">
        <v>3556</v>
      </c>
      <c r="C69" s="94" t="s">
        <v>14577</v>
      </c>
      <c r="D69" s="95" t="s">
        <v>14578</v>
      </c>
      <c r="E69" s="96"/>
      <c r="F69" s="97" t="s">
        <v>15618</v>
      </c>
      <c r="G69" s="102" t="s">
        <v>15619</v>
      </c>
      <c r="H69" s="103" t="s">
        <v>14900</v>
      </c>
      <c r="I69" s="29"/>
      <c r="J69" s="29"/>
      <c r="K69" s="29"/>
      <c r="L69" s="29"/>
      <c r="M69" s="29"/>
      <c r="N69" s="29"/>
      <c r="O69" s="29"/>
      <c r="P69" s="29"/>
    </row>
    <row r="70" spans="1:16" ht="112.5" hidden="1" customHeight="1" x14ac:dyDescent="0.3">
      <c r="A70" s="100">
        <v>3852</v>
      </c>
      <c r="B70" s="24" t="s">
        <v>3556</v>
      </c>
      <c r="C70" s="24" t="s">
        <v>13386</v>
      </c>
      <c r="D70" s="25" t="s">
        <v>13387</v>
      </c>
      <c r="E70" s="29"/>
      <c r="F70" s="101" t="s">
        <v>15620</v>
      </c>
      <c r="G70" s="106" t="s">
        <v>4171</v>
      </c>
      <c r="H70" s="103" t="s">
        <v>14912</v>
      </c>
      <c r="I70" s="29"/>
      <c r="J70" s="29"/>
      <c r="K70" s="29"/>
      <c r="L70" s="29"/>
      <c r="M70" s="29"/>
      <c r="N70" s="29"/>
      <c r="O70" s="29"/>
      <c r="P70" s="29"/>
    </row>
    <row r="71" spans="1:16" ht="112.5" hidden="1" customHeight="1" x14ac:dyDescent="0.3">
      <c r="A71" s="104">
        <v>3873</v>
      </c>
      <c r="B71" s="28" t="s">
        <v>3556</v>
      </c>
      <c r="C71" s="28" t="s">
        <v>12806</v>
      </c>
      <c r="D71" s="27" t="s">
        <v>12807</v>
      </c>
      <c r="E71" s="29"/>
      <c r="F71" s="105" t="s">
        <v>15535</v>
      </c>
      <c r="G71" s="98" t="s">
        <v>15538</v>
      </c>
      <c r="H71" s="99" t="s">
        <v>14975</v>
      </c>
      <c r="I71" s="29"/>
      <c r="J71" s="29"/>
      <c r="K71" s="29"/>
      <c r="L71" s="29"/>
      <c r="M71" s="29"/>
      <c r="N71" s="29"/>
      <c r="O71" s="29"/>
      <c r="P71" s="29"/>
    </row>
    <row r="72" spans="1:16" ht="112.5" customHeight="1" x14ac:dyDescent="0.2">
      <c r="A72" s="75">
        <v>29</v>
      </c>
      <c r="B72" s="94" t="s">
        <v>3556</v>
      </c>
      <c r="C72" s="94" t="s">
        <v>12586</v>
      </c>
      <c r="D72" s="95" t="s">
        <v>12587</v>
      </c>
      <c r="E72" s="96"/>
      <c r="F72" s="97" t="s">
        <v>15621</v>
      </c>
      <c r="G72" s="98" t="s">
        <v>15622</v>
      </c>
      <c r="H72" s="99" t="s">
        <v>15052</v>
      </c>
      <c r="I72" s="29"/>
      <c r="J72" s="29"/>
      <c r="K72" s="29"/>
      <c r="L72" s="29"/>
      <c r="M72" s="29"/>
      <c r="N72" s="29"/>
      <c r="O72" s="29"/>
      <c r="P72" s="29"/>
    </row>
    <row r="73" spans="1:16" ht="112.5" hidden="1" customHeight="1" x14ac:dyDescent="0.3">
      <c r="A73" s="104">
        <v>3901</v>
      </c>
      <c r="B73" s="28" t="s">
        <v>3556</v>
      </c>
      <c r="C73" s="28" t="s">
        <v>12735</v>
      </c>
      <c r="D73" s="27" t="s">
        <v>12736</v>
      </c>
      <c r="E73" s="29"/>
      <c r="F73" s="105" t="s">
        <v>15623</v>
      </c>
      <c r="G73" s="98" t="s">
        <v>15538</v>
      </c>
      <c r="H73" s="99" t="s">
        <v>15058</v>
      </c>
      <c r="I73" s="29"/>
      <c r="J73" s="29"/>
      <c r="K73" s="29"/>
      <c r="L73" s="29"/>
      <c r="M73" s="29"/>
      <c r="N73" s="29"/>
      <c r="O73" s="29"/>
      <c r="P73" s="29"/>
    </row>
    <row r="74" spans="1:16" ht="112.5" hidden="1" customHeight="1" x14ac:dyDescent="0.3">
      <c r="A74" s="100">
        <v>3922</v>
      </c>
      <c r="B74" s="24" t="s">
        <v>3556</v>
      </c>
      <c r="C74" s="24" t="s">
        <v>13483</v>
      </c>
      <c r="D74" s="25" t="s">
        <v>13484</v>
      </c>
      <c r="E74" s="29"/>
      <c r="F74" s="101" t="s">
        <v>15624</v>
      </c>
      <c r="G74" s="102" t="s">
        <v>15538</v>
      </c>
      <c r="H74" s="103" t="s">
        <v>15121</v>
      </c>
      <c r="I74" s="29"/>
      <c r="J74" s="29"/>
      <c r="K74" s="29"/>
      <c r="L74" s="29"/>
      <c r="M74" s="29"/>
      <c r="N74" s="29"/>
      <c r="O74" s="29"/>
      <c r="P74" s="29"/>
    </row>
    <row r="75" spans="1:16" ht="112.5" hidden="1" customHeight="1" x14ac:dyDescent="0.3">
      <c r="A75" s="104">
        <v>4013</v>
      </c>
      <c r="B75" s="28" t="s">
        <v>3556</v>
      </c>
      <c r="C75" s="28" t="s">
        <v>13602</v>
      </c>
      <c r="D75" s="27" t="s">
        <v>13603</v>
      </c>
      <c r="E75" s="29"/>
      <c r="F75" s="105" t="s">
        <v>15538</v>
      </c>
      <c r="G75" s="98" t="s">
        <v>15538</v>
      </c>
      <c r="H75" s="99" t="s">
        <v>15391</v>
      </c>
      <c r="I75" s="29"/>
      <c r="J75" s="29"/>
      <c r="K75" s="29"/>
      <c r="L75" s="29"/>
      <c r="M75" s="29"/>
      <c r="N75" s="29"/>
      <c r="O75" s="29"/>
      <c r="P75" s="29"/>
    </row>
    <row r="76" spans="1:16" ht="112.5" customHeight="1" x14ac:dyDescent="0.2">
      <c r="A76" s="75">
        <v>30</v>
      </c>
      <c r="B76" s="94" t="s">
        <v>3599</v>
      </c>
      <c r="C76" s="94" t="s">
        <v>14781</v>
      </c>
      <c r="D76" s="95" t="s">
        <v>14782</v>
      </c>
      <c r="E76" s="96"/>
      <c r="F76" s="97" t="s">
        <v>15625</v>
      </c>
      <c r="G76" s="98" t="s">
        <v>15572</v>
      </c>
      <c r="H76" s="99" t="s">
        <v>3542</v>
      </c>
      <c r="I76" s="29"/>
      <c r="J76" s="29"/>
      <c r="K76" s="29"/>
      <c r="L76" s="29"/>
      <c r="M76" s="29"/>
      <c r="N76" s="29"/>
      <c r="O76" s="29"/>
      <c r="P76" s="29"/>
    </row>
    <row r="77" spans="1:16" ht="112.5" hidden="1" customHeight="1" x14ac:dyDescent="0.3">
      <c r="A77" s="100">
        <v>246</v>
      </c>
      <c r="B77" s="24" t="s">
        <v>3599</v>
      </c>
      <c r="C77" s="24" t="s">
        <v>12488</v>
      </c>
      <c r="D77" s="25" t="s">
        <v>12489</v>
      </c>
      <c r="E77" s="29"/>
      <c r="F77" s="101" t="s">
        <v>15581</v>
      </c>
      <c r="G77" s="102" t="s">
        <v>15538</v>
      </c>
      <c r="H77" s="103" t="s">
        <v>4246</v>
      </c>
      <c r="I77" s="29"/>
      <c r="J77" s="29"/>
      <c r="K77" s="29"/>
      <c r="L77" s="29"/>
      <c r="M77" s="29"/>
      <c r="N77" s="29"/>
      <c r="O77" s="29"/>
      <c r="P77" s="29"/>
    </row>
    <row r="78" spans="1:16" ht="112.5" hidden="1" customHeight="1" x14ac:dyDescent="0.3">
      <c r="A78" s="100">
        <v>250</v>
      </c>
      <c r="B78" s="24" t="s">
        <v>3599</v>
      </c>
      <c r="C78" s="24" t="s">
        <v>13554</v>
      </c>
      <c r="D78" s="25" t="s">
        <v>13555</v>
      </c>
      <c r="E78" s="29"/>
      <c r="F78" s="101" t="s">
        <v>15548</v>
      </c>
      <c r="G78" s="102" t="s">
        <v>15538</v>
      </c>
      <c r="H78" s="103" t="s">
        <v>4258</v>
      </c>
      <c r="I78" s="29"/>
      <c r="J78" s="29"/>
      <c r="K78" s="29"/>
      <c r="L78" s="29"/>
      <c r="M78" s="29"/>
      <c r="N78" s="29"/>
      <c r="O78" s="29"/>
      <c r="P78" s="29"/>
    </row>
    <row r="79" spans="1:16" ht="112.5" hidden="1" customHeight="1" x14ac:dyDescent="0.3">
      <c r="A79" s="104">
        <v>259</v>
      </c>
      <c r="B79" s="28" t="s">
        <v>3599</v>
      </c>
      <c r="C79" s="28" t="s">
        <v>13186</v>
      </c>
      <c r="D79" s="27" t="s">
        <v>13187</v>
      </c>
      <c r="E79" s="29"/>
      <c r="F79" s="105" t="s">
        <v>15626</v>
      </c>
      <c r="G79" s="98" t="s">
        <v>15538</v>
      </c>
      <c r="H79" s="99" t="s">
        <v>4285</v>
      </c>
      <c r="I79" s="29"/>
      <c r="J79" s="29"/>
      <c r="K79" s="29"/>
      <c r="L79" s="29"/>
      <c r="M79" s="29"/>
      <c r="N79" s="29"/>
      <c r="O79" s="29"/>
      <c r="P79" s="29"/>
    </row>
    <row r="80" spans="1:16" ht="112.5" hidden="1" customHeight="1" x14ac:dyDescent="0.3">
      <c r="A80" s="100">
        <v>266</v>
      </c>
      <c r="B80" s="24" t="s">
        <v>3599</v>
      </c>
      <c r="C80" s="24" t="s">
        <v>13315</v>
      </c>
      <c r="D80" s="25" t="s">
        <v>13316</v>
      </c>
      <c r="E80" s="29"/>
      <c r="F80" s="101" t="s">
        <v>15627</v>
      </c>
      <c r="G80" s="102" t="s">
        <v>15538</v>
      </c>
      <c r="H80" s="103" t="s">
        <v>4306</v>
      </c>
      <c r="I80" s="29"/>
      <c r="J80" s="29"/>
      <c r="K80" s="29"/>
      <c r="L80" s="29"/>
      <c r="M80" s="29"/>
      <c r="N80" s="29"/>
      <c r="O80" s="29"/>
      <c r="P80" s="29"/>
    </row>
    <row r="81" spans="1:16" ht="112.5" hidden="1" customHeight="1" x14ac:dyDescent="0.3">
      <c r="A81" s="100">
        <v>3566</v>
      </c>
      <c r="B81" s="24" t="s">
        <v>3599</v>
      </c>
      <c r="C81" s="24" t="s">
        <v>15345</v>
      </c>
      <c r="D81" s="25" t="s">
        <v>15346</v>
      </c>
      <c r="E81" s="29"/>
      <c r="F81" s="101" t="s">
        <v>15606</v>
      </c>
      <c r="G81" s="102" t="s">
        <v>15538</v>
      </c>
      <c r="H81" s="103" t="s">
        <v>14062</v>
      </c>
      <c r="I81" s="29"/>
      <c r="J81" s="29"/>
      <c r="K81" s="29"/>
      <c r="L81" s="29"/>
      <c r="M81" s="29"/>
      <c r="N81" s="29"/>
      <c r="O81" s="29"/>
      <c r="P81" s="29"/>
    </row>
    <row r="82" spans="1:16" ht="112.5" hidden="1" customHeight="1" x14ac:dyDescent="0.3">
      <c r="A82" s="100">
        <v>3614</v>
      </c>
      <c r="B82" s="24" t="s">
        <v>3599</v>
      </c>
      <c r="C82" s="24" t="s">
        <v>15172</v>
      </c>
      <c r="D82" s="25" t="s">
        <v>15173</v>
      </c>
      <c r="E82" s="29"/>
      <c r="F82" s="101" t="s">
        <v>15628</v>
      </c>
      <c r="G82" s="102" t="s">
        <v>15538</v>
      </c>
      <c r="H82" s="103" t="s">
        <v>14203</v>
      </c>
      <c r="I82" s="29"/>
      <c r="J82" s="29"/>
      <c r="K82" s="29"/>
      <c r="L82" s="29"/>
      <c r="M82" s="29"/>
      <c r="N82" s="29"/>
      <c r="O82" s="29"/>
      <c r="P82" s="29"/>
    </row>
    <row r="83" spans="1:16" ht="112.5" hidden="1" customHeight="1" x14ac:dyDescent="0.3">
      <c r="A83" s="104">
        <v>3615</v>
      </c>
      <c r="B83" s="28" t="s">
        <v>3599</v>
      </c>
      <c r="C83" s="28" t="s">
        <v>15169</v>
      </c>
      <c r="D83" s="27" t="s">
        <v>15170</v>
      </c>
      <c r="E83" s="29"/>
      <c r="F83" s="105" t="s">
        <v>15538</v>
      </c>
      <c r="G83" s="98" t="s">
        <v>15538</v>
      </c>
      <c r="H83" s="99" t="s">
        <v>14206</v>
      </c>
      <c r="I83" s="29"/>
      <c r="J83" s="29"/>
      <c r="K83" s="29"/>
      <c r="L83" s="29"/>
      <c r="M83" s="29"/>
      <c r="N83" s="29"/>
      <c r="O83" s="29"/>
      <c r="P83" s="29"/>
    </row>
    <row r="84" spans="1:16" ht="112.5" customHeight="1" x14ac:dyDescent="0.2">
      <c r="A84" s="75">
        <v>31</v>
      </c>
      <c r="B84" s="94" t="s">
        <v>3599</v>
      </c>
      <c r="C84" s="94" t="s">
        <v>15160</v>
      </c>
      <c r="D84" s="95" t="s">
        <v>15161</v>
      </c>
      <c r="E84" s="96"/>
      <c r="F84" s="97" t="s">
        <v>15628</v>
      </c>
      <c r="G84" s="102" t="s">
        <v>15629</v>
      </c>
      <c r="H84" s="103" t="s">
        <v>14209</v>
      </c>
      <c r="I84" s="29"/>
      <c r="J84" s="29"/>
      <c r="K84" s="29"/>
      <c r="L84" s="29"/>
      <c r="M84" s="29"/>
      <c r="N84" s="29"/>
      <c r="O84" s="29"/>
      <c r="P84" s="29"/>
    </row>
    <row r="85" spans="1:16" ht="112.5" customHeight="1" x14ac:dyDescent="0.2">
      <c r="A85" s="75">
        <v>32</v>
      </c>
      <c r="B85" s="94" t="s">
        <v>3599</v>
      </c>
      <c r="C85" s="94" t="s">
        <v>15163</v>
      </c>
      <c r="D85" s="95" t="s">
        <v>15164</v>
      </c>
      <c r="E85" s="96"/>
      <c r="F85" s="97" t="s">
        <v>15628</v>
      </c>
      <c r="G85" s="98" t="s">
        <v>15630</v>
      </c>
      <c r="H85" s="99" t="s">
        <v>14212</v>
      </c>
      <c r="I85" s="29"/>
      <c r="J85" s="29"/>
      <c r="K85" s="29"/>
      <c r="L85" s="29"/>
      <c r="M85" s="29"/>
      <c r="N85" s="29"/>
      <c r="O85" s="29"/>
      <c r="P85" s="29"/>
    </row>
    <row r="86" spans="1:16" ht="112.5" hidden="1" customHeight="1" x14ac:dyDescent="0.3">
      <c r="A86" s="104">
        <v>3723</v>
      </c>
      <c r="B86" s="28" t="s">
        <v>3599</v>
      </c>
      <c r="C86" s="28" t="s">
        <v>14890</v>
      </c>
      <c r="D86" s="27" t="s">
        <v>14891</v>
      </c>
      <c r="E86" s="29"/>
      <c r="F86" s="105" t="s">
        <v>15631</v>
      </c>
      <c r="G86" s="98" t="s">
        <v>15538</v>
      </c>
      <c r="H86" s="99" t="s">
        <v>14528</v>
      </c>
      <c r="I86" s="29"/>
      <c r="J86" s="29"/>
      <c r="K86" s="29"/>
      <c r="L86" s="29"/>
      <c r="M86" s="29"/>
      <c r="N86" s="29"/>
      <c r="O86" s="29"/>
      <c r="P86" s="29"/>
    </row>
    <row r="87" spans="1:16" ht="112.5" hidden="1" customHeight="1" x14ac:dyDescent="0.3">
      <c r="A87" s="104">
        <v>3741</v>
      </c>
      <c r="B87" s="28" t="s">
        <v>3599</v>
      </c>
      <c r="C87" s="28" t="s">
        <v>12711</v>
      </c>
      <c r="D87" s="27" t="s">
        <v>12712</v>
      </c>
      <c r="E87" s="29"/>
      <c r="F87" s="105" t="s">
        <v>15626</v>
      </c>
      <c r="G87" s="98" t="s">
        <v>15538</v>
      </c>
      <c r="H87" s="99" t="s">
        <v>14582</v>
      </c>
      <c r="I87" s="29"/>
      <c r="J87" s="29"/>
      <c r="K87" s="29"/>
      <c r="L87" s="29"/>
      <c r="M87" s="29"/>
      <c r="N87" s="29"/>
      <c r="O87" s="29"/>
      <c r="P87" s="29"/>
    </row>
    <row r="88" spans="1:16" ht="112.5" hidden="1" customHeight="1" x14ac:dyDescent="0.3">
      <c r="A88" s="104">
        <v>3763</v>
      </c>
      <c r="B88" s="28" t="s">
        <v>3599</v>
      </c>
      <c r="C88" s="28" t="s">
        <v>14814</v>
      </c>
      <c r="D88" s="27" t="s">
        <v>14815</v>
      </c>
      <c r="E88" s="29"/>
      <c r="F88" s="105" t="s">
        <v>15632</v>
      </c>
      <c r="G88" s="98" t="s">
        <v>15538</v>
      </c>
      <c r="H88" s="99" t="s">
        <v>14648</v>
      </c>
      <c r="I88" s="29"/>
      <c r="J88" s="29"/>
      <c r="K88" s="29"/>
      <c r="L88" s="29"/>
      <c r="M88" s="29"/>
      <c r="N88" s="29"/>
      <c r="O88" s="29"/>
      <c r="P88" s="29"/>
    </row>
    <row r="89" spans="1:16" ht="112.5" hidden="1" customHeight="1" x14ac:dyDescent="0.3">
      <c r="A89" s="100">
        <v>3812</v>
      </c>
      <c r="B89" s="24" t="s">
        <v>3599</v>
      </c>
      <c r="C89" s="24" t="s">
        <v>14679</v>
      </c>
      <c r="D89" s="25" t="s">
        <v>14680</v>
      </c>
      <c r="E89" s="29"/>
      <c r="F89" s="101" t="s">
        <v>15586</v>
      </c>
      <c r="G89" s="102" t="s">
        <v>15538</v>
      </c>
      <c r="H89" s="103" t="s">
        <v>14795</v>
      </c>
      <c r="I89" s="29"/>
      <c r="J89" s="29"/>
      <c r="K89" s="29"/>
      <c r="L89" s="29"/>
      <c r="M89" s="29"/>
      <c r="N89" s="29"/>
      <c r="O89" s="29"/>
      <c r="P89" s="29"/>
    </row>
    <row r="90" spans="1:16" ht="112.5" customHeight="1" x14ac:dyDescent="0.2">
      <c r="A90" s="75">
        <v>33</v>
      </c>
      <c r="B90" s="94" t="s">
        <v>3599</v>
      </c>
      <c r="C90" s="94" t="s">
        <v>12961</v>
      </c>
      <c r="D90" s="95" t="s">
        <v>12962</v>
      </c>
      <c r="E90" s="96"/>
      <c r="F90" s="97" t="s">
        <v>15600</v>
      </c>
      <c r="G90" s="98" t="s">
        <v>15633</v>
      </c>
      <c r="H90" s="99" t="s">
        <v>14886</v>
      </c>
      <c r="I90" s="29"/>
      <c r="J90" s="29"/>
      <c r="K90" s="29"/>
      <c r="L90" s="29"/>
      <c r="M90" s="29"/>
      <c r="N90" s="29"/>
      <c r="O90" s="29"/>
      <c r="P90" s="29"/>
    </row>
    <row r="91" spans="1:16" ht="112.5" hidden="1" customHeight="1" x14ac:dyDescent="0.3">
      <c r="A91" s="104">
        <v>4027</v>
      </c>
      <c r="B91" s="28" t="s">
        <v>3599</v>
      </c>
      <c r="C91" s="28" t="s">
        <v>13559</v>
      </c>
      <c r="D91" s="27" t="s">
        <v>13560</v>
      </c>
      <c r="E91" s="29"/>
      <c r="F91" s="105" t="s">
        <v>15538</v>
      </c>
      <c r="G91" s="98" t="s">
        <v>15538</v>
      </c>
      <c r="H91" s="99" t="s">
        <v>15433</v>
      </c>
      <c r="I91" s="29"/>
      <c r="J91" s="29"/>
      <c r="K91" s="29"/>
      <c r="L91" s="29"/>
      <c r="M91" s="29"/>
      <c r="N91" s="29"/>
      <c r="O91" s="29"/>
      <c r="P91" s="29"/>
    </row>
    <row r="92" spans="1:16" ht="112.5" hidden="1" customHeight="1" x14ac:dyDescent="0.3">
      <c r="A92" s="100">
        <v>4028</v>
      </c>
      <c r="B92" s="24" t="s">
        <v>3599</v>
      </c>
      <c r="C92" s="24" t="s">
        <v>13556</v>
      </c>
      <c r="D92" s="25" t="s">
        <v>13557</v>
      </c>
      <c r="E92" s="29"/>
      <c r="F92" s="101" t="s">
        <v>15626</v>
      </c>
      <c r="G92" s="102" t="s">
        <v>15538</v>
      </c>
      <c r="H92" s="103" t="s">
        <v>15436</v>
      </c>
      <c r="I92" s="29"/>
      <c r="J92" s="29"/>
      <c r="K92" s="29"/>
      <c r="L92" s="29"/>
      <c r="M92" s="29"/>
      <c r="N92" s="29"/>
      <c r="O92" s="29"/>
      <c r="P92" s="29"/>
    </row>
    <row r="93" spans="1:16" ht="112.5" hidden="1" customHeight="1" x14ac:dyDescent="0.3">
      <c r="A93" s="104">
        <v>4029</v>
      </c>
      <c r="B93" s="28" t="s">
        <v>3599</v>
      </c>
      <c r="C93" s="28" t="s">
        <v>13141</v>
      </c>
      <c r="D93" s="27" t="s">
        <v>13142</v>
      </c>
      <c r="E93" s="29"/>
      <c r="F93" s="105" t="s">
        <v>15634</v>
      </c>
      <c r="G93" s="98" t="s">
        <v>15538</v>
      </c>
      <c r="H93" s="99" t="s">
        <v>15439</v>
      </c>
      <c r="I93" s="29"/>
      <c r="J93" s="29"/>
      <c r="K93" s="29"/>
      <c r="L93" s="29"/>
      <c r="M93" s="29"/>
      <c r="N93" s="29"/>
      <c r="O93" s="29"/>
      <c r="P93" s="29"/>
    </row>
    <row r="94" spans="1:16" ht="112.5" customHeight="1" x14ac:dyDescent="0.2">
      <c r="A94" s="75">
        <v>34</v>
      </c>
      <c r="B94" s="94" t="s">
        <v>3801</v>
      </c>
      <c r="C94" s="94" t="s">
        <v>15113</v>
      </c>
      <c r="D94" s="95" t="s">
        <v>15114</v>
      </c>
      <c r="E94" s="96"/>
      <c r="F94" s="97" t="s">
        <v>15635</v>
      </c>
      <c r="G94" s="98" t="s">
        <v>15572</v>
      </c>
      <c r="H94" s="99" t="s">
        <v>3495</v>
      </c>
      <c r="I94" s="29"/>
      <c r="J94" s="29"/>
      <c r="K94" s="29"/>
      <c r="L94" s="29"/>
      <c r="M94" s="29"/>
      <c r="N94" s="29"/>
      <c r="O94" s="29"/>
      <c r="P94" s="29"/>
    </row>
    <row r="95" spans="1:16" ht="112.5" hidden="1" customHeight="1" x14ac:dyDescent="0.3">
      <c r="A95" s="100">
        <v>148</v>
      </c>
      <c r="B95" s="24" t="s">
        <v>3801</v>
      </c>
      <c r="C95" s="24" t="s">
        <v>13479</v>
      </c>
      <c r="D95" s="25" t="s">
        <v>13480</v>
      </c>
      <c r="E95" s="29"/>
      <c r="F95" s="101" t="s">
        <v>15579</v>
      </c>
      <c r="G95" s="102" t="s">
        <v>15538</v>
      </c>
      <c r="H95" s="103" t="s">
        <v>3952</v>
      </c>
      <c r="I95" s="29"/>
      <c r="J95" s="29"/>
      <c r="K95" s="29"/>
      <c r="L95" s="29"/>
      <c r="M95" s="29"/>
      <c r="N95" s="29"/>
      <c r="O95" s="29"/>
      <c r="P95" s="29"/>
    </row>
    <row r="96" spans="1:16" ht="112.5" customHeight="1" x14ac:dyDescent="0.2">
      <c r="A96" s="75">
        <v>35</v>
      </c>
      <c r="B96" s="94" t="s">
        <v>3801</v>
      </c>
      <c r="C96" s="94" t="s">
        <v>15042</v>
      </c>
      <c r="D96" s="95" t="s">
        <v>15043</v>
      </c>
      <c r="E96" s="96"/>
      <c r="F96" s="97" t="s">
        <v>15586</v>
      </c>
      <c r="G96" s="98" t="s">
        <v>15636</v>
      </c>
      <c r="H96" s="99" t="s">
        <v>3979</v>
      </c>
      <c r="I96" s="29"/>
      <c r="J96" s="29"/>
      <c r="K96" s="29"/>
      <c r="L96" s="29"/>
      <c r="M96" s="29"/>
      <c r="N96" s="29"/>
      <c r="O96" s="29"/>
      <c r="P96" s="29"/>
    </row>
    <row r="97" spans="1:16" ht="112.5" hidden="1" customHeight="1" x14ac:dyDescent="0.3">
      <c r="A97" s="104">
        <v>181</v>
      </c>
      <c r="B97" s="28" t="s">
        <v>3801</v>
      </c>
      <c r="C97" s="28" t="s">
        <v>15015</v>
      </c>
      <c r="D97" s="27" t="s">
        <v>15016</v>
      </c>
      <c r="E97" s="29"/>
      <c r="F97" s="105" t="s">
        <v>15563</v>
      </c>
      <c r="G97" s="98" t="s">
        <v>15538</v>
      </c>
      <c r="H97" s="99" t="s">
        <v>4051</v>
      </c>
      <c r="I97" s="29"/>
      <c r="J97" s="29"/>
      <c r="K97" s="29"/>
      <c r="L97" s="29"/>
      <c r="M97" s="29"/>
      <c r="N97" s="29"/>
      <c r="O97" s="29"/>
      <c r="P97" s="29"/>
    </row>
    <row r="98" spans="1:16" ht="112.5" hidden="1" customHeight="1" x14ac:dyDescent="0.3">
      <c r="A98" s="104">
        <v>235</v>
      </c>
      <c r="B98" s="28" t="s">
        <v>3801</v>
      </c>
      <c r="C98" s="28" t="s">
        <v>12482</v>
      </c>
      <c r="D98" s="27" t="s">
        <v>12483</v>
      </c>
      <c r="E98" s="29"/>
      <c r="F98" s="105" t="s">
        <v>15637</v>
      </c>
      <c r="G98" s="98" t="s">
        <v>15538</v>
      </c>
      <c r="H98" s="99" t="s">
        <v>4213</v>
      </c>
      <c r="I98" s="29"/>
      <c r="J98" s="29"/>
      <c r="K98" s="29"/>
      <c r="L98" s="29"/>
      <c r="M98" s="29"/>
      <c r="N98" s="29"/>
      <c r="O98" s="29"/>
      <c r="P98" s="29"/>
    </row>
    <row r="99" spans="1:16" ht="112.5" customHeight="1" x14ac:dyDescent="0.2">
      <c r="A99" s="75">
        <v>36</v>
      </c>
      <c r="B99" s="94" t="s">
        <v>3801</v>
      </c>
      <c r="C99" s="94" t="s">
        <v>15205</v>
      </c>
      <c r="D99" s="95" t="s">
        <v>15206</v>
      </c>
      <c r="E99" s="96"/>
      <c r="F99" s="97" t="s">
        <v>15638</v>
      </c>
      <c r="G99" s="98" t="s">
        <v>15639</v>
      </c>
      <c r="H99" s="99" t="s">
        <v>14164</v>
      </c>
      <c r="I99" s="29"/>
      <c r="J99" s="29"/>
      <c r="K99" s="29"/>
      <c r="L99" s="29"/>
      <c r="M99" s="29"/>
      <c r="N99" s="29"/>
      <c r="O99" s="29"/>
      <c r="P99" s="29"/>
    </row>
    <row r="100" spans="1:16" ht="112.5" customHeight="1" x14ac:dyDescent="0.2">
      <c r="A100" s="75">
        <v>37</v>
      </c>
      <c r="B100" s="94" t="s">
        <v>3801</v>
      </c>
      <c r="C100" s="94" t="s">
        <v>15027</v>
      </c>
      <c r="D100" s="95" t="s">
        <v>15028</v>
      </c>
      <c r="E100" s="96"/>
      <c r="F100" s="97" t="s">
        <v>15638</v>
      </c>
      <c r="G100" s="102" t="s">
        <v>15640</v>
      </c>
      <c r="H100" s="103" t="s">
        <v>14371</v>
      </c>
      <c r="I100" s="29"/>
      <c r="J100" s="29"/>
      <c r="K100" s="29"/>
      <c r="L100" s="29"/>
      <c r="M100" s="29"/>
      <c r="N100" s="29"/>
      <c r="O100" s="29"/>
      <c r="P100" s="29"/>
    </row>
    <row r="101" spans="1:16" ht="112.5" customHeight="1" x14ac:dyDescent="0.2">
      <c r="A101" s="75">
        <v>38</v>
      </c>
      <c r="B101" s="94" t="s">
        <v>3801</v>
      </c>
      <c r="C101" s="94" t="s">
        <v>15024</v>
      </c>
      <c r="D101" s="95" t="s">
        <v>15025</v>
      </c>
      <c r="E101" s="96"/>
      <c r="F101" s="97" t="s">
        <v>15641</v>
      </c>
      <c r="G101" s="98" t="s">
        <v>15642</v>
      </c>
      <c r="H101" s="99" t="s">
        <v>14374</v>
      </c>
      <c r="I101" s="29"/>
      <c r="J101" s="29"/>
      <c r="K101" s="29"/>
      <c r="L101" s="29"/>
      <c r="M101" s="29"/>
      <c r="N101" s="29"/>
      <c r="O101" s="29"/>
      <c r="P101" s="29"/>
    </row>
    <row r="102" spans="1:16" ht="112.5" hidden="1" customHeight="1" x14ac:dyDescent="0.3">
      <c r="A102" s="100">
        <v>3672</v>
      </c>
      <c r="B102" s="24" t="s">
        <v>3801</v>
      </c>
      <c r="C102" s="24" t="s">
        <v>15021</v>
      </c>
      <c r="D102" s="25" t="s">
        <v>15022</v>
      </c>
      <c r="E102" s="29"/>
      <c r="F102" s="101" t="s">
        <v>15584</v>
      </c>
      <c r="G102" s="102" t="s">
        <v>15538</v>
      </c>
      <c r="H102" s="103" t="s">
        <v>14377</v>
      </c>
      <c r="I102" s="29"/>
      <c r="J102" s="29"/>
      <c r="K102" s="29"/>
      <c r="L102" s="29"/>
      <c r="M102" s="29"/>
      <c r="N102" s="29"/>
      <c r="O102" s="29"/>
      <c r="P102" s="29"/>
    </row>
    <row r="103" spans="1:16" ht="112.5" customHeight="1" x14ac:dyDescent="0.2">
      <c r="A103" s="75">
        <v>39</v>
      </c>
      <c r="B103" s="94" t="s">
        <v>3801</v>
      </c>
      <c r="C103" s="94" t="s">
        <v>15018</v>
      </c>
      <c r="D103" s="95" t="s">
        <v>15019</v>
      </c>
      <c r="E103" s="96"/>
      <c r="F103" s="97" t="s">
        <v>15643</v>
      </c>
      <c r="G103" s="98" t="s">
        <v>15644</v>
      </c>
      <c r="H103" s="99" t="s">
        <v>14380</v>
      </c>
      <c r="I103" s="29"/>
      <c r="J103" s="29"/>
      <c r="K103" s="29"/>
      <c r="L103" s="29"/>
      <c r="M103" s="29"/>
      <c r="N103" s="29"/>
      <c r="O103" s="29"/>
      <c r="P103" s="29"/>
    </row>
    <row r="104" spans="1:16" ht="112.5" customHeight="1" x14ac:dyDescent="0.2">
      <c r="A104" s="75">
        <v>40</v>
      </c>
      <c r="B104" s="94" t="s">
        <v>3801</v>
      </c>
      <c r="C104" s="94" t="s">
        <v>15012</v>
      </c>
      <c r="D104" s="95" t="s">
        <v>15013</v>
      </c>
      <c r="E104" s="96"/>
      <c r="F104" s="97" t="s">
        <v>15645</v>
      </c>
      <c r="G104" s="98" t="s">
        <v>15646</v>
      </c>
      <c r="H104" s="99" t="s">
        <v>14386</v>
      </c>
      <c r="I104" s="29"/>
      <c r="J104" s="29"/>
      <c r="K104" s="29"/>
      <c r="L104" s="29"/>
      <c r="M104" s="29"/>
      <c r="N104" s="29"/>
      <c r="O104" s="29"/>
      <c r="P104" s="29"/>
    </row>
    <row r="105" spans="1:16" ht="112.5" hidden="1" customHeight="1" x14ac:dyDescent="0.3">
      <c r="A105" s="104">
        <v>3821</v>
      </c>
      <c r="B105" s="28" t="s">
        <v>3801</v>
      </c>
      <c r="C105" s="28" t="s">
        <v>14661</v>
      </c>
      <c r="D105" s="27" t="s">
        <v>14662</v>
      </c>
      <c r="E105" s="29"/>
      <c r="F105" s="105" t="s">
        <v>15632</v>
      </c>
      <c r="G105" s="98" t="s">
        <v>15538</v>
      </c>
      <c r="H105" s="99" t="s">
        <v>14822</v>
      </c>
      <c r="I105" s="29"/>
      <c r="J105" s="29"/>
      <c r="K105" s="29"/>
      <c r="L105" s="29"/>
      <c r="M105" s="29"/>
      <c r="N105" s="29"/>
      <c r="O105" s="29"/>
      <c r="P105" s="29"/>
    </row>
    <row r="106" spans="1:16" ht="112.5" hidden="1" customHeight="1" x14ac:dyDescent="0.3">
      <c r="A106" s="100">
        <v>3870</v>
      </c>
      <c r="B106" s="24" t="s">
        <v>3801</v>
      </c>
      <c r="C106" s="24" t="s">
        <v>12922</v>
      </c>
      <c r="D106" s="25" t="s">
        <v>12923</v>
      </c>
      <c r="E106" s="29"/>
      <c r="F106" s="101" t="s">
        <v>15599</v>
      </c>
      <c r="G106" s="102" t="s">
        <v>15538</v>
      </c>
      <c r="H106" s="103" t="s">
        <v>14966</v>
      </c>
      <c r="I106" s="29"/>
      <c r="J106" s="29"/>
      <c r="K106" s="29"/>
      <c r="L106" s="29"/>
      <c r="M106" s="29"/>
      <c r="N106" s="29"/>
      <c r="O106" s="29"/>
      <c r="P106" s="29"/>
    </row>
    <row r="107" spans="1:16" ht="112.5" hidden="1" customHeight="1" x14ac:dyDescent="0.3">
      <c r="A107" s="104">
        <v>3877</v>
      </c>
      <c r="B107" s="28" t="s">
        <v>3801</v>
      </c>
      <c r="C107" s="28" t="s">
        <v>14487</v>
      </c>
      <c r="D107" s="27" t="s">
        <v>14488</v>
      </c>
      <c r="E107" s="29"/>
      <c r="F107" s="105" t="s">
        <v>15647</v>
      </c>
      <c r="G107" s="98" t="s">
        <v>15538</v>
      </c>
      <c r="H107" s="99" t="s">
        <v>14987</v>
      </c>
      <c r="I107" s="29"/>
      <c r="J107" s="29"/>
      <c r="K107" s="29"/>
      <c r="L107" s="29"/>
      <c r="M107" s="29"/>
      <c r="N107" s="29"/>
      <c r="O107" s="29"/>
      <c r="P107" s="29"/>
    </row>
    <row r="108" spans="1:16" ht="112.5" hidden="1" customHeight="1" x14ac:dyDescent="0.3">
      <c r="A108" s="100">
        <v>3878</v>
      </c>
      <c r="B108" s="24" t="s">
        <v>3801</v>
      </c>
      <c r="C108" s="24" t="s">
        <v>14484</v>
      </c>
      <c r="D108" s="25" t="s">
        <v>14485</v>
      </c>
      <c r="E108" s="29"/>
      <c r="F108" s="101" t="s">
        <v>15626</v>
      </c>
      <c r="G108" s="102" t="s">
        <v>15538</v>
      </c>
      <c r="H108" s="103" t="s">
        <v>14990</v>
      </c>
      <c r="I108" s="29"/>
      <c r="J108" s="29"/>
      <c r="K108" s="29"/>
      <c r="L108" s="29"/>
      <c r="M108" s="29"/>
      <c r="N108" s="29"/>
      <c r="O108" s="29"/>
      <c r="P108" s="29"/>
    </row>
    <row r="109" spans="1:16" ht="112.5" hidden="1" customHeight="1" x14ac:dyDescent="0.3">
      <c r="A109" s="104">
        <v>3879</v>
      </c>
      <c r="B109" s="28" t="s">
        <v>3801</v>
      </c>
      <c r="C109" s="28" t="s">
        <v>14481</v>
      </c>
      <c r="D109" s="27" t="s">
        <v>14482</v>
      </c>
      <c r="E109" s="29"/>
      <c r="F109" s="105" t="s">
        <v>15626</v>
      </c>
      <c r="G109" s="98" t="s">
        <v>15538</v>
      </c>
      <c r="H109" s="99" t="s">
        <v>14993</v>
      </c>
      <c r="I109" s="29"/>
      <c r="J109" s="29"/>
      <c r="K109" s="29"/>
      <c r="L109" s="29"/>
      <c r="M109" s="29"/>
      <c r="N109" s="29"/>
      <c r="O109" s="29"/>
      <c r="P109" s="29"/>
    </row>
    <row r="110" spans="1:16" ht="112.5" customHeight="1" x14ac:dyDescent="0.2">
      <c r="A110" s="75">
        <v>41</v>
      </c>
      <c r="B110" s="94" t="s">
        <v>3801</v>
      </c>
      <c r="C110" s="94" t="s">
        <v>13575</v>
      </c>
      <c r="D110" s="95" t="s">
        <v>13576</v>
      </c>
      <c r="E110" s="96"/>
      <c r="F110" s="97" t="s">
        <v>15648</v>
      </c>
      <c r="G110" s="102" t="s">
        <v>15649</v>
      </c>
      <c r="H110" s="103" t="s">
        <v>15418</v>
      </c>
      <c r="I110" s="29"/>
      <c r="J110" s="29"/>
      <c r="K110" s="29"/>
      <c r="L110" s="29"/>
      <c r="M110" s="29"/>
      <c r="N110" s="29"/>
      <c r="O110" s="29"/>
      <c r="P110" s="29"/>
    </row>
    <row r="111" spans="1:16" ht="112.5" hidden="1" customHeight="1" x14ac:dyDescent="0.3">
      <c r="A111" s="100">
        <v>156</v>
      </c>
      <c r="B111" s="24" t="s">
        <v>3818</v>
      </c>
      <c r="C111" s="24" t="s">
        <v>13634</v>
      </c>
      <c r="D111" s="25" t="s">
        <v>13635</v>
      </c>
      <c r="E111" s="29"/>
      <c r="F111" s="101" t="s">
        <v>15650</v>
      </c>
      <c r="G111" s="102" t="s">
        <v>15538</v>
      </c>
      <c r="H111" s="103" t="s">
        <v>3976</v>
      </c>
      <c r="I111" s="29"/>
      <c r="J111" s="29"/>
      <c r="K111" s="29"/>
      <c r="L111" s="29"/>
      <c r="M111" s="29"/>
      <c r="N111" s="29"/>
      <c r="O111" s="29"/>
      <c r="P111" s="29"/>
    </row>
    <row r="112" spans="1:16" ht="112.5" hidden="1" customHeight="1" x14ac:dyDescent="0.3">
      <c r="A112" s="104">
        <v>159</v>
      </c>
      <c r="B112" s="28" t="s">
        <v>3818</v>
      </c>
      <c r="C112" s="28" t="s">
        <v>15208</v>
      </c>
      <c r="D112" s="27" t="s">
        <v>15209</v>
      </c>
      <c r="E112" s="29"/>
      <c r="F112" s="105" t="s">
        <v>15546</v>
      </c>
      <c r="G112" s="98" t="s">
        <v>15538</v>
      </c>
      <c r="H112" s="99" t="s">
        <v>3985</v>
      </c>
      <c r="I112" s="29"/>
      <c r="J112" s="29"/>
      <c r="K112" s="29"/>
      <c r="L112" s="29"/>
      <c r="M112" s="29"/>
      <c r="N112" s="29"/>
      <c r="O112" s="29"/>
      <c r="P112" s="29"/>
    </row>
    <row r="113" spans="1:16" ht="112.5" hidden="1" customHeight="1" x14ac:dyDescent="0.3">
      <c r="A113" s="100">
        <v>200</v>
      </c>
      <c r="B113" s="24" t="s">
        <v>3818</v>
      </c>
      <c r="C113" s="24" t="s">
        <v>13804</v>
      </c>
      <c r="D113" s="25" t="s">
        <v>13805</v>
      </c>
      <c r="E113" s="29"/>
      <c r="F113" s="101" t="s">
        <v>15547</v>
      </c>
      <c r="G113" s="102" t="s">
        <v>15538</v>
      </c>
      <c r="H113" s="103" t="s">
        <v>4107</v>
      </c>
      <c r="I113" s="29"/>
      <c r="J113" s="29"/>
      <c r="K113" s="29"/>
      <c r="L113" s="29"/>
      <c r="M113" s="29"/>
      <c r="N113" s="29"/>
      <c r="O113" s="29"/>
      <c r="P113" s="29"/>
    </row>
    <row r="114" spans="1:16" ht="112.5" hidden="1" customHeight="1" x14ac:dyDescent="0.3">
      <c r="A114" s="104">
        <v>233</v>
      </c>
      <c r="B114" s="28" t="s">
        <v>3818</v>
      </c>
      <c r="C114" s="28" t="s">
        <v>12670</v>
      </c>
      <c r="D114" s="27" t="s">
        <v>12671</v>
      </c>
      <c r="E114" s="29"/>
      <c r="F114" s="105" t="s">
        <v>15651</v>
      </c>
      <c r="G114" s="98" t="s">
        <v>15538</v>
      </c>
      <c r="H114" s="99" t="s">
        <v>4207</v>
      </c>
      <c r="I114" s="29"/>
      <c r="J114" s="29"/>
      <c r="K114" s="29"/>
      <c r="L114" s="29"/>
      <c r="M114" s="29"/>
      <c r="N114" s="29"/>
      <c r="O114" s="29"/>
      <c r="P114" s="29"/>
    </row>
    <row r="115" spans="1:16" ht="112.5" customHeight="1" x14ac:dyDescent="0.2">
      <c r="A115" s="75">
        <v>42</v>
      </c>
      <c r="B115" s="94" t="s">
        <v>3818</v>
      </c>
      <c r="C115" s="94" t="s">
        <v>12476</v>
      </c>
      <c r="D115" s="95" t="s">
        <v>12477</v>
      </c>
      <c r="E115" s="96"/>
      <c r="F115" s="97" t="s">
        <v>15652</v>
      </c>
      <c r="G115" s="102" t="s">
        <v>15653</v>
      </c>
      <c r="H115" s="103" t="s">
        <v>4210</v>
      </c>
      <c r="I115" s="29"/>
      <c r="J115" s="29"/>
      <c r="K115" s="29"/>
      <c r="L115" s="29"/>
      <c r="M115" s="29"/>
      <c r="N115" s="29"/>
      <c r="O115" s="29"/>
      <c r="P115" s="29"/>
    </row>
    <row r="116" spans="1:16" ht="112.5" customHeight="1" x14ac:dyDescent="0.2">
      <c r="A116" s="75">
        <v>43</v>
      </c>
      <c r="B116" s="94" t="s">
        <v>3818</v>
      </c>
      <c r="C116" s="94" t="s">
        <v>15139</v>
      </c>
      <c r="D116" s="95" t="s">
        <v>15140</v>
      </c>
      <c r="E116" s="96"/>
      <c r="F116" s="97" t="s">
        <v>15547</v>
      </c>
      <c r="G116" s="102" t="s">
        <v>15654</v>
      </c>
      <c r="H116" s="103" t="s">
        <v>4323</v>
      </c>
      <c r="I116" s="29"/>
      <c r="J116" s="29"/>
      <c r="K116" s="29"/>
      <c r="L116" s="29"/>
      <c r="M116" s="29"/>
      <c r="N116" s="29"/>
      <c r="O116" s="29"/>
      <c r="P116" s="29"/>
    </row>
    <row r="117" spans="1:16" ht="112.5" hidden="1" customHeight="1" x14ac:dyDescent="0.3">
      <c r="A117" s="100">
        <v>284</v>
      </c>
      <c r="B117" s="24" t="s">
        <v>3818</v>
      </c>
      <c r="C117" s="24" t="s">
        <v>13428</v>
      </c>
      <c r="D117" s="25" t="s">
        <v>13429</v>
      </c>
      <c r="E117" s="29"/>
      <c r="F117" s="101" t="s">
        <v>15655</v>
      </c>
      <c r="G117" s="102" t="s">
        <v>15538</v>
      </c>
      <c r="H117" s="103" t="s">
        <v>4361</v>
      </c>
      <c r="I117" s="29"/>
      <c r="J117" s="29"/>
      <c r="K117" s="29"/>
      <c r="L117" s="29"/>
      <c r="M117" s="29"/>
      <c r="N117" s="29"/>
      <c r="O117" s="29"/>
      <c r="P117" s="29"/>
    </row>
    <row r="118" spans="1:16" ht="112.5" customHeight="1" x14ac:dyDescent="0.2">
      <c r="A118" s="75">
        <v>44</v>
      </c>
      <c r="B118" s="94" t="s">
        <v>3818</v>
      </c>
      <c r="C118" s="94" t="s">
        <v>13159</v>
      </c>
      <c r="D118" s="95" t="s">
        <v>13160</v>
      </c>
      <c r="E118" s="96"/>
      <c r="F118" s="97" t="s">
        <v>15656</v>
      </c>
      <c r="G118" s="102" t="s">
        <v>15657</v>
      </c>
      <c r="H118" s="103" t="s">
        <v>4833</v>
      </c>
      <c r="I118" s="29"/>
      <c r="J118" s="29"/>
      <c r="K118" s="29"/>
      <c r="L118" s="29"/>
      <c r="M118" s="29"/>
      <c r="N118" s="29"/>
      <c r="O118" s="29"/>
      <c r="P118" s="29"/>
    </row>
    <row r="119" spans="1:16" ht="112.5" customHeight="1" x14ac:dyDescent="0.2">
      <c r="A119" s="75">
        <v>45</v>
      </c>
      <c r="B119" s="94" t="s">
        <v>3818</v>
      </c>
      <c r="C119" s="94" t="s">
        <v>13072</v>
      </c>
      <c r="D119" s="95" t="s">
        <v>13073</v>
      </c>
      <c r="E119" s="96"/>
      <c r="F119" s="97" t="s">
        <v>15658</v>
      </c>
      <c r="G119" s="98" t="s">
        <v>15659</v>
      </c>
      <c r="H119" s="99" t="s">
        <v>5904</v>
      </c>
      <c r="I119" s="29"/>
      <c r="J119" s="29"/>
      <c r="K119" s="29"/>
      <c r="L119" s="29"/>
      <c r="M119" s="29"/>
      <c r="N119" s="29"/>
      <c r="O119" s="29"/>
      <c r="P119" s="29"/>
    </row>
    <row r="120" spans="1:16" ht="112.5" customHeight="1" x14ac:dyDescent="0.2">
      <c r="A120" s="75">
        <v>46</v>
      </c>
      <c r="B120" s="94" t="s">
        <v>3818</v>
      </c>
      <c r="C120" s="94" t="s">
        <v>13022</v>
      </c>
      <c r="D120" s="95" t="s">
        <v>13023</v>
      </c>
      <c r="E120" s="96"/>
      <c r="F120" s="97" t="s">
        <v>15593</v>
      </c>
      <c r="G120" s="102" t="s">
        <v>15660</v>
      </c>
      <c r="H120" s="103" t="s">
        <v>8361</v>
      </c>
      <c r="I120" s="29"/>
      <c r="J120" s="29"/>
      <c r="K120" s="29"/>
      <c r="L120" s="29"/>
      <c r="M120" s="29"/>
      <c r="N120" s="29"/>
      <c r="O120" s="29"/>
      <c r="P120" s="29"/>
    </row>
    <row r="121" spans="1:16" ht="112.5" hidden="1" customHeight="1" x14ac:dyDescent="0.3">
      <c r="A121" s="100">
        <v>3096</v>
      </c>
      <c r="B121" s="24" t="s">
        <v>3818</v>
      </c>
      <c r="C121" s="24" t="s">
        <v>12494</v>
      </c>
      <c r="D121" s="25" t="s">
        <v>12495</v>
      </c>
      <c r="E121" s="29"/>
      <c r="F121" s="101" t="s">
        <v>15596</v>
      </c>
      <c r="G121" s="102" t="s">
        <v>15538</v>
      </c>
      <c r="H121" s="103" t="s">
        <v>12690</v>
      </c>
      <c r="I121" s="29"/>
      <c r="J121" s="29"/>
      <c r="K121" s="29"/>
      <c r="L121" s="29"/>
      <c r="M121" s="29"/>
      <c r="N121" s="29"/>
      <c r="O121" s="29"/>
      <c r="P121" s="29"/>
    </row>
    <row r="122" spans="1:16" ht="112.5" hidden="1" customHeight="1" x14ac:dyDescent="0.3">
      <c r="A122" s="100">
        <v>3218</v>
      </c>
      <c r="B122" s="24" t="s">
        <v>3818</v>
      </c>
      <c r="C122" s="24" t="s">
        <v>12511</v>
      </c>
      <c r="D122" s="25" t="s">
        <v>12512</v>
      </c>
      <c r="E122" s="29"/>
      <c r="F122" s="101" t="s">
        <v>15655</v>
      </c>
      <c r="G122" s="102" t="s">
        <v>15538</v>
      </c>
      <c r="H122" s="103" t="s">
        <v>13051</v>
      </c>
      <c r="I122" s="29"/>
      <c r="J122" s="29"/>
      <c r="K122" s="29"/>
      <c r="L122" s="29"/>
      <c r="M122" s="29"/>
      <c r="N122" s="29"/>
      <c r="O122" s="29"/>
      <c r="P122" s="29"/>
    </row>
    <row r="123" spans="1:16" ht="112.5" hidden="1" customHeight="1" x14ac:dyDescent="0.3">
      <c r="A123" s="104">
        <v>3237</v>
      </c>
      <c r="B123" s="28" t="s">
        <v>3818</v>
      </c>
      <c r="C123" s="28" t="s">
        <v>13090</v>
      </c>
      <c r="D123" s="27" t="s">
        <v>13091</v>
      </c>
      <c r="E123" s="29"/>
      <c r="F123" s="105" t="s">
        <v>15661</v>
      </c>
      <c r="G123" s="98" t="s">
        <v>15538</v>
      </c>
      <c r="H123" s="99" t="s">
        <v>13107</v>
      </c>
      <c r="I123" s="29"/>
      <c r="J123" s="29"/>
      <c r="K123" s="29"/>
      <c r="L123" s="29"/>
      <c r="M123" s="29"/>
      <c r="N123" s="29"/>
      <c r="O123" s="29"/>
      <c r="P123" s="29"/>
    </row>
    <row r="124" spans="1:16" ht="112.5" customHeight="1" x14ac:dyDescent="0.2">
      <c r="A124" s="75">
        <v>47</v>
      </c>
      <c r="B124" s="94" t="s">
        <v>3818</v>
      </c>
      <c r="C124" s="94" t="s">
        <v>15307</v>
      </c>
      <c r="D124" s="95" t="s">
        <v>15308</v>
      </c>
      <c r="E124" s="96"/>
      <c r="F124" s="97" t="s">
        <v>15655</v>
      </c>
      <c r="G124" s="102" t="s">
        <v>15572</v>
      </c>
      <c r="H124" s="103" t="s">
        <v>13497</v>
      </c>
      <c r="I124" s="29"/>
      <c r="J124" s="29"/>
      <c r="K124" s="29"/>
      <c r="L124" s="29"/>
      <c r="M124" s="29"/>
      <c r="N124" s="29"/>
      <c r="O124" s="29"/>
      <c r="P124" s="29"/>
    </row>
    <row r="125" spans="1:16" ht="112.5" customHeight="1" x14ac:dyDescent="0.2">
      <c r="A125" s="75">
        <v>48</v>
      </c>
      <c r="B125" s="94" t="s">
        <v>3818</v>
      </c>
      <c r="C125" s="94" t="s">
        <v>12508</v>
      </c>
      <c r="D125" s="95" t="s">
        <v>12509</v>
      </c>
      <c r="E125" s="96"/>
      <c r="F125" s="97" t="s">
        <v>15552</v>
      </c>
      <c r="G125" s="98" t="s">
        <v>15662</v>
      </c>
      <c r="H125" s="99" t="s">
        <v>13500</v>
      </c>
      <c r="I125" s="29"/>
      <c r="J125" s="29"/>
      <c r="K125" s="29"/>
      <c r="L125" s="29"/>
      <c r="M125" s="29"/>
      <c r="N125" s="29"/>
      <c r="O125" s="29"/>
      <c r="P125" s="29"/>
    </row>
    <row r="126" spans="1:16" ht="112.5" hidden="1" customHeight="1" x14ac:dyDescent="0.3">
      <c r="A126" s="100">
        <v>3498</v>
      </c>
      <c r="B126" s="24" t="s">
        <v>3818</v>
      </c>
      <c r="C126" s="24" t="s">
        <v>12714</v>
      </c>
      <c r="D126" s="25" t="s">
        <v>12715</v>
      </c>
      <c r="E126" s="29"/>
      <c r="F126" s="101" t="s">
        <v>15661</v>
      </c>
      <c r="G126" s="102" t="s">
        <v>15538</v>
      </c>
      <c r="H126" s="103" t="s">
        <v>13860</v>
      </c>
      <c r="I126" s="29"/>
      <c r="J126" s="29"/>
      <c r="K126" s="29"/>
      <c r="L126" s="29"/>
      <c r="M126" s="29"/>
      <c r="N126" s="29"/>
      <c r="O126" s="29"/>
      <c r="P126" s="29"/>
    </row>
    <row r="127" spans="1:16" ht="112.5" hidden="1" customHeight="1" x14ac:dyDescent="0.3">
      <c r="A127" s="104">
        <v>3515</v>
      </c>
      <c r="B127" s="28" t="s">
        <v>3818</v>
      </c>
      <c r="C127" s="28" t="s">
        <v>14931</v>
      </c>
      <c r="D127" s="27" t="s">
        <v>14932</v>
      </c>
      <c r="E127" s="29"/>
      <c r="F127" s="105" t="s">
        <v>15663</v>
      </c>
      <c r="G127" s="98" t="s">
        <v>15538</v>
      </c>
      <c r="H127" s="99" t="s">
        <v>13910</v>
      </c>
      <c r="I127" s="29"/>
      <c r="J127" s="29"/>
      <c r="K127" s="29"/>
      <c r="L127" s="29"/>
      <c r="M127" s="29"/>
      <c r="N127" s="29"/>
      <c r="O127" s="29"/>
      <c r="P127" s="29"/>
    </row>
    <row r="128" spans="1:16" ht="112.5" hidden="1" customHeight="1" x14ac:dyDescent="0.3">
      <c r="A128" s="104">
        <v>3575</v>
      </c>
      <c r="B128" s="28" t="s">
        <v>3818</v>
      </c>
      <c r="C128" s="28" t="s">
        <v>13114</v>
      </c>
      <c r="D128" s="27" t="s">
        <v>13115</v>
      </c>
      <c r="E128" s="29"/>
      <c r="F128" s="105" t="s">
        <v>15602</v>
      </c>
      <c r="G128" s="107" t="s">
        <v>4171</v>
      </c>
      <c r="H128" s="99" t="s">
        <v>14089</v>
      </c>
      <c r="I128" s="29"/>
      <c r="J128" s="29"/>
      <c r="K128" s="29"/>
      <c r="L128" s="29"/>
      <c r="M128" s="29"/>
      <c r="N128" s="29"/>
      <c r="O128" s="29"/>
      <c r="P128" s="29"/>
    </row>
    <row r="129" spans="1:16" ht="112.5" hidden="1" customHeight="1" x14ac:dyDescent="0.3">
      <c r="A129" s="100">
        <v>3590</v>
      </c>
      <c r="B129" s="24" t="s">
        <v>3818</v>
      </c>
      <c r="C129" s="24" t="s">
        <v>15271</v>
      </c>
      <c r="D129" s="25" t="s">
        <v>15272</v>
      </c>
      <c r="E129" s="29"/>
      <c r="F129" s="101" t="s">
        <v>15664</v>
      </c>
      <c r="G129" s="102" t="s">
        <v>15538</v>
      </c>
      <c r="H129" s="103" t="s">
        <v>14133</v>
      </c>
      <c r="I129" s="29"/>
      <c r="J129" s="29"/>
      <c r="K129" s="29"/>
      <c r="L129" s="29"/>
      <c r="M129" s="29"/>
      <c r="N129" s="29"/>
      <c r="O129" s="29"/>
      <c r="P129" s="29"/>
    </row>
    <row r="130" spans="1:16" ht="112.5" customHeight="1" x14ac:dyDescent="0.2">
      <c r="A130" s="75">
        <v>49</v>
      </c>
      <c r="B130" s="94" t="s">
        <v>3818</v>
      </c>
      <c r="C130" s="94" t="s">
        <v>13054</v>
      </c>
      <c r="D130" s="95" t="s">
        <v>13055</v>
      </c>
      <c r="E130" s="96"/>
      <c r="F130" s="97" t="s">
        <v>15611</v>
      </c>
      <c r="G130" s="98" t="s">
        <v>15665</v>
      </c>
      <c r="H130" s="99" t="s">
        <v>14136</v>
      </c>
      <c r="I130" s="29"/>
      <c r="J130" s="29"/>
      <c r="K130" s="29"/>
      <c r="L130" s="29"/>
      <c r="M130" s="29"/>
      <c r="N130" s="29"/>
      <c r="O130" s="29"/>
      <c r="P130" s="29"/>
    </row>
    <row r="131" spans="1:16" ht="112.5" hidden="1" customHeight="1" x14ac:dyDescent="0.3">
      <c r="A131" s="100">
        <v>3598</v>
      </c>
      <c r="B131" s="24" t="s">
        <v>3818</v>
      </c>
      <c r="C131" s="24" t="s">
        <v>15232</v>
      </c>
      <c r="D131" s="25" t="s">
        <v>15233</v>
      </c>
      <c r="E131" s="29"/>
      <c r="F131" s="101" t="s">
        <v>15605</v>
      </c>
      <c r="G131" s="102" t="s">
        <v>15538</v>
      </c>
      <c r="H131" s="103" t="s">
        <v>14155</v>
      </c>
      <c r="I131" s="29"/>
      <c r="J131" s="29"/>
      <c r="K131" s="29"/>
      <c r="L131" s="29"/>
      <c r="M131" s="29"/>
      <c r="N131" s="29"/>
      <c r="O131" s="29"/>
      <c r="P131" s="29"/>
    </row>
    <row r="132" spans="1:16" ht="112.5" hidden="1" customHeight="1" x14ac:dyDescent="0.3">
      <c r="A132" s="104">
        <v>3603</v>
      </c>
      <c r="B132" s="28" t="s">
        <v>3818</v>
      </c>
      <c r="C132" s="28" t="s">
        <v>15110</v>
      </c>
      <c r="D132" s="27" t="s">
        <v>15111</v>
      </c>
      <c r="E132" s="29"/>
      <c r="F132" s="105" t="s">
        <v>15666</v>
      </c>
      <c r="G132" s="98" t="s">
        <v>15538</v>
      </c>
      <c r="H132" s="99" t="s">
        <v>14170</v>
      </c>
      <c r="I132" s="29"/>
      <c r="J132" s="29"/>
      <c r="K132" s="29"/>
      <c r="L132" s="29"/>
      <c r="M132" s="29"/>
      <c r="N132" s="29"/>
      <c r="O132" s="29"/>
      <c r="P132" s="29"/>
    </row>
    <row r="133" spans="1:16" ht="112.5" hidden="1" customHeight="1" x14ac:dyDescent="0.3">
      <c r="A133" s="100">
        <v>3626</v>
      </c>
      <c r="B133" s="24" t="s">
        <v>3818</v>
      </c>
      <c r="C133" s="24" t="s">
        <v>13052</v>
      </c>
      <c r="D133" s="25" t="s">
        <v>13053</v>
      </c>
      <c r="E133" s="29"/>
      <c r="F133" s="101" t="s">
        <v>15655</v>
      </c>
      <c r="G133" s="102" t="s">
        <v>15538</v>
      </c>
      <c r="H133" s="103" t="s">
        <v>14239</v>
      </c>
      <c r="I133" s="29"/>
      <c r="J133" s="29"/>
      <c r="K133" s="29"/>
      <c r="L133" s="29"/>
      <c r="M133" s="29"/>
      <c r="N133" s="29"/>
      <c r="O133" s="29"/>
      <c r="P133" s="29"/>
    </row>
    <row r="134" spans="1:16" ht="112.5" hidden="1" customHeight="1" x14ac:dyDescent="0.3">
      <c r="A134" s="104">
        <v>3647</v>
      </c>
      <c r="B134" s="28" t="s">
        <v>3818</v>
      </c>
      <c r="C134" s="28" t="s">
        <v>15077</v>
      </c>
      <c r="D134" s="27" t="s">
        <v>15078</v>
      </c>
      <c r="E134" s="29"/>
      <c r="F134" s="105" t="s">
        <v>15667</v>
      </c>
      <c r="G134" s="98" t="s">
        <v>15538</v>
      </c>
      <c r="H134" s="99" t="s">
        <v>14302</v>
      </c>
      <c r="I134" s="29"/>
      <c r="J134" s="29"/>
      <c r="K134" s="29"/>
      <c r="L134" s="29"/>
      <c r="M134" s="29"/>
      <c r="N134" s="29"/>
      <c r="O134" s="29"/>
      <c r="P134" s="29"/>
    </row>
    <row r="135" spans="1:16" ht="112.5" hidden="1" customHeight="1" x14ac:dyDescent="0.3">
      <c r="A135" s="104">
        <v>3659</v>
      </c>
      <c r="B135" s="28" t="s">
        <v>3818</v>
      </c>
      <c r="C135" s="28" t="s">
        <v>12958</v>
      </c>
      <c r="D135" s="27" t="s">
        <v>12959</v>
      </c>
      <c r="E135" s="29"/>
      <c r="F135" s="105" t="s">
        <v>15668</v>
      </c>
      <c r="G135" s="98" t="s">
        <v>15538</v>
      </c>
      <c r="H135" s="99" t="s">
        <v>14338</v>
      </c>
      <c r="I135" s="29"/>
      <c r="J135" s="29"/>
      <c r="K135" s="29"/>
      <c r="L135" s="29"/>
      <c r="M135" s="29"/>
      <c r="N135" s="29"/>
      <c r="O135" s="29"/>
      <c r="P135" s="29"/>
    </row>
    <row r="136" spans="1:16" ht="112.5" customHeight="1" x14ac:dyDescent="0.2">
      <c r="A136" s="75">
        <v>50</v>
      </c>
      <c r="B136" s="94" t="s">
        <v>3818</v>
      </c>
      <c r="C136" s="94" t="s">
        <v>13206</v>
      </c>
      <c r="D136" s="95" t="s">
        <v>13207</v>
      </c>
      <c r="E136" s="96"/>
      <c r="F136" s="97" t="s">
        <v>15669</v>
      </c>
      <c r="G136" s="102" t="s">
        <v>15670</v>
      </c>
      <c r="H136" s="103" t="s">
        <v>14347</v>
      </c>
      <c r="I136" s="29"/>
      <c r="J136" s="29"/>
      <c r="K136" s="29"/>
      <c r="L136" s="29"/>
      <c r="M136" s="29"/>
      <c r="N136" s="29"/>
      <c r="O136" s="29"/>
      <c r="P136" s="29"/>
    </row>
    <row r="137" spans="1:16" ht="112.5" hidden="1" customHeight="1" x14ac:dyDescent="0.3">
      <c r="A137" s="100">
        <v>3732</v>
      </c>
      <c r="B137" s="24" t="s">
        <v>3818</v>
      </c>
      <c r="C137" s="24" t="s">
        <v>12854</v>
      </c>
      <c r="D137" s="25" t="s">
        <v>12855</v>
      </c>
      <c r="E137" s="29"/>
      <c r="F137" s="101" t="s">
        <v>15671</v>
      </c>
      <c r="G137" s="102" t="s">
        <v>15538</v>
      </c>
      <c r="H137" s="103" t="s">
        <v>14555</v>
      </c>
      <c r="I137" s="29"/>
      <c r="J137" s="29"/>
      <c r="K137" s="29"/>
      <c r="L137" s="29"/>
      <c r="M137" s="29"/>
      <c r="N137" s="29"/>
      <c r="O137" s="29"/>
      <c r="P137" s="29"/>
    </row>
    <row r="138" spans="1:16" ht="112.5" hidden="1" customHeight="1" x14ac:dyDescent="0.3">
      <c r="A138" s="100">
        <v>3762</v>
      </c>
      <c r="B138" s="24" t="s">
        <v>3818</v>
      </c>
      <c r="C138" s="24" t="s">
        <v>14817</v>
      </c>
      <c r="D138" s="25" t="s">
        <v>14818</v>
      </c>
      <c r="E138" s="29"/>
      <c r="F138" s="101" t="s">
        <v>15538</v>
      </c>
      <c r="G138" s="102" t="s">
        <v>15538</v>
      </c>
      <c r="H138" s="103" t="s">
        <v>14645</v>
      </c>
      <c r="I138" s="29"/>
      <c r="J138" s="29"/>
      <c r="K138" s="29"/>
      <c r="L138" s="29"/>
      <c r="M138" s="29"/>
      <c r="N138" s="29"/>
      <c r="O138" s="29"/>
      <c r="P138" s="29"/>
    </row>
    <row r="139" spans="1:16" ht="112.5" hidden="1" customHeight="1" x14ac:dyDescent="0.3">
      <c r="A139" s="100">
        <v>3764</v>
      </c>
      <c r="B139" s="24" t="s">
        <v>3818</v>
      </c>
      <c r="C139" s="24" t="s">
        <v>14414</v>
      </c>
      <c r="D139" s="25" t="s">
        <v>14415</v>
      </c>
      <c r="E139" s="29"/>
      <c r="F139" s="101" t="s">
        <v>15672</v>
      </c>
      <c r="G139" s="102" t="s">
        <v>15538</v>
      </c>
      <c r="H139" s="103" t="s">
        <v>14651</v>
      </c>
      <c r="I139" s="29"/>
      <c r="J139" s="29"/>
      <c r="K139" s="29"/>
      <c r="L139" s="29"/>
      <c r="M139" s="29"/>
      <c r="N139" s="29"/>
      <c r="O139" s="29"/>
      <c r="P139" s="29"/>
    </row>
    <row r="140" spans="1:16" ht="112.5" hidden="1" customHeight="1" x14ac:dyDescent="0.3">
      <c r="A140" s="104">
        <v>3787</v>
      </c>
      <c r="B140" s="28" t="s">
        <v>3818</v>
      </c>
      <c r="C140" s="28" t="s">
        <v>13177</v>
      </c>
      <c r="D140" s="27" t="s">
        <v>13178</v>
      </c>
      <c r="E140" s="29"/>
      <c r="F140" s="105" t="s">
        <v>15554</v>
      </c>
      <c r="G140" s="98" t="s">
        <v>15538</v>
      </c>
      <c r="H140" s="99" t="s">
        <v>14720</v>
      </c>
      <c r="I140" s="29"/>
      <c r="J140" s="29"/>
      <c r="K140" s="29"/>
      <c r="L140" s="29"/>
      <c r="M140" s="29"/>
      <c r="N140" s="29"/>
      <c r="O140" s="29"/>
      <c r="P140" s="29"/>
    </row>
    <row r="141" spans="1:16" ht="112.5" hidden="1" customHeight="1" x14ac:dyDescent="0.3">
      <c r="A141" s="104">
        <v>3797</v>
      </c>
      <c r="B141" s="28" t="s">
        <v>3818</v>
      </c>
      <c r="C141" s="28" t="s">
        <v>13253</v>
      </c>
      <c r="D141" s="27" t="s">
        <v>13254</v>
      </c>
      <c r="E141" s="29"/>
      <c r="F141" s="105" t="s">
        <v>15673</v>
      </c>
      <c r="G141" s="98" t="s">
        <v>15538</v>
      </c>
      <c r="H141" s="99" t="s">
        <v>14750</v>
      </c>
      <c r="I141" s="29"/>
      <c r="J141" s="29"/>
      <c r="K141" s="29"/>
      <c r="L141" s="29"/>
      <c r="M141" s="29"/>
      <c r="N141" s="29"/>
      <c r="O141" s="29"/>
      <c r="P141" s="29"/>
    </row>
    <row r="142" spans="1:16" ht="112.5" hidden="1" customHeight="1" x14ac:dyDescent="0.3">
      <c r="A142" s="104">
        <v>3799</v>
      </c>
      <c r="B142" s="28" t="s">
        <v>3818</v>
      </c>
      <c r="C142" s="28" t="s">
        <v>14712</v>
      </c>
      <c r="D142" s="27" t="s">
        <v>14713</v>
      </c>
      <c r="E142" s="29"/>
      <c r="F142" s="105" t="s">
        <v>15674</v>
      </c>
      <c r="G142" s="98" t="s">
        <v>15538</v>
      </c>
      <c r="H142" s="99" t="s">
        <v>14756</v>
      </c>
      <c r="I142" s="29"/>
      <c r="J142" s="29"/>
      <c r="K142" s="29"/>
      <c r="L142" s="29"/>
      <c r="M142" s="29"/>
      <c r="N142" s="29"/>
      <c r="O142" s="29"/>
      <c r="P142" s="29"/>
    </row>
    <row r="143" spans="1:16" ht="112.5" customHeight="1" x14ac:dyDescent="0.2">
      <c r="A143" s="75">
        <v>51</v>
      </c>
      <c r="B143" s="94" t="s">
        <v>3818</v>
      </c>
      <c r="C143" s="94" t="s">
        <v>14709</v>
      </c>
      <c r="D143" s="95" t="s">
        <v>14710</v>
      </c>
      <c r="E143" s="96"/>
      <c r="F143" s="97" t="s">
        <v>15675</v>
      </c>
      <c r="G143" s="102" t="s">
        <v>15676</v>
      </c>
      <c r="H143" s="103" t="s">
        <v>14765</v>
      </c>
      <c r="I143" s="29"/>
      <c r="J143" s="29"/>
      <c r="K143" s="29"/>
      <c r="L143" s="29"/>
      <c r="M143" s="29"/>
      <c r="N143" s="29"/>
      <c r="O143" s="29"/>
      <c r="P143" s="29"/>
    </row>
    <row r="144" spans="1:16" ht="112.5" hidden="1" customHeight="1" x14ac:dyDescent="0.3">
      <c r="A144" s="100">
        <v>3836</v>
      </c>
      <c r="B144" s="24" t="s">
        <v>3818</v>
      </c>
      <c r="C144" s="24" t="s">
        <v>14595</v>
      </c>
      <c r="D144" s="25" t="s">
        <v>14596</v>
      </c>
      <c r="E144" s="29"/>
      <c r="F144" s="101" t="s">
        <v>15677</v>
      </c>
      <c r="G144" s="102" t="s">
        <v>15538</v>
      </c>
      <c r="H144" s="103" t="s">
        <v>14866</v>
      </c>
      <c r="I144" s="29"/>
      <c r="J144" s="29"/>
      <c r="K144" s="29"/>
      <c r="L144" s="29"/>
      <c r="M144" s="29"/>
      <c r="N144" s="29"/>
      <c r="O144" s="29"/>
      <c r="P144" s="29"/>
    </row>
    <row r="145" spans="1:16" ht="112.5" customHeight="1" x14ac:dyDescent="0.2">
      <c r="A145" s="75">
        <v>52</v>
      </c>
      <c r="B145" s="94" t="s">
        <v>3818</v>
      </c>
      <c r="C145" s="94" t="s">
        <v>14429</v>
      </c>
      <c r="D145" s="95" t="s">
        <v>14430</v>
      </c>
      <c r="E145" s="96"/>
      <c r="F145" s="97" t="s">
        <v>15678</v>
      </c>
      <c r="G145" s="98" t="s">
        <v>15679</v>
      </c>
      <c r="H145" s="99" t="s">
        <v>15023</v>
      </c>
      <c r="I145" s="29"/>
      <c r="J145" s="29"/>
      <c r="K145" s="29"/>
      <c r="L145" s="29"/>
      <c r="M145" s="29"/>
      <c r="N145" s="29"/>
      <c r="O145" s="29"/>
      <c r="P145" s="29"/>
    </row>
    <row r="146" spans="1:16" ht="112.5" customHeight="1" x14ac:dyDescent="0.2">
      <c r="A146" s="75">
        <v>53</v>
      </c>
      <c r="B146" s="94" t="s">
        <v>3818</v>
      </c>
      <c r="C146" s="94" t="s">
        <v>12839</v>
      </c>
      <c r="D146" s="95" t="s">
        <v>12840</v>
      </c>
      <c r="E146" s="96"/>
      <c r="F146" s="97" t="s">
        <v>15680</v>
      </c>
      <c r="G146" s="102" t="s">
        <v>15681</v>
      </c>
      <c r="H146" s="103" t="s">
        <v>15026</v>
      </c>
      <c r="I146" s="29"/>
      <c r="J146" s="29"/>
      <c r="K146" s="29"/>
      <c r="L146" s="29"/>
      <c r="M146" s="29"/>
      <c r="N146" s="29"/>
      <c r="O146" s="29"/>
      <c r="P146" s="29"/>
    </row>
    <row r="147" spans="1:16" ht="112.5" hidden="1" customHeight="1" x14ac:dyDescent="0.3">
      <c r="A147" s="104">
        <v>3939</v>
      </c>
      <c r="B147" s="28" t="s">
        <v>3818</v>
      </c>
      <c r="C147" s="28" t="s">
        <v>13843</v>
      </c>
      <c r="D147" s="27" t="s">
        <v>13844</v>
      </c>
      <c r="E147" s="29"/>
      <c r="F147" s="105" t="s">
        <v>15661</v>
      </c>
      <c r="G147" s="98" t="s">
        <v>15538</v>
      </c>
      <c r="H147" s="99" t="s">
        <v>15171</v>
      </c>
      <c r="I147" s="29"/>
      <c r="J147" s="29"/>
      <c r="K147" s="29"/>
      <c r="L147" s="29"/>
      <c r="M147" s="29"/>
      <c r="N147" s="29"/>
      <c r="O147" s="29"/>
      <c r="P147" s="29"/>
    </row>
    <row r="148" spans="1:16" ht="112.5" customHeight="1" x14ac:dyDescent="0.2">
      <c r="A148" s="75">
        <v>54</v>
      </c>
      <c r="B148" s="94" t="s">
        <v>3818</v>
      </c>
      <c r="C148" s="94" t="s">
        <v>13081</v>
      </c>
      <c r="D148" s="95" t="s">
        <v>13082</v>
      </c>
      <c r="E148" s="96"/>
      <c r="F148" s="97" t="s">
        <v>15682</v>
      </c>
      <c r="G148" s="98" t="s">
        <v>15585</v>
      </c>
      <c r="H148" s="99" t="s">
        <v>15213</v>
      </c>
      <c r="I148" s="29"/>
      <c r="J148" s="29"/>
      <c r="K148" s="29"/>
      <c r="L148" s="29"/>
      <c r="M148" s="29"/>
      <c r="N148" s="29"/>
      <c r="O148" s="29"/>
      <c r="P148" s="29"/>
    </row>
    <row r="149" spans="1:16" ht="112.5" customHeight="1" x14ac:dyDescent="0.2">
      <c r="A149" s="75">
        <v>55</v>
      </c>
      <c r="B149" s="94" t="s">
        <v>3818</v>
      </c>
      <c r="C149" s="94" t="s">
        <v>13637</v>
      </c>
      <c r="D149" s="95" t="s">
        <v>13638</v>
      </c>
      <c r="E149" s="96"/>
      <c r="F149" s="97" t="s">
        <v>15683</v>
      </c>
      <c r="G149" s="98" t="s">
        <v>15684</v>
      </c>
      <c r="H149" s="99" t="s">
        <v>15368</v>
      </c>
      <c r="I149" s="29"/>
      <c r="J149" s="29"/>
      <c r="K149" s="29"/>
      <c r="L149" s="29"/>
      <c r="M149" s="29"/>
      <c r="N149" s="29"/>
      <c r="O149" s="29"/>
      <c r="P149" s="29"/>
    </row>
    <row r="150" spans="1:16" ht="112.5" customHeight="1" x14ac:dyDescent="0.2">
      <c r="A150" s="75">
        <v>56</v>
      </c>
      <c r="B150" s="94" t="s">
        <v>3818</v>
      </c>
      <c r="C150" s="94" t="s">
        <v>12438</v>
      </c>
      <c r="D150" s="95" t="s">
        <v>12439</v>
      </c>
      <c r="E150" s="96"/>
      <c r="F150" s="97" t="s">
        <v>15678</v>
      </c>
      <c r="G150" s="98" t="s">
        <v>15685</v>
      </c>
      <c r="H150" s="99" t="s">
        <v>15445</v>
      </c>
      <c r="I150" s="29"/>
      <c r="J150" s="29"/>
      <c r="K150" s="29"/>
      <c r="L150" s="29"/>
      <c r="M150" s="29"/>
      <c r="N150" s="29"/>
      <c r="O150" s="29"/>
      <c r="P150" s="29"/>
    </row>
    <row r="151" spans="1:16" ht="112.5" hidden="1" customHeight="1" x14ac:dyDescent="0.3">
      <c r="A151" s="104">
        <v>4035</v>
      </c>
      <c r="B151" s="28" t="s">
        <v>3818</v>
      </c>
      <c r="C151" s="28" t="s">
        <v>13528</v>
      </c>
      <c r="D151" s="27" t="s">
        <v>13529</v>
      </c>
      <c r="E151" s="29"/>
      <c r="F151" s="105" t="s">
        <v>15538</v>
      </c>
      <c r="G151" s="98" t="s">
        <v>15538</v>
      </c>
      <c r="H151" s="99" t="s">
        <v>15457</v>
      </c>
      <c r="I151" s="29"/>
      <c r="J151" s="29"/>
      <c r="K151" s="29"/>
      <c r="L151" s="29"/>
      <c r="M151" s="29"/>
      <c r="N151" s="29"/>
      <c r="O151" s="29"/>
      <c r="P151" s="29"/>
    </row>
    <row r="152" spans="1:16" ht="112.5" hidden="1" customHeight="1" x14ac:dyDescent="0.3">
      <c r="A152" s="104">
        <v>249</v>
      </c>
      <c r="B152" s="28" t="s">
        <v>3670</v>
      </c>
      <c r="C152" s="28" t="s">
        <v>14523</v>
      </c>
      <c r="D152" s="27" t="s">
        <v>14524</v>
      </c>
      <c r="E152" s="29"/>
      <c r="F152" s="105" t="s">
        <v>15569</v>
      </c>
      <c r="G152" s="98" t="s">
        <v>15538</v>
      </c>
      <c r="H152" s="99" t="s">
        <v>4255</v>
      </c>
      <c r="I152" s="29"/>
      <c r="J152" s="29"/>
      <c r="K152" s="29"/>
      <c r="L152" s="29"/>
      <c r="M152" s="29"/>
      <c r="N152" s="29"/>
      <c r="O152" s="29"/>
      <c r="P152" s="29"/>
    </row>
    <row r="153" spans="1:16" ht="112.5" customHeight="1" x14ac:dyDescent="0.2">
      <c r="A153" s="75">
        <v>57</v>
      </c>
      <c r="B153" s="94" t="s">
        <v>3670</v>
      </c>
      <c r="C153" s="94" t="s">
        <v>14456</v>
      </c>
      <c r="D153" s="95" t="s">
        <v>14457</v>
      </c>
      <c r="E153" s="96"/>
      <c r="F153" s="97" t="s">
        <v>15686</v>
      </c>
      <c r="G153" s="98" t="s">
        <v>15687</v>
      </c>
      <c r="H153" s="99" t="s">
        <v>4303</v>
      </c>
      <c r="I153" s="29"/>
      <c r="J153" s="29"/>
      <c r="K153" s="29"/>
      <c r="L153" s="29"/>
      <c r="M153" s="29"/>
      <c r="N153" s="29"/>
      <c r="O153" s="29"/>
      <c r="P153" s="29"/>
    </row>
    <row r="154" spans="1:16" ht="112.5" customHeight="1" x14ac:dyDescent="0.2">
      <c r="A154" s="75">
        <v>58</v>
      </c>
      <c r="B154" s="94" t="s">
        <v>3670</v>
      </c>
      <c r="C154" s="94" t="s">
        <v>13354</v>
      </c>
      <c r="D154" s="95" t="s">
        <v>13355</v>
      </c>
      <c r="E154" s="96"/>
      <c r="F154" s="97" t="s">
        <v>15588</v>
      </c>
      <c r="G154" s="102" t="s">
        <v>15688</v>
      </c>
      <c r="H154" s="103" t="s">
        <v>4927</v>
      </c>
      <c r="I154" s="29"/>
      <c r="J154" s="29"/>
      <c r="K154" s="29"/>
      <c r="L154" s="29"/>
      <c r="M154" s="29"/>
      <c r="N154" s="29"/>
      <c r="O154" s="29"/>
      <c r="P154" s="29"/>
    </row>
    <row r="155" spans="1:16" ht="112.5" hidden="1" customHeight="1" x14ac:dyDescent="0.3">
      <c r="A155" s="104">
        <v>1913</v>
      </c>
      <c r="B155" s="28" t="s">
        <v>3670</v>
      </c>
      <c r="C155" s="28" t="s">
        <v>12750</v>
      </c>
      <c r="D155" s="27" t="s">
        <v>12751</v>
      </c>
      <c r="E155" s="29"/>
      <c r="F155" s="105" t="s">
        <v>15689</v>
      </c>
      <c r="G155" s="98" t="s">
        <v>15538</v>
      </c>
      <c r="H155" s="99" t="s">
        <v>9197</v>
      </c>
      <c r="I155" s="29"/>
      <c r="J155" s="29"/>
      <c r="K155" s="29"/>
      <c r="L155" s="29"/>
      <c r="M155" s="29"/>
      <c r="N155" s="29"/>
      <c r="O155" s="29"/>
      <c r="P155" s="29"/>
    </row>
    <row r="156" spans="1:16" ht="112.5" hidden="1" customHeight="1" x14ac:dyDescent="0.3">
      <c r="A156" s="100">
        <v>3440</v>
      </c>
      <c r="B156" s="24" t="s">
        <v>3670</v>
      </c>
      <c r="C156" s="24" t="s">
        <v>13258</v>
      </c>
      <c r="D156" s="25" t="s">
        <v>13259</v>
      </c>
      <c r="E156" s="29"/>
      <c r="F156" s="101" t="s">
        <v>15690</v>
      </c>
      <c r="G156" s="102" t="s">
        <v>15538</v>
      </c>
      <c r="H156" s="103" t="s">
        <v>13691</v>
      </c>
      <c r="I156" s="29"/>
      <c r="J156" s="29"/>
      <c r="K156" s="29"/>
      <c r="L156" s="29"/>
      <c r="M156" s="29"/>
      <c r="N156" s="29"/>
      <c r="O156" s="29"/>
      <c r="P156" s="29"/>
    </row>
    <row r="157" spans="1:16" ht="112.5" hidden="1" customHeight="1" x14ac:dyDescent="0.3">
      <c r="A157" s="100">
        <v>3532</v>
      </c>
      <c r="B157" s="24" t="s">
        <v>3670</v>
      </c>
      <c r="C157" s="24" t="s">
        <v>13279</v>
      </c>
      <c r="D157" s="25" t="s">
        <v>13280</v>
      </c>
      <c r="E157" s="29"/>
      <c r="F157" s="101" t="s">
        <v>15550</v>
      </c>
      <c r="G157" s="102" t="s">
        <v>15538</v>
      </c>
      <c r="H157" s="103" t="s">
        <v>13960</v>
      </c>
      <c r="I157" s="29"/>
      <c r="J157" s="29"/>
      <c r="K157" s="29"/>
      <c r="L157" s="29"/>
      <c r="M157" s="29"/>
      <c r="N157" s="29"/>
      <c r="O157" s="29"/>
      <c r="P157" s="29"/>
    </row>
    <row r="158" spans="1:16" ht="112.5" hidden="1" customHeight="1" x14ac:dyDescent="0.3">
      <c r="A158" s="104">
        <v>3533</v>
      </c>
      <c r="B158" s="28" t="s">
        <v>3670</v>
      </c>
      <c r="C158" s="28" t="s">
        <v>15503</v>
      </c>
      <c r="D158" s="27" t="s">
        <v>15504</v>
      </c>
      <c r="E158" s="29"/>
      <c r="F158" s="105" t="s">
        <v>15609</v>
      </c>
      <c r="G158" s="98" t="s">
        <v>15538</v>
      </c>
      <c r="H158" s="99" t="s">
        <v>13963</v>
      </c>
      <c r="I158" s="29"/>
      <c r="J158" s="29"/>
      <c r="K158" s="29"/>
      <c r="L158" s="29"/>
      <c r="M158" s="29"/>
      <c r="N158" s="29"/>
      <c r="O158" s="29"/>
      <c r="P158" s="29"/>
    </row>
    <row r="159" spans="1:16" ht="112.5" hidden="1" customHeight="1" x14ac:dyDescent="0.3">
      <c r="A159" s="100">
        <v>3604</v>
      </c>
      <c r="B159" s="24" t="s">
        <v>3670</v>
      </c>
      <c r="C159" s="24" t="s">
        <v>15196</v>
      </c>
      <c r="D159" s="25" t="s">
        <v>15197</v>
      </c>
      <c r="E159" s="29"/>
      <c r="F159" s="101" t="s">
        <v>15691</v>
      </c>
      <c r="G159" s="102" t="s">
        <v>15538</v>
      </c>
      <c r="H159" s="103" t="s">
        <v>14173</v>
      </c>
      <c r="I159" s="29"/>
      <c r="J159" s="29"/>
      <c r="K159" s="29"/>
      <c r="L159" s="29"/>
      <c r="M159" s="29"/>
      <c r="N159" s="29"/>
      <c r="O159" s="29"/>
      <c r="P159" s="29"/>
    </row>
    <row r="160" spans="1:16" ht="112.5" customHeight="1" x14ac:dyDescent="0.2">
      <c r="A160" s="75">
        <v>59</v>
      </c>
      <c r="B160" s="94" t="s">
        <v>3670</v>
      </c>
      <c r="C160" s="94" t="s">
        <v>12532</v>
      </c>
      <c r="D160" s="95" t="s">
        <v>12533</v>
      </c>
      <c r="E160" s="96"/>
      <c r="F160" s="97" t="s">
        <v>15577</v>
      </c>
      <c r="G160" s="98" t="s">
        <v>15692</v>
      </c>
      <c r="H160" s="99" t="s">
        <v>14176</v>
      </c>
      <c r="I160" s="29"/>
      <c r="J160" s="29"/>
      <c r="K160" s="29"/>
      <c r="L160" s="29"/>
      <c r="M160" s="29"/>
      <c r="N160" s="29"/>
      <c r="O160" s="29"/>
      <c r="P160" s="29"/>
    </row>
    <row r="161" spans="1:16" ht="112.5" hidden="1" customHeight="1" x14ac:dyDescent="0.3">
      <c r="A161" s="100">
        <v>3610</v>
      </c>
      <c r="B161" s="24" t="s">
        <v>3670</v>
      </c>
      <c r="C161" s="24" t="s">
        <v>15178</v>
      </c>
      <c r="D161" s="25" t="s">
        <v>15179</v>
      </c>
      <c r="E161" s="29"/>
      <c r="F161" s="101" t="s">
        <v>15599</v>
      </c>
      <c r="G161" s="102" t="s">
        <v>15538</v>
      </c>
      <c r="H161" s="103" t="s">
        <v>14191</v>
      </c>
      <c r="I161" s="29"/>
      <c r="J161" s="29"/>
      <c r="K161" s="29"/>
      <c r="L161" s="29"/>
      <c r="M161" s="29"/>
      <c r="N161" s="29"/>
      <c r="O161" s="29"/>
      <c r="P161" s="29"/>
    </row>
    <row r="162" spans="1:16" ht="112.5" hidden="1" customHeight="1" x14ac:dyDescent="0.3">
      <c r="A162" s="100">
        <v>3790</v>
      </c>
      <c r="B162" s="24" t="s">
        <v>3670</v>
      </c>
      <c r="C162" s="24" t="s">
        <v>12673</v>
      </c>
      <c r="D162" s="25" t="s">
        <v>12674</v>
      </c>
      <c r="E162" s="29"/>
      <c r="F162" s="101" t="s">
        <v>15632</v>
      </c>
      <c r="G162" s="102" t="s">
        <v>15538</v>
      </c>
      <c r="H162" s="103" t="s">
        <v>14729</v>
      </c>
      <c r="I162" s="29"/>
      <c r="J162" s="29"/>
      <c r="K162" s="29"/>
      <c r="L162" s="29"/>
      <c r="M162" s="29"/>
      <c r="N162" s="29"/>
      <c r="O162" s="29"/>
      <c r="P162" s="29"/>
    </row>
    <row r="163" spans="1:16" ht="112.5" hidden="1" customHeight="1" x14ac:dyDescent="0.3">
      <c r="A163" s="100">
        <v>3864</v>
      </c>
      <c r="B163" s="24" t="s">
        <v>3670</v>
      </c>
      <c r="C163" s="24" t="s">
        <v>14529</v>
      </c>
      <c r="D163" s="25" t="s">
        <v>14530</v>
      </c>
      <c r="E163" s="29"/>
      <c r="F163" s="101" t="s">
        <v>15693</v>
      </c>
      <c r="G163" s="102" t="s">
        <v>15538</v>
      </c>
      <c r="H163" s="103" t="s">
        <v>14948</v>
      </c>
      <c r="I163" s="29"/>
      <c r="J163" s="29"/>
      <c r="K163" s="29"/>
      <c r="L163" s="29"/>
      <c r="M163" s="29"/>
      <c r="N163" s="29"/>
      <c r="O163" s="29"/>
      <c r="P163" s="29"/>
    </row>
    <row r="164" spans="1:16" ht="112.5" hidden="1" customHeight="1" x14ac:dyDescent="0.3">
      <c r="A164" s="100">
        <v>3866</v>
      </c>
      <c r="B164" s="24" t="s">
        <v>3670</v>
      </c>
      <c r="C164" s="24" t="s">
        <v>14520</v>
      </c>
      <c r="D164" s="25" t="s">
        <v>14521</v>
      </c>
      <c r="E164" s="29"/>
      <c r="F164" s="101" t="s">
        <v>15569</v>
      </c>
      <c r="G164" s="102" t="s">
        <v>15538</v>
      </c>
      <c r="H164" s="103" t="s">
        <v>14954</v>
      </c>
      <c r="I164" s="29"/>
      <c r="J164" s="29"/>
      <c r="K164" s="29"/>
      <c r="L164" s="29"/>
      <c r="M164" s="29"/>
      <c r="N164" s="29"/>
      <c r="O164" s="29"/>
      <c r="P164" s="29"/>
    </row>
    <row r="165" spans="1:16" ht="112.5" hidden="1" customHeight="1" x14ac:dyDescent="0.3">
      <c r="A165" s="100">
        <v>3994</v>
      </c>
      <c r="B165" s="24" t="s">
        <v>3670</v>
      </c>
      <c r="C165" s="24" t="s">
        <v>13701</v>
      </c>
      <c r="D165" s="25" t="s">
        <v>13702</v>
      </c>
      <c r="E165" s="29"/>
      <c r="F165" s="101" t="s">
        <v>15694</v>
      </c>
      <c r="G165" s="102" t="s">
        <v>15538</v>
      </c>
      <c r="H165" s="103" t="s">
        <v>15335</v>
      </c>
      <c r="I165" s="29"/>
      <c r="J165" s="29"/>
      <c r="K165" s="29"/>
      <c r="L165" s="29"/>
      <c r="M165" s="29"/>
      <c r="N165" s="29"/>
      <c r="O165" s="29"/>
      <c r="P165" s="29"/>
    </row>
    <row r="166" spans="1:16" ht="112.5" hidden="1" customHeight="1" x14ac:dyDescent="0.3">
      <c r="A166" s="104">
        <v>3995</v>
      </c>
      <c r="B166" s="28" t="s">
        <v>3670</v>
      </c>
      <c r="C166" s="28" t="s">
        <v>13698</v>
      </c>
      <c r="D166" s="27" t="s">
        <v>13699</v>
      </c>
      <c r="E166" s="29"/>
      <c r="F166" s="105" t="s">
        <v>15694</v>
      </c>
      <c r="G166" s="98" t="s">
        <v>15538</v>
      </c>
      <c r="H166" s="99" t="s">
        <v>15338</v>
      </c>
      <c r="I166" s="29"/>
      <c r="J166" s="29"/>
      <c r="K166" s="29"/>
      <c r="L166" s="29"/>
      <c r="M166" s="29"/>
      <c r="N166" s="29"/>
      <c r="O166" s="29"/>
      <c r="P166" s="29"/>
    </row>
    <row r="167" spans="1:16" ht="112.5" hidden="1" customHeight="1" x14ac:dyDescent="0.3">
      <c r="A167" s="100">
        <v>3996</v>
      </c>
      <c r="B167" s="24" t="s">
        <v>3670</v>
      </c>
      <c r="C167" s="24" t="s">
        <v>13695</v>
      </c>
      <c r="D167" s="25" t="s">
        <v>13696</v>
      </c>
      <c r="E167" s="29"/>
      <c r="F167" s="108"/>
      <c r="G167" s="102" t="s">
        <v>15538</v>
      </c>
      <c r="H167" s="103" t="s">
        <v>15341</v>
      </c>
      <c r="I167" s="29"/>
      <c r="J167" s="29"/>
      <c r="K167" s="29"/>
      <c r="L167" s="29"/>
      <c r="M167" s="29"/>
      <c r="N167" s="29"/>
      <c r="O167" s="29"/>
      <c r="P167" s="29"/>
    </row>
    <row r="168" spans="1:16" ht="112.5" hidden="1" customHeight="1" x14ac:dyDescent="0.3">
      <c r="A168" s="104">
        <v>4025</v>
      </c>
      <c r="B168" s="28" t="s">
        <v>3670</v>
      </c>
      <c r="C168" s="28" t="s">
        <v>13565</v>
      </c>
      <c r="D168" s="27" t="s">
        <v>13566</v>
      </c>
      <c r="E168" s="29"/>
      <c r="F168" s="105" t="s">
        <v>15695</v>
      </c>
      <c r="G168" s="98" t="s">
        <v>15538</v>
      </c>
      <c r="H168" s="99" t="s">
        <v>15427</v>
      </c>
      <c r="I168" s="29"/>
      <c r="J168" s="29"/>
      <c r="K168" s="29"/>
      <c r="L168" s="29"/>
      <c r="M168" s="29"/>
      <c r="N168" s="29"/>
      <c r="O168" s="29"/>
      <c r="P168" s="29"/>
    </row>
    <row r="169" spans="1:16" ht="112.5" hidden="1" customHeight="1" x14ac:dyDescent="0.3">
      <c r="A169" s="104">
        <v>4043</v>
      </c>
      <c r="B169" s="28" t="s">
        <v>3670</v>
      </c>
      <c r="C169" s="28" t="s">
        <v>13514</v>
      </c>
      <c r="D169" s="27" t="s">
        <v>13515</v>
      </c>
      <c r="E169" s="29"/>
      <c r="F169" s="105" t="s">
        <v>15621</v>
      </c>
      <c r="G169" s="98" t="s">
        <v>15538</v>
      </c>
      <c r="H169" s="99" t="s">
        <v>15481</v>
      </c>
      <c r="I169" s="29"/>
      <c r="J169" s="29"/>
      <c r="K169" s="29"/>
      <c r="L169" s="29"/>
      <c r="M169" s="29"/>
      <c r="N169" s="29"/>
      <c r="O169" s="29"/>
      <c r="P169" s="29"/>
    </row>
    <row r="170" spans="1:16" ht="112.5" hidden="1" customHeight="1" x14ac:dyDescent="0.3">
      <c r="A170" s="100">
        <v>4044</v>
      </c>
      <c r="B170" s="24" t="s">
        <v>3670</v>
      </c>
      <c r="C170" s="24" t="s">
        <v>13512</v>
      </c>
      <c r="D170" s="25" t="s">
        <v>13513</v>
      </c>
      <c r="E170" s="29"/>
      <c r="F170" s="101" t="s">
        <v>15599</v>
      </c>
      <c r="G170" s="102" t="s">
        <v>15538</v>
      </c>
      <c r="H170" s="103" t="s">
        <v>15484</v>
      </c>
      <c r="I170" s="29"/>
      <c r="J170" s="29"/>
      <c r="K170" s="29"/>
      <c r="L170" s="29"/>
      <c r="M170" s="29"/>
      <c r="N170" s="29"/>
      <c r="O170" s="29"/>
      <c r="P170" s="29"/>
    </row>
    <row r="171" spans="1:16" ht="112.5" customHeight="1" x14ac:dyDescent="0.2">
      <c r="A171" s="75">
        <v>60</v>
      </c>
      <c r="B171" s="94" t="s">
        <v>3630</v>
      </c>
      <c r="C171" s="94" t="s">
        <v>13520</v>
      </c>
      <c r="D171" s="95" t="s">
        <v>13521</v>
      </c>
      <c r="E171" s="96"/>
      <c r="F171" s="97" t="s">
        <v>15564</v>
      </c>
      <c r="G171" s="102" t="s">
        <v>15572</v>
      </c>
      <c r="H171" s="103" t="s">
        <v>3519</v>
      </c>
      <c r="I171" s="29"/>
      <c r="J171" s="29"/>
      <c r="K171" s="29"/>
      <c r="L171" s="29"/>
      <c r="M171" s="29"/>
      <c r="N171" s="29"/>
      <c r="O171" s="29"/>
      <c r="P171" s="29"/>
    </row>
    <row r="172" spans="1:16" ht="112.5" customHeight="1" x14ac:dyDescent="0.2">
      <c r="A172" s="75">
        <v>61</v>
      </c>
      <c r="B172" s="94" t="s">
        <v>3630</v>
      </c>
      <c r="C172" s="94" t="s">
        <v>13683</v>
      </c>
      <c r="D172" s="95" t="s">
        <v>13684</v>
      </c>
      <c r="E172" s="96"/>
      <c r="F172" s="97" t="s">
        <v>15626</v>
      </c>
      <c r="G172" s="98" t="s">
        <v>15597</v>
      </c>
      <c r="H172" s="99" t="s">
        <v>3840</v>
      </c>
      <c r="I172" s="29"/>
      <c r="J172" s="29"/>
      <c r="K172" s="29"/>
      <c r="L172" s="29"/>
      <c r="M172" s="29"/>
      <c r="N172" s="29"/>
      <c r="O172" s="29"/>
      <c r="P172" s="29"/>
    </row>
    <row r="173" spans="1:16" ht="112.5" customHeight="1" x14ac:dyDescent="0.2">
      <c r="A173" s="75">
        <v>62</v>
      </c>
      <c r="B173" s="94" t="s">
        <v>3630</v>
      </c>
      <c r="C173" s="94" t="s">
        <v>13893</v>
      </c>
      <c r="D173" s="95" t="s">
        <v>13894</v>
      </c>
      <c r="E173" s="96"/>
      <c r="F173" s="97" t="s">
        <v>15647</v>
      </c>
      <c r="G173" s="102" t="s">
        <v>15696</v>
      </c>
      <c r="H173" s="103" t="s">
        <v>3982</v>
      </c>
      <c r="I173" s="29"/>
      <c r="J173" s="29"/>
      <c r="K173" s="29"/>
      <c r="L173" s="29"/>
      <c r="M173" s="29"/>
      <c r="N173" s="29"/>
      <c r="O173" s="29"/>
      <c r="P173" s="29"/>
    </row>
    <row r="174" spans="1:16" ht="112.5" customHeight="1" x14ac:dyDescent="0.2">
      <c r="A174" s="75">
        <v>63</v>
      </c>
      <c r="B174" s="94" t="s">
        <v>3630</v>
      </c>
      <c r="C174" s="94" t="s">
        <v>14562</v>
      </c>
      <c r="D174" s="95" t="s">
        <v>14563</v>
      </c>
      <c r="E174" s="96"/>
      <c r="F174" s="97" t="s">
        <v>15697</v>
      </c>
      <c r="G174" s="102" t="s">
        <v>15698</v>
      </c>
      <c r="H174" s="103" t="s">
        <v>4113</v>
      </c>
      <c r="I174" s="29"/>
      <c r="J174" s="29"/>
      <c r="K174" s="29"/>
      <c r="L174" s="29"/>
      <c r="M174" s="29"/>
      <c r="N174" s="29"/>
      <c r="O174" s="29"/>
      <c r="P174" s="29"/>
    </row>
    <row r="175" spans="1:16" ht="112.5" hidden="1" customHeight="1" x14ac:dyDescent="0.3">
      <c r="A175" s="100">
        <v>230</v>
      </c>
      <c r="B175" s="24" t="s">
        <v>3630</v>
      </c>
      <c r="C175" s="24" t="s">
        <v>12901</v>
      </c>
      <c r="D175" s="25" t="s">
        <v>12902</v>
      </c>
      <c r="E175" s="29"/>
      <c r="F175" s="101" t="s">
        <v>15566</v>
      </c>
      <c r="G175" s="102" t="s">
        <v>15538</v>
      </c>
      <c r="H175" s="103" t="s">
        <v>4198</v>
      </c>
      <c r="I175" s="29"/>
      <c r="J175" s="29"/>
      <c r="K175" s="29"/>
      <c r="L175" s="29"/>
      <c r="M175" s="29"/>
      <c r="N175" s="29"/>
      <c r="O175" s="29"/>
      <c r="P175" s="29"/>
    </row>
    <row r="176" spans="1:16" ht="112.5" customHeight="1" x14ac:dyDescent="0.2">
      <c r="A176" s="75">
        <v>64</v>
      </c>
      <c r="B176" s="94" t="s">
        <v>3630</v>
      </c>
      <c r="C176" s="94" t="s">
        <v>12708</v>
      </c>
      <c r="D176" s="95" t="s">
        <v>12709</v>
      </c>
      <c r="E176" s="96"/>
      <c r="F176" s="97" t="s">
        <v>15656</v>
      </c>
      <c r="G176" s="98" t="s">
        <v>15699</v>
      </c>
      <c r="H176" s="99" t="s">
        <v>4267</v>
      </c>
      <c r="I176" s="29"/>
      <c r="J176" s="29"/>
      <c r="K176" s="29"/>
      <c r="L176" s="29"/>
      <c r="M176" s="29"/>
      <c r="N176" s="29"/>
      <c r="O176" s="29"/>
      <c r="P176" s="29"/>
    </row>
    <row r="177" spans="1:16" ht="112.5" hidden="1" customHeight="1" x14ac:dyDescent="0.3">
      <c r="A177" s="104">
        <v>281</v>
      </c>
      <c r="B177" s="28" t="s">
        <v>3630</v>
      </c>
      <c r="C177" s="28" t="s">
        <v>15006</v>
      </c>
      <c r="D177" s="27" t="s">
        <v>15007</v>
      </c>
      <c r="E177" s="29"/>
      <c r="F177" s="105" t="s">
        <v>15621</v>
      </c>
      <c r="G177" s="98" t="s">
        <v>15538</v>
      </c>
      <c r="H177" s="99" t="s">
        <v>4352</v>
      </c>
      <c r="I177" s="29"/>
      <c r="J177" s="29"/>
      <c r="K177" s="29"/>
      <c r="L177" s="29"/>
      <c r="M177" s="29"/>
      <c r="N177" s="29"/>
      <c r="O177" s="29"/>
      <c r="P177" s="29"/>
    </row>
    <row r="178" spans="1:16" ht="112.5" hidden="1" customHeight="1" x14ac:dyDescent="0.3">
      <c r="A178" s="104">
        <v>469</v>
      </c>
      <c r="B178" s="28" t="s">
        <v>3630</v>
      </c>
      <c r="C178" s="28" t="s">
        <v>13318</v>
      </c>
      <c r="D178" s="27" t="s">
        <v>13319</v>
      </c>
      <c r="E178" s="29"/>
      <c r="F178" s="105" t="s">
        <v>15651</v>
      </c>
      <c r="G178" s="98" t="s">
        <v>15538</v>
      </c>
      <c r="H178" s="99" t="s">
        <v>4912</v>
      </c>
      <c r="I178" s="29"/>
      <c r="J178" s="29"/>
      <c r="K178" s="29"/>
      <c r="L178" s="29"/>
      <c r="M178" s="29"/>
      <c r="N178" s="29"/>
      <c r="O178" s="29"/>
      <c r="P178" s="29"/>
    </row>
    <row r="179" spans="1:16" ht="112.5" hidden="1" customHeight="1" x14ac:dyDescent="0.3">
      <c r="A179" s="104">
        <v>3441</v>
      </c>
      <c r="B179" s="28" t="s">
        <v>3630</v>
      </c>
      <c r="C179" s="28" t="s">
        <v>13223</v>
      </c>
      <c r="D179" s="27" t="s">
        <v>13224</v>
      </c>
      <c r="E179" s="29"/>
      <c r="F179" s="105" t="s">
        <v>15538</v>
      </c>
      <c r="G179" s="98" t="s">
        <v>15538</v>
      </c>
      <c r="H179" s="99" t="s">
        <v>13694</v>
      </c>
      <c r="I179" s="29"/>
      <c r="J179" s="29"/>
      <c r="K179" s="29"/>
      <c r="L179" s="29"/>
      <c r="M179" s="29"/>
      <c r="N179" s="29"/>
      <c r="O179" s="29"/>
      <c r="P179" s="29"/>
    </row>
    <row r="180" spans="1:16" ht="112.5" customHeight="1" x14ac:dyDescent="0.2">
      <c r="A180" s="75">
        <v>65</v>
      </c>
      <c r="B180" s="94" t="s">
        <v>3630</v>
      </c>
      <c r="C180" s="94" t="s">
        <v>14823</v>
      </c>
      <c r="D180" s="95" t="s">
        <v>14824</v>
      </c>
      <c r="E180" s="96"/>
      <c r="F180" s="97" t="s">
        <v>15694</v>
      </c>
      <c r="G180" s="98" t="s">
        <v>15700</v>
      </c>
      <c r="H180" s="99" t="s">
        <v>13809</v>
      </c>
      <c r="I180" s="29"/>
      <c r="J180" s="29"/>
      <c r="K180" s="29"/>
      <c r="L180" s="29"/>
      <c r="M180" s="29"/>
      <c r="N180" s="29"/>
      <c r="O180" s="29"/>
      <c r="P180" s="29"/>
    </row>
    <row r="181" spans="1:16" ht="112.5" hidden="1" customHeight="1" x14ac:dyDescent="0.3">
      <c r="A181" s="104">
        <v>3487</v>
      </c>
      <c r="B181" s="28" t="s">
        <v>3630</v>
      </c>
      <c r="C181" s="28" t="s">
        <v>13093</v>
      </c>
      <c r="D181" s="27" t="s">
        <v>13094</v>
      </c>
      <c r="E181" s="29"/>
      <c r="F181" s="105" t="s">
        <v>15581</v>
      </c>
      <c r="G181" s="98" t="s">
        <v>15538</v>
      </c>
      <c r="H181" s="99" t="s">
        <v>13827</v>
      </c>
      <c r="I181" s="29"/>
      <c r="J181" s="29"/>
      <c r="K181" s="29"/>
      <c r="L181" s="29"/>
      <c r="M181" s="29"/>
      <c r="N181" s="29"/>
      <c r="O181" s="29"/>
      <c r="P181" s="29"/>
    </row>
    <row r="182" spans="1:16" ht="112.5" hidden="1" customHeight="1" x14ac:dyDescent="0.3">
      <c r="A182" s="104">
        <v>3513</v>
      </c>
      <c r="B182" s="28" t="s">
        <v>3630</v>
      </c>
      <c r="C182" s="28" t="s">
        <v>12449</v>
      </c>
      <c r="D182" s="27" t="s">
        <v>12450</v>
      </c>
      <c r="E182" s="29"/>
      <c r="F182" s="105" t="s">
        <v>15546</v>
      </c>
      <c r="G182" s="98" t="s">
        <v>15538</v>
      </c>
      <c r="H182" s="99" t="s">
        <v>13904</v>
      </c>
      <c r="I182" s="29"/>
      <c r="J182" s="29"/>
      <c r="K182" s="29"/>
      <c r="L182" s="29"/>
      <c r="M182" s="29"/>
      <c r="N182" s="29"/>
      <c r="O182" s="29"/>
      <c r="P182" s="29"/>
    </row>
    <row r="183" spans="1:16" ht="112.5" hidden="1" customHeight="1" x14ac:dyDescent="0.3">
      <c r="A183" s="100">
        <v>3572</v>
      </c>
      <c r="B183" s="24" t="s">
        <v>3630</v>
      </c>
      <c r="C183" s="24" t="s">
        <v>12812</v>
      </c>
      <c r="D183" s="25" t="s">
        <v>12813</v>
      </c>
      <c r="E183" s="29"/>
      <c r="F183" s="101" t="s">
        <v>15552</v>
      </c>
      <c r="G183" s="102" t="s">
        <v>15538</v>
      </c>
      <c r="H183" s="103" t="s">
        <v>14080</v>
      </c>
      <c r="I183" s="29"/>
      <c r="J183" s="29"/>
      <c r="K183" s="29"/>
      <c r="L183" s="29"/>
      <c r="M183" s="29"/>
      <c r="N183" s="29"/>
      <c r="O183" s="29"/>
      <c r="P183" s="29"/>
    </row>
    <row r="184" spans="1:16" ht="112.5" customHeight="1" x14ac:dyDescent="0.2">
      <c r="A184" s="75">
        <v>66</v>
      </c>
      <c r="B184" s="94" t="s">
        <v>3630</v>
      </c>
      <c r="C184" s="94" t="s">
        <v>13013</v>
      </c>
      <c r="D184" s="95" t="s">
        <v>13014</v>
      </c>
      <c r="E184" s="96"/>
      <c r="F184" s="97" t="s">
        <v>15701</v>
      </c>
      <c r="G184" s="98" t="s">
        <v>15702</v>
      </c>
      <c r="H184" s="99" t="s">
        <v>14182</v>
      </c>
      <c r="I184" s="29"/>
      <c r="J184" s="29"/>
      <c r="K184" s="29"/>
      <c r="L184" s="29"/>
      <c r="M184" s="29"/>
      <c r="N184" s="29"/>
      <c r="O184" s="29"/>
      <c r="P184" s="29"/>
    </row>
    <row r="185" spans="1:16" ht="112.5" customHeight="1" x14ac:dyDescent="0.2">
      <c r="A185" s="75">
        <v>67</v>
      </c>
      <c r="B185" s="94" t="s">
        <v>3630</v>
      </c>
      <c r="C185" s="94" t="s">
        <v>13031</v>
      </c>
      <c r="D185" s="95" t="s">
        <v>13032</v>
      </c>
      <c r="E185" s="96"/>
      <c r="F185" s="97" t="s">
        <v>15697</v>
      </c>
      <c r="G185" s="102" t="s">
        <v>15703</v>
      </c>
      <c r="H185" s="103" t="s">
        <v>14413</v>
      </c>
      <c r="I185" s="29"/>
      <c r="J185" s="29"/>
      <c r="K185" s="29"/>
      <c r="L185" s="29"/>
      <c r="M185" s="29"/>
      <c r="N185" s="29"/>
      <c r="O185" s="29"/>
      <c r="P185" s="29"/>
    </row>
    <row r="186" spans="1:16" ht="112.5" hidden="1" customHeight="1" x14ac:dyDescent="0.3">
      <c r="A186" s="104">
        <v>3735</v>
      </c>
      <c r="B186" s="28" t="s">
        <v>3630</v>
      </c>
      <c r="C186" s="28" t="s">
        <v>12919</v>
      </c>
      <c r="D186" s="27" t="s">
        <v>12920</v>
      </c>
      <c r="E186" s="29"/>
      <c r="F186" s="105" t="s">
        <v>15546</v>
      </c>
      <c r="G186" s="98" t="s">
        <v>15538</v>
      </c>
      <c r="H186" s="99" t="s">
        <v>14564</v>
      </c>
      <c r="I186" s="29"/>
      <c r="J186" s="29"/>
      <c r="K186" s="29"/>
      <c r="L186" s="29"/>
      <c r="M186" s="29"/>
      <c r="N186" s="29"/>
      <c r="O186" s="29"/>
      <c r="P186" s="29"/>
    </row>
    <row r="187" spans="1:16" ht="112.5" hidden="1" customHeight="1" x14ac:dyDescent="0.3">
      <c r="A187" s="104">
        <v>3751</v>
      </c>
      <c r="B187" s="28" t="s">
        <v>3630</v>
      </c>
      <c r="C187" s="28" t="s">
        <v>12916</v>
      </c>
      <c r="D187" s="27" t="s">
        <v>12917</v>
      </c>
      <c r="E187" s="29"/>
      <c r="F187" s="105" t="s">
        <v>15606</v>
      </c>
      <c r="G187" s="98" t="s">
        <v>15538</v>
      </c>
      <c r="H187" s="99" t="s">
        <v>14612</v>
      </c>
      <c r="I187" s="29"/>
      <c r="J187" s="29"/>
      <c r="K187" s="29"/>
      <c r="L187" s="29"/>
      <c r="M187" s="29"/>
      <c r="N187" s="29"/>
      <c r="O187" s="29"/>
      <c r="P187" s="29"/>
    </row>
    <row r="188" spans="1:16" ht="112.5" customHeight="1" x14ac:dyDescent="0.2">
      <c r="A188" s="75">
        <v>68</v>
      </c>
      <c r="B188" s="94" t="s">
        <v>3630</v>
      </c>
      <c r="C188" s="94" t="s">
        <v>13276</v>
      </c>
      <c r="D188" s="95" t="s">
        <v>13277</v>
      </c>
      <c r="E188" s="96"/>
      <c r="F188" s="97" t="s">
        <v>15678</v>
      </c>
      <c r="G188" s="102" t="s">
        <v>15572</v>
      </c>
      <c r="H188" s="103" t="s">
        <v>14615</v>
      </c>
      <c r="I188" s="29"/>
      <c r="J188" s="29"/>
      <c r="K188" s="29"/>
      <c r="L188" s="29"/>
      <c r="M188" s="29"/>
      <c r="N188" s="29"/>
      <c r="O188" s="29"/>
      <c r="P188" s="29"/>
    </row>
    <row r="189" spans="1:16" ht="112.5" hidden="1" customHeight="1" x14ac:dyDescent="0.3">
      <c r="A189" s="104">
        <v>3753</v>
      </c>
      <c r="B189" s="28" t="s">
        <v>3630</v>
      </c>
      <c r="C189" s="28" t="s">
        <v>12598</v>
      </c>
      <c r="D189" s="27" t="s">
        <v>12599</v>
      </c>
      <c r="E189" s="29"/>
      <c r="F189" s="105" t="s">
        <v>15606</v>
      </c>
      <c r="G189" s="98" t="s">
        <v>15538</v>
      </c>
      <c r="H189" s="99" t="s">
        <v>14618</v>
      </c>
      <c r="I189" s="29"/>
      <c r="J189" s="29"/>
      <c r="K189" s="29"/>
      <c r="L189" s="29"/>
      <c r="M189" s="29"/>
      <c r="N189" s="29"/>
      <c r="O189" s="29"/>
      <c r="P189" s="29"/>
    </row>
    <row r="190" spans="1:16" ht="112.5" customHeight="1" x14ac:dyDescent="0.2">
      <c r="A190" s="75">
        <v>69</v>
      </c>
      <c r="B190" s="94" t="s">
        <v>3630</v>
      </c>
      <c r="C190" s="94" t="s">
        <v>13203</v>
      </c>
      <c r="D190" s="95" t="s">
        <v>13204</v>
      </c>
      <c r="E190" s="96"/>
      <c r="F190" s="97" t="s">
        <v>15577</v>
      </c>
      <c r="G190" s="102" t="s">
        <v>15704</v>
      </c>
      <c r="H190" s="103" t="s">
        <v>14621</v>
      </c>
      <c r="I190" s="29"/>
      <c r="J190" s="29"/>
      <c r="K190" s="29"/>
      <c r="L190" s="29"/>
      <c r="M190" s="29"/>
      <c r="N190" s="29"/>
      <c r="O190" s="29"/>
      <c r="P190" s="29"/>
    </row>
    <row r="191" spans="1:16" ht="112.5" customHeight="1" x14ac:dyDescent="0.2">
      <c r="A191" s="75">
        <v>70</v>
      </c>
      <c r="B191" s="94" t="s">
        <v>3630</v>
      </c>
      <c r="C191" s="94" t="s">
        <v>14655</v>
      </c>
      <c r="D191" s="95" t="s">
        <v>14656</v>
      </c>
      <c r="E191" s="96"/>
      <c r="F191" s="97" t="s">
        <v>15635</v>
      </c>
      <c r="G191" s="98" t="s">
        <v>15705</v>
      </c>
      <c r="H191" s="99" t="s">
        <v>14828</v>
      </c>
      <c r="I191" s="29"/>
      <c r="J191" s="29"/>
      <c r="K191" s="29"/>
      <c r="L191" s="29"/>
      <c r="M191" s="29"/>
      <c r="N191" s="29"/>
      <c r="O191" s="29"/>
      <c r="P191" s="29"/>
    </row>
    <row r="192" spans="1:16" ht="112.5" customHeight="1" x14ac:dyDescent="0.2">
      <c r="A192" s="75">
        <v>71</v>
      </c>
      <c r="B192" s="94" t="s">
        <v>3630</v>
      </c>
      <c r="C192" s="94" t="s">
        <v>14420</v>
      </c>
      <c r="D192" s="95" t="s">
        <v>14421</v>
      </c>
      <c r="E192" s="96"/>
      <c r="F192" s="97" t="s">
        <v>15706</v>
      </c>
      <c r="G192" s="98" t="s">
        <v>15707</v>
      </c>
      <c r="H192" s="99" t="s">
        <v>15029</v>
      </c>
      <c r="I192" s="29"/>
      <c r="J192" s="29"/>
      <c r="K192" s="29"/>
      <c r="L192" s="29"/>
      <c r="M192" s="29"/>
      <c r="N192" s="29"/>
      <c r="O192" s="29"/>
      <c r="P192" s="29"/>
    </row>
    <row r="193" spans="1:16" ht="112.5" customHeight="1" x14ac:dyDescent="0.2">
      <c r="A193" s="75">
        <v>72</v>
      </c>
      <c r="B193" s="94" t="s">
        <v>3630</v>
      </c>
      <c r="C193" s="94" t="s">
        <v>13573</v>
      </c>
      <c r="D193" s="95" t="s">
        <v>13574</v>
      </c>
      <c r="E193" s="96"/>
      <c r="F193" s="97" t="s">
        <v>15611</v>
      </c>
      <c r="G193" s="102" t="s">
        <v>15708</v>
      </c>
      <c r="H193" s="103" t="s">
        <v>15032</v>
      </c>
      <c r="I193" s="29"/>
      <c r="J193" s="29"/>
      <c r="K193" s="29"/>
      <c r="L193" s="29"/>
      <c r="M193" s="29"/>
      <c r="N193" s="29"/>
      <c r="O193" s="29"/>
      <c r="P193" s="29"/>
    </row>
    <row r="194" spans="1:16" ht="112.5" customHeight="1" x14ac:dyDescent="0.2">
      <c r="A194" s="75">
        <v>73</v>
      </c>
      <c r="B194" s="94" t="s">
        <v>3630</v>
      </c>
      <c r="C194" s="94" t="s">
        <v>13878</v>
      </c>
      <c r="D194" s="95" t="s">
        <v>13879</v>
      </c>
      <c r="E194" s="96"/>
      <c r="F194" s="97" t="s">
        <v>15709</v>
      </c>
      <c r="G194" s="98" t="s">
        <v>15710</v>
      </c>
      <c r="H194" s="99" t="s">
        <v>15130</v>
      </c>
      <c r="I194" s="29"/>
      <c r="J194" s="29"/>
      <c r="K194" s="29"/>
      <c r="L194" s="29"/>
      <c r="M194" s="29"/>
      <c r="N194" s="29"/>
      <c r="O194" s="29"/>
      <c r="P194" s="29"/>
    </row>
    <row r="195" spans="1:16" ht="112.5" customHeight="1" x14ac:dyDescent="0.2">
      <c r="A195" s="75">
        <v>74</v>
      </c>
      <c r="B195" s="94" t="s">
        <v>3630</v>
      </c>
      <c r="C195" s="94" t="s">
        <v>13849</v>
      </c>
      <c r="D195" s="95" t="s">
        <v>13850</v>
      </c>
      <c r="E195" s="96"/>
      <c r="F195" s="97" t="s">
        <v>15697</v>
      </c>
      <c r="G195" s="98" t="s">
        <v>15711</v>
      </c>
      <c r="H195" s="99" t="s">
        <v>15165</v>
      </c>
      <c r="I195" s="29"/>
      <c r="J195" s="29"/>
      <c r="K195" s="29"/>
      <c r="L195" s="29"/>
      <c r="M195" s="29"/>
      <c r="N195" s="29"/>
      <c r="O195" s="29"/>
      <c r="P195" s="29"/>
    </row>
    <row r="196" spans="1:16" ht="112.5" customHeight="1" x14ac:dyDescent="0.2">
      <c r="A196" s="75">
        <v>75</v>
      </c>
      <c r="B196" s="94" t="s">
        <v>3630</v>
      </c>
      <c r="C196" s="94" t="s">
        <v>13503</v>
      </c>
      <c r="D196" s="95" t="s">
        <v>13504</v>
      </c>
      <c r="E196" s="96"/>
      <c r="F196" s="97" t="s">
        <v>15599</v>
      </c>
      <c r="G196" s="102" t="s">
        <v>15585</v>
      </c>
      <c r="H196" s="103" t="s">
        <v>15496</v>
      </c>
      <c r="I196" s="29"/>
      <c r="J196" s="29"/>
      <c r="K196" s="29"/>
      <c r="L196" s="29"/>
      <c r="M196" s="29"/>
      <c r="N196" s="29"/>
      <c r="O196" s="29"/>
      <c r="P196" s="29"/>
    </row>
    <row r="197" spans="1:16" ht="112.5" customHeight="1" x14ac:dyDescent="0.2">
      <c r="A197" s="75">
        <v>76</v>
      </c>
      <c r="B197" s="94" t="s">
        <v>3822</v>
      </c>
      <c r="C197" s="94" t="s">
        <v>13485</v>
      </c>
      <c r="D197" s="95" t="s">
        <v>13486</v>
      </c>
      <c r="E197" s="96"/>
      <c r="F197" s="97" t="s">
        <v>15686</v>
      </c>
      <c r="G197" s="102" t="s">
        <v>15712</v>
      </c>
      <c r="H197" s="103" t="s">
        <v>3539</v>
      </c>
      <c r="I197" s="29"/>
      <c r="J197" s="29"/>
      <c r="K197" s="29"/>
      <c r="L197" s="29"/>
      <c r="M197" s="29"/>
      <c r="N197" s="29"/>
      <c r="O197" s="29"/>
      <c r="P197" s="29"/>
    </row>
    <row r="198" spans="1:16" ht="112.5" customHeight="1" x14ac:dyDescent="0.2">
      <c r="A198" s="75">
        <v>77</v>
      </c>
      <c r="B198" s="94" t="s">
        <v>3822</v>
      </c>
      <c r="C198" s="94" t="s">
        <v>14574</v>
      </c>
      <c r="D198" s="95" t="s">
        <v>14575</v>
      </c>
      <c r="E198" s="96"/>
      <c r="F198" s="97" t="s">
        <v>15554</v>
      </c>
      <c r="G198" s="98" t="s">
        <v>15597</v>
      </c>
      <c r="H198" s="99" t="s">
        <v>3574</v>
      </c>
      <c r="I198" s="29"/>
      <c r="J198" s="29"/>
      <c r="K198" s="29"/>
      <c r="L198" s="29"/>
      <c r="M198" s="29"/>
      <c r="N198" s="29"/>
      <c r="O198" s="29"/>
      <c r="P198" s="29"/>
    </row>
    <row r="199" spans="1:16" ht="112.5" customHeight="1" x14ac:dyDescent="0.2">
      <c r="A199" s="75">
        <v>78</v>
      </c>
      <c r="B199" s="94" t="s">
        <v>3822</v>
      </c>
      <c r="C199" s="94" t="s">
        <v>14637</v>
      </c>
      <c r="D199" s="95" t="s">
        <v>14638</v>
      </c>
      <c r="E199" s="96"/>
      <c r="F199" s="97" t="s">
        <v>15588</v>
      </c>
      <c r="G199" s="102" t="s">
        <v>15713</v>
      </c>
      <c r="H199" s="103" t="s">
        <v>3583</v>
      </c>
      <c r="I199" s="29"/>
      <c r="J199" s="29"/>
      <c r="K199" s="29"/>
      <c r="L199" s="29"/>
      <c r="M199" s="29"/>
      <c r="N199" s="29"/>
      <c r="O199" s="29"/>
      <c r="P199" s="29"/>
    </row>
    <row r="200" spans="1:16" ht="112.5" hidden="1" customHeight="1" x14ac:dyDescent="0.3">
      <c r="A200" s="104">
        <v>29</v>
      </c>
      <c r="B200" s="28" t="s">
        <v>3822</v>
      </c>
      <c r="C200" s="28" t="s">
        <v>14805</v>
      </c>
      <c r="D200" s="27" t="s">
        <v>14806</v>
      </c>
      <c r="E200" s="29"/>
      <c r="F200" s="105" t="s">
        <v>15551</v>
      </c>
      <c r="G200" s="98" t="s">
        <v>15538</v>
      </c>
      <c r="H200" s="99" t="s">
        <v>3586</v>
      </c>
      <c r="I200" s="29"/>
      <c r="J200" s="29"/>
      <c r="K200" s="29"/>
      <c r="L200" s="29"/>
      <c r="M200" s="29"/>
      <c r="N200" s="29"/>
      <c r="O200" s="29"/>
      <c r="P200" s="29"/>
    </row>
    <row r="201" spans="1:16" ht="112.5" customHeight="1" x14ac:dyDescent="0.2">
      <c r="A201" s="75">
        <v>79</v>
      </c>
      <c r="B201" s="94" t="s">
        <v>3822</v>
      </c>
      <c r="C201" s="94" t="s">
        <v>13677</v>
      </c>
      <c r="D201" s="95" t="s">
        <v>13678</v>
      </c>
      <c r="E201" s="96"/>
      <c r="F201" s="97" t="s">
        <v>15695</v>
      </c>
      <c r="G201" s="98" t="s">
        <v>15714</v>
      </c>
      <c r="H201" s="99" t="s">
        <v>3592</v>
      </c>
      <c r="I201" s="29"/>
      <c r="J201" s="29"/>
      <c r="K201" s="29"/>
      <c r="L201" s="29"/>
      <c r="M201" s="29"/>
      <c r="N201" s="29"/>
      <c r="O201" s="29"/>
      <c r="P201" s="29"/>
    </row>
    <row r="202" spans="1:16" ht="112.5" customHeight="1" x14ac:dyDescent="0.2">
      <c r="A202" s="75">
        <v>80</v>
      </c>
      <c r="B202" s="94" t="s">
        <v>3822</v>
      </c>
      <c r="C202" s="94" t="s">
        <v>13674</v>
      </c>
      <c r="D202" s="95" t="s">
        <v>13675</v>
      </c>
      <c r="E202" s="96"/>
      <c r="F202" s="97" t="s">
        <v>15589</v>
      </c>
      <c r="G202" s="102" t="s">
        <v>15715</v>
      </c>
      <c r="H202" s="103" t="s">
        <v>3595</v>
      </c>
      <c r="I202" s="29"/>
      <c r="J202" s="29"/>
      <c r="K202" s="29"/>
      <c r="L202" s="29"/>
      <c r="M202" s="29"/>
      <c r="N202" s="29"/>
      <c r="O202" s="29"/>
      <c r="P202" s="29"/>
    </row>
    <row r="203" spans="1:16" ht="112.5" customHeight="1" x14ac:dyDescent="0.2">
      <c r="A203" s="75">
        <v>81</v>
      </c>
      <c r="B203" s="94" t="s">
        <v>3822</v>
      </c>
      <c r="C203" s="94" t="s">
        <v>13780</v>
      </c>
      <c r="D203" s="95" t="s">
        <v>13781</v>
      </c>
      <c r="E203" s="96"/>
      <c r="F203" s="97" t="s">
        <v>15586</v>
      </c>
      <c r="G203" s="98" t="s">
        <v>15716</v>
      </c>
      <c r="H203" s="99" t="s">
        <v>3629</v>
      </c>
      <c r="I203" s="29"/>
      <c r="J203" s="29"/>
      <c r="K203" s="29"/>
      <c r="L203" s="29"/>
      <c r="M203" s="29"/>
      <c r="N203" s="29"/>
      <c r="O203" s="29"/>
      <c r="P203" s="29"/>
    </row>
    <row r="204" spans="1:16" ht="112.5" hidden="1" customHeight="1" x14ac:dyDescent="0.3">
      <c r="A204" s="104">
        <v>47</v>
      </c>
      <c r="B204" s="28" t="s">
        <v>3822</v>
      </c>
      <c r="C204" s="28" t="s">
        <v>14970</v>
      </c>
      <c r="D204" s="27" t="s">
        <v>14971</v>
      </c>
      <c r="E204" s="29"/>
      <c r="F204" s="105" t="s">
        <v>15568</v>
      </c>
      <c r="G204" s="98" t="s">
        <v>15538</v>
      </c>
      <c r="H204" s="99" t="s">
        <v>3642</v>
      </c>
      <c r="I204" s="29"/>
      <c r="J204" s="29"/>
      <c r="K204" s="29"/>
      <c r="L204" s="29"/>
      <c r="M204" s="29"/>
      <c r="N204" s="29"/>
      <c r="O204" s="29"/>
      <c r="P204" s="29"/>
    </row>
    <row r="205" spans="1:16" ht="112.5" hidden="1" customHeight="1" x14ac:dyDescent="0.3">
      <c r="A205" s="104">
        <v>83</v>
      </c>
      <c r="B205" s="28" t="s">
        <v>3822</v>
      </c>
      <c r="C205" s="28" t="s">
        <v>14748</v>
      </c>
      <c r="D205" s="27" t="s">
        <v>14749</v>
      </c>
      <c r="E205" s="29"/>
      <c r="F205" s="105" t="s">
        <v>15717</v>
      </c>
      <c r="G205" s="98" t="s">
        <v>15538</v>
      </c>
      <c r="H205" s="99" t="s">
        <v>3752</v>
      </c>
      <c r="I205" s="29"/>
      <c r="J205" s="29"/>
      <c r="K205" s="29"/>
      <c r="L205" s="29"/>
      <c r="M205" s="29"/>
      <c r="N205" s="29"/>
      <c r="O205" s="29"/>
      <c r="P205" s="29"/>
    </row>
    <row r="206" spans="1:16" ht="112.5" hidden="1" customHeight="1" x14ac:dyDescent="0.3">
      <c r="A206" s="100">
        <v>84</v>
      </c>
      <c r="B206" s="24" t="s">
        <v>3822</v>
      </c>
      <c r="C206" s="24" t="s">
        <v>15092</v>
      </c>
      <c r="D206" s="25" t="s">
        <v>15093</v>
      </c>
      <c r="E206" s="29"/>
      <c r="F206" s="101" t="s">
        <v>15648</v>
      </c>
      <c r="G206" s="102" t="s">
        <v>15538</v>
      </c>
      <c r="H206" s="103" t="s">
        <v>3755</v>
      </c>
      <c r="I206" s="29"/>
      <c r="J206" s="29"/>
      <c r="K206" s="29"/>
      <c r="L206" s="29"/>
      <c r="M206" s="29"/>
      <c r="N206" s="29"/>
      <c r="O206" s="29"/>
      <c r="P206" s="29"/>
    </row>
    <row r="207" spans="1:16" ht="112.5" hidden="1" customHeight="1" x14ac:dyDescent="0.3">
      <c r="A207" s="104">
        <v>113</v>
      </c>
      <c r="B207" s="28" t="s">
        <v>3822</v>
      </c>
      <c r="C207" s="28" t="s">
        <v>15398</v>
      </c>
      <c r="D207" s="27" t="s">
        <v>15399</v>
      </c>
      <c r="E207" s="29"/>
      <c r="F207" s="105" t="s">
        <v>15706</v>
      </c>
      <c r="G207" s="98" t="s">
        <v>15538</v>
      </c>
      <c r="H207" s="99" t="s">
        <v>3846</v>
      </c>
      <c r="I207" s="29"/>
      <c r="J207" s="29"/>
      <c r="K207" s="29"/>
      <c r="L207" s="29"/>
      <c r="M207" s="29"/>
      <c r="N207" s="29"/>
      <c r="O207" s="29"/>
      <c r="P207" s="29"/>
    </row>
    <row r="208" spans="1:16" ht="112.5" hidden="1" customHeight="1" x14ac:dyDescent="0.3">
      <c r="A208" s="100">
        <v>126</v>
      </c>
      <c r="B208" s="24" t="s">
        <v>3822</v>
      </c>
      <c r="C208" s="24" t="s">
        <v>15253</v>
      </c>
      <c r="D208" s="25" t="s">
        <v>15254</v>
      </c>
      <c r="E208" s="29"/>
      <c r="F208" s="101" t="s">
        <v>15638</v>
      </c>
      <c r="G208" s="102" t="s">
        <v>15538</v>
      </c>
      <c r="H208" s="103" t="s">
        <v>3885</v>
      </c>
      <c r="I208" s="29"/>
      <c r="J208" s="29"/>
      <c r="K208" s="29"/>
      <c r="L208" s="29"/>
      <c r="M208" s="29"/>
      <c r="N208" s="29"/>
      <c r="O208" s="29"/>
      <c r="P208" s="29"/>
    </row>
    <row r="209" spans="1:16" ht="112.5" customHeight="1" x14ac:dyDescent="0.2">
      <c r="A209" s="75">
        <v>82</v>
      </c>
      <c r="B209" s="94" t="s">
        <v>3822</v>
      </c>
      <c r="C209" s="94" t="s">
        <v>15262</v>
      </c>
      <c r="D209" s="95" t="s">
        <v>15263</v>
      </c>
      <c r="E209" s="96"/>
      <c r="F209" s="97" t="s">
        <v>15718</v>
      </c>
      <c r="G209" s="102" t="s">
        <v>15719</v>
      </c>
      <c r="H209" s="103" t="s">
        <v>3928</v>
      </c>
      <c r="I209" s="29"/>
      <c r="J209" s="29"/>
      <c r="K209" s="29"/>
      <c r="L209" s="29"/>
      <c r="M209" s="29"/>
      <c r="N209" s="29"/>
      <c r="O209" s="29"/>
      <c r="P209" s="29"/>
    </row>
    <row r="210" spans="1:16" ht="112.5" hidden="1" customHeight="1" x14ac:dyDescent="0.3">
      <c r="A210" s="100">
        <v>150</v>
      </c>
      <c r="B210" s="24" t="s">
        <v>3822</v>
      </c>
      <c r="C210" s="24" t="s">
        <v>13783</v>
      </c>
      <c r="D210" s="25" t="s">
        <v>13784</v>
      </c>
      <c r="E210" s="29"/>
      <c r="F210" s="101" t="s">
        <v>15651</v>
      </c>
      <c r="G210" s="102" t="s">
        <v>15538</v>
      </c>
      <c r="H210" s="103" t="s">
        <v>3958</v>
      </c>
      <c r="I210" s="29"/>
      <c r="J210" s="29"/>
      <c r="K210" s="29"/>
      <c r="L210" s="29"/>
      <c r="M210" s="29"/>
      <c r="N210" s="29"/>
      <c r="O210" s="29"/>
      <c r="P210" s="29"/>
    </row>
    <row r="211" spans="1:16" ht="112.5" customHeight="1" x14ac:dyDescent="0.2">
      <c r="A211" s="75">
        <v>83</v>
      </c>
      <c r="B211" s="94" t="s">
        <v>3822</v>
      </c>
      <c r="C211" s="94" t="s">
        <v>15280</v>
      </c>
      <c r="D211" s="95" t="s">
        <v>15281</v>
      </c>
      <c r="E211" s="96"/>
      <c r="F211" s="97" t="s">
        <v>15638</v>
      </c>
      <c r="G211" s="102" t="s">
        <v>15720</v>
      </c>
      <c r="H211" s="103" t="s">
        <v>4006</v>
      </c>
      <c r="I211" s="29"/>
      <c r="J211" s="29"/>
      <c r="K211" s="29"/>
      <c r="L211" s="29"/>
      <c r="M211" s="29"/>
      <c r="N211" s="29"/>
      <c r="O211" s="29"/>
      <c r="P211" s="29"/>
    </row>
    <row r="212" spans="1:16" ht="112.5" customHeight="1" x14ac:dyDescent="0.2">
      <c r="A212" s="75">
        <v>84</v>
      </c>
      <c r="B212" s="94" t="s">
        <v>3822</v>
      </c>
      <c r="C212" s="94" t="s">
        <v>13875</v>
      </c>
      <c r="D212" s="95" t="s">
        <v>13876</v>
      </c>
      <c r="E212" s="96"/>
      <c r="F212" s="97" t="s">
        <v>15669</v>
      </c>
      <c r="G212" s="98" t="s">
        <v>15721</v>
      </c>
      <c r="H212" s="99" t="s">
        <v>4009</v>
      </c>
      <c r="I212" s="29"/>
      <c r="J212" s="29"/>
      <c r="K212" s="29"/>
      <c r="L212" s="29"/>
      <c r="M212" s="29"/>
      <c r="N212" s="29"/>
      <c r="O212" s="29"/>
      <c r="P212" s="29"/>
    </row>
    <row r="213" spans="1:16" ht="112.5" hidden="1" customHeight="1" x14ac:dyDescent="0.3">
      <c r="A213" s="100">
        <v>168</v>
      </c>
      <c r="B213" s="24" t="s">
        <v>3822</v>
      </c>
      <c r="C213" s="24" t="s">
        <v>13789</v>
      </c>
      <c r="D213" s="25" t="s">
        <v>13790</v>
      </c>
      <c r="E213" s="29"/>
      <c r="F213" s="101" t="s">
        <v>15586</v>
      </c>
      <c r="G213" s="102" t="s">
        <v>15538</v>
      </c>
      <c r="H213" s="103" t="s">
        <v>4012</v>
      </c>
      <c r="I213" s="29"/>
      <c r="J213" s="29"/>
      <c r="K213" s="29"/>
      <c r="L213" s="29"/>
      <c r="M213" s="29"/>
      <c r="N213" s="29"/>
      <c r="O213" s="29"/>
      <c r="P213" s="29"/>
    </row>
    <row r="214" spans="1:16" ht="112.5" customHeight="1" x14ac:dyDescent="0.2">
      <c r="A214" s="75">
        <v>85</v>
      </c>
      <c r="B214" s="94" t="s">
        <v>3822</v>
      </c>
      <c r="C214" s="94" t="s">
        <v>15238</v>
      </c>
      <c r="D214" s="95" t="s">
        <v>15239</v>
      </c>
      <c r="E214" s="96"/>
      <c r="F214" s="97" t="s">
        <v>15606</v>
      </c>
      <c r="G214" s="102" t="s">
        <v>15722</v>
      </c>
      <c r="H214" s="103" t="s">
        <v>4084</v>
      </c>
      <c r="I214" s="29"/>
      <c r="J214" s="29"/>
      <c r="K214" s="29"/>
      <c r="L214" s="29"/>
      <c r="M214" s="29"/>
      <c r="N214" s="29"/>
      <c r="O214" s="29"/>
      <c r="P214" s="29"/>
    </row>
    <row r="215" spans="1:16" ht="112.5" customHeight="1" x14ac:dyDescent="0.2">
      <c r="A215" s="75">
        <v>86</v>
      </c>
      <c r="B215" s="94" t="s">
        <v>3822</v>
      </c>
      <c r="C215" s="94" t="s">
        <v>13605</v>
      </c>
      <c r="D215" s="95" t="s">
        <v>13606</v>
      </c>
      <c r="E215" s="96"/>
      <c r="F215" s="97" t="s">
        <v>15655</v>
      </c>
      <c r="G215" s="102" t="s">
        <v>15723</v>
      </c>
      <c r="H215" s="103" t="s">
        <v>4090</v>
      </c>
      <c r="I215" s="29"/>
      <c r="J215" s="29"/>
      <c r="K215" s="29"/>
      <c r="L215" s="29"/>
      <c r="M215" s="29"/>
      <c r="N215" s="29"/>
      <c r="O215" s="29"/>
      <c r="P215" s="29"/>
    </row>
    <row r="216" spans="1:16" ht="112.5" customHeight="1" x14ac:dyDescent="0.2">
      <c r="A216" s="75">
        <v>87</v>
      </c>
      <c r="B216" s="94" t="s">
        <v>3822</v>
      </c>
      <c r="C216" s="94" t="s">
        <v>14910</v>
      </c>
      <c r="D216" s="95" t="s">
        <v>14911</v>
      </c>
      <c r="E216" s="96"/>
      <c r="F216" s="97" t="s">
        <v>15697</v>
      </c>
      <c r="G216" s="98" t="s">
        <v>15724</v>
      </c>
      <c r="H216" s="99" t="s">
        <v>4098</v>
      </c>
      <c r="I216" s="29"/>
      <c r="J216" s="29"/>
      <c r="K216" s="29"/>
      <c r="L216" s="29"/>
      <c r="M216" s="29"/>
      <c r="N216" s="29"/>
      <c r="O216" s="29"/>
      <c r="P216" s="29"/>
    </row>
    <row r="217" spans="1:16" ht="112.5" hidden="1" customHeight="1" x14ac:dyDescent="0.3">
      <c r="A217" s="104">
        <v>201</v>
      </c>
      <c r="B217" s="28" t="s">
        <v>3822</v>
      </c>
      <c r="C217" s="28" t="s">
        <v>13869</v>
      </c>
      <c r="D217" s="27" t="s">
        <v>13870</v>
      </c>
      <c r="E217" s="29"/>
      <c r="F217" s="105" t="s">
        <v>15725</v>
      </c>
      <c r="G217" s="98" t="s">
        <v>15538</v>
      </c>
      <c r="H217" s="99" t="s">
        <v>4110</v>
      </c>
      <c r="I217" s="29"/>
      <c r="J217" s="29"/>
      <c r="K217" s="29"/>
      <c r="L217" s="29"/>
      <c r="M217" s="29"/>
      <c r="N217" s="29"/>
      <c r="O217" s="29"/>
      <c r="P217" s="29"/>
    </row>
    <row r="218" spans="1:16" ht="112.5" hidden="1" customHeight="1" x14ac:dyDescent="0.3">
      <c r="A218" s="100">
        <v>204</v>
      </c>
      <c r="B218" s="24" t="s">
        <v>3822</v>
      </c>
      <c r="C218" s="24" t="s">
        <v>13525</v>
      </c>
      <c r="D218" s="25" t="s">
        <v>13526</v>
      </c>
      <c r="E218" s="29"/>
      <c r="F218" s="101" t="s">
        <v>15726</v>
      </c>
      <c r="G218" s="102" t="s">
        <v>15538</v>
      </c>
      <c r="H218" s="103" t="s">
        <v>4119</v>
      </c>
      <c r="I218" s="29"/>
      <c r="J218" s="29"/>
      <c r="K218" s="29"/>
      <c r="L218" s="29"/>
      <c r="M218" s="29"/>
      <c r="N218" s="29"/>
      <c r="O218" s="29"/>
      <c r="P218" s="29"/>
    </row>
    <row r="219" spans="1:16" ht="112.5" customHeight="1" x14ac:dyDescent="0.2">
      <c r="A219" s="75">
        <v>88</v>
      </c>
      <c r="B219" s="94" t="s">
        <v>3822</v>
      </c>
      <c r="C219" s="94" t="s">
        <v>15322</v>
      </c>
      <c r="D219" s="95" t="s">
        <v>15323</v>
      </c>
      <c r="E219" s="96"/>
      <c r="F219" s="97" t="s">
        <v>15689</v>
      </c>
      <c r="G219" s="102" t="s">
        <v>15727</v>
      </c>
      <c r="H219" s="103" t="s">
        <v>4143</v>
      </c>
      <c r="I219" s="29"/>
      <c r="J219" s="29"/>
      <c r="K219" s="29"/>
      <c r="L219" s="29"/>
      <c r="M219" s="29"/>
      <c r="N219" s="29"/>
      <c r="O219" s="29"/>
      <c r="P219" s="29"/>
    </row>
    <row r="220" spans="1:16" ht="112.5" customHeight="1" x14ac:dyDescent="0.2">
      <c r="A220" s="75">
        <v>89</v>
      </c>
      <c r="B220" s="94" t="s">
        <v>3822</v>
      </c>
      <c r="C220" s="94" t="s">
        <v>12446</v>
      </c>
      <c r="D220" s="95" t="s">
        <v>12447</v>
      </c>
      <c r="E220" s="96"/>
      <c r="F220" s="97" t="s">
        <v>15706</v>
      </c>
      <c r="G220" s="102" t="s">
        <v>15728</v>
      </c>
      <c r="H220" s="103" t="s">
        <v>4167</v>
      </c>
      <c r="I220" s="29"/>
      <c r="J220" s="29"/>
      <c r="K220" s="29"/>
      <c r="L220" s="29"/>
      <c r="M220" s="29"/>
      <c r="N220" s="29"/>
      <c r="O220" s="29"/>
      <c r="P220" s="29"/>
    </row>
    <row r="221" spans="1:16" ht="112.5" hidden="1" customHeight="1" x14ac:dyDescent="0.3">
      <c r="A221" s="100">
        <v>228</v>
      </c>
      <c r="B221" s="24" t="s">
        <v>3822</v>
      </c>
      <c r="C221" s="24" t="s">
        <v>13063</v>
      </c>
      <c r="D221" s="25" t="s">
        <v>13064</v>
      </c>
      <c r="E221" s="29"/>
      <c r="F221" s="101" t="s">
        <v>15726</v>
      </c>
      <c r="G221" s="102" t="s">
        <v>15538</v>
      </c>
      <c r="H221" s="103" t="s">
        <v>4192</v>
      </c>
      <c r="I221" s="29"/>
      <c r="J221" s="29"/>
      <c r="K221" s="29"/>
      <c r="L221" s="29"/>
      <c r="M221" s="29"/>
      <c r="N221" s="29"/>
      <c r="O221" s="29"/>
      <c r="P221" s="29"/>
    </row>
    <row r="222" spans="1:16" ht="112.5" hidden="1" customHeight="1" x14ac:dyDescent="0.3">
      <c r="A222" s="104">
        <v>229</v>
      </c>
      <c r="B222" s="28" t="s">
        <v>3822</v>
      </c>
      <c r="C222" s="28" t="s">
        <v>12785</v>
      </c>
      <c r="D222" s="27" t="s">
        <v>12786</v>
      </c>
      <c r="E222" s="29"/>
      <c r="F222" s="105" t="s">
        <v>15550</v>
      </c>
      <c r="G222" s="98" t="s">
        <v>15538</v>
      </c>
      <c r="H222" s="99" t="s">
        <v>4195</v>
      </c>
      <c r="I222" s="29"/>
      <c r="J222" s="29"/>
      <c r="K222" s="29"/>
      <c r="L222" s="29"/>
      <c r="M222" s="29"/>
      <c r="N222" s="29"/>
      <c r="O222" s="29"/>
      <c r="P222" s="29"/>
    </row>
    <row r="223" spans="1:16" ht="112.5" customHeight="1" x14ac:dyDescent="0.2">
      <c r="A223" s="75">
        <v>90</v>
      </c>
      <c r="B223" s="94" t="s">
        <v>3822</v>
      </c>
      <c r="C223" s="94" t="s">
        <v>13135</v>
      </c>
      <c r="D223" s="95" t="s">
        <v>13136</v>
      </c>
      <c r="E223" s="96"/>
      <c r="F223" s="97" t="s">
        <v>15550</v>
      </c>
      <c r="G223" s="98" t="s">
        <v>15729</v>
      </c>
      <c r="H223" s="99" t="s">
        <v>4219</v>
      </c>
      <c r="I223" s="29"/>
      <c r="J223" s="29"/>
      <c r="K223" s="29"/>
      <c r="L223" s="29"/>
      <c r="M223" s="29"/>
      <c r="N223" s="29"/>
      <c r="O223" s="29"/>
      <c r="P223" s="29"/>
    </row>
    <row r="224" spans="1:16" ht="112.5" hidden="1" customHeight="1" x14ac:dyDescent="0.3">
      <c r="A224" s="100">
        <v>256</v>
      </c>
      <c r="B224" s="24" t="s">
        <v>3822</v>
      </c>
      <c r="C224" s="24" t="s">
        <v>13374</v>
      </c>
      <c r="D224" s="25" t="s">
        <v>13375</v>
      </c>
      <c r="E224" s="29"/>
      <c r="F224" s="101" t="s">
        <v>15551</v>
      </c>
      <c r="G224" s="102" t="s">
        <v>15538</v>
      </c>
      <c r="H224" s="103" t="s">
        <v>4276</v>
      </c>
      <c r="I224" s="29"/>
      <c r="J224" s="29"/>
      <c r="K224" s="29"/>
      <c r="L224" s="29"/>
      <c r="M224" s="29"/>
      <c r="N224" s="29"/>
      <c r="O224" s="29"/>
      <c r="P224" s="29"/>
    </row>
    <row r="225" spans="1:16" ht="112.5" customHeight="1" x14ac:dyDescent="0.2">
      <c r="A225" s="75">
        <v>91</v>
      </c>
      <c r="B225" s="94" t="s">
        <v>3822</v>
      </c>
      <c r="C225" s="94" t="s">
        <v>14967</v>
      </c>
      <c r="D225" s="95" t="s">
        <v>14968</v>
      </c>
      <c r="E225" s="96"/>
      <c r="F225" s="97" t="s">
        <v>15730</v>
      </c>
      <c r="G225" s="98" t="s">
        <v>15731</v>
      </c>
      <c r="H225" s="99" t="s">
        <v>4309</v>
      </c>
      <c r="I225" s="29"/>
      <c r="J225" s="29"/>
      <c r="K225" s="29"/>
      <c r="L225" s="29"/>
      <c r="M225" s="29"/>
      <c r="N225" s="29"/>
      <c r="O225" s="29"/>
      <c r="P225" s="29"/>
    </row>
    <row r="226" spans="1:16" ht="112.5" hidden="1" customHeight="1" x14ac:dyDescent="0.3">
      <c r="A226" s="104">
        <v>273</v>
      </c>
      <c r="B226" s="28" t="s">
        <v>3822</v>
      </c>
      <c r="C226" s="28" t="s">
        <v>12416</v>
      </c>
      <c r="D226" s="27" t="s">
        <v>12417</v>
      </c>
      <c r="E226" s="29"/>
      <c r="F226" s="105" t="s">
        <v>15620</v>
      </c>
      <c r="G226" s="98" t="s">
        <v>15538</v>
      </c>
      <c r="H226" s="99" t="s">
        <v>4326</v>
      </c>
      <c r="I226" s="29"/>
      <c r="J226" s="29"/>
      <c r="K226" s="29"/>
      <c r="L226" s="29"/>
      <c r="M226" s="29"/>
      <c r="N226" s="29"/>
      <c r="O226" s="29"/>
      <c r="P226" s="29"/>
    </row>
    <row r="227" spans="1:16" ht="112.5" customHeight="1" x14ac:dyDescent="0.2">
      <c r="A227" s="75">
        <v>92</v>
      </c>
      <c r="B227" s="94" t="s">
        <v>3822</v>
      </c>
      <c r="C227" s="94" t="s">
        <v>13419</v>
      </c>
      <c r="D227" s="95" t="s">
        <v>13420</v>
      </c>
      <c r="E227" s="96"/>
      <c r="F227" s="97" t="s">
        <v>15606</v>
      </c>
      <c r="G227" s="102" t="s">
        <v>15732</v>
      </c>
      <c r="H227" s="103" t="s">
        <v>4329</v>
      </c>
      <c r="I227" s="29"/>
      <c r="J227" s="29"/>
      <c r="K227" s="29"/>
      <c r="L227" s="29"/>
      <c r="M227" s="29"/>
      <c r="N227" s="29"/>
      <c r="O227" s="29"/>
      <c r="P227" s="29"/>
    </row>
    <row r="228" spans="1:16" ht="112.5" hidden="1" customHeight="1" x14ac:dyDescent="0.3">
      <c r="A228" s="104">
        <v>277</v>
      </c>
      <c r="B228" s="28" t="s">
        <v>3822</v>
      </c>
      <c r="C228" s="28" t="s">
        <v>13368</v>
      </c>
      <c r="D228" s="27" t="s">
        <v>13369</v>
      </c>
      <c r="E228" s="29"/>
      <c r="F228" s="105" t="s">
        <v>15537</v>
      </c>
      <c r="G228" s="98" t="s">
        <v>15538</v>
      </c>
      <c r="H228" s="99" t="s">
        <v>4340</v>
      </c>
      <c r="I228" s="29"/>
      <c r="J228" s="29"/>
      <c r="K228" s="29"/>
      <c r="L228" s="29"/>
      <c r="M228" s="29"/>
      <c r="N228" s="29"/>
      <c r="O228" s="29"/>
      <c r="P228" s="29"/>
    </row>
    <row r="229" spans="1:16" ht="112.5" customHeight="1" x14ac:dyDescent="0.2">
      <c r="A229" s="75">
        <v>93</v>
      </c>
      <c r="B229" s="94" t="s">
        <v>3822</v>
      </c>
      <c r="C229" s="94" t="s">
        <v>13297</v>
      </c>
      <c r="D229" s="95" t="s">
        <v>13298</v>
      </c>
      <c r="E229" s="96"/>
      <c r="F229" s="97" t="s">
        <v>15606</v>
      </c>
      <c r="G229" s="102" t="s">
        <v>15733</v>
      </c>
      <c r="H229" s="103" t="s">
        <v>4343</v>
      </c>
      <c r="I229" s="29"/>
      <c r="J229" s="29"/>
      <c r="K229" s="29"/>
      <c r="L229" s="29"/>
      <c r="M229" s="29"/>
      <c r="N229" s="29"/>
      <c r="O229" s="29"/>
      <c r="P229" s="29"/>
    </row>
    <row r="230" spans="1:16" ht="112.5" customHeight="1" x14ac:dyDescent="0.2">
      <c r="A230" s="75">
        <v>94</v>
      </c>
      <c r="B230" s="94" t="s">
        <v>3822</v>
      </c>
      <c r="C230" s="94" t="s">
        <v>13458</v>
      </c>
      <c r="D230" s="95" t="s">
        <v>13459</v>
      </c>
      <c r="E230" s="96"/>
      <c r="F230" s="97" t="s">
        <v>15625</v>
      </c>
      <c r="G230" s="98" t="s">
        <v>15734</v>
      </c>
      <c r="H230" s="99" t="s">
        <v>4346</v>
      </c>
      <c r="I230" s="29"/>
      <c r="J230" s="29"/>
      <c r="K230" s="29"/>
      <c r="L230" s="29"/>
      <c r="M230" s="29"/>
      <c r="N230" s="29"/>
      <c r="O230" s="29"/>
      <c r="P230" s="29"/>
    </row>
    <row r="231" spans="1:16" ht="112.5" customHeight="1" x14ac:dyDescent="0.2">
      <c r="A231" s="75">
        <v>95</v>
      </c>
      <c r="B231" s="94" t="s">
        <v>3822</v>
      </c>
      <c r="C231" s="94" t="s">
        <v>13431</v>
      </c>
      <c r="D231" s="95" t="s">
        <v>13432</v>
      </c>
      <c r="E231" s="96"/>
      <c r="F231" s="97" t="s">
        <v>15568</v>
      </c>
      <c r="G231" s="98" t="s">
        <v>15572</v>
      </c>
      <c r="H231" s="99" t="s">
        <v>4370</v>
      </c>
      <c r="I231" s="29"/>
      <c r="J231" s="29"/>
      <c r="K231" s="29"/>
      <c r="L231" s="29"/>
      <c r="M231" s="29"/>
      <c r="N231" s="29"/>
      <c r="O231" s="29"/>
      <c r="P231" s="29"/>
    </row>
    <row r="232" spans="1:16" ht="112.5" hidden="1" customHeight="1" x14ac:dyDescent="0.3">
      <c r="A232" s="100">
        <v>382</v>
      </c>
      <c r="B232" s="24" t="s">
        <v>3822</v>
      </c>
      <c r="C232" s="24" t="s">
        <v>13988</v>
      </c>
      <c r="D232" s="25" t="s">
        <v>13989</v>
      </c>
      <c r="E232" s="29"/>
      <c r="F232" s="101" t="s">
        <v>15697</v>
      </c>
      <c r="G232" s="102" t="s">
        <v>15538</v>
      </c>
      <c r="H232" s="103" t="s">
        <v>4655</v>
      </c>
      <c r="I232" s="29"/>
      <c r="J232" s="29"/>
      <c r="K232" s="29"/>
      <c r="L232" s="29"/>
      <c r="M232" s="29"/>
      <c r="N232" s="29"/>
      <c r="O232" s="29"/>
      <c r="P232" s="29"/>
    </row>
    <row r="233" spans="1:16" ht="112.5" customHeight="1" x14ac:dyDescent="0.2">
      <c r="A233" s="75">
        <v>96</v>
      </c>
      <c r="B233" s="94" t="s">
        <v>3822</v>
      </c>
      <c r="C233" s="94" t="s">
        <v>13495</v>
      </c>
      <c r="D233" s="95" t="s">
        <v>13496</v>
      </c>
      <c r="E233" s="96"/>
      <c r="F233" s="97" t="s">
        <v>15717</v>
      </c>
      <c r="G233" s="102" t="s">
        <v>15735</v>
      </c>
      <c r="H233" s="103" t="s">
        <v>4838</v>
      </c>
      <c r="I233" s="29"/>
      <c r="J233" s="29"/>
      <c r="K233" s="29"/>
      <c r="L233" s="29"/>
      <c r="M233" s="29"/>
      <c r="N233" s="29"/>
      <c r="O233" s="29"/>
      <c r="P233" s="29"/>
    </row>
    <row r="234" spans="1:16" ht="112.5" customHeight="1" x14ac:dyDescent="0.2">
      <c r="A234" s="75">
        <v>97</v>
      </c>
      <c r="B234" s="94" t="s">
        <v>3822</v>
      </c>
      <c r="C234" s="94" t="s">
        <v>13144</v>
      </c>
      <c r="D234" s="95" t="s">
        <v>13145</v>
      </c>
      <c r="E234" s="96"/>
      <c r="F234" s="97" t="s">
        <v>15569</v>
      </c>
      <c r="G234" s="102" t="s">
        <v>15736</v>
      </c>
      <c r="H234" s="103" t="s">
        <v>4879</v>
      </c>
      <c r="I234" s="29"/>
      <c r="J234" s="29"/>
      <c r="K234" s="29"/>
      <c r="L234" s="29"/>
      <c r="M234" s="29"/>
      <c r="N234" s="29"/>
      <c r="O234" s="29"/>
      <c r="P234" s="29"/>
    </row>
    <row r="235" spans="1:16" ht="112.5" hidden="1" customHeight="1" x14ac:dyDescent="0.3">
      <c r="A235" s="100">
        <v>460</v>
      </c>
      <c r="B235" s="24" t="s">
        <v>3822</v>
      </c>
      <c r="C235" s="24" t="s">
        <v>13452</v>
      </c>
      <c r="D235" s="25" t="s">
        <v>13453</v>
      </c>
      <c r="E235" s="29"/>
      <c r="F235" s="101" t="s">
        <v>15604</v>
      </c>
      <c r="G235" s="102" t="s">
        <v>15538</v>
      </c>
      <c r="H235" s="103" t="s">
        <v>4885</v>
      </c>
      <c r="I235" s="29"/>
      <c r="J235" s="29"/>
      <c r="K235" s="29"/>
      <c r="L235" s="29"/>
      <c r="M235" s="29"/>
      <c r="N235" s="29"/>
      <c r="O235" s="29"/>
      <c r="P235" s="29"/>
    </row>
    <row r="236" spans="1:16" ht="112.5" customHeight="1" x14ac:dyDescent="0.2">
      <c r="A236" s="75">
        <v>98</v>
      </c>
      <c r="B236" s="94" t="s">
        <v>3822</v>
      </c>
      <c r="C236" s="94" t="s">
        <v>13147</v>
      </c>
      <c r="D236" s="95" t="s">
        <v>13148</v>
      </c>
      <c r="E236" s="96"/>
      <c r="F236" s="97" t="s">
        <v>15737</v>
      </c>
      <c r="G236" s="98" t="s">
        <v>15738</v>
      </c>
      <c r="H236" s="99" t="s">
        <v>4888</v>
      </c>
      <c r="I236" s="29"/>
      <c r="J236" s="29"/>
      <c r="K236" s="29"/>
      <c r="L236" s="29"/>
      <c r="M236" s="29"/>
      <c r="N236" s="29"/>
      <c r="O236" s="29"/>
      <c r="P236" s="29"/>
    </row>
    <row r="237" spans="1:16" ht="112.5" hidden="1" customHeight="1" x14ac:dyDescent="0.3">
      <c r="A237" s="100">
        <v>466</v>
      </c>
      <c r="B237" s="24" t="s">
        <v>3822</v>
      </c>
      <c r="C237" s="24" t="s">
        <v>12848</v>
      </c>
      <c r="D237" s="25" t="s">
        <v>12849</v>
      </c>
      <c r="E237" s="29"/>
      <c r="F237" s="101" t="s">
        <v>15551</v>
      </c>
      <c r="G237" s="102" t="s">
        <v>15538</v>
      </c>
      <c r="H237" s="103" t="s">
        <v>4903</v>
      </c>
      <c r="I237" s="29"/>
      <c r="J237" s="29"/>
      <c r="K237" s="29"/>
      <c r="L237" s="29"/>
      <c r="M237" s="29"/>
      <c r="N237" s="29"/>
      <c r="O237" s="29"/>
      <c r="P237" s="29"/>
    </row>
    <row r="238" spans="1:16" ht="112.5" hidden="1" customHeight="1" x14ac:dyDescent="0.3">
      <c r="A238" s="100">
        <v>472</v>
      </c>
      <c r="B238" s="24" t="s">
        <v>3822</v>
      </c>
      <c r="C238" s="24" t="s">
        <v>13840</v>
      </c>
      <c r="D238" s="25" t="s">
        <v>13841</v>
      </c>
      <c r="E238" s="29"/>
      <c r="F238" s="101" t="s">
        <v>15588</v>
      </c>
      <c r="G238" s="102" t="s">
        <v>15538</v>
      </c>
      <c r="H238" s="103" t="s">
        <v>4921</v>
      </c>
      <c r="I238" s="29"/>
      <c r="J238" s="29"/>
      <c r="K238" s="29"/>
      <c r="L238" s="29"/>
      <c r="M238" s="29"/>
      <c r="N238" s="29"/>
      <c r="O238" s="29"/>
      <c r="P238" s="29"/>
    </row>
    <row r="239" spans="1:16" ht="112.5" hidden="1" customHeight="1" x14ac:dyDescent="0.3">
      <c r="A239" s="104">
        <v>475</v>
      </c>
      <c r="B239" s="28" t="s">
        <v>3822</v>
      </c>
      <c r="C239" s="28" t="s">
        <v>12776</v>
      </c>
      <c r="D239" s="27" t="s">
        <v>12777</v>
      </c>
      <c r="E239" s="29"/>
      <c r="F239" s="105" t="s">
        <v>15537</v>
      </c>
      <c r="G239" s="98" t="s">
        <v>15538</v>
      </c>
      <c r="H239" s="99" t="s">
        <v>4930</v>
      </c>
      <c r="I239" s="29"/>
      <c r="J239" s="29"/>
      <c r="K239" s="29"/>
      <c r="L239" s="29"/>
      <c r="M239" s="29"/>
      <c r="N239" s="29"/>
      <c r="O239" s="29"/>
      <c r="P239" s="29"/>
    </row>
    <row r="240" spans="1:16" ht="112.5" customHeight="1" x14ac:dyDescent="0.2">
      <c r="A240" s="75">
        <v>99</v>
      </c>
      <c r="B240" s="94" t="s">
        <v>3822</v>
      </c>
      <c r="C240" s="94" t="s">
        <v>13330</v>
      </c>
      <c r="D240" s="95" t="s">
        <v>13331</v>
      </c>
      <c r="E240" s="96"/>
      <c r="F240" s="97" t="s">
        <v>15739</v>
      </c>
      <c r="G240" s="98" t="s">
        <v>15740</v>
      </c>
      <c r="H240" s="99" t="s">
        <v>5202</v>
      </c>
      <c r="I240" s="29"/>
      <c r="J240" s="29"/>
      <c r="K240" s="29"/>
      <c r="L240" s="29"/>
      <c r="M240" s="29"/>
      <c r="N240" s="29"/>
      <c r="O240" s="29"/>
      <c r="P240" s="29"/>
    </row>
    <row r="241" spans="1:16" ht="112.5" hidden="1" customHeight="1" x14ac:dyDescent="0.3">
      <c r="A241" s="104">
        <v>723</v>
      </c>
      <c r="B241" s="28" t="s">
        <v>3822</v>
      </c>
      <c r="C241" s="28" t="s">
        <v>13834</v>
      </c>
      <c r="D241" s="27" t="s">
        <v>13835</v>
      </c>
      <c r="E241" s="29"/>
      <c r="F241" s="105" t="s">
        <v>15706</v>
      </c>
      <c r="G241" s="98" t="s">
        <v>15538</v>
      </c>
      <c r="H241" s="99" t="s">
        <v>5666</v>
      </c>
      <c r="I241" s="29"/>
      <c r="J241" s="29"/>
      <c r="K241" s="29"/>
      <c r="L241" s="29"/>
      <c r="M241" s="29"/>
      <c r="N241" s="29"/>
      <c r="O241" s="29"/>
      <c r="P241" s="29"/>
    </row>
    <row r="242" spans="1:16" ht="112.5" customHeight="1" x14ac:dyDescent="0.2">
      <c r="A242" s="75">
        <v>100</v>
      </c>
      <c r="B242" s="94" t="s">
        <v>3822</v>
      </c>
      <c r="C242" s="94" t="s">
        <v>12703</v>
      </c>
      <c r="D242" s="95" t="s">
        <v>12704</v>
      </c>
      <c r="E242" s="96"/>
      <c r="F242" s="97" t="s">
        <v>15701</v>
      </c>
      <c r="G242" s="102" t="s">
        <v>15741</v>
      </c>
      <c r="H242" s="103" t="s">
        <v>5711</v>
      </c>
      <c r="I242" s="29"/>
      <c r="J242" s="29"/>
      <c r="K242" s="29"/>
      <c r="L242" s="29"/>
      <c r="M242" s="29"/>
      <c r="N242" s="29"/>
      <c r="O242" s="29"/>
      <c r="P242" s="29"/>
    </row>
    <row r="243" spans="1:16" ht="112.5" customHeight="1" x14ac:dyDescent="0.2">
      <c r="A243" s="75">
        <v>101</v>
      </c>
      <c r="B243" s="94" t="s">
        <v>3822</v>
      </c>
      <c r="C243" s="94" t="s">
        <v>12655</v>
      </c>
      <c r="D243" s="95" t="s">
        <v>12656</v>
      </c>
      <c r="E243" s="96"/>
      <c r="F243" s="97" t="s">
        <v>15742</v>
      </c>
      <c r="G243" s="102" t="s">
        <v>15743</v>
      </c>
      <c r="H243" s="103" t="s">
        <v>6809</v>
      </c>
      <c r="I243" s="29"/>
      <c r="J243" s="29"/>
      <c r="K243" s="29"/>
      <c r="L243" s="29"/>
      <c r="M243" s="29"/>
      <c r="N243" s="29"/>
      <c r="O243" s="29"/>
      <c r="P243" s="29"/>
    </row>
    <row r="244" spans="1:16" ht="112.5" hidden="1" customHeight="1" x14ac:dyDescent="0.3">
      <c r="A244" s="100">
        <v>1238</v>
      </c>
      <c r="B244" s="24" t="s">
        <v>3822</v>
      </c>
      <c r="C244" s="24" t="s">
        <v>13105</v>
      </c>
      <c r="D244" s="25" t="s">
        <v>13106</v>
      </c>
      <c r="E244" s="29"/>
      <c r="F244" s="101" t="s">
        <v>15647</v>
      </c>
      <c r="G244" s="102" t="s">
        <v>15538</v>
      </c>
      <c r="H244" s="103" t="s">
        <v>7188</v>
      </c>
      <c r="I244" s="29"/>
      <c r="J244" s="29"/>
      <c r="K244" s="29"/>
      <c r="L244" s="29"/>
      <c r="M244" s="29"/>
      <c r="N244" s="29"/>
      <c r="O244" s="29"/>
      <c r="P244" s="29"/>
    </row>
    <row r="245" spans="1:16" ht="112.5" hidden="1" customHeight="1" x14ac:dyDescent="0.3">
      <c r="A245" s="104">
        <v>1431</v>
      </c>
      <c r="B245" s="28" t="s">
        <v>3822</v>
      </c>
      <c r="C245" s="28" t="s">
        <v>13028</v>
      </c>
      <c r="D245" s="27" t="s">
        <v>13029</v>
      </c>
      <c r="E245" s="29"/>
      <c r="F245" s="105" t="s">
        <v>15744</v>
      </c>
      <c r="G245" s="98" t="s">
        <v>15538</v>
      </c>
      <c r="H245" s="99" t="s">
        <v>7756</v>
      </c>
      <c r="I245" s="29"/>
      <c r="J245" s="29"/>
      <c r="K245" s="29"/>
      <c r="L245" s="29"/>
      <c r="M245" s="29"/>
      <c r="N245" s="29"/>
      <c r="O245" s="29"/>
      <c r="P245" s="29"/>
    </row>
    <row r="246" spans="1:16" ht="112.5" customHeight="1" x14ac:dyDescent="0.2">
      <c r="A246" s="75">
        <v>102</v>
      </c>
      <c r="B246" s="94" t="s">
        <v>3822</v>
      </c>
      <c r="C246" s="94" t="s">
        <v>13060</v>
      </c>
      <c r="D246" s="95" t="s">
        <v>13061</v>
      </c>
      <c r="E246" s="96"/>
      <c r="F246" s="97" t="s">
        <v>15537</v>
      </c>
      <c r="G246" s="98" t="s">
        <v>15745</v>
      </c>
      <c r="H246" s="99" t="s">
        <v>9884</v>
      </c>
      <c r="I246" s="29"/>
      <c r="J246" s="29"/>
      <c r="K246" s="29"/>
      <c r="L246" s="29"/>
      <c r="M246" s="29"/>
      <c r="N246" s="29"/>
      <c r="O246" s="29"/>
      <c r="P246" s="29"/>
    </row>
    <row r="247" spans="1:16" ht="112.5" customHeight="1" x14ac:dyDescent="0.2">
      <c r="A247" s="75">
        <v>103</v>
      </c>
      <c r="B247" s="94" t="s">
        <v>3822</v>
      </c>
      <c r="C247" s="94" t="s">
        <v>13066</v>
      </c>
      <c r="D247" s="95" t="s">
        <v>13067</v>
      </c>
      <c r="E247" s="96"/>
      <c r="F247" s="97" t="s">
        <v>15546</v>
      </c>
      <c r="G247" s="102" t="s">
        <v>15582</v>
      </c>
      <c r="H247" s="103" t="s">
        <v>9887</v>
      </c>
      <c r="I247" s="29"/>
      <c r="J247" s="29"/>
      <c r="K247" s="29"/>
      <c r="L247" s="29"/>
      <c r="M247" s="29"/>
      <c r="N247" s="29"/>
      <c r="O247" s="29"/>
      <c r="P247" s="29"/>
    </row>
    <row r="248" spans="1:16" ht="112.5" hidden="1" customHeight="1" x14ac:dyDescent="0.3">
      <c r="A248" s="104">
        <v>3277</v>
      </c>
      <c r="B248" s="28" t="s">
        <v>3822</v>
      </c>
      <c r="C248" s="28" t="s">
        <v>15336</v>
      </c>
      <c r="D248" s="27" t="s">
        <v>15337</v>
      </c>
      <c r="E248" s="29"/>
      <c r="F248" s="105" t="s">
        <v>15744</v>
      </c>
      <c r="G248" s="98" t="s">
        <v>15538</v>
      </c>
      <c r="H248" s="99" t="s">
        <v>13225</v>
      </c>
      <c r="I248" s="29"/>
      <c r="J248" s="29"/>
      <c r="K248" s="29"/>
      <c r="L248" s="29"/>
      <c r="M248" s="29"/>
      <c r="N248" s="29"/>
      <c r="O248" s="29"/>
      <c r="P248" s="29"/>
    </row>
    <row r="249" spans="1:16" ht="112.5" customHeight="1" x14ac:dyDescent="0.2">
      <c r="A249" s="75">
        <v>104</v>
      </c>
      <c r="B249" s="94" t="s">
        <v>3822</v>
      </c>
      <c r="C249" s="94" t="s">
        <v>13267</v>
      </c>
      <c r="D249" s="95" t="s">
        <v>13268</v>
      </c>
      <c r="E249" s="96"/>
      <c r="F249" s="97" t="s">
        <v>15746</v>
      </c>
      <c r="G249" s="102" t="s">
        <v>15747</v>
      </c>
      <c r="H249" s="103" t="s">
        <v>13359</v>
      </c>
      <c r="I249" s="29"/>
      <c r="J249" s="29"/>
      <c r="K249" s="29"/>
      <c r="L249" s="29"/>
      <c r="M249" s="29"/>
      <c r="N249" s="29"/>
      <c r="O249" s="29"/>
      <c r="P249" s="29"/>
    </row>
    <row r="250" spans="1:16" ht="112.5" customHeight="1" x14ac:dyDescent="0.2">
      <c r="A250" s="75">
        <v>105</v>
      </c>
      <c r="B250" s="94" t="s">
        <v>3822</v>
      </c>
      <c r="C250" s="94" t="s">
        <v>14878</v>
      </c>
      <c r="D250" s="95" t="s">
        <v>14879</v>
      </c>
      <c r="E250" s="96"/>
      <c r="F250" s="97" t="s">
        <v>15678</v>
      </c>
      <c r="G250" s="102" t="s">
        <v>15748</v>
      </c>
      <c r="H250" s="103" t="s">
        <v>13782</v>
      </c>
      <c r="I250" s="29"/>
      <c r="J250" s="29"/>
      <c r="K250" s="29"/>
      <c r="L250" s="29"/>
      <c r="M250" s="29"/>
      <c r="N250" s="29"/>
      <c r="O250" s="29"/>
      <c r="P250" s="29"/>
    </row>
    <row r="251" spans="1:16" ht="112.5" hidden="1" customHeight="1" x14ac:dyDescent="0.3">
      <c r="A251" s="104">
        <v>3475</v>
      </c>
      <c r="B251" s="28" t="s">
        <v>3822</v>
      </c>
      <c r="C251" s="28" t="s">
        <v>12625</v>
      </c>
      <c r="D251" s="27" t="s">
        <v>12626</v>
      </c>
      <c r="E251" s="29"/>
      <c r="F251" s="105" t="s">
        <v>15749</v>
      </c>
      <c r="G251" s="98" t="s">
        <v>15538</v>
      </c>
      <c r="H251" s="99" t="s">
        <v>13791</v>
      </c>
      <c r="I251" s="29"/>
      <c r="J251" s="29"/>
      <c r="K251" s="29"/>
      <c r="L251" s="29"/>
      <c r="M251" s="29"/>
      <c r="N251" s="29"/>
      <c r="O251" s="29"/>
      <c r="P251" s="29"/>
    </row>
    <row r="252" spans="1:16" ht="112.5" hidden="1" customHeight="1" x14ac:dyDescent="0.3">
      <c r="A252" s="100">
        <v>3476</v>
      </c>
      <c r="B252" s="24" t="s">
        <v>3822</v>
      </c>
      <c r="C252" s="24" t="s">
        <v>12517</v>
      </c>
      <c r="D252" s="25" t="s">
        <v>12518</v>
      </c>
      <c r="E252" s="29"/>
      <c r="F252" s="101" t="s">
        <v>15750</v>
      </c>
      <c r="G252" s="102" t="s">
        <v>15538</v>
      </c>
      <c r="H252" s="103" t="s">
        <v>13794</v>
      </c>
      <c r="I252" s="29"/>
      <c r="J252" s="29"/>
      <c r="K252" s="29"/>
      <c r="L252" s="29"/>
      <c r="M252" s="29"/>
      <c r="N252" s="29"/>
      <c r="O252" s="29"/>
      <c r="P252" s="29"/>
    </row>
    <row r="253" spans="1:16" ht="112.5" hidden="1" customHeight="1" x14ac:dyDescent="0.3">
      <c r="A253" s="104">
        <v>3485</v>
      </c>
      <c r="B253" s="28" t="s">
        <v>3822</v>
      </c>
      <c r="C253" s="28" t="s">
        <v>12791</v>
      </c>
      <c r="D253" s="27" t="s">
        <v>12792</v>
      </c>
      <c r="E253" s="29"/>
      <c r="F253" s="105" t="s">
        <v>15751</v>
      </c>
      <c r="G253" s="98" t="s">
        <v>15538</v>
      </c>
      <c r="H253" s="99" t="s">
        <v>13821</v>
      </c>
      <c r="I253" s="29"/>
      <c r="J253" s="29"/>
      <c r="K253" s="29"/>
      <c r="L253" s="29"/>
      <c r="M253" s="29"/>
      <c r="N253" s="29"/>
      <c r="O253" s="29"/>
      <c r="P253" s="29"/>
    </row>
    <row r="254" spans="1:16" ht="112.5" customHeight="1" x14ac:dyDescent="0.2">
      <c r="A254" s="75">
        <v>106</v>
      </c>
      <c r="B254" s="94" t="s">
        <v>3822</v>
      </c>
      <c r="C254" s="94" t="s">
        <v>13786</v>
      </c>
      <c r="D254" s="95" t="s">
        <v>13787</v>
      </c>
      <c r="E254" s="96"/>
      <c r="F254" s="97" t="s">
        <v>15658</v>
      </c>
      <c r="G254" s="102" t="s">
        <v>15752</v>
      </c>
      <c r="H254" s="103" t="s">
        <v>13848</v>
      </c>
      <c r="I254" s="29"/>
      <c r="J254" s="29"/>
      <c r="K254" s="29"/>
      <c r="L254" s="29"/>
      <c r="M254" s="29"/>
      <c r="N254" s="29"/>
      <c r="O254" s="29"/>
      <c r="P254" s="29"/>
    </row>
    <row r="255" spans="1:16" ht="112.5" hidden="1" customHeight="1" x14ac:dyDescent="0.3">
      <c r="A255" s="104">
        <v>3495</v>
      </c>
      <c r="B255" s="28" t="s">
        <v>3822</v>
      </c>
      <c r="C255" s="28" t="s">
        <v>13096</v>
      </c>
      <c r="D255" s="27" t="s">
        <v>13097</v>
      </c>
      <c r="E255" s="29"/>
      <c r="F255" s="105" t="s">
        <v>15637</v>
      </c>
      <c r="G255" s="98" t="s">
        <v>15538</v>
      </c>
      <c r="H255" s="99" t="s">
        <v>13851</v>
      </c>
      <c r="I255" s="29"/>
      <c r="J255" s="29"/>
      <c r="K255" s="29"/>
      <c r="L255" s="29"/>
      <c r="M255" s="29"/>
      <c r="N255" s="29"/>
      <c r="O255" s="29"/>
      <c r="P255" s="29"/>
    </row>
    <row r="256" spans="1:16" ht="112.5" hidden="1" customHeight="1" x14ac:dyDescent="0.3">
      <c r="A256" s="104">
        <v>3501</v>
      </c>
      <c r="B256" s="28" t="s">
        <v>3822</v>
      </c>
      <c r="C256" s="28" t="s">
        <v>13174</v>
      </c>
      <c r="D256" s="27" t="s">
        <v>13175</v>
      </c>
      <c r="E256" s="29"/>
      <c r="F256" s="105" t="s">
        <v>15645</v>
      </c>
      <c r="G256" s="98" t="s">
        <v>15538</v>
      </c>
      <c r="H256" s="99" t="s">
        <v>13868</v>
      </c>
      <c r="I256" s="29"/>
      <c r="J256" s="29"/>
      <c r="K256" s="29"/>
      <c r="L256" s="29"/>
      <c r="M256" s="29"/>
      <c r="N256" s="29"/>
      <c r="O256" s="29"/>
      <c r="P256" s="29"/>
    </row>
    <row r="257" spans="1:16" ht="112.5" hidden="1" customHeight="1" x14ac:dyDescent="0.3">
      <c r="A257" s="100">
        <v>3502</v>
      </c>
      <c r="B257" s="24" t="s">
        <v>3822</v>
      </c>
      <c r="C257" s="24" t="s">
        <v>13040</v>
      </c>
      <c r="D257" s="25" t="s">
        <v>13041</v>
      </c>
      <c r="E257" s="29"/>
      <c r="F257" s="101" t="s">
        <v>15550</v>
      </c>
      <c r="G257" s="102" t="s">
        <v>15538</v>
      </c>
      <c r="H257" s="103" t="s">
        <v>13871</v>
      </c>
      <c r="I257" s="29"/>
      <c r="J257" s="29"/>
      <c r="K257" s="29"/>
      <c r="L257" s="29"/>
      <c r="M257" s="29"/>
      <c r="N257" s="29"/>
      <c r="O257" s="29"/>
      <c r="P257" s="29"/>
    </row>
    <row r="258" spans="1:16" ht="112.5" hidden="1" customHeight="1" x14ac:dyDescent="0.3">
      <c r="A258" s="104">
        <v>3509</v>
      </c>
      <c r="B258" s="28" t="s">
        <v>3822</v>
      </c>
      <c r="C258" s="28" t="s">
        <v>13226</v>
      </c>
      <c r="D258" s="27" t="s">
        <v>13227</v>
      </c>
      <c r="E258" s="29"/>
      <c r="F258" s="105" t="s">
        <v>15603</v>
      </c>
      <c r="G258" s="98" t="s">
        <v>15538</v>
      </c>
      <c r="H258" s="99" t="s">
        <v>13892</v>
      </c>
      <c r="I258" s="29"/>
      <c r="J258" s="29"/>
      <c r="K258" s="29"/>
      <c r="L258" s="29"/>
      <c r="M258" s="29"/>
      <c r="N258" s="29"/>
      <c r="O258" s="29"/>
      <c r="P258" s="29"/>
    </row>
    <row r="259" spans="1:16" ht="112.5" customHeight="1" x14ac:dyDescent="0.2">
      <c r="A259" s="75">
        <v>107</v>
      </c>
      <c r="B259" s="94" t="s">
        <v>3822</v>
      </c>
      <c r="C259" s="94" t="s">
        <v>12741</v>
      </c>
      <c r="D259" s="95" t="s">
        <v>12742</v>
      </c>
      <c r="E259" s="96"/>
      <c r="F259" s="97" t="s">
        <v>15626</v>
      </c>
      <c r="G259" s="102" t="s">
        <v>15753</v>
      </c>
      <c r="H259" s="103" t="s">
        <v>13930</v>
      </c>
      <c r="I259" s="29"/>
      <c r="J259" s="29"/>
      <c r="K259" s="29"/>
      <c r="L259" s="29"/>
      <c r="M259" s="29"/>
      <c r="N259" s="29"/>
      <c r="O259" s="29"/>
      <c r="P259" s="29"/>
    </row>
    <row r="260" spans="1:16" ht="112.5" hidden="1" customHeight="1" x14ac:dyDescent="0.3">
      <c r="A260" s="104">
        <v>3529</v>
      </c>
      <c r="B260" s="28" t="s">
        <v>3822</v>
      </c>
      <c r="C260" s="28" t="s">
        <v>12458</v>
      </c>
      <c r="D260" s="27" t="s">
        <v>12459</v>
      </c>
      <c r="E260" s="29"/>
      <c r="F260" s="105" t="s">
        <v>15547</v>
      </c>
      <c r="G260" s="98" t="s">
        <v>15538</v>
      </c>
      <c r="H260" s="99" t="s">
        <v>13951</v>
      </c>
      <c r="I260" s="29"/>
      <c r="J260" s="29"/>
      <c r="K260" s="29"/>
      <c r="L260" s="29"/>
      <c r="M260" s="29"/>
      <c r="N260" s="29"/>
      <c r="O260" s="29"/>
      <c r="P260" s="29"/>
    </row>
    <row r="261" spans="1:16" ht="112.5" hidden="1" customHeight="1" x14ac:dyDescent="0.3">
      <c r="A261" s="100">
        <v>3530</v>
      </c>
      <c r="B261" s="24" t="s">
        <v>3822</v>
      </c>
      <c r="C261" s="24" t="s">
        <v>12794</v>
      </c>
      <c r="D261" s="25" t="s">
        <v>12795</v>
      </c>
      <c r="E261" s="29"/>
      <c r="F261" s="101" t="s">
        <v>15626</v>
      </c>
      <c r="G261" s="102" t="s">
        <v>15538</v>
      </c>
      <c r="H261" s="103" t="s">
        <v>13954</v>
      </c>
      <c r="I261" s="29"/>
      <c r="J261" s="29"/>
      <c r="K261" s="29"/>
      <c r="L261" s="29"/>
      <c r="M261" s="29"/>
      <c r="N261" s="29"/>
      <c r="O261" s="29"/>
      <c r="P261" s="29"/>
    </row>
    <row r="262" spans="1:16" ht="112.5" customHeight="1" x14ac:dyDescent="0.2">
      <c r="A262" s="75">
        <v>108</v>
      </c>
      <c r="B262" s="94" t="s">
        <v>3822</v>
      </c>
      <c r="C262" s="94" t="s">
        <v>12818</v>
      </c>
      <c r="D262" s="95" t="s">
        <v>12819</v>
      </c>
      <c r="E262" s="96"/>
      <c r="F262" s="97" t="s">
        <v>15754</v>
      </c>
      <c r="G262" s="102" t="s">
        <v>15755</v>
      </c>
      <c r="H262" s="103" t="s">
        <v>13966</v>
      </c>
      <c r="I262" s="29"/>
      <c r="J262" s="29"/>
      <c r="K262" s="29"/>
      <c r="L262" s="29"/>
      <c r="M262" s="29"/>
      <c r="N262" s="29"/>
      <c r="O262" s="29"/>
      <c r="P262" s="29"/>
    </row>
    <row r="263" spans="1:16" ht="112.5" customHeight="1" x14ac:dyDescent="0.2">
      <c r="A263" s="75">
        <v>109</v>
      </c>
      <c r="B263" s="94" t="s">
        <v>3822</v>
      </c>
      <c r="C263" s="94" t="s">
        <v>12550</v>
      </c>
      <c r="D263" s="95" t="s">
        <v>12551</v>
      </c>
      <c r="E263" s="96"/>
      <c r="F263" s="97" t="s">
        <v>15754</v>
      </c>
      <c r="G263" s="98" t="s">
        <v>15756</v>
      </c>
      <c r="H263" s="99" t="s">
        <v>13969</v>
      </c>
      <c r="I263" s="29"/>
      <c r="J263" s="29"/>
      <c r="K263" s="29"/>
      <c r="L263" s="29"/>
      <c r="M263" s="29"/>
      <c r="N263" s="29"/>
      <c r="O263" s="29"/>
      <c r="P263" s="29"/>
    </row>
    <row r="264" spans="1:16" ht="112.5" customHeight="1" x14ac:dyDescent="0.2">
      <c r="A264" s="75">
        <v>110</v>
      </c>
      <c r="B264" s="94" t="s">
        <v>3822</v>
      </c>
      <c r="C264" s="94" t="s">
        <v>12548</v>
      </c>
      <c r="D264" s="95" t="s">
        <v>12549</v>
      </c>
      <c r="E264" s="96"/>
      <c r="F264" s="97" t="s">
        <v>15757</v>
      </c>
      <c r="G264" s="102" t="s">
        <v>15758</v>
      </c>
      <c r="H264" s="103" t="s">
        <v>13972</v>
      </c>
      <c r="I264" s="29"/>
      <c r="J264" s="29"/>
      <c r="K264" s="29"/>
      <c r="L264" s="29"/>
      <c r="M264" s="29"/>
      <c r="N264" s="29"/>
      <c r="O264" s="29"/>
      <c r="P264" s="29"/>
    </row>
    <row r="265" spans="1:16" ht="112.5" customHeight="1" x14ac:dyDescent="0.2">
      <c r="A265" s="75">
        <v>111</v>
      </c>
      <c r="B265" s="94" t="s">
        <v>3822</v>
      </c>
      <c r="C265" s="94" t="s">
        <v>12643</v>
      </c>
      <c r="D265" s="95" t="s">
        <v>12644</v>
      </c>
      <c r="E265" s="96"/>
      <c r="F265" s="97" t="s">
        <v>15706</v>
      </c>
      <c r="G265" s="98" t="s">
        <v>15759</v>
      </c>
      <c r="H265" s="99" t="s">
        <v>14071</v>
      </c>
      <c r="I265" s="29"/>
      <c r="J265" s="29"/>
      <c r="K265" s="29"/>
      <c r="L265" s="29"/>
      <c r="M265" s="29"/>
      <c r="N265" s="29"/>
      <c r="O265" s="29"/>
      <c r="P265" s="29"/>
    </row>
    <row r="266" spans="1:16" ht="112.5" customHeight="1" x14ac:dyDescent="0.2">
      <c r="A266" s="75">
        <v>112</v>
      </c>
      <c r="B266" s="94" t="s">
        <v>3822</v>
      </c>
      <c r="C266" s="94" t="s">
        <v>15241</v>
      </c>
      <c r="D266" s="95" t="s">
        <v>15242</v>
      </c>
      <c r="E266" s="96"/>
      <c r="F266" s="97" t="s">
        <v>15606</v>
      </c>
      <c r="G266" s="102" t="s">
        <v>15760</v>
      </c>
      <c r="H266" s="103" t="s">
        <v>14149</v>
      </c>
      <c r="I266" s="29"/>
      <c r="J266" s="29"/>
      <c r="K266" s="29"/>
      <c r="L266" s="29"/>
      <c r="M266" s="29"/>
      <c r="N266" s="29"/>
      <c r="O266" s="29"/>
      <c r="P266" s="29"/>
    </row>
    <row r="267" spans="1:16" ht="112.5" hidden="1" customHeight="1" x14ac:dyDescent="0.3">
      <c r="A267" s="104">
        <v>3631</v>
      </c>
      <c r="B267" s="28" t="s">
        <v>3822</v>
      </c>
      <c r="C267" s="28" t="s">
        <v>13362</v>
      </c>
      <c r="D267" s="27" t="s">
        <v>13363</v>
      </c>
      <c r="E267" s="29"/>
      <c r="F267" s="105" t="s">
        <v>15605</v>
      </c>
      <c r="G267" s="98" t="s">
        <v>15538</v>
      </c>
      <c r="H267" s="99" t="s">
        <v>14254</v>
      </c>
      <c r="I267" s="29"/>
      <c r="J267" s="29"/>
      <c r="K267" s="29"/>
      <c r="L267" s="29"/>
      <c r="M267" s="29"/>
      <c r="N267" s="29"/>
      <c r="O267" s="29"/>
      <c r="P267" s="29"/>
    </row>
    <row r="268" spans="1:16" ht="112.5" customHeight="1" x14ac:dyDescent="0.2">
      <c r="A268" s="75">
        <v>113</v>
      </c>
      <c r="B268" s="94" t="s">
        <v>3822</v>
      </c>
      <c r="C268" s="94" t="s">
        <v>12592</v>
      </c>
      <c r="D268" s="95" t="s">
        <v>12593</v>
      </c>
      <c r="E268" s="96"/>
      <c r="F268" s="97" t="s">
        <v>15718</v>
      </c>
      <c r="G268" s="98" t="s">
        <v>15761</v>
      </c>
      <c r="H268" s="99" t="s">
        <v>14260</v>
      </c>
      <c r="I268" s="29"/>
      <c r="J268" s="29"/>
      <c r="K268" s="29"/>
      <c r="L268" s="29"/>
      <c r="M268" s="29"/>
      <c r="N268" s="29"/>
      <c r="O268" s="29"/>
      <c r="P268" s="29"/>
    </row>
    <row r="269" spans="1:16" ht="112.5" hidden="1" customHeight="1" x14ac:dyDescent="0.3">
      <c r="A269" s="104">
        <v>3639</v>
      </c>
      <c r="B269" s="28" t="s">
        <v>3822</v>
      </c>
      <c r="C269" s="28" t="s">
        <v>15098</v>
      </c>
      <c r="D269" s="27" t="s">
        <v>15099</v>
      </c>
      <c r="E269" s="29"/>
      <c r="F269" s="105" t="s">
        <v>15762</v>
      </c>
      <c r="G269" s="98" t="s">
        <v>15538</v>
      </c>
      <c r="H269" s="99" t="s">
        <v>14278</v>
      </c>
      <c r="I269" s="29"/>
      <c r="J269" s="29"/>
      <c r="K269" s="29"/>
      <c r="L269" s="29"/>
      <c r="M269" s="29"/>
      <c r="N269" s="29"/>
      <c r="O269" s="29"/>
      <c r="P269" s="29"/>
    </row>
    <row r="270" spans="1:16" ht="112.5" hidden="1" customHeight="1" x14ac:dyDescent="0.3">
      <c r="A270" s="100">
        <v>3640</v>
      </c>
      <c r="B270" s="24" t="s">
        <v>3822</v>
      </c>
      <c r="C270" s="24" t="s">
        <v>15095</v>
      </c>
      <c r="D270" s="25" t="s">
        <v>15096</v>
      </c>
      <c r="E270" s="29"/>
      <c r="F270" s="101" t="s">
        <v>15763</v>
      </c>
      <c r="G270" s="102" t="s">
        <v>15538</v>
      </c>
      <c r="H270" s="103" t="s">
        <v>14281</v>
      </c>
      <c r="I270" s="29"/>
      <c r="J270" s="29"/>
      <c r="K270" s="29"/>
      <c r="L270" s="29"/>
      <c r="M270" s="29"/>
      <c r="N270" s="29"/>
      <c r="O270" s="29"/>
      <c r="P270" s="29"/>
    </row>
    <row r="271" spans="1:16" ht="112.5" customHeight="1" x14ac:dyDescent="0.2">
      <c r="A271" s="75">
        <v>114</v>
      </c>
      <c r="B271" s="94" t="s">
        <v>3822</v>
      </c>
      <c r="C271" s="94" t="s">
        <v>12583</v>
      </c>
      <c r="D271" s="95" t="s">
        <v>12584</v>
      </c>
      <c r="E271" s="96"/>
      <c r="F271" s="97" t="s">
        <v>15626</v>
      </c>
      <c r="G271" s="98" t="s">
        <v>15764</v>
      </c>
      <c r="H271" s="99" t="s">
        <v>14308</v>
      </c>
      <c r="I271" s="29"/>
      <c r="J271" s="29"/>
      <c r="K271" s="29"/>
      <c r="L271" s="29"/>
      <c r="M271" s="29"/>
      <c r="N271" s="29"/>
      <c r="O271" s="29"/>
      <c r="P271" s="29"/>
    </row>
    <row r="272" spans="1:16" ht="112.5" customHeight="1" x14ac:dyDescent="0.2">
      <c r="A272" s="75">
        <v>115</v>
      </c>
      <c r="B272" s="94" t="s">
        <v>3822</v>
      </c>
      <c r="C272" s="94" t="s">
        <v>15068</v>
      </c>
      <c r="D272" s="95" t="s">
        <v>15069</v>
      </c>
      <c r="E272" s="96"/>
      <c r="F272" s="97" t="s">
        <v>15652</v>
      </c>
      <c r="G272" s="102" t="s">
        <v>15724</v>
      </c>
      <c r="H272" s="103" t="s">
        <v>14311</v>
      </c>
      <c r="I272" s="29"/>
      <c r="J272" s="29"/>
      <c r="K272" s="29"/>
      <c r="L272" s="29"/>
      <c r="M272" s="29"/>
      <c r="N272" s="29"/>
      <c r="O272" s="29"/>
      <c r="P272" s="29"/>
    </row>
    <row r="273" spans="1:16" ht="112.5" hidden="1" customHeight="1" x14ac:dyDescent="0.3">
      <c r="A273" s="104">
        <v>3653</v>
      </c>
      <c r="B273" s="28" t="s">
        <v>3822</v>
      </c>
      <c r="C273" s="28" t="s">
        <v>15059</v>
      </c>
      <c r="D273" s="27" t="s">
        <v>15060</v>
      </c>
      <c r="E273" s="29"/>
      <c r="F273" s="105" t="s">
        <v>15765</v>
      </c>
      <c r="G273" s="98" t="s">
        <v>15538</v>
      </c>
      <c r="H273" s="99" t="s">
        <v>14320</v>
      </c>
      <c r="I273" s="29"/>
      <c r="J273" s="29"/>
      <c r="K273" s="29"/>
      <c r="L273" s="29"/>
      <c r="M273" s="29"/>
      <c r="N273" s="29"/>
      <c r="O273" s="29"/>
      <c r="P273" s="29"/>
    </row>
    <row r="274" spans="1:16" ht="112.5" customHeight="1" x14ac:dyDescent="0.2">
      <c r="A274" s="75">
        <v>116</v>
      </c>
      <c r="B274" s="94" t="s">
        <v>3822</v>
      </c>
      <c r="C274" s="94" t="s">
        <v>13324</v>
      </c>
      <c r="D274" s="95" t="s">
        <v>13325</v>
      </c>
      <c r="E274" s="96"/>
      <c r="F274" s="97" t="s">
        <v>15766</v>
      </c>
      <c r="G274" s="98" t="s">
        <v>15767</v>
      </c>
      <c r="H274" s="99" t="s">
        <v>14392</v>
      </c>
      <c r="I274" s="29"/>
      <c r="J274" s="29"/>
      <c r="K274" s="29"/>
      <c r="L274" s="29"/>
      <c r="M274" s="29"/>
      <c r="N274" s="29"/>
      <c r="O274" s="29"/>
      <c r="P274" s="29"/>
    </row>
    <row r="275" spans="1:16" ht="112.5" hidden="1" customHeight="1" x14ac:dyDescent="0.3">
      <c r="A275" s="104">
        <v>3681</v>
      </c>
      <c r="B275" s="28" t="s">
        <v>3822</v>
      </c>
      <c r="C275" s="28" t="s">
        <v>15003</v>
      </c>
      <c r="D275" s="27" t="s">
        <v>15004</v>
      </c>
      <c r="E275" s="29"/>
      <c r="F275" s="105" t="s">
        <v>15661</v>
      </c>
      <c r="G275" s="98" t="s">
        <v>15538</v>
      </c>
      <c r="H275" s="99" t="s">
        <v>14404</v>
      </c>
      <c r="I275" s="29"/>
      <c r="J275" s="29"/>
      <c r="K275" s="29"/>
      <c r="L275" s="29"/>
      <c r="M275" s="29"/>
      <c r="N275" s="29"/>
      <c r="O275" s="29"/>
      <c r="P275" s="29"/>
    </row>
    <row r="276" spans="1:16" ht="112.5" customHeight="1" x14ac:dyDescent="0.2">
      <c r="A276" s="75">
        <v>117</v>
      </c>
      <c r="B276" s="94" t="s">
        <v>3822</v>
      </c>
      <c r="C276" s="94" t="s">
        <v>15000</v>
      </c>
      <c r="D276" s="95" t="s">
        <v>15001</v>
      </c>
      <c r="E276" s="96"/>
      <c r="F276" s="97" t="s">
        <v>15581</v>
      </c>
      <c r="G276" s="102" t="s">
        <v>15547</v>
      </c>
      <c r="H276" s="103" t="s">
        <v>14406</v>
      </c>
      <c r="I276" s="29"/>
      <c r="J276" s="29"/>
      <c r="K276" s="29"/>
      <c r="L276" s="29"/>
      <c r="M276" s="29"/>
      <c r="N276" s="29"/>
      <c r="O276" s="29"/>
      <c r="P276" s="29"/>
    </row>
    <row r="277" spans="1:16" ht="112.5" hidden="1" customHeight="1" x14ac:dyDescent="0.3">
      <c r="A277" s="104">
        <v>3691</v>
      </c>
      <c r="B277" s="28" t="s">
        <v>3822</v>
      </c>
      <c r="C277" s="28" t="s">
        <v>14958</v>
      </c>
      <c r="D277" s="27" t="s">
        <v>14959</v>
      </c>
      <c r="E277" s="29"/>
      <c r="F277" s="105" t="s">
        <v>15577</v>
      </c>
      <c r="G277" s="98" t="s">
        <v>15538</v>
      </c>
      <c r="H277" s="99" t="s">
        <v>14434</v>
      </c>
      <c r="I277" s="29"/>
      <c r="J277" s="29"/>
      <c r="K277" s="29"/>
      <c r="L277" s="29"/>
      <c r="M277" s="29"/>
      <c r="N277" s="29"/>
      <c r="O277" s="29"/>
      <c r="P277" s="29"/>
    </row>
    <row r="278" spans="1:16" ht="112.5" hidden="1" customHeight="1" x14ac:dyDescent="0.3">
      <c r="A278" s="100">
        <v>3694</v>
      </c>
      <c r="B278" s="24" t="s">
        <v>3822</v>
      </c>
      <c r="C278" s="24" t="s">
        <v>14934</v>
      </c>
      <c r="D278" s="25" t="s">
        <v>14935</v>
      </c>
      <c r="E278" s="29"/>
      <c r="F278" s="101" t="s">
        <v>15579</v>
      </c>
      <c r="G278" s="102" t="s">
        <v>15538</v>
      </c>
      <c r="H278" s="103" t="s">
        <v>14443</v>
      </c>
      <c r="I278" s="29"/>
      <c r="J278" s="29"/>
      <c r="K278" s="29"/>
      <c r="L278" s="29"/>
      <c r="M278" s="29"/>
      <c r="N278" s="29"/>
      <c r="O278" s="29"/>
      <c r="P278" s="29"/>
    </row>
    <row r="279" spans="1:16" ht="112.5" customHeight="1" x14ac:dyDescent="0.2">
      <c r="A279" s="75">
        <v>118</v>
      </c>
      <c r="B279" s="94" t="s">
        <v>3822</v>
      </c>
      <c r="C279" s="94" t="s">
        <v>13150</v>
      </c>
      <c r="D279" s="95" t="s">
        <v>13151</v>
      </c>
      <c r="E279" s="96"/>
      <c r="F279" s="97" t="s">
        <v>15693</v>
      </c>
      <c r="G279" s="98" t="s">
        <v>15768</v>
      </c>
      <c r="H279" s="99" t="s">
        <v>14464</v>
      </c>
      <c r="I279" s="29"/>
      <c r="J279" s="29"/>
      <c r="K279" s="29"/>
      <c r="L279" s="29"/>
      <c r="M279" s="29"/>
      <c r="N279" s="29"/>
      <c r="O279" s="29"/>
      <c r="P279" s="29"/>
    </row>
    <row r="280" spans="1:16" ht="112.5" customHeight="1" x14ac:dyDescent="0.2">
      <c r="A280" s="75">
        <v>119</v>
      </c>
      <c r="B280" s="94" t="s">
        <v>3822</v>
      </c>
      <c r="C280" s="94" t="s">
        <v>12580</v>
      </c>
      <c r="D280" s="95" t="s">
        <v>12581</v>
      </c>
      <c r="E280" s="96"/>
      <c r="F280" s="97" t="s">
        <v>15569</v>
      </c>
      <c r="G280" s="102" t="s">
        <v>15769</v>
      </c>
      <c r="H280" s="103" t="s">
        <v>14467</v>
      </c>
      <c r="I280" s="29"/>
      <c r="J280" s="29"/>
      <c r="K280" s="29"/>
      <c r="L280" s="29"/>
      <c r="M280" s="29"/>
      <c r="N280" s="29"/>
      <c r="O280" s="29"/>
      <c r="P280" s="29"/>
    </row>
    <row r="281" spans="1:16" ht="112.5" customHeight="1" x14ac:dyDescent="0.2">
      <c r="A281" s="75">
        <v>120</v>
      </c>
      <c r="B281" s="94" t="s">
        <v>3822</v>
      </c>
      <c r="C281" s="94" t="s">
        <v>13019</v>
      </c>
      <c r="D281" s="95" t="s">
        <v>13020</v>
      </c>
      <c r="E281" s="96"/>
      <c r="F281" s="97" t="s">
        <v>15770</v>
      </c>
      <c r="G281" s="102" t="s">
        <v>15771</v>
      </c>
      <c r="H281" s="103" t="s">
        <v>14489</v>
      </c>
      <c r="I281" s="29"/>
      <c r="J281" s="29"/>
      <c r="K281" s="29"/>
      <c r="L281" s="29"/>
      <c r="M281" s="29"/>
      <c r="N281" s="29"/>
      <c r="O281" s="29"/>
      <c r="P281" s="29"/>
    </row>
    <row r="282" spans="1:16" ht="112.5" hidden="1" customHeight="1" x14ac:dyDescent="0.3">
      <c r="A282" s="100">
        <v>3712</v>
      </c>
      <c r="B282" s="24" t="s">
        <v>3822</v>
      </c>
      <c r="C282" s="24" t="s">
        <v>13232</v>
      </c>
      <c r="D282" s="25" t="s">
        <v>13233</v>
      </c>
      <c r="E282" s="29"/>
      <c r="F282" s="101" t="s">
        <v>15693</v>
      </c>
      <c r="G282" s="102" t="s">
        <v>15538</v>
      </c>
      <c r="H282" s="103" t="s">
        <v>14495</v>
      </c>
      <c r="I282" s="29"/>
      <c r="J282" s="29"/>
      <c r="K282" s="29"/>
      <c r="L282" s="29"/>
      <c r="M282" s="29"/>
      <c r="N282" s="29"/>
      <c r="O282" s="29"/>
      <c r="P282" s="29"/>
    </row>
    <row r="283" spans="1:16" ht="112.5" customHeight="1" x14ac:dyDescent="0.2">
      <c r="A283" s="75">
        <v>121</v>
      </c>
      <c r="B283" s="94" t="s">
        <v>3822</v>
      </c>
      <c r="C283" s="94" t="s">
        <v>13108</v>
      </c>
      <c r="D283" s="95" t="s">
        <v>13109</v>
      </c>
      <c r="E283" s="96"/>
      <c r="F283" s="97" t="s">
        <v>15568</v>
      </c>
      <c r="G283" s="98" t="s">
        <v>15772</v>
      </c>
      <c r="H283" s="99" t="s">
        <v>14510</v>
      </c>
      <c r="I283" s="29"/>
      <c r="J283" s="29"/>
      <c r="K283" s="29"/>
      <c r="L283" s="29"/>
      <c r="M283" s="29"/>
      <c r="N283" s="29"/>
      <c r="O283" s="29"/>
      <c r="P283" s="29"/>
    </row>
    <row r="284" spans="1:16" ht="112.5" customHeight="1" x14ac:dyDescent="0.2">
      <c r="A284" s="75">
        <v>122</v>
      </c>
      <c r="B284" s="94" t="s">
        <v>3822</v>
      </c>
      <c r="C284" s="94" t="s">
        <v>13244</v>
      </c>
      <c r="D284" s="95" t="s">
        <v>13245</v>
      </c>
      <c r="E284" s="96"/>
      <c r="F284" s="97" t="s">
        <v>15690</v>
      </c>
      <c r="G284" s="102" t="s">
        <v>15773</v>
      </c>
      <c r="H284" s="103" t="s">
        <v>14537</v>
      </c>
      <c r="I284" s="29"/>
      <c r="J284" s="29"/>
      <c r="K284" s="29"/>
      <c r="L284" s="29"/>
      <c r="M284" s="29"/>
      <c r="N284" s="29"/>
      <c r="O284" s="29"/>
      <c r="P284" s="29"/>
    </row>
    <row r="285" spans="1:16" ht="112.5" customHeight="1" x14ac:dyDescent="0.2">
      <c r="A285" s="75">
        <v>123</v>
      </c>
      <c r="B285" s="94" t="s">
        <v>3822</v>
      </c>
      <c r="C285" s="94" t="s">
        <v>13156</v>
      </c>
      <c r="D285" s="95" t="s">
        <v>13157</v>
      </c>
      <c r="E285" s="96"/>
      <c r="F285" s="97" t="s">
        <v>15546</v>
      </c>
      <c r="G285" s="98" t="s">
        <v>15774</v>
      </c>
      <c r="H285" s="99" t="s">
        <v>14594</v>
      </c>
      <c r="I285" s="29"/>
      <c r="J285" s="29"/>
      <c r="K285" s="29"/>
      <c r="L285" s="29"/>
      <c r="M285" s="29"/>
      <c r="N285" s="29"/>
      <c r="O285" s="29"/>
      <c r="P285" s="29"/>
    </row>
    <row r="286" spans="1:16" ht="112.5" customHeight="1" x14ac:dyDescent="0.2">
      <c r="A286" s="75">
        <v>124</v>
      </c>
      <c r="B286" s="94" t="s">
        <v>3822</v>
      </c>
      <c r="C286" s="94" t="s">
        <v>13270</v>
      </c>
      <c r="D286" s="95" t="s">
        <v>13271</v>
      </c>
      <c r="E286" s="96"/>
      <c r="F286" s="97" t="s">
        <v>15550</v>
      </c>
      <c r="G286" s="102" t="s">
        <v>15775</v>
      </c>
      <c r="H286" s="103" t="s">
        <v>14597</v>
      </c>
      <c r="I286" s="29"/>
      <c r="J286" s="29"/>
      <c r="K286" s="29"/>
      <c r="L286" s="29"/>
      <c r="M286" s="29"/>
      <c r="N286" s="29"/>
      <c r="O286" s="29"/>
      <c r="P286" s="29"/>
    </row>
    <row r="287" spans="1:16" ht="112.5" hidden="1" customHeight="1" x14ac:dyDescent="0.3">
      <c r="A287" s="104">
        <v>3747</v>
      </c>
      <c r="B287" s="28" t="s">
        <v>3822</v>
      </c>
      <c r="C287" s="28" t="s">
        <v>12753</v>
      </c>
      <c r="D287" s="27" t="s">
        <v>12754</v>
      </c>
      <c r="E287" s="29"/>
      <c r="F287" s="105" t="s">
        <v>15593</v>
      </c>
      <c r="G287" s="98" t="s">
        <v>15538</v>
      </c>
      <c r="H287" s="99" t="s">
        <v>14600</v>
      </c>
      <c r="I287" s="29"/>
      <c r="J287" s="29"/>
      <c r="K287" s="29"/>
      <c r="L287" s="29"/>
      <c r="M287" s="29"/>
      <c r="N287" s="29"/>
      <c r="O287" s="29"/>
      <c r="P287" s="29"/>
    </row>
    <row r="288" spans="1:16" ht="112.5" hidden="1" customHeight="1" x14ac:dyDescent="0.3">
      <c r="A288" s="104">
        <v>3749</v>
      </c>
      <c r="B288" s="28" t="s">
        <v>3822</v>
      </c>
      <c r="C288" s="28" t="s">
        <v>14835</v>
      </c>
      <c r="D288" s="27" t="s">
        <v>14836</v>
      </c>
      <c r="E288" s="29"/>
      <c r="F288" s="105" t="s">
        <v>15577</v>
      </c>
      <c r="G288" s="98" t="s">
        <v>15538</v>
      </c>
      <c r="H288" s="99" t="s">
        <v>14606</v>
      </c>
      <c r="I288" s="29"/>
      <c r="J288" s="29"/>
      <c r="K288" s="29"/>
      <c r="L288" s="29"/>
      <c r="M288" s="29"/>
      <c r="N288" s="29"/>
      <c r="O288" s="29"/>
      <c r="P288" s="29"/>
    </row>
    <row r="289" spans="1:16" ht="112.5" hidden="1" customHeight="1" x14ac:dyDescent="0.3">
      <c r="A289" s="100">
        <v>3768</v>
      </c>
      <c r="B289" s="24" t="s">
        <v>3822</v>
      </c>
      <c r="C289" s="24" t="s">
        <v>14393</v>
      </c>
      <c r="D289" s="25" t="s">
        <v>14394</v>
      </c>
      <c r="E289" s="29"/>
      <c r="F289" s="101" t="s">
        <v>15566</v>
      </c>
      <c r="G289" s="102" t="s">
        <v>15538</v>
      </c>
      <c r="H289" s="103" t="s">
        <v>14663</v>
      </c>
      <c r="I289" s="29"/>
      <c r="J289" s="29"/>
      <c r="K289" s="29"/>
      <c r="L289" s="29"/>
      <c r="M289" s="29"/>
      <c r="N289" s="29"/>
      <c r="O289" s="29"/>
      <c r="P289" s="29"/>
    </row>
    <row r="290" spans="1:16" ht="112.5" hidden="1" customHeight="1" x14ac:dyDescent="0.3">
      <c r="A290" s="100">
        <v>3770</v>
      </c>
      <c r="B290" s="24" t="s">
        <v>3822</v>
      </c>
      <c r="C290" s="24" t="s">
        <v>14796</v>
      </c>
      <c r="D290" s="25" t="s">
        <v>14797</v>
      </c>
      <c r="E290" s="29"/>
      <c r="F290" s="101" t="s">
        <v>15568</v>
      </c>
      <c r="G290" s="102" t="s">
        <v>15538</v>
      </c>
      <c r="H290" s="103" t="s">
        <v>14669</v>
      </c>
      <c r="I290" s="29"/>
      <c r="J290" s="29"/>
      <c r="K290" s="29"/>
      <c r="L290" s="29"/>
      <c r="M290" s="29"/>
      <c r="N290" s="29"/>
      <c r="O290" s="29"/>
      <c r="P290" s="29"/>
    </row>
    <row r="291" spans="1:16" ht="112.5" customHeight="1" x14ac:dyDescent="0.2">
      <c r="A291" s="75">
        <v>125</v>
      </c>
      <c r="B291" s="94" t="s">
        <v>3822</v>
      </c>
      <c r="C291" s="94" t="s">
        <v>14772</v>
      </c>
      <c r="D291" s="95" t="s">
        <v>14773</v>
      </c>
      <c r="E291" s="96"/>
      <c r="F291" s="97" t="s">
        <v>15686</v>
      </c>
      <c r="G291" s="102" t="s">
        <v>15776</v>
      </c>
      <c r="H291" s="103" t="s">
        <v>14681</v>
      </c>
      <c r="I291" s="29"/>
      <c r="J291" s="29"/>
      <c r="K291" s="29"/>
      <c r="L291" s="29"/>
      <c r="M291" s="29"/>
      <c r="N291" s="29"/>
      <c r="O291" s="29"/>
      <c r="P291" s="29"/>
    </row>
    <row r="292" spans="1:16" ht="112.5" customHeight="1" x14ac:dyDescent="0.2">
      <c r="A292" s="75">
        <v>126</v>
      </c>
      <c r="B292" s="94" t="s">
        <v>3822</v>
      </c>
      <c r="C292" s="94" t="s">
        <v>12934</v>
      </c>
      <c r="D292" s="95" t="s">
        <v>12935</v>
      </c>
      <c r="E292" s="96"/>
      <c r="F292" s="97" t="s">
        <v>15777</v>
      </c>
      <c r="G292" s="98" t="s">
        <v>15778</v>
      </c>
      <c r="H292" s="99" t="s">
        <v>14684</v>
      </c>
      <c r="I292" s="29"/>
      <c r="J292" s="29"/>
      <c r="K292" s="29"/>
      <c r="L292" s="29"/>
      <c r="M292" s="29"/>
      <c r="N292" s="29"/>
      <c r="O292" s="29"/>
      <c r="P292" s="29"/>
    </row>
    <row r="293" spans="1:16" ht="112.5" customHeight="1" x14ac:dyDescent="0.2">
      <c r="A293" s="75">
        <v>127</v>
      </c>
      <c r="B293" s="94" t="s">
        <v>3822</v>
      </c>
      <c r="C293" s="94" t="s">
        <v>14730</v>
      </c>
      <c r="D293" s="95" t="s">
        <v>14731</v>
      </c>
      <c r="E293" s="96"/>
      <c r="F293" s="97" t="s">
        <v>15726</v>
      </c>
      <c r="G293" s="102" t="s">
        <v>15779</v>
      </c>
      <c r="H293" s="103" t="s">
        <v>14741</v>
      </c>
      <c r="I293" s="29"/>
      <c r="J293" s="29"/>
      <c r="K293" s="29"/>
      <c r="L293" s="29"/>
      <c r="M293" s="29"/>
      <c r="N293" s="29"/>
      <c r="O293" s="29"/>
      <c r="P293" s="29"/>
    </row>
    <row r="294" spans="1:16" ht="112.5" customHeight="1" x14ac:dyDescent="0.2">
      <c r="A294" s="75">
        <v>128</v>
      </c>
      <c r="B294" s="94" t="s">
        <v>3822</v>
      </c>
      <c r="C294" s="94" t="s">
        <v>14727</v>
      </c>
      <c r="D294" s="95" t="s">
        <v>14728</v>
      </c>
      <c r="E294" s="96"/>
      <c r="F294" s="97" t="s">
        <v>15686</v>
      </c>
      <c r="G294" s="98" t="s">
        <v>15780</v>
      </c>
      <c r="H294" s="99" t="s">
        <v>14744</v>
      </c>
      <c r="I294" s="29"/>
      <c r="J294" s="29"/>
      <c r="K294" s="29"/>
      <c r="L294" s="29"/>
      <c r="M294" s="29"/>
      <c r="N294" s="29"/>
      <c r="O294" s="29"/>
      <c r="P294" s="29"/>
    </row>
    <row r="295" spans="1:16" ht="112.5" hidden="1" customHeight="1" x14ac:dyDescent="0.3">
      <c r="A295" s="104">
        <v>3811</v>
      </c>
      <c r="B295" s="28" t="s">
        <v>3822</v>
      </c>
      <c r="C295" s="28" t="s">
        <v>12967</v>
      </c>
      <c r="D295" s="27" t="s">
        <v>12968</v>
      </c>
      <c r="E295" s="29"/>
      <c r="F295" s="105" t="s">
        <v>15546</v>
      </c>
      <c r="G295" s="98" t="s">
        <v>15538</v>
      </c>
      <c r="H295" s="99" t="s">
        <v>14792</v>
      </c>
      <c r="I295" s="29"/>
      <c r="J295" s="29"/>
      <c r="K295" s="29"/>
      <c r="L295" s="29"/>
      <c r="M295" s="29"/>
      <c r="N295" s="29"/>
      <c r="O295" s="29"/>
      <c r="P295" s="29"/>
    </row>
    <row r="296" spans="1:16" ht="112.5" hidden="1" customHeight="1" x14ac:dyDescent="0.3">
      <c r="A296" s="100">
        <v>3838</v>
      </c>
      <c r="B296" s="24" t="s">
        <v>3822</v>
      </c>
      <c r="C296" s="24" t="s">
        <v>14592</v>
      </c>
      <c r="D296" s="25" t="s">
        <v>14593</v>
      </c>
      <c r="E296" s="29"/>
      <c r="F296" s="101" t="s">
        <v>15538</v>
      </c>
      <c r="G296" s="102" t="s">
        <v>15538</v>
      </c>
      <c r="H296" s="103" t="s">
        <v>14871</v>
      </c>
      <c r="I296" s="29"/>
      <c r="J296" s="29"/>
      <c r="K296" s="29"/>
      <c r="L296" s="29"/>
      <c r="M296" s="29"/>
      <c r="N296" s="29"/>
      <c r="O296" s="29"/>
      <c r="P296" s="29"/>
    </row>
    <row r="297" spans="1:16" ht="112.5" hidden="1" customHeight="1" x14ac:dyDescent="0.3">
      <c r="A297" s="100">
        <v>3840</v>
      </c>
      <c r="B297" s="24" t="s">
        <v>3822</v>
      </c>
      <c r="C297" s="24" t="s">
        <v>14586</v>
      </c>
      <c r="D297" s="25" t="s">
        <v>14587</v>
      </c>
      <c r="E297" s="29"/>
      <c r="F297" s="101" t="s">
        <v>15647</v>
      </c>
      <c r="G297" s="102" t="s">
        <v>15538</v>
      </c>
      <c r="H297" s="103" t="s">
        <v>14877</v>
      </c>
      <c r="I297" s="29"/>
      <c r="J297" s="29"/>
      <c r="K297" s="29"/>
      <c r="L297" s="29"/>
      <c r="M297" s="29"/>
      <c r="N297" s="29"/>
      <c r="O297" s="29"/>
      <c r="P297" s="29"/>
    </row>
    <row r="298" spans="1:16" ht="112.5" customHeight="1" x14ac:dyDescent="0.2">
      <c r="A298" s="75">
        <v>129</v>
      </c>
      <c r="B298" s="94" t="s">
        <v>3822</v>
      </c>
      <c r="C298" s="94" t="s">
        <v>12413</v>
      </c>
      <c r="D298" s="95" t="s">
        <v>12414</v>
      </c>
      <c r="E298" s="96"/>
      <c r="F298" s="97" t="s">
        <v>15588</v>
      </c>
      <c r="G298" s="98" t="s">
        <v>15781</v>
      </c>
      <c r="H298" s="99" t="s">
        <v>14880</v>
      </c>
      <c r="I298" s="29"/>
      <c r="J298" s="29"/>
      <c r="K298" s="29"/>
      <c r="L298" s="29"/>
      <c r="M298" s="29"/>
      <c r="N298" s="29"/>
      <c r="O298" s="29"/>
      <c r="P298" s="29"/>
    </row>
    <row r="299" spans="1:16" ht="112.5" customHeight="1" x14ac:dyDescent="0.2">
      <c r="A299" s="75">
        <v>130</v>
      </c>
      <c r="B299" s="94" t="s">
        <v>3822</v>
      </c>
      <c r="C299" s="94" t="s">
        <v>12461</v>
      </c>
      <c r="D299" s="95" t="s">
        <v>12462</v>
      </c>
      <c r="E299" s="96"/>
      <c r="F299" s="97" t="s">
        <v>15689</v>
      </c>
      <c r="G299" s="102" t="s">
        <v>15782</v>
      </c>
      <c r="H299" s="103" t="s">
        <v>14883</v>
      </c>
      <c r="I299" s="29"/>
      <c r="J299" s="29"/>
      <c r="K299" s="29"/>
      <c r="L299" s="29"/>
      <c r="M299" s="29"/>
      <c r="N299" s="29"/>
      <c r="O299" s="29"/>
      <c r="P299" s="29"/>
    </row>
    <row r="300" spans="1:16" ht="112.5" hidden="1" customHeight="1" x14ac:dyDescent="0.3">
      <c r="A300" s="100">
        <v>3844</v>
      </c>
      <c r="B300" s="24" t="s">
        <v>3822</v>
      </c>
      <c r="C300" s="24" t="s">
        <v>13401</v>
      </c>
      <c r="D300" s="25" t="s">
        <v>13402</v>
      </c>
      <c r="E300" s="29"/>
      <c r="F300" s="101" t="s">
        <v>15783</v>
      </c>
      <c r="G300" s="102" t="s">
        <v>15538</v>
      </c>
      <c r="H300" s="103" t="s">
        <v>14889</v>
      </c>
      <c r="I300" s="29"/>
      <c r="J300" s="29"/>
      <c r="K300" s="29"/>
      <c r="L300" s="29"/>
      <c r="M300" s="29"/>
      <c r="N300" s="29"/>
      <c r="O300" s="29"/>
      <c r="P300" s="29"/>
    </row>
    <row r="301" spans="1:16" ht="112.5" hidden="1" customHeight="1" x14ac:dyDescent="0.3">
      <c r="A301" s="104">
        <v>3845</v>
      </c>
      <c r="B301" s="28" t="s">
        <v>3822</v>
      </c>
      <c r="C301" s="28" t="s">
        <v>12500</v>
      </c>
      <c r="D301" s="27" t="s">
        <v>12501</v>
      </c>
      <c r="E301" s="29"/>
      <c r="F301" s="105" t="s">
        <v>15606</v>
      </c>
      <c r="G301" s="98" t="s">
        <v>15538</v>
      </c>
      <c r="H301" s="99" t="s">
        <v>14892</v>
      </c>
      <c r="I301" s="29"/>
      <c r="J301" s="29"/>
      <c r="K301" s="29"/>
      <c r="L301" s="29"/>
      <c r="M301" s="29"/>
      <c r="N301" s="29"/>
      <c r="O301" s="29"/>
      <c r="P301" s="29"/>
    </row>
    <row r="302" spans="1:16" ht="112.5" hidden="1" customHeight="1" x14ac:dyDescent="0.3">
      <c r="A302" s="104">
        <v>3847</v>
      </c>
      <c r="B302" s="28" t="s">
        <v>3822</v>
      </c>
      <c r="C302" s="28" t="s">
        <v>12697</v>
      </c>
      <c r="D302" s="27" t="s">
        <v>12698</v>
      </c>
      <c r="E302" s="29"/>
      <c r="F302" s="105" t="s">
        <v>15697</v>
      </c>
      <c r="G302" s="98" t="s">
        <v>15538</v>
      </c>
      <c r="H302" s="99" t="s">
        <v>4655</v>
      </c>
      <c r="I302" s="29"/>
      <c r="J302" s="29"/>
      <c r="K302" s="29"/>
      <c r="L302" s="29"/>
      <c r="M302" s="29"/>
      <c r="N302" s="29"/>
      <c r="O302" s="29"/>
      <c r="P302" s="29"/>
    </row>
    <row r="303" spans="1:16" ht="112.5" customHeight="1" x14ac:dyDescent="0.2">
      <c r="A303" s="75">
        <v>131</v>
      </c>
      <c r="B303" s="94" t="s">
        <v>3822</v>
      </c>
      <c r="C303" s="94" t="s">
        <v>14571</v>
      </c>
      <c r="D303" s="95" t="s">
        <v>14572</v>
      </c>
      <c r="E303" s="96"/>
      <c r="F303" s="97" t="s">
        <v>15602</v>
      </c>
      <c r="G303" s="102" t="s">
        <v>15722</v>
      </c>
      <c r="H303" s="103" t="s">
        <v>14906</v>
      </c>
      <c r="I303" s="29"/>
      <c r="J303" s="29"/>
      <c r="K303" s="29"/>
      <c r="L303" s="29"/>
      <c r="M303" s="29"/>
      <c r="N303" s="29"/>
      <c r="O303" s="29"/>
      <c r="P303" s="29"/>
    </row>
    <row r="304" spans="1:16" ht="112.5" hidden="1" customHeight="1" x14ac:dyDescent="0.3">
      <c r="A304" s="104">
        <v>3851</v>
      </c>
      <c r="B304" s="28" t="s">
        <v>3822</v>
      </c>
      <c r="C304" s="28" t="s">
        <v>12452</v>
      </c>
      <c r="D304" s="27" t="s">
        <v>12453</v>
      </c>
      <c r="E304" s="29"/>
      <c r="F304" s="105" t="s">
        <v>15697</v>
      </c>
      <c r="G304" s="98" t="s">
        <v>15538</v>
      </c>
      <c r="H304" s="99" t="s">
        <v>14909</v>
      </c>
      <c r="I304" s="29"/>
      <c r="J304" s="29"/>
      <c r="K304" s="29"/>
      <c r="L304" s="29"/>
      <c r="M304" s="29"/>
      <c r="N304" s="29"/>
      <c r="O304" s="29"/>
      <c r="P304" s="29"/>
    </row>
    <row r="305" spans="1:16" ht="112.5" hidden="1" customHeight="1" x14ac:dyDescent="0.3">
      <c r="A305" s="104">
        <v>3853</v>
      </c>
      <c r="B305" s="28" t="s">
        <v>3822</v>
      </c>
      <c r="C305" s="28" t="s">
        <v>14559</v>
      </c>
      <c r="D305" s="27" t="s">
        <v>14560</v>
      </c>
      <c r="E305" s="29"/>
      <c r="F305" s="105" t="s">
        <v>15784</v>
      </c>
      <c r="G305" s="98" t="s">
        <v>15538</v>
      </c>
      <c r="H305" s="99" t="s">
        <v>14915</v>
      </c>
      <c r="I305" s="29"/>
      <c r="J305" s="29"/>
      <c r="K305" s="29"/>
      <c r="L305" s="29"/>
      <c r="M305" s="29"/>
      <c r="N305" s="29"/>
      <c r="O305" s="29"/>
      <c r="P305" s="29"/>
    </row>
    <row r="306" spans="1:16" ht="112.5" customHeight="1" x14ac:dyDescent="0.2">
      <c r="A306" s="75">
        <v>132</v>
      </c>
      <c r="B306" s="94" t="s">
        <v>3822</v>
      </c>
      <c r="C306" s="94" t="s">
        <v>14547</v>
      </c>
      <c r="D306" s="95" t="s">
        <v>14548</v>
      </c>
      <c r="E306" s="96"/>
      <c r="F306" s="97" t="s">
        <v>15694</v>
      </c>
      <c r="G306" s="102" t="s">
        <v>15785</v>
      </c>
      <c r="H306" s="103" t="s">
        <v>14930</v>
      </c>
      <c r="I306" s="29"/>
      <c r="J306" s="29"/>
      <c r="K306" s="29"/>
      <c r="L306" s="29"/>
      <c r="M306" s="29"/>
      <c r="N306" s="29"/>
      <c r="O306" s="29"/>
      <c r="P306" s="29"/>
    </row>
    <row r="307" spans="1:16" ht="112.5" customHeight="1" x14ac:dyDescent="0.2">
      <c r="A307" s="75">
        <v>133</v>
      </c>
      <c r="B307" s="94" t="s">
        <v>3822</v>
      </c>
      <c r="C307" s="94" t="s">
        <v>14532</v>
      </c>
      <c r="D307" s="95" t="s">
        <v>14533</v>
      </c>
      <c r="E307" s="96"/>
      <c r="F307" s="97" t="s">
        <v>15786</v>
      </c>
      <c r="G307" s="98" t="s">
        <v>15787</v>
      </c>
      <c r="H307" s="99" t="s">
        <v>14945</v>
      </c>
      <c r="I307" s="29"/>
      <c r="J307" s="29"/>
      <c r="K307" s="29"/>
      <c r="L307" s="29"/>
      <c r="M307" s="29"/>
      <c r="N307" s="29"/>
      <c r="O307" s="29"/>
      <c r="P307" s="29"/>
    </row>
    <row r="308" spans="1:16" ht="112.5" hidden="1" customHeight="1" x14ac:dyDescent="0.3">
      <c r="A308" s="104">
        <v>3871</v>
      </c>
      <c r="B308" s="28" t="s">
        <v>3822</v>
      </c>
      <c r="C308" s="28" t="s">
        <v>13241</v>
      </c>
      <c r="D308" s="27" t="s">
        <v>13242</v>
      </c>
      <c r="E308" s="29"/>
      <c r="F308" s="105" t="s">
        <v>15535</v>
      </c>
      <c r="G308" s="98" t="s">
        <v>15538</v>
      </c>
      <c r="H308" s="99" t="s">
        <v>14969</v>
      </c>
      <c r="I308" s="29"/>
      <c r="J308" s="29"/>
      <c r="K308" s="29"/>
      <c r="L308" s="29"/>
      <c r="M308" s="29"/>
      <c r="N308" s="29"/>
      <c r="O308" s="29"/>
      <c r="P308" s="29"/>
    </row>
    <row r="309" spans="1:16" ht="112.5" hidden="1" customHeight="1" x14ac:dyDescent="0.3">
      <c r="A309" s="100">
        <v>3874</v>
      </c>
      <c r="B309" s="24" t="s">
        <v>3822</v>
      </c>
      <c r="C309" s="24" t="s">
        <v>14493</v>
      </c>
      <c r="D309" s="25" t="s">
        <v>14494</v>
      </c>
      <c r="E309" s="29"/>
      <c r="F309" s="101" t="s">
        <v>15656</v>
      </c>
      <c r="G309" s="102" t="s">
        <v>15538</v>
      </c>
      <c r="H309" s="103" t="s">
        <v>14978</v>
      </c>
      <c r="I309" s="29"/>
      <c r="J309" s="29"/>
      <c r="K309" s="29"/>
      <c r="L309" s="29"/>
      <c r="M309" s="29"/>
      <c r="N309" s="29"/>
      <c r="O309" s="29"/>
      <c r="P309" s="29"/>
    </row>
    <row r="310" spans="1:16" ht="112.5" customHeight="1" x14ac:dyDescent="0.2">
      <c r="A310" s="75">
        <v>134</v>
      </c>
      <c r="B310" s="94" t="s">
        <v>3822</v>
      </c>
      <c r="C310" s="94" t="s">
        <v>12485</v>
      </c>
      <c r="D310" s="95" t="s">
        <v>12486</v>
      </c>
      <c r="E310" s="96"/>
      <c r="F310" s="97" t="s">
        <v>15788</v>
      </c>
      <c r="G310" s="98" t="s">
        <v>15789</v>
      </c>
      <c r="H310" s="99" t="s">
        <v>15011</v>
      </c>
      <c r="I310" s="29"/>
      <c r="J310" s="29"/>
      <c r="K310" s="29"/>
      <c r="L310" s="29"/>
      <c r="M310" s="29"/>
      <c r="N310" s="29"/>
      <c r="O310" s="29"/>
      <c r="P310" s="29"/>
    </row>
    <row r="311" spans="1:16" ht="112.5" hidden="1" customHeight="1" x14ac:dyDescent="0.3">
      <c r="A311" s="104">
        <v>3919</v>
      </c>
      <c r="B311" s="28" t="s">
        <v>3822</v>
      </c>
      <c r="C311" s="28" t="s">
        <v>13890</v>
      </c>
      <c r="D311" s="27" t="s">
        <v>13891</v>
      </c>
      <c r="E311" s="29"/>
      <c r="F311" s="105" t="s">
        <v>15790</v>
      </c>
      <c r="G311" s="98" t="s">
        <v>15538</v>
      </c>
      <c r="H311" s="99" t="s">
        <v>15112</v>
      </c>
      <c r="I311" s="29"/>
      <c r="J311" s="29"/>
      <c r="K311" s="29"/>
      <c r="L311" s="29"/>
      <c r="M311" s="29"/>
      <c r="N311" s="29"/>
      <c r="O311" s="29"/>
      <c r="P311" s="29"/>
    </row>
    <row r="312" spans="1:16" ht="112.5" hidden="1" customHeight="1" x14ac:dyDescent="0.3">
      <c r="A312" s="104">
        <v>3923</v>
      </c>
      <c r="B312" s="28" t="s">
        <v>3822</v>
      </c>
      <c r="C312" s="28" t="s">
        <v>12756</v>
      </c>
      <c r="D312" s="27" t="s">
        <v>12757</v>
      </c>
      <c r="E312" s="29"/>
      <c r="F312" s="105" t="s">
        <v>15680</v>
      </c>
      <c r="G312" s="98" t="s">
        <v>15538</v>
      </c>
      <c r="H312" s="99" t="s">
        <v>15124</v>
      </c>
      <c r="I312" s="29"/>
      <c r="J312" s="29"/>
      <c r="K312" s="29"/>
      <c r="L312" s="29"/>
      <c r="M312" s="29"/>
      <c r="N312" s="29"/>
      <c r="O312" s="29"/>
      <c r="P312" s="29"/>
    </row>
    <row r="313" spans="1:16" ht="112.5" customHeight="1" x14ac:dyDescent="0.2">
      <c r="A313" s="75">
        <v>135</v>
      </c>
      <c r="B313" s="94" t="s">
        <v>3822</v>
      </c>
      <c r="C313" s="94" t="s">
        <v>13872</v>
      </c>
      <c r="D313" s="95" t="s">
        <v>13873</v>
      </c>
      <c r="E313" s="96"/>
      <c r="F313" s="97" t="s">
        <v>15656</v>
      </c>
      <c r="G313" s="102" t="s">
        <v>15791</v>
      </c>
      <c r="H313" s="103" t="s">
        <v>15138</v>
      </c>
      <c r="I313" s="29"/>
      <c r="J313" s="29"/>
      <c r="K313" s="29"/>
      <c r="L313" s="29"/>
      <c r="M313" s="29"/>
      <c r="N313" s="29"/>
      <c r="O313" s="29"/>
      <c r="P313" s="29"/>
    </row>
    <row r="314" spans="1:16" ht="112.5" customHeight="1" x14ac:dyDescent="0.2">
      <c r="A314" s="75">
        <v>136</v>
      </c>
      <c r="B314" s="94" t="s">
        <v>3822</v>
      </c>
      <c r="C314" s="94" t="s">
        <v>12892</v>
      </c>
      <c r="D314" s="95" t="s">
        <v>12893</v>
      </c>
      <c r="E314" s="96"/>
      <c r="F314" s="97" t="s">
        <v>15770</v>
      </c>
      <c r="G314" s="98" t="s">
        <v>15792</v>
      </c>
      <c r="H314" s="99" t="s">
        <v>15141</v>
      </c>
      <c r="I314" s="29"/>
      <c r="J314" s="29"/>
      <c r="K314" s="29"/>
      <c r="L314" s="29"/>
      <c r="M314" s="29"/>
      <c r="N314" s="29"/>
      <c r="O314" s="29"/>
      <c r="P314" s="29"/>
    </row>
    <row r="315" spans="1:16" ht="112.5" hidden="1" customHeight="1" x14ac:dyDescent="0.3">
      <c r="A315" s="104">
        <v>3931</v>
      </c>
      <c r="B315" s="28" t="s">
        <v>3822</v>
      </c>
      <c r="C315" s="28" t="s">
        <v>13861</v>
      </c>
      <c r="D315" s="27" t="s">
        <v>13862</v>
      </c>
      <c r="E315" s="29"/>
      <c r="F315" s="105" t="s">
        <v>15651</v>
      </c>
      <c r="G315" s="98" t="s">
        <v>15538</v>
      </c>
      <c r="H315" s="99" t="s">
        <v>15147</v>
      </c>
      <c r="I315" s="29"/>
      <c r="J315" s="29"/>
      <c r="K315" s="29"/>
      <c r="L315" s="29"/>
      <c r="M315" s="29"/>
      <c r="N315" s="29"/>
      <c r="O315" s="29"/>
      <c r="P315" s="29"/>
    </row>
    <row r="316" spans="1:16" ht="112.5" customHeight="1" x14ac:dyDescent="0.2">
      <c r="A316" s="75">
        <v>137</v>
      </c>
      <c r="B316" s="94" t="s">
        <v>3822</v>
      </c>
      <c r="C316" s="94" t="s">
        <v>12688</v>
      </c>
      <c r="D316" s="95" t="s">
        <v>12689</v>
      </c>
      <c r="E316" s="96"/>
      <c r="F316" s="97" t="s">
        <v>15793</v>
      </c>
      <c r="G316" s="98" t="s">
        <v>15794</v>
      </c>
      <c r="H316" s="99" t="s">
        <v>15153</v>
      </c>
      <c r="I316" s="29"/>
      <c r="J316" s="29"/>
      <c r="K316" s="29"/>
      <c r="L316" s="29"/>
      <c r="M316" s="29"/>
      <c r="N316" s="29"/>
      <c r="O316" s="29"/>
      <c r="P316" s="29"/>
    </row>
    <row r="317" spans="1:16" ht="112.5" customHeight="1" x14ac:dyDescent="0.2">
      <c r="A317" s="75">
        <v>138</v>
      </c>
      <c r="B317" s="94" t="s">
        <v>3822</v>
      </c>
      <c r="C317" s="94" t="s">
        <v>12622</v>
      </c>
      <c r="D317" s="95" t="s">
        <v>12623</v>
      </c>
      <c r="E317" s="96"/>
      <c r="F317" s="97" t="s">
        <v>15581</v>
      </c>
      <c r="G317" s="98" t="s">
        <v>15795</v>
      </c>
      <c r="H317" s="99" t="s">
        <v>15159</v>
      </c>
      <c r="I317" s="29"/>
      <c r="J317" s="29"/>
      <c r="K317" s="29"/>
      <c r="L317" s="29"/>
      <c r="M317" s="29"/>
      <c r="N317" s="29"/>
      <c r="O317" s="29"/>
      <c r="P317" s="29"/>
    </row>
    <row r="318" spans="1:16" ht="112.5" hidden="1" customHeight="1" x14ac:dyDescent="0.3">
      <c r="A318" s="100">
        <v>3938</v>
      </c>
      <c r="B318" s="24" t="s">
        <v>3822</v>
      </c>
      <c r="C318" s="24" t="s">
        <v>13846</v>
      </c>
      <c r="D318" s="25" t="s">
        <v>13847</v>
      </c>
      <c r="E318" s="29"/>
      <c r="F318" s="101" t="s">
        <v>15796</v>
      </c>
      <c r="G318" s="102" t="s">
        <v>15538</v>
      </c>
      <c r="H318" s="103" t="s">
        <v>15168</v>
      </c>
      <c r="I318" s="29"/>
      <c r="J318" s="29"/>
      <c r="K318" s="29"/>
      <c r="L318" s="29"/>
      <c r="M318" s="29"/>
      <c r="N318" s="29"/>
      <c r="O318" s="29"/>
      <c r="P318" s="29"/>
    </row>
    <row r="319" spans="1:16" ht="112.5" hidden="1" customHeight="1" x14ac:dyDescent="0.3">
      <c r="A319" s="100">
        <v>3940</v>
      </c>
      <c r="B319" s="24" t="s">
        <v>3822</v>
      </c>
      <c r="C319" s="24" t="s">
        <v>13828</v>
      </c>
      <c r="D319" s="25" t="s">
        <v>13829</v>
      </c>
      <c r="E319" s="29"/>
      <c r="F319" s="101" t="s">
        <v>15546</v>
      </c>
      <c r="G319" s="102" t="s">
        <v>15538</v>
      </c>
      <c r="H319" s="103" t="s">
        <v>15174</v>
      </c>
      <c r="I319" s="29"/>
      <c r="J319" s="29"/>
      <c r="K319" s="29"/>
      <c r="L319" s="29"/>
      <c r="M319" s="29"/>
      <c r="N319" s="29"/>
      <c r="O319" s="29"/>
      <c r="P319" s="29"/>
    </row>
    <row r="320" spans="1:16" ht="112.5" hidden="1" customHeight="1" x14ac:dyDescent="0.3">
      <c r="A320" s="100">
        <v>3942</v>
      </c>
      <c r="B320" s="24" t="s">
        <v>3822</v>
      </c>
      <c r="C320" s="24" t="s">
        <v>13822</v>
      </c>
      <c r="D320" s="25" t="s">
        <v>13823</v>
      </c>
      <c r="E320" s="29"/>
      <c r="F320" s="101" t="s">
        <v>15797</v>
      </c>
      <c r="G320" s="102" t="s">
        <v>15538</v>
      </c>
      <c r="H320" s="103" t="s">
        <v>15180</v>
      </c>
      <c r="I320" s="29"/>
      <c r="J320" s="29"/>
      <c r="K320" s="29"/>
      <c r="L320" s="29"/>
      <c r="M320" s="29"/>
      <c r="N320" s="29"/>
      <c r="O320" s="29"/>
      <c r="P320" s="29"/>
    </row>
    <row r="321" spans="1:16" ht="112.5" hidden="1" customHeight="1" x14ac:dyDescent="0.3">
      <c r="A321" s="104">
        <v>3943</v>
      </c>
      <c r="B321" s="28" t="s">
        <v>3822</v>
      </c>
      <c r="C321" s="28" t="s">
        <v>13819</v>
      </c>
      <c r="D321" s="27" t="s">
        <v>13820</v>
      </c>
      <c r="E321" s="29"/>
      <c r="F321" s="105" t="s">
        <v>15593</v>
      </c>
      <c r="G321" s="98" t="s">
        <v>15538</v>
      </c>
      <c r="H321" s="99" t="s">
        <v>15183</v>
      </c>
      <c r="I321" s="29"/>
      <c r="J321" s="29"/>
      <c r="K321" s="29"/>
      <c r="L321" s="29"/>
      <c r="M321" s="29"/>
      <c r="N321" s="29"/>
      <c r="O321" s="29"/>
      <c r="P321" s="29"/>
    </row>
    <row r="322" spans="1:16" ht="112.5" customHeight="1" x14ac:dyDescent="0.2">
      <c r="A322" s="75">
        <v>139</v>
      </c>
      <c r="B322" s="94" t="s">
        <v>3822</v>
      </c>
      <c r="C322" s="94" t="s">
        <v>13813</v>
      </c>
      <c r="D322" s="95" t="s">
        <v>13814</v>
      </c>
      <c r="E322" s="96"/>
      <c r="F322" s="97" t="s">
        <v>15798</v>
      </c>
      <c r="G322" s="102" t="s">
        <v>15799</v>
      </c>
      <c r="H322" s="103" t="s">
        <v>15186</v>
      </c>
      <c r="I322" s="29"/>
      <c r="J322" s="29"/>
      <c r="K322" s="29"/>
      <c r="L322" s="29"/>
      <c r="M322" s="29"/>
      <c r="N322" s="29"/>
      <c r="O322" s="29"/>
      <c r="P322" s="29"/>
    </row>
    <row r="323" spans="1:16" ht="112.5" hidden="1" customHeight="1" x14ac:dyDescent="0.3">
      <c r="A323" s="104">
        <v>3945</v>
      </c>
      <c r="B323" s="28" t="s">
        <v>3822</v>
      </c>
      <c r="C323" s="28" t="s">
        <v>13816</v>
      </c>
      <c r="D323" s="27" t="s">
        <v>13817</v>
      </c>
      <c r="E323" s="29"/>
      <c r="F323" s="105" t="s">
        <v>15635</v>
      </c>
      <c r="G323" s="98" t="s">
        <v>15538</v>
      </c>
      <c r="H323" s="99" t="s">
        <v>15189</v>
      </c>
      <c r="I323" s="29"/>
      <c r="J323" s="29"/>
      <c r="K323" s="29"/>
      <c r="L323" s="29"/>
      <c r="M323" s="29"/>
      <c r="N323" s="29"/>
      <c r="O323" s="29"/>
      <c r="P323" s="29"/>
    </row>
    <row r="324" spans="1:16" ht="112.5" customHeight="1" x14ac:dyDescent="0.2">
      <c r="A324" s="75">
        <v>140</v>
      </c>
      <c r="B324" s="94" t="s">
        <v>3822</v>
      </c>
      <c r="C324" s="94" t="s">
        <v>12419</v>
      </c>
      <c r="D324" s="95" t="s">
        <v>12420</v>
      </c>
      <c r="E324" s="96"/>
      <c r="F324" s="97" t="s">
        <v>15800</v>
      </c>
      <c r="G324" s="102" t="s">
        <v>15801</v>
      </c>
      <c r="H324" s="103" t="s">
        <v>15192</v>
      </c>
      <c r="I324" s="29"/>
      <c r="J324" s="29"/>
      <c r="K324" s="29"/>
      <c r="L324" s="29"/>
      <c r="M324" s="29"/>
      <c r="N324" s="29"/>
      <c r="O324" s="29"/>
      <c r="P324" s="29"/>
    </row>
    <row r="325" spans="1:16" ht="112.5" hidden="1" customHeight="1" x14ac:dyDescent="0.3">
      <c r="A325" s="104">
        <v>3947</v>
      </c>
      <c r="B325" s="28" t="s">
        <v>3822</v>
      </c>
      <c r="C325" s="28" t="s">
        <v>13810</v>
      </c>
      <c r="D325" s="27" t="s">
        <v>13811</v>
      </c>
      <c r="E325" s="29"/>
      <c r="F325" s="105" t="s">
        <v>15718</v>
      </c>
      <c r="G325" s="98" t="s">
        <v>15538</v>
      </c>
      <c r="H325" s="99" t="s">
        <v>15195</v>
      </c>
      <c r="I325" s="29"/>
      <c r="J325" s="29"/>
      <c r="K325" s="29"/>
      <c r="L325" s="29"/>
      <c r="M325" s="29"/>
      <c r="N325" s="29"/>
      <c r="O325" s="29"/>
      <c r="P325" s="29"/>
    </row>
    <row r="326" spans="1:16" ht="112.5" customHeight="1" x14ac:dyDescent="0.2">
      <c r="A326" s="75">
        <v>141</v>
      </c>
      <c r="B326" s="94" t="s">
        <v>3822</v>
      </c>
      <c r="C326" s="94" t="s">
        <v>12526</v>
      </c>
      <c r="D326" s="95" t="s">
        <v>12527</v>
      </c>
      <c r="E326" s="96"/>
      <c r="F326" s="97" t="s">
        <v>15697</v>
      </c>
      <c r="G326" s="102" t="s">
        <v>15802</v>
      </c>
      <c r="H326" s="103" t="s">
        <v>15198</v>
      </c>
      <c r="I326" s="29"/>
      <c r="J326" s="29"/>
      <c r="K326" s="29"/>
      <c r="L326" s="29"/>
      <c r="M326" s="29"/>
      <c r="N326" s="29"/>
      <c r="O326" s="29"/>
      <c r="P326" s="29"/>
    </row>
    <row r="327" spans="1:16" ht="112.5" hidden="1" customHeight="1" x14ac:dyDescent="0.3">
      <c r="A327" s="104">
        <v>3949</v>
      </c>
      <c r="B327" s="28" t="s">
        <v>3822</v>
      </c>
      <c r="C327" s="28" t="s">
        <v>13807</v>
      </c>
      <c r="D327" s="27" t="s">
        <v>13808</v>
      </c>
      <c r="E327" s="29"/>
      <c r="F327" s="105" t="s">
        <v>15593</v>
      </c>
      <c r="G327" s="98" t="s">
        <v>15538</v>
      </c>
      <c r="H327" s="99" t="s">
        <v>15201</v>
      </c>
      <c r="I327" s="29"/>
      <c r="J327" s="29"/>
      <c r="K327" s="29"/>
      <c r="L327" s="29"/>
      <c r="M327" s="29"/>
      <c r="N327" s="29"/>
      <c r="O327" s="29"/>
      <c r="P327" s="29"/>
    </row>
    <row r="328" spans="1:16" ht="112.5" customHeight="1" x14ac:dyDescent="0.2">
      <c r="A328" s="75">
        <v>142</v>
      </c>
      <c r="B328" s="94" t="s">
        <v>3822</v>
      </c>
      <c r="C328" s="94" t="s">
        <v>13410</v>
      </c>
      <c r="D328" s="95" t="s">
        <v>13411</v>
      </c>
      <c r="E328" s="96"/>
      <c r="F328" s="97" t="s">
        <v>15581</v>
      </c>
      <c r="G328" s="102" t="s">
        <v>15803</v>
      </c>
      <c r="H328" s="103" t="s">
        <v>15204</v>
      </c>
      <c r="I328" s="29"/>
      <c r="J328" s="29"/>
      <c r="K328" s="29"/>
      <c r="L328" s="29"/>
      <c r="M328" s="29"/>
      <c r="N328" s="29"/>
      <c r="O328" s="29"/>
      <c r="P328" s="29"/>
    </row>
    <row r="329" spans="1:16" ht="112.5" customHeight="1" x14ac:dyDescent="0.2">
      <c r="A329" s="75">
        <v>143</v>
      </c>
      <c r="B329" s="94" t="s">
        <v>3822</v>
      </c>
      <c r="C329" s="94" t="s">
        <v>12994</v>
      </c>
      <c r="D329" s="95" t="s">
        <v>12995</v>
      </c>
      <c r="E329" s="96"/>
      <c r="F329" s="97" t="s">
        <v>15550</v>
      </c>
      <c r="G329" s="98" t="s">
        <v>15804</v>
      </c>
      <c r="H329" s="99" t="s">
        <v>15207</v>
      </c>
      <c r="I329" s="29"/>
      <c r="J329" s="29"/>
      <c r="K329" s="29"/>
      <c r="L329" s="29"/>
      <c r="M329" s="29"/>
      <c r="N329" s="29"/>
      <c r="O329" s="29"/>
      <c r="P329" s="29"/>
    </row>
    <row r="330" spans="1:16" ht="112.5" customHeight="1" x14ac:dyDescent="0.2">
      <c r="A330" s="75">
        <v>144</v>
      </c>
      <c r="B330" s="94" t="s">
        <v>3822</v>
      </c>
      <c r="C330" s="94" t="s">
        <v>12827</v>
      </c>
      <c r="D330" s="95" t="s">
        <v>12828</v>
      </c>
      <c r="E330" s="96"/>
      <c r="F330" s="97" t="s">
        <v>15593</v>
      </c>
      <c r="G330" s="102" t="s">
        <v>15805</v>
      </c>
      <c r="H330" s="103" t="s">
        <v>15210</v>
      </c>
      <c r="I330" s="29"/>
      <c r="J330" s="29"/>
      <c r="K330" s="29"/>
      <c r="L330" s="29"/>
      <c r="M330" s="29"/>
      <c r="N330" s="29"/>
      <c r="O330" s="29"/>
      <c r="P330" s="29"/>
    </row>
    <row r="331" spans="1:16" ht="112.5" customHeight="1" x14ac:dyDescent="0.2">
      <c r="A331" s="75">
        <v>145</v>
      </c>
      <c r="B331" s="94" t="s">
        <v>3822</v>
      </c>
      <c r="C331" s="94" t="s">
        <v>13801</v>
      </c>
      <c r="D331" s="95" t="s">
        <v>13802</v>
      </c>
      <c r="E331" s="96"/>
      <c r="F331" s="97" t="s">
        <v>15583</v>
      </c>
      <c r="G331" s="102" t="s">
        <v>15585</v>
      </c>
      <c r="H331" s="103" t="s">
        <v>15216</v>
      </c>
      <c r="I331" s="29"/>
      <c r="J331" s="29"/>
      <c r="K331" s="29"/>
      <c r="L331" s="29"/>
      <c r="M331" s="29"/>
      <c r="N331" s="29"/>
      <c r="O331" s="29"/>
      <c r="P331" s="29"/>
    </row>
    <row r="332" spans="1:16" ht="112.5" customHeight="1" x14ac:dyDescent="0.2">
      <c r="A332" s="75">
        <v>146</v>
      </c>
      <c r="B332" s="94" t="s">
        <v>3822</v>
      </c>
      <c r="C332" s="94" t="s">
        <v>13798</v>
      </c>
      <c r="D332" s="95" t="s">
        <v>13799</v>
      </c>
      <c r="E332" s="96"/>
      <c r="F332" s="97" t="s">
        <v>15806</v>
      </c>
      <c r="G332" s="98" t="s">
        <v>15807</v>
      </c>
      <c r="H332" s="99" t="s">
        <v>15219</v>
      </c>
      <c r="I332" s="29"/>
      <c r="J332" s="29"/>
      <c r="K332" s="29"/>
      <c r="L332" s="29"/>
      <c r="M332" s="29"/>
      <c r="N332" s="29"/>
      <c r="O332" s="29"/>
      <c r="P332" s="29"/>
    </row>
    <row r="333" spans="1:16" ht="112.5" customHeight="1" x14ac:dyDescent="0.2">
      <c r="A333" s="75">
        <v>147</v>
      </c>
      <c r="B333" s="94" t="s">
        <v>3822</v>
      </c>
      <c r="C333" s="94" t="s">
        <v>12443</v>
      </c>
      <c r="D333" s="95" t="s">
        <v>12444</v>
      </c>
      <c r="E333" s="96"/>
      <c r="F333" s="97" t="s">
        <v>15581</v>
      </c>
      <c r="G333" s="102" t="s">
        <v>15808</v>
      </c>
      <c r="H333" s="103" t="s">
        <v>15222</v>
      </c>
      <c r="I333" s="29"/>
      <c r="J333" s="29"/>
      <c r="K333" s="29"/>
      <c r="L333" s="29"/>
      <c r="M333" s="29"/>
      <c r="N333" s="29"/>
      <c r="O333" s="29"/>
      <c r="P333" s="29"/>
    </row>
    <row r="334" spans="1:16" ht="112.5" customHeight="1" x14ac:dyDescent="0.2">
      <c r="A334" s="75">
        <v>148</v>
      </c>
      <c r="B334" s="94" t="s">
        <v>3822</v>
      </c>
      <c r="C334" s="94" t="s">
        <v>12836</v>
      </c>
      <c r="D334" s="95" t="s">
        <v>12837</v>
      </c>
      <c r="E334" s="96"/>
      <c r="F334" s="97" t="s">
        <v>15583</v>
      </c>
      <c r="G334" s="98" t="s">
        <v>15809</v>
      </c>
      <c r="H334" s="99" t="s">
        <v>15225</v>
      </c>
      <c r="I334" s="29"/>
      <c r="J334" s="29"/>
      <c r="K334" s="29"/>
      <c r="L334" s="29"/>
      <c r="M334" s="29"/>
      <c r="N334" s="29"/>
      <c r="O334" s="29"/>
      <c r="P334" s="29"/>
    </row>
    <row r="335" spans="1:16" ht="112.5" hidden="1" customHeight="1" x14ac:dyDescent="0.3">
      <c r="A335" s="100">
        <v>3958</v>
      </c>
      <c r="B335" s="24" t="s">
        <v>3822</v>
      </c>
      <c r="C335" s="24" t="s">
        <v>13795</v>
      </c>
      <c r="D335" s="25" t="s">
        <v>13796</v>
      </c>
      <c r="E335" s="29"/>
      <c r="F335" s="101" t="s">
        <v>15552</v>
      </c>
      <c r="G335" s="102" t="s">
        <v>15538</v>
      </c>
      <c r="H335" s="103" t="s">
        <v>15228</v>
      </c>
      <c r="I335" s="29"/>
      <c r="J335" s="29"/>
      <c r="K335" s="29"/>
      <c r="L335" s="29"/>
      <c r="M335" s="29"/>
      <c r="N335" s="29"/>
      <c r="O335" s="29"/>
      <c r="P335" s="29"/>
    </row>
    <row r="336" spans="1:16" ht="112.5" customHeight="1" x14ac:dyDescent="0.2">
      <c r="A336" s="75">
        <v>149</v>
      </c>
      <c r="B336" s="94" t="s">
        <v>3822</v>
      </c>
      <c r="C336" s="94" t="s">
        <v>13792</v>
      </c>
      <c r="D336" s="95" t="s">
        <v>13793</v>
      </c>
      <c r="E336" s="96"/>
      <c r="F336" s="97" t="s">
        <v>15810</v>
      </c>
      <c r="G336" s="98" t="s">
        <v>15811</v>
      </c>
      <c r="H336" s="99" t="s">
        <v>15231</v>
      </c>
      <c r="I336" s="29"/>
      <c r="J336" s="29"/>
      <c r="K336" s="29"/>
      <c r="L336" s="29"/>
      <c r="M336" s="29"/>
      <c r="N336" s="29"/>
      <c r="O336" s="29"/>
      <c r="P336" s="29"/>
    </row>
    <row r="337" spans="1:16" ht="112.5" customHeight="1" x14ac:dyDescent="0.2">
      <c r="A337" s="75">
        <v>150</v>
      </c>
      <c r="B337" s="94" t="s">
        <v>3822</v>
      </c>
      <c r="C337" s="94" t="s">
        <v>12910</v>
      </c>
      <c r="D337" s="95" t="s">
        <v>12911</v>
      </c>
      <c r="E337" s="96"/>
      <c r="F337" s="97" t="s">
        <v>15812</v>
      </c>
      <c r="G337" s="98" t="s">
        <v>15813</v>
      </c>
      <c r="H337" s="99" t="s">
        <v>15237</v>
      </c>
      <c r="I337" s="29"/>
      <c r="J337" s="29"/>
      <c r="K337" s="29"/>
      <c r="L337" s="29"/>
      <c r="M337" s="29"/>
      <c r="N337" s="29"/>
      <c r="O337" s="29"/>
      <c r="P337" s="29"/>
    </row>
    <row r="338" spans="1:16" ht="112.5" hidden="1" customHeight="1" x14ac:dyDescent="0.3">
      <c r="A338" s="104">
        <v>3965</v>
      </c>
      <c r="B338" s="28" t="s">
        <v>3822</v>
      </c>
      <c r="C338" s="28" t="s">
        <v>12503</v>
      </c>
      <c r="D338" s="27" t="s">
        <v>12504</v>
      </c>
      <c r="E338" s="29"/>
      <c r="F338" s="105" t="s">
        <v>15814</v>
      </c>
      <c r="G338" s="98" t="s">
        <v>15538</v>
      </c>
      <c r="H338" s="99" t="s">
        <v>15249</v>
      </c>
      <c r="I338" s="29"/>
      <c r="J338" s="29"/>
      <c r="K338" s="29"/>
      <c r="L338" s="29"/>
      <c r="M338" s="29"/>
      <c r="N338" s="29"/>
      <c r="O338" s="29"/>
      <c r="P338" s="29"/>
    </row>
    <row r="339" spans="1:16" ht="112.5" hidden="1" customHeight="1" x14ac:dyDescent="0.3">
      <c r="A339" s="100">
        <v>3966</v>
      </c>
      <c r="B339" s="24" t="s">
        <v>3822</v>
      </c>
      <c r="C339" s="24" t="s">
        <v>13751</v>
      </c>
      <c r="D339" s="25" t="s">
        <v>13752</v>
      </c>
      <c r="E339" s="29"/>
      <c r="F339" s="101" t="s">
        <v>15706</v>
      </c>
      <c r="G339" s="102" t="s">
        <v>15538</v>
      </c>
      <c r="H339" s="103" t="s">
        <v>15252</v>
      </c>
      <c r="I339" s="29"/>
      <c r="J339" s="29"/>
      <c r="K339" s="29"/>
      <c r="L339" s="29"/>
      <c r="M339" s="29"/>
      <c r="N339" s="29"/>
      <c r="O339" s="29"/>
      <c r="P339" s="29"/>
    </row>
    <row r="340" spans="1:16" ht="112.5" hidden="1" customHeight="1" x14ac:dyDescent="0.3">
      <c r="A340" s="104">
        <v>3971</v>
      </c>
      <c r="B340" s="28" t="s">
        <v>3822</v>
      </c>
      <c r="C340" s="28" t="s">
        <v>13732</v>
      </c>
      <c r="D340" s="27" t="s">
        <v>13733</v>
      </c>
      <c r="E340" s="29"/>
      <c r="F340" s="105" t="s">
        <v>15577</v>
      </c>
      <c r="G340" s="98" t="s">
        <v>15538</v>
      </c>
      <c r="H340" s="99" t="s">
        <v>15267</v>
      </c>
      <c r="I340" s="29"/>
      <c r="J340" s="29"/>
      <c r="K340" s="29"/>
      <c r="L340" s="29"/>
      <c r="M340" s="29"/>
      <c r="N340" s="29"/>
      <c r="O340" s="29"/>
      <c r="P340" s="29"/>
    </row>
    <row r="341" spans="1:16" ht="112.5" hidden="1" customHeight="1" x14ac:dyDescent="0.3">
      <c r="A341" s="100">
        <v>3972</v>
      </c>
      <c r="B341" s="24" t="s">
        <v>3822</v>
      </c>
      <c r="C341" s="24" t="s">
        <v>13729</v>
      </c>
      <c r="D341" s="25" t="s">
        <v>13730</v>
      </c>
      <c r="E341" s="29"/>
      <c r="F341" s="101" t="s">
        <v>15697</v>
      </c>
      <c r="G341" s="102" t="s">
        <v>15538</v>
      </c>
      <c r="H341" s="103" t="s">
        <v>15270</v>
      </c>
      <c r="I341" s="29"/>
      <c r="J341" s="29"/>
      <c r="K341" s="29"/>
      <c r="L341" s="29"/>
      <c r="M341" s="29"/>
      <c r="N341" s="29"/>
      <c r="O341" s="29"/>
      <c r="P341" s="29"/>
    </row>
    <row r="342" spans="1:16" ht="112.5" hidden="1" customHeight="1" x14ac:dyDescent="0.3">
      <c r="A342" s="104">
        <v>3973</v>
      </c>
      <c r="B342" s="28" t="s">
        <v>3822</v>
      </c>
      <c r="C342" s="28" t="s">
        <v>13723</v>
      </c>
      <c r="D342" s="27" t="s">
        <v>13724</v>
      </c>
      <c r="E342" s="29"/>
      <c r="F342" s="105" t="s">
        <v>15815</v>
      </c>
      <c r="G342" s="98" t="s">
        <v>15538</v>
      </c>
      <c r="H342" s="99" t="s">
        <v>15273</v>
      </c>
      <c r="I342" s="29"/>
      <c r="J342" s="29"/>
      <c r="K342" s="29"/>
      <c r="L342" s="29"/>
      <c r="M342" s="29"/>
      <c r="N342" s="29"/>
      <c r="O342" s="29"/>
      <c r="P342" s="29"/>
    </row>
    <row r="343" spans="1:16" ht="112.5" hidden="1" customHeight="1" x14ac:dyDescent="0.3">
      <c r="A343" s="100">
        <v>3974</v>
      </c>
      <c r="B343" s="24" t="s">
        <v>3822</v>
      </c>
      <c r="C343" s="24" t="s">
        <v>13726</v>
      </c>
      <c r="D343" s="25" t="s">
        <v>13727</v>
      </c>
      <c r="E343" s="29"/>
      <c r="F343" s="101" t="s">
        <v>15816</v>
      </c>
      <c r="G343" s="102" t="s">
        <v>15538</v>
      </c>
      <c r="H343" s="103" t="s">
        <v>15276</v>
      </c>
      <c r="I343" s="29"/>
      <c r="J343" s="29"/>
      <c r="K343" s="29"/>
      <c r="L343" s="29"/>
      <c r="M343" s="29"/>
      <c r="N343" s="29"/>
      <c r="O343" s="29"/>
      <c r="P343" s="29"/>
    </row>
    <row r="344" spans="1:16" ht="112.5" customHeight="1" x14ac:dyDescent="0.2">
      <c r="A344" s="75">
        <v>151</v>
      </c>
      <c r="B344" s="94" t="s">
        <v>3822</v>
      </c>
      <c r="C344" s="94" t="s">
        <v>12610</v>
      </c>
      <c r="D344" s="95" t="s">
        <v>12611</v>
      </c>
      <c r="E344" s="96"/>
      <c r="F344" s="97" t="s">
        <v>15678</v>
      </c>
      <c r="G344" s="98" t="s">
        <v>15817</v>
      </c>
      <c r="H344" s="99" t="s">
        <v>15279</v>
      </c>
      <c r="I344" s="29"/>
      <c r="J344" s="29"/>
      <c r="K344" s="29"/>
      <c r="L344" s="29"/>
      <c r="M344" s="29"/>
      <c r="N344" s="29"/>
      <c r="O344" s="29"/>
      <c r="P344" s="29"/>
    </row>
    <row r="345" spans="1:16" ht="112.5" hidden="1" customHeight="1" x14ac:dyDescent="0.3">
      <c r="A345" s="100">
        <v>3976</v>
      </c>
      <c r="B345" s="24" t="s">
        <v>3822</v>
      </c>
      <c r="C345" s="24" t="s">
        <v>13864</v>
      </c>
      <c r="D345" s="25" t="s">
        <v>13862</v>
      </c>
      <c r="E345" s="29"/>
      <c r="F345" s="101" t="s">
        <v>15648</v>
      </c>
      <c r="G345" s="102" t="s">
        <v>15538</v>
      </c>
      <c r="H345" s="103" t="s">
        <v>15282</v>
      </c>
      <c r="I345" s="29"/>
      <c r="J345" s="29"/>
      <c r="K345" s="29"/>
      <c r="L345" s="29"/>
      <c r="M345" s="29"/>
      <c r="N345" s="29"/>
      <c r="O345" s="29"/>
      <c r="P345" s="29"/>
    </row>
    <row r="346" spans="1:16" ht="112.5" hidden="1" customHeight="1" x14ac:dyDescent="0.3">
      <c r="A346" s="104">
        <v>3977</v>
      </c>
      <c r="B346" s="28" t="s">
        <v>3822</v>
      </c>
      <c r="C346" s="28" t="s">
        <v>13720</v>
      </c>
      <c r="D346" s="27" t="s">
        <v>13721</v>
      </c>
      <c r="E346" s="29"/>
      <c r="F346" s="105" t="s">
        <v>15538</v>
      </c>
      <c r="G346" s="98" t="s">
        <v>15538</v>
      </c>
      <c r="H346" s="99" t="s">
        <v>15285</v>
      </c>
      <c r="I346" s="29"/>
      <c r="J346" s="29"/>
      <c r="K346" s="29"/>
      <c r="L346" s="29"/>
      <c r="M346" s="29"/>
      <c r="N346" s="29"/>
      <c r="O346" s="29"/>
      <c r="P346" s="29"/>
    </row>
    <row r="347" spans="1:16" ht="112.5" hidden="1" customHeight="1" x14ac:dyDescent="0.3">
      <c r="A347" s="100">
        <v>3980</v>
      </c>
      <c r="B347" s="24" t="s">
        <v>3822</v>
      </c>
      <c r="C347" s="24" t="s">
        <v>13333</v>
      </c>
      <c r="D347" s="25" t="s">
        <v>13334</v>
      </c>
      <c r="E347" s="29"/>
      <c r="F347" s="101" t="s">
        <v>15599</v>
      </c>
      <c r="G347" s="102" t="s">
        <v>15538</v>
      </c>
      <c r="H347" s="103" t="s">
        <v>15294</v>
      </c>
      <c r="I347" s="29"/>
      <c r="J347" s="29"/>
      <c r="K347" s="29"/>
      <c r="L347" s="29"/>
      <c r="M347" s="29"/>
      <c r="N347" s="29"/>
      <c r="O347" s="29"/>
      <c r="P347" s="29"/>
    </row>
    <row r="348" spans="1:16" ht="112.5" hidden="1" customHeight="1" x14ac:dyDescent="0.3">
      <c r="A348" s="104">
        <v>3997</v>
      </c>
      <c r="B348" s="28" t="s">
        <v>3822</v>
      </c>
      <c r="C348" s="28" t="s">
        <v>13659</v>
      </c>
      <c r="D348" s="27" t="s">
        <v>13660</v>
      </c>
      <c r="E348" s="29"/>
      <c r="F348" s="105" t="s">
        <v>15818</v>
      </c>
      <c r="G348" s="98" t="s">
        <v>15538</v>
      </c>
      <c r="H348" s="99" t="s">
        <v>15344</v>
      </c>
      <c r="I348" s="29"/>
      <c r="J348" s="29"/>
      <c r="K348" s="29"/>
      <c r="L348" s="29"/>
      <c r="M348" s="29"/>
      <c r="N348" s="29"/>
      <c r="O348" s="29"/>
      <c r="P348" s="29"/>
    </row>
    <row r="349" spans="1:16" ht="112.5" customHeight="1" x14ac:dyDescent="0.2">
      <c r="A349" s="75">
        <v>152</v>
      </c>
      <c r="B349" s="94" t="s">
        <v>3822</v>
      </c>
      <c r="C349" s="94" t="s">
        <v>13640</v>
      </c>
      <c r="D349" s="95" t="s">
        <v>13641</v>
      </c>
      <c r="E349" s="96"/>
      <c r="F349" s="97" t="s">
        <v>15632</v>
      </c>
      <c r="G349" s="98" t="s">
        <v>15702</v>
      </c>
      <c r="H349" s="99" t="s">
        <v>15362</v>
      </c>
      <c r="I349" s="29"/>
      <c r="J349" s="29"/>
      <c r="K349" s="29"/>
      <c r="L349" s="29"/>
      <c r="M349" s="29"/>
      <c r="N349" s="29"/>
      <c r="O349" s="29"/>
      <c r="P349" s="29"/>
    </row>
    <row r="350" spans="1:16" ht="112.5" customHeight="1" x14ac:dyDescent="0.2">
      <c r="A350" s="75">
        <v>153</v>
      </c>
      <c r="B350" s="94" t="s">
        <v>3822</v>
      </c>
      <c r="C350" s="94" t="s">
        <v>12537</v>
      </c>
      <c r="D350" s="95" t="s">
        <v>12538</v>
      </c>
      <c r="E350" s="96"/>
      <c r="F350" s="97" t="s">
        <v>15718</v>
      </c>
      <c r="G350" s="102" t="s">
        <v>15819</v>
      </c>
      <c r="H350" s="103" t="s">
        <v>15371</v>
      </c>
      <c r="I350" s="29"/>
      <c r="J350" s="29"/>
      <c r="K350" s="29"/>
      <c r="L350" s="29"/>
      <c r="M350" s="29"/>
      <c r="N350" s="29"/>
      <c r="O350" s="29"/>
      <c r="P350" s="29"/>
    </row>
    <row r="351" spans="1:16" ht="112.5" hidden="1" customHeight="1" x14ac:dyDescent="0.3">
      <c r="A351" s="104">
        <v>4011</v>
      </c>
      <c r="B351" s="28" t="s">
        <v>3822</v>
      </c>
      <c r="C351" s="28" t="s">
        <v>13608</v>
      </c>
      <c r="D351" s="27" t="s">
        <v>13609</v>
      </c>
      <c r="E351" s="29"/>
      <c r="F351" s="105" t="s">
        <v>15538</v>
      </c>
      <c r="G351" s="98" t="s">
        <v>15538</v>
      </c>
      <c r="H351" s="109"/>
      <c r="I351" s="29"/>
      <c r="J351" s="29"/>
      <c r="K351" s="29"/>
      <c r="L351" s="29"/>
      <c r="M351" s="29"/>
      <c r="N351" s="29"/>
      <c r="O351" s="29"/>
      <c r="P351" s="29"/>
    </row>
    <row r="352" spans="1:16" ht="112.5" hidden="1" customHeight="1" x14ac:dyDescent="0.3">
      <c r="A352" s="100">
        <v>4012</v>
      </c>
      <c r="B352" s="24" t="s">
        <v>3822</v>
      </c>
      <c r="C352" s="24" t="s">
        <v>12833</v>
      </c>
      <c r="D352" s="25" t="s">
        <v>12834</v>
      </c>
      <c r="E352" s="29"/>
      <c r="F352" s="101" t="s">
        <v>15820</v>
      </c>
      <c r="G352" s="102" t="s">
        <v>15538</v>
      </c>
      <c r="H352" s="103" t="s">
        <v>15388</v>
      </c>
      <c r="I352" s="29"/>
      <c r="J352" s="29"/>
      <c r="K352" s="29"/>
      <c r="L352" s="29"/>
      <c r="M352" s="29"/>
      <c r="N352" s="29"/>
      <c r="O352" s="29"/>
      <c r="P352" s="29"/>
    </row>
    <row r="353" spans="1:16" ht="112.5" hidden="1" customHeight="1" x14ac:dyDescent="0.3">
      <c r="A353" s="100">
        <v>4014</v>
      </c>
      <c r="B353" s="24" t="s">
        <v>3822</v>
      </c>
      <c r="C353" s="24" t="s">
        <v>13049</v>
      </c>
      <c r="D353" s="25" t="s">
        <v>13050</v>
      </c>
      <c r="E353" s="29"/>
      <c r="F353" s="101" t="s">
        <v>15635</v>
      </c>
      <c r="G353" s="102" t="s">
        <v>15538</v>
      </c>
      <c r="H353" s="103" t="s">
        <v>15394</v>
      </c>
      <c r="I353" s="29"/>
      <c r="J353" s="29"/>
      <c r="K353" s="29"/>
      <c r="L353" s="29"/>
      <c r="M353" s="29"/>
      <c r="N353" s="29"/>
      <c r="O353" s="29"/>
      <c r="P353" s="29"/>
    </row>
    <row r="354" spans="1:16" ht="112.5" customHeight="1" x14ac:dyDescent="0.2">
      <c r="A354" s="75">
        <v>154</v>
      </c>
      <c r="B354" s="94" t="s">
        <v>3822</v>
      </c>
      <c r="C354" s="94" t="s">
        <v>13590</v>
      </c>
      <c r="D354" s="95" t="s">
        <v>13591</v>
      </c>
      <c r="E354" s="96"/>
      <c r="F354" s="97" t="s">
        <v>15693</v>
      </c>
      <c r="G354" s="102" t="s">
        <v>15821</v>
      </c>
      <c r="H354" s="103" t="s">
        <v>15400</v>
      </c>
      <c r="I354" s="29"/>
      <c r="J354" s="29"/>
      <c r="K354" s="29"/>
      <c r="L354" s="29"/>
      <c r="M354" s="29"/>
      <c r="N354" s="29"/>
      <c r="O354" s="29"/>
      <c r="P354" s="29"/>
    </row>
    <row r="355" spans="1:16" ht="112.5" customHeight="1" x14ac:dyDescent="0.2">
      <c r="A355" s="75">
        <v>155</v>
      </c>
      <c r="B355" s="94" t="s">
        <v>3822</v>
      </c>
      <c r="C355" s="94" t="s">
        <v>13593</v>
      </c>
      <c r="D355" s="95" t="s">
        <v>13594</v>
      </c>
      <c r="E355" s="96"/>
      <c r="F355" s="97" t="s">
        <v>15822</v>
      </c>
      <c r="G355" s="98" t="s">
        <v>15823</v>
      </c>
      <c r="H355" s="99" t="s">
        <v>15403</v>
      </c>
      <c r="I355" s="29"/>
      <c r="J355" s="29"/>
      <c r="K355" s="29"/>
      <c r="L355" s="29"/>
      <c r="M355" s="29"/>
      <c r="N355" s="29"/>
      <c r="O355" s="29"/>
      <c r="P355" s="29"/>
    </row>
    <row r="356" spans="1:16" ht="112.5" customHeight="1" x14ac:dyDescent="0.2">
      <c r="A356" s="75">
        <v>156</v>
      </c>
      <c r="B356" s="94" t="s">
        <v>3822</v>
      </c>
      <c r="C356" s="94" t="s">
        <v>13587</v>
      </c>
      <c r="D356" s="95" t="s">
        <v>13588</v>
      </c>
      <c r="E356" s="96"/>
      <c r="F356" s="97" t="s">
        <v>15546</v>
      </c>
      <c r="G356" s="102" t="s">
        <v>15824</v>
      </c>
      <c r="H356" s="103" t="s">
        <v>15406</v>
      </c>
      <c r="I356" s="29"/>
      <c r="J356" s="29"/>
      <c r="K356" s="29"/>
      <c r="L356" s="29"/>
      <c r="M356" s="29"/>
      <c r="N356" s="29"/>
      <c r="O356" s="29"/>
      <c r="P356" s="29"/>
    </row>
    <row r="357" spans="1:16" ht="112.5" hidden="1" customHeight="1" x14ac:dyDescent="0.3">
      <c r="A357" s="104">
        <v>4019</v>
      </c>
      <c r="B357" s="28" t="s">
        <v>3822</v>
      </c>
      <c r="C357" s="28" t="s">
        <v>13584</v>
      </c>
      <c r="D357" s="27" t="s">
        <v>13585</v>
      </c>
      <c r="E357" s="29"/>
      <c r="F357" s="105" t="s">
        <v>15677</v>
      </c>
      <c r="G357" s="98" t="s">
        <v>15538</v>
      </c>
      <c r="H357" s="99" t="s">
        <v>15409</v>
      </c>
      <c r="I357" s="29"/>
      <c r="J357" s="29"/>
      <c r="K357" s="29"/>
      <c r="L357" s="29"/>
      <c r="M357" s="29"/>
      <c r="N357" s="29"/>
      <c r="O357" s="29"/>
      <c r="P357" s="29"/>
    </row>
    <row r="358" spans="1:16" ht="112.5" hidden="1" customHeight="1" x14ac:dyDescent="0.3">
      <c r="A358" s="100">
        <v>4020</v>
      </c>
      <c r="B358" s="24" t="s">
        <v>3822</v>
      </c>
      <c r="C358" s="24" t="s">
        <v>13581</v>
      </c>
      <c r="D358" s="25" t="s">
        <v>13582</v>
      </c>
      <c r="E358" s="29"/>
      <c r="F358" s="101" t="s">
        <v>15825</v>
      </c>
      <c r="G358" s="102" t="s">
        <v>15538</v>
      </c>
      <c r="H358" s="103" t="s">
        <v>15412</v>
      </c>
      <c r="I358" s="29"/>
      <c r="J358" s="29"/>
      <c r="K358" s="29"/>
      <c r="L358" s="29"/>
      <c r="M358" s="29"/>
      <c r="N358" s="29"/>
      <c r="O358" s="29"/>
      <c r="P358" s="29"/>
    </row>
    <row r="359" spans="1:16" ht="112.5" customHeight="1" x14ac:dyDescent="0.2">
      <c r="A359" s="75">
        <v>157</v>
      </c>
      <c r="B359" s="94" t="s">
        <v>3822</v>
      </c>
      <c r="C359" s="94" t="s">
        <v>13578</v>
      </c>
      <c r="D359" s="95" t="s">
        <v>13579</v>
      </c>
      <c r="E359" s="96"/>
      <c r="F359" s="97" t="s">
        <v>15556</v>
      </c>
      <c r="G359" s="98" t="s">
        <v>15826</v>
      </c>
      <c r="H359" s="99" t="s">
        <v>15415</v>
      </c>
      <c r="I359" s="29"/>
      <c r="J359" s="29"/>
      <c r="K359" s="29"/>
      <c r="L359" s="29"/>
      <c r="M359" s="29"/>
      <c r="N359" s="29"/>
      <c r="O359" s="29"/>
      <c r="P359" s="29"/>
    </row>
    <row r="360" spans="1:16" ht="112.5" customHeight="1" x14ac:dyDescent="0.2">
      <c r="A360" s="75">
        <v>158</v>
      </c>
      <c r="B360" s="94" t="s">
        <v>3822</v>
      </c>
      <c r="C360" s="94" t="s">
        <v>12658</v>
      </c>
      <c r="D360" s="95" t="s">
        <v>12659</v>
      </c>
      <c r="E360" s="96"/>
      <c r="F360" s="97" t="s">
        <v>15827</v>
      </c>
      <c r="G360" s="102" t="s">
        <v>15828</v>
      </c>
      <c r="H360" s="103" t="s">
        <v>15460</v>
      </c>
      <c r="I360" s="29"/>
      <c r="J360" s="29"/>
      <c r="K360" s="29"/>
      <c r="L360" s="29"/>
      <c r="M360" s="29"/>
      <c r="N360" s="29"/>
      <c r="O360" s="29"/>
      <c r="P360" s="29"/>
    </row>
    <row r="361" spans="1:16" ht="112.5" customHeight="1" x14ac:dyDescent="0.2">
      <c r="A361" s="75">
        <v>159</v>
      </c>
      <c r="B361" s="94" t="s">
        <v>3822</v>
      </c>
      <c r="C361" s="94" t="s">
        <v>12562</v>
      </c>
      <c r="D361" s="95" t="s">
        <v>12563</v>
      </c>
      <c r="E361" s="96"/>
      <c r="F361" s="97" t="s">
        <v>15726</v>
      </c>
      <c r="G361" s="98" t="s">
        <v>15829</v>
      </c>
      <c r="H361" s="99" t="s">
        <v>15463</v>
      </c>
      <c r="I361" s="29"/>
      <c r="J361" s="29"/>
      <c r="K361" s="29"/>
      <c r="L361" s="29"/>
      <c r="M361" s="29"/>
      <c r="N361" s="29"/>
      <c r="O361" s="29"/>
      <c r="P361" s="29"/>
    </row>
    <row r="362" spans="1:16" ht="112.5" customHeight="1" x14ac:dyDescent="0.2">
      <c r="A362" s="75">
        <v>160</v>
      </c>
      <c r="B362" s="94" t="s">
        <v>3822</v>
      </c>
      <c r="C362" s="94" t="s">
        <v>12649</v>
      </c>
      <c r="D362" s="95" t="s">
        <v>12650</v>
      </c>
      <c r="E362" s="96"/>
      <c r="F362" s="97" t="s">
        <v>15790</v>
      </c>
      <c r="G362" s="102" t="s">
        <v>15830</v>
      </c>
      <c r="H362" s="103" t="s">
        <v>15466</v>
      </c>
      <c r="I362" s="29"/>
      <c r="J362" s="29"/>
      <c r="K362" s="29"/>
      <c r="L362" s="29"/>
      <c r="M362" s="29"/>
      <c r="N362" s="29"/>
      <c r="O362" s="29"/>
      <c r="P362" s="29"/>
    </row>
    <row r="363" spans="1:16" ht="112.5" hidden="1" customHeight="1" x14ac:dyDescent="0.3">
      <c r="A363" s="104">
        <v>4039</v>
      </c>
      <c r="B363" s="28" t="s">
        <v>3822</v>
      </c>
      <c r="C363" s="28" t="s">
        <v>13522</v>
      </c>
      <c r="D363" s="27" t="s">
        <v>13523</v>
      </c>
      <c r="E363" s="29"/>
      <c r="F363" s="105" t="s">
        <v>15678</v>
      </c>
      <c r="G363" s="98" t="s">
        <v>15538</v>
      </c>
      <c r="H363" s="99" t="s">
        <v>15469</v>
      </c>
      <c r="I363" s="29"/>
      <c r="J363" s="29"/>
      <c r="K363" s="29"/>
      <c r="L363" s="29"/>
      <c r="M363" s="29"/>
      <c r="N363" s="29"/>
      <c r="O363" s="29"/>
      <c r="P363" s="29"/>
    </row>
    <row r="364" spans="1:16" ht="112.5" hidden="1" customHeight="1" x14ac:dyDescent="0.3">
      <c r="A364" s="104">
        <v>4051</v>
      </c>
      <c r="B364" s="28" t="s">
        <v>3822</v>
      </c>
      <c r="C364" s="28" t="s">
        <v>12640</v>
      </c>
      <c r="D364" s="27" t="s">
        <v>12641</v>
      </c>
      <c r="E364" s="29"/>
      <c r="F364" s="105" t="s">
        <v>15539</v>
      </c>
      <c r="G364" s="98" t="s">
        <v>15538</v>
      </c>
      <c r="H364" s="99" t="s">
        <v>15505</v>
      </c>
      <c r="I364" s="29"/>
      <c r="J364" s="29"/>
      <c r="K364" s="29"/>
      <c r="L364" s="29"/>
      <c r="M364" s="29"/>
      <c r="N364" s="29"/>
      <c r="O364" s="29"/>
      <c r="P364" s="29"/>
    </row>
    <row r="365" spans="1:16" ht="112.5" customHeight="1" x14ac:dyDescent="0.2">
      <c r="A365" s="75">
        <v>161</v>
      </c>
      <c r="B365" s="94" t="s">
        <v>3822</v>
      </c>
      <c r="C365" s="94" t="s">
        <v>13481</v>
      </c>
      <c r="D365" s="95" t="s">
        <v>13482</v>
      </c>
      <c r="E365" s="96"/>
      <c r="F365" s="97" t="s">
        <v>15831</v>
      </c>
      <c r="G365" s="102" t="s">
        <v>15832</v>
      </c>
      <c r="H365" s="103" t="s">
        <v>15508</v>
      </c>
      <c r="I365" s="29"/>
      <c r="J365" s="29"/>
      <c r="K365" s="29"/>
      <c r="L365" s="29"/>
      <c r="M365" s="29"/>
      <c r="N365" s="29"/>
      <c r="O365" s="29"/>
      <c r="P365" s="29"/>
    </row>
    <row r="366" spans="1:16" ht="112.5" hidden="1" customHeight="1" x14ac:dyDescent="0.3">
      <c r="A366" s="104">
        <v>4053</v>
      </c>
      <c r="B366" s="28" t="s">
        <v>3822</v>
      </c>
      <c r="C366" s="28" t="s">
        <v>13498</v>
      </c>
      <c r="D366" s="27" t="s">
        <v>13499</v>
      </c>
      <c r="E366" s="29"/>
      <c r="F366" s="105" t="s">
        <v>15546</v>
      </c>
      <c r="G366" s="98" t="s">
        <v>15538</v>
      </c>
      <c r="H366" s="99" t="s">
        <v>15511</v>
      </c>
      <c r="I366" s="29"/>
      <c r="J366" s="29"/>
      <c r="K366" s="29"/>
      <c r="L366" s="29"/>
      <c r="M366" s="29"/>
      <c r="N366" s="29"/>
      <c r="O366" s="29"/>
      <c r="P366" s="29"/>
    </row>
    <row r="367" spans="1:16" ht="112.5" customHeight="1" x14ac:dyDescent="0.2">
      <c r="A367" s="75">
        <v>162</v>
      </c>
      <c r="B367" s="94" t="s">
        <v>3822</v>
      </c>
      <c r="C367" s="94" t="s">
        <v>13492</v>
      </c>
      <c r="D367" s="95" t="s">
        <v>13493</v>
      </c>
      <c r="E367" s="96"/>
      <c r="F367" s="97" t="s">
        <v>15545</v>
      </c>
      <c r="G367" s="102" t="s">
        <v>15833</v>
      </c>
      <c r="H367" s="103" t="s">
        <v>15514</v>
      </c>
      <c r="I367" s="29"/>
      <c r="J367" s="29"/>
      <c r="K367" s="29"/>
      <c r="L367" s="29"/>
      <c r="M367" s="29"/>
      <c r="N367" s="29"/>
      <c r="O367" s="29"/>
      <c r="P367" s="29"/>
    </row>
    <row r="368" spans="1:16" ht="112.5" hidden="1" customHeight="1" x14ac:dyDescent="0.3">
      <c r="A368" s="104">
        <v>4055</v>
      </c>
      <c r="B368" s="28" t="s">
        <v>3822</v>
      </c>
      <c r="C368" s="28" t="s">
        <v>13489</v>
      </c>
      <c r="D368" s="27" t="s">
        <v>13490</v>
      </c>
      <c r="E368" s="29"/>
      <c r="F368" s="105" t="s">
        <v>15717</v>
      </c>
      <c r="G368" s="98" t="s">
        <v>15538</v>
      </c>
      <c r="H368" s="99" t="s">
        <v>15517</v>
      </c>
      <c r="I368" s="29"/>
      <c r="J368" s="29"/>
      <c r="K368" s="29"/>
      <c r="L368" s="29"/>
      <c r="M368" s="29"/>
      <c r="N368" s="29"/>
      <c r="O368" s="29"/>
      <c r="P368" s="29"/>
    </row>
    <row r="369" spans="1:16" ht="112.5" customHeight="1" x14ac:dyDescent="0.2">
      <c r="A369" s="75">
        <v>163</v>
      </c>
      <c r="B369" s="94" t="s">
        <v>3822</v>
      </c>
      <c r="C369" s="94" t="s">
        <v>13487</v>
      </c>
      <c r="D369" s="95" t="s">
        <v>13488</v>
      </c>
      <c r="E369" s="96"/>
      <c r="F369" s="97" t="s">
        <v>15549</v>
      </c>
      <c r="G369" s="102" t="s">
        <v>15572</v>
      </c>
      <c r="H369" s="103" t="s">
        <v>15520</v>
      </c>
      <c r="I369" s="29"/>
      <c r="J369" s="29"/>
      <c r="K369" s="29"/>
      <c r="L369" s="29"/>
      <c r="M369" s="29"/>
      <c r="N369" s="29"/>
      <c r="O369" s="29"/>
      <c r="P369" s="29"/>
    </row>
    <row r="370" spans="1:16" ht="112.5" customHeight="1" x14ac:dyDescent="0.2">
      <c r="A370" s="75">
        <v>164</v>
      </c>
      <c r="B370" s="94" t="s">
        <v>3822</v>
      </c>
      <c r="C370" s="94" t="s">
        <v>12723</v>
      </c>
      <c r="D370" s="95" t="s">
        <v>12724</v>
      </c>
      <c r="E370" s="96"/>
      <c r="F370" s="97" t="s">
        <v>15757</v>
      </c>
      <c r="G370" s="98" t="s">
        <v>15834</v>
      </c>
      <c r="H370" s="99" t="s">
        <v>15523</v>
      </c>
      <c r="I370" s="29"/>
      <c r="J370" s="29"/>
      <c r="K370" s="29"/>
      <c r="L370" s="29"/>
      <c r="M370" s="29"/>
      <c r="N370" s="29"/>
      <c r="O370" s="29"/>
      <c r="P370" s="29"/>
    </row>
    <row r="371" spans="1:16" ht="112.5" customHeight="1" x14ac:dyDescent="0.2">
      <c r="A371" s="75">
        <v>165</v>
      </c>
      <c r="B371" s="94" t="s">
        <v>3822</v>
      </c>
      <c r="C371" s="94" t="s">
        <v>12685</v>
      </c>
      <c r="D371" s="95" t="s">
        <v>12686</v>
      </c>
      <c r="E371" s="96"/>
      <c r="F371" s="97" t="s">
        <v>15549</v>
      </c>
      <c r="G371" s="102" t="s">
        <v>15835</v>
      </c>
      <c r="H371" s="103" t="s">
        <v>15526</v>
      </c>
      <c r="I371" s="29"/>
      <c r="J371" s="29"/>
      <c r="K371" s="29"/>
      <c r="L371" s="29"/>
      <c r="M371" s="29"/>
      <c r="N371" s="29"/>
      <c r="O371" s="29"/>
      <c r="P371" s="29"/>
    </row>
    <row r="372" spans="1:16" ht="112.5" customHeight="1" x14ac:dyDescent="0.2">
      <c r="A372" s="75">
        <v>166</v>
      </c>
      <c r="B372" s="94" t="s">
        <v>3549</v>
      </c>
      <c r="C372" s="94" t="s">
        <v>14985</v>
      </c>
      <c r="D372" s="95" t="s">
        <v>14986</v>
      </c>
      <c r="E372" s="96"/>
      <c r="F372" s="97" t="s">
        <v>15836</v>
      </c>
      <c r="G372" s="98" t="s">
        <v>15837</v>
      </c>
      <c r="H372" s="99" t="s">
        <v>3605</v>
      </c>
      <c r="I372" s="29"/>
      <c r="J372" s="29"/>
      <c r="K372" s="29"/>
      <c r="L372" s="29"/>
      <c r="M372" s="29"/>
      <c r="N372" s="29"/>
      <c r="O372" s="29"/>
      <c r="P372" s="29"/>
    </row>
    <row r="373" spans="1:16" ht="112.5" customHeight="1" x14ac:dyDescent="0.2">
      <c r="A373" s="75">
        <v>167</v>
      </c>
      <c r="B373" s="94" t="s">
        <v>3549</v>
      </c>
      <c r="C373" s="94" t="s">
        <v>15286</v>
      </c>
      <c r="D373" s="95" t="s">
        <v>15287</v>
      </c>
      <c r="E373" s="96"/>
      <c r="F373" s="97" t="s">
        <v>15634</v>
      </c>
      <c r="G373" s="102" t="s">
        <v>15838</v>
      </c>
      <c r="H373" s="103" t="s">
        <v>4000</v>
      </c>
      <c r="I373" s="29"/>
      <c r="J373" s="29"/>
      <c r="K373" s="29"/>
      <c r="L373" s="29"/>
      <c r="M373" s="29"/>
      <c r="N373" s="29"/>
      <c r="O373" s="29"/>
      <c r="P373" s="29"/>
    </row>
    <row r="374" spans="1:16" ht="112.5" customHeight="1" x14ac:dyDescent="0.2">
      <c r="A374" s="75">
        <v>168</v>
      </c>
      <c r="B374" s="94" t="s">
        <v>3549</v>
      </c>
      <c r="C374" s="94" t="s">
        <v>14462</v>
      </c>
      <c r="D374" s="95" t="s">
        <v>14463</v>
      </c>
      <c r="E374" s="96"/>
      <c r="F374" s="97" t="s">
        <v>15637</v>
      </c>
      <c r="G374" s="98" t="s">
        <v>15839</v>
      </c>
      <c r="H374" s="99" t="s">
        <v>4015</v>
      </c>
      <c r="I374" s="29"/>
      <c r="J374" s="29"/>
      <c r="K374" s="29"/>
      <c r="L374" s="29"/>
      <c r="M374" s="29"/>
      <c r="N374" s="29"/>
      <c r="O374" s="29"/>
      <c r="P374" s="29"/>
    </row>
    <row r="375" spans="1:16" ht="112.5" customHeight="1" x14ac:dyDescent="0.2">
      <c r="A375" s="75">
        <v>169</v>
      </c>
      <c r="B375" s="94" t="s">
        <v>3549</v>
      </c>
      <c r="C375" s="94" t="s">
        <v>15512</v>
      </c>
      <c r="D375" s="95" t="s">
        <v>15513</v>
      </c>
      <c r="E375" s="96"/>
      <c r="F375" s="97" t="s">
        <v>15840</v>
      </c>
      <c r="G375" s="102" t="s">
        <v>15841</v>
      </c>
      <c r="H375" s="103" t="s">
        <v>4282</v>
      </c>
      <c r="I375" s="29"/>
      <c r="J375" s="29"/>
      <c r="K375" s="29"/>
      <c r="L375" s="29"/>
      <c r="M375" s="29"/>
      <c r="N375" s="29"/>
      <c r="O375" s="29"/>
      <c r="P375" s="29"/>
    </row>
    <row r="376" spans="1:16" ht="112.5" customHeight="1" x14ac:dyDescent="0.2">
      <c r="A376" s="75">
        <v>170</v>
      </c>
      <c r="B376" s="94" t="s">
        <v>3549</v>
      </c>
      <c r="C376" s="94" t="s">
        <v>13461</v>
      </c>
      <c r="D376" s="95" t="s">
        <v>13462</v>
      </c>
      <c r="E376" s="96"/>
      <c r="F376" s="97" t="s">
        <v>15546</v>
      </c>
      <c r="G376" s="98" t="s">
        <v>15727</v>
      </c>
      <c r="H376" s="99" t="s">
        <v>4333</v>
      </c>
      <c r="I376" s="29"/>
      <c r="J376" s="29"/>
      <c r="K376" s="29"/>
      <c r="L376" s="29"/>
      <c r="M376" s="29"/>
      <c r="N376" s="29"/>
      <c r="O376" s="29"/>
      <c r="P376" s="29"/>
    </row>
    <row r="377" spans="1:16" ht="112.5" hidden="1" customHeight="1" x14ac:dyDescent="0.3">
      <c r="A377" s="104">
        <v>379</v>
      </c>
      <c r="B377" s="28" t="s">
        <v>3549</v>
      </c>
      <c r="C377" s="28" t="s">
        <v>14150</v>
      </c>
      <c r="D377" s="27" t="s">
        <v>14151</v>
      </c>
      <c r="E377" s="29"/>
      <c r="F377" s="105" t="s">
        <v>15842</v>
      </c>
      <c r="G377" s="98" t="s">
        <v>15538</v>
      </c>
      <c r="H377" s="99" t="s">
        <v>4646</v>
      </c>
      <c r="I377" s="29"/>
      <c r="J377" s="29"/>
      <c r="K377" s="29"/>
      <c r="L377" s="29"/>
      <c r="M377" s="29"/>
      <c r="N377" s="29"/>
      <c r="O377" s="29"/>
      <c r="P377" s="29"/>
    </row>
    <row r="378" spans="1:16" ht="112.5" hidden="1" customHeight="1" x14ac:dyDescent="0.3">
      <c r="A378" s="100">
        <v>380</v>
      </c>
      <c r="B378" s="24" t="s">
        <v>3549</v>
      </c>
      <c r="C378" s="24" t="s">
        <v>14153</v>
      </c>
      <c r="D378" s="25" t="s">
        <v>14154</v>
      </c>
      <c r="E378" s="29"/>
      <c r="F378" s="101" t="s">
        <v>15843</v>
      </c>
      <c r="G378" s="102" t="s">
        <v>15538</v>
      </c>
      <c r="H378" s="103" t="s">
        <v>4649</v>
      </c>
      <c r="I378" s="29"/>
      <c r="J378" s="29"/>
      <c r="K378" s="29"/>
      <c r="L378" s="29"/>
      <c r="M378" s="29"/>
      <c r="N378" s="29"/>
      <c r="O378" s="29"/>
      <c r="P378" s="29"/>
    </row>
    <row r="379" spans="1:16" ht="112.5" hidden="1" customHeight="1" x14ac:dyDescent="0.3">
      <c r="A379" s="104">
        <v>381</v>
      </c>
      <c r="B379" s="28" t="s">
        <v>3549</v>
      </c>
      <c r="C379" s="28" t="s">
        <v>14137</v>
      </c>
      <c r="D379" s="27" t="s">
        <v>14138</v>
      </c>
      <c r="E379" s="29"/>
      <c r="F379" s="105" t="s">
        <v>15844</v>
      </c>
      <c r="G379" s="98" t="s">
        <v>15538</v>
      </c>
      <c r="H379" s="99" t="s">
        <v>4652</v>
      </c>
      <c r="I379" s="29"/>
      <c r="J379" s="29"/>
      <c r="K379" s="29"/>
      <c r="L379" s="29"/>
      <c r="M379" s="29"/>
      <c r="N379" s="29"/>
      <c r="O379" s="29"/>
      <c r="P379" s="29"/>
    </row>
    <row r="380" spans="1:16" ht="112.5" hidden="1" customHeight="1" x14ac:dyDescent="0.3">
      <c r="A380" s="104">
        <v>383</v>
      </c>
      <c r="B380" s="28" t="s">
        <v>3549</v>
      </c>
      <c r="C380" s="28" t="s">
        <v>14145</v>
      </c>
      <c r="D380" s="27" t="s">
        <v>14146</v>
      </c>
      <c r="E380" s="29"/>
      <c r="F380" s="105" t="s">
        <v>15845</v>
      </c>
      <c r="G380" s="98" t="s">
        <v>15538</v>
      </c>
      <c r="H380" s="99" t="s">
        <v>4658</v>
      </c>
      <c r="I380" s="29"/>
      <c r="J380" s="29"/>
      <c r="K380" s="29"/>
      <c r="L380" s="29"/>
      <c r="M380" s="29"/>
      <c r="N380" s="29"/>
      <c r="O380" s="29"/>
      <c r="P380" s="29"/>
    </row>
    <row r="381" spans="1:16" ht="112.5" hidden="1" customHeight="1" x14ac:dyDescent="0.3">
      <c r="A381" s="100">
        <v>384</v>
      </c>
      <c r="B381" s="24" t="s">
        <v>3549</v>
      </c>
      <c r="C381" s="24" t="s">
        <v>14147</v>
      </c>
      <c r="D381" s="25" t="s">
        <v>14148</v>
      </c>
      <c r="E381" s="29"/>
      <c r="F381" s="101" t="s">
        <v>15846</v>
      </c>
      <c r="G381" s="102" t="s">
        <v>15538</v>
      </c>
      <c r="H381" s="103" t="s">
        <v>4661</v>
      </c>
      <c r="I381" s="29"/>
      <c r="J381" s="29"/>
      <c r="K381" s="29"/>
      <c r="L381" s="29"/>
      <c r="M381" s="29"/>
      <c r="N381" s="29"/>
      <c r="O381" s="29"/>
      <c r="P381" s="29"/>
    </row>
    <row r="382" spans="1:16" ht="112.5" hidden="1" customHeight="1" x14ac:dyDescent="0.3">
      <c r="A382" s="100">
        <v>386</v>
      </c>
      <c r="B382" s="24" t="s">
        <v>3549</v>
      </c>
      <c r="C382" s="24" t="s">
        <v>14142</v>
      </c>
      <c r="D382" s="25" t="s">
        <v>14143</v>
      </c>
      <c r="E382" s="29"/>
      <c r="F382" s="101" t="s">
        <v>15842</v>
      </c>
      <c r="G382" s="102" t="s">
        <v>15538</v>
      </c>
      <c r="H382" s="103" t="s">
        <v>4667</v>
      </c>
      <c r="I382" s="29"/>
      <c r="J382" s="29"/>
      <c r="K382" s="29"/>
      <c r="L382" s="29"/>
      <c r="M382" s="29"/>
      <c r="N382" s="29"/>
      <c r="O382" s="29"/>
      <c r="P382" s="29"/>
    </row>
    <row r="383" spans="1:16" ht="112.5" hidden="1" customHeight="1" x14ac:dyDescent="0.3">
      <c r="A383" s="100">
        <v>434</v>
      </c>
      <c r="B383" s="24" t="s">
        <v>3549</v>
      </c>
      <c r="C383" s="24" t="s">
        <v>14139</v>
      </c>
      <c r="D383" s="25" t="s">
        <v>14140</v>
      </c>
      <c r="E383" s="29"/>
      <c r="F383" s="101" t="s">
        <v>15614</v>
      </c>
      <c r="G383" s="102" t="s">
        <v>15538</v>
      </c>
      <c r="H383" s="103" t="s">
        <v>4809</v>
      </c>
      <c r="I383" s="29"/>
      <c r="J383" s="29"/>
      <c r="K383" s="29"/>
      <c r="L383" s="29"/>
      <c r="M383" s="29"/>
      <c r="N383" s="29"/>
      <c r="O383" s="29"/>
      <c r="P383" s="29"/>
    </row>
    <row r="384" spans="1:16" ht="112.5" hidden="1" customHeight="1" x14ac:dyDescent="0.3">
      <c r="A384" s="104">
        <v>443</v>
      </c>
      <c r="B384" s="28" t="s">
        <v>3549</v>
      </c>
      <c r="C384" s="28" t="s">
        <v>14949</v>
      </c>
      <c r="D384" s="27" t="s">
        <v>14950</v>
      </c>
      <c r="E384" s="29"/>
      <c r="F384" s="105" t="s">
        <v>15843</v>
      </c>
      <c r="G384" s="98" t="s">
        <v>15538</v>
      </c>
      <c r="H384" s="99" t="s">
        <v>4649</v>
      </c>
      <c r="I384" s="29"/>
      <c r="J384" s="29"/>
      <c r="K384" s="29"/>
      <c r="L384" s="29"/>
      <c r="M384" s="29"/>
      <c r="N384" s="29"/>
      <c r="O384" s="29"/>
      <c r="P384" s="29"/>
    </row>
    <row r="385" spans="1:16" ht="112.5" hidden="1" customHeight="1" x14ac:dyDescent="0.3">
      <c r="A385" s="100">
        <v>450</v>
      </c>
      <c r="B385" s="24" t="s">
        <v>3549</v>
      </c>
      <c r="C385" s="24" t="s">
        <v>13238</v>
      </c>
      <c r="D385" s="25" t="s">
        <v>13239</v>
      </c>
      <c r="E385" s="29"/>
      <c r="F385" s="101" t="s">
        <v>15651</v>
      </c>
      <c r="G385" s="102" t="s">
        <v>15538</v>
      </c>
      <c r="H385" s="103" t="s">
        <v>4646</v>
      </c>
      <c r="I385" s="29"/>
      <c r="J385" s="29"/>
      <c r="K385" s="29"/>
      <c r="L385" s="29"/>
      <c r="M385" s="29"/>
      <c r="N385" s="29"/>
      <c r="O385" s="29"/>
      <c r="P385" s="29"/>
    </row>
    <row r="386" spans="1:16" ht="112.5" hidden="1" customHeight="1" x14ac:dyDescent="0.3">
      <c r="A386" s="104">
        <v>451</v>
      </c>
      <c r="B386" s="28" t="s">
        <v>3549</v>
      </c>
      <c r="C386" s="28" t="s">
        <v>13348</v>
      </c>
      <c r="D386" s="27" t="s">
        <v>13349</v>
      </c>
      <c r="E386" s="29"/>
      <c r="F386" s="105" t="s">
        <v>15847</v>
      </c>
      <c r="G386" s="98" t="s">
        <v>15538</v>
      </c>
      <c r="H386" s="99" t="s">
        <v>4858</v>
      </c>
      <c r="I386" s="29"/>
      <c r="J386" s="29"/>
      <c r="K386" s="29"/>
      <c r="L386" s="29"/>
      <c r="M386" s="29"/>
      <c r="N386" s="29"/>
      <c r="O386" s="29"/>
      <c r="P386" s="29"/>
    </row>
    <row r="387" spans="1:16" ht="112.5" hidden="1" customHeight="1" x14ac:dyDescent="0.3">
      <c r="A387" s="100">
        <v>452</v>
      </c>
      <c r="B387" s="24" t="s">
        <v>3549</v>
      </c>
      <c r="C387" s="24" t="s">
        <v>13345</v>
      </c>
      <c r="D387" s="25" t="s">
        <v>13346</v>
      </c>
      <c r="E387" s="29"/>
      <c r="F387" s="101" t="s">
        <v>15848</v>
      </c>
      <c r="G387" s="102" t="s">
        <v>15538</v>
      </c>
      <c r="H387" s="103" t="s">
        <v>4861</v>
      </c>
      <c r="I387" s="29"/>
      <c r="J387" s="29"/>
      <c r="K387" s="29"/>
      <c r="L387" s="29"/>
      <c r="M387" s="29"/>
      <c r="N387" s="29"/>
      <c r="O387" s="29"/>
      <c r="P387" s="29"/>
    </row>
    <row r="388" spans="1:16" ht="112.5" customHeight="1" x14ac:dyDescent="0.2">
      <c r="A388" s="75">
        <v>171</v>
      </c>
      <c r="B388" s="94" t="s">
        <v>3549</v>
      </c>
      <c r="C388" s="94" t="s">
        <v>12664</v>
      </c>
      <c r="D388" s="95" t="s">
        <v>12665</v>
      </c>
      <c r="E388" s="96"/>
      <c r="F388" s="97" t="s">
        <v>15812</v>
      </c>
      <c r="G388" s="98" t="s">
        <v>15849</v>
      </c>
      <c r="H388" s="99" t="s">
        <v>4809</v>
      </c>
      <c r="I388" s="29"/>
      <c r="J388" s="29"/>
      <c r="K388" s="29"/>
      <c r="L388" s="29"/>
      <c r="M388" s="29"/>
      <c r="N388" s="29"/>
      <c r="O388" s="29"/>
      <c r="P388" s="29"/>
    </row>
    <row r="389" spans="1:16" ht="112.5" hidden="1" customHeight="1" x14ac:dyDescent="0.3">
      <c r="A389" s="100">
        <v>3558</v>
      </c>
      <c r="B389" s="24" t="s">
        <v>3549</v>
      </c>
      <c r="C389" s="24" t="s">
        <v>15410</v>
      </c>
      <c r="D389" s="25" t="s">
        <v>15411</v>
      </c>
      <c r="E389" s="29"/>
      <c r="F389" s="101" t="s">
        <v>15605</v>
      </c>
      <c r="G389" s="102" t="s">
        <v>15538</v>
      </c>
      <c r="H389" s="103" t="s">
        <v>14038</v>
      </c>
      <c r="I389" s="29"/>
      <c r="J389" s="29"/>
      <c r="K389" s="29"/>
      <c r="L389" s="29"/>
      <c r="M389" s="29"/>
      <c r="N389" s="29"/>
      <c r="O389" s="29"/>
      <c r="P389" s="29"/>
    </row>
    <row r="390" spans="1:16" ht="112.5" hidden="1" customHeight="1" x14ac:dyDescent="0.3">
      <c r="A390" s="104">
        <v>3559</v>
      </c>
      <c r="B390" s="28" t="s">
        <v>3549</v>
      </c>
      <c r="C390" s="28" t="s">
        <v>15404</v>
      </c>
      <c r="D390" s="27" t="s">
        <v>15405</v>
      </c>
      <c r="E390" s="29"/>
      <c r="F390" s="105" t="s">
        <v>15850</v>
      </c>
      <c r="G390" s="98" t="s">
        <v>15538</v>
      </c>
      <c r="H390" s="99" t="s">
        <v>14041</v>
      </c>
      <c r="I390" s="29"/>
      <c r="J390" s="29"/>
      <c r="K390" s="29"/>
      <c r="L390" s="29"/>
      <c r="M390" s="29"/>
      <c r="N390" s="29"/>
      <c r="O390" s="29"/>
      <c r="P390" s="29"/>
    </row>
    <row r="391" spans="1:16" ht="112.5" hidden="1" customHeight="1" x14ac:dyDescent="0.3">
      <c r="A391" s="100">
        <v>3586</v>
      </c>
      <c r="B391" s="24" t="s">
        <v>3549</v>
      </c>
      <c r="C391" s="24" t="s">
        <v>13171</v>
      </c>
      <c r="D391" s="25" t="s">
        <v>13172</v>
      </c>
      <c r="E391" s="29"/>
      <c r="F391" s="101" t="s">
        <v>15820</v>
      </c>
      <c r="G391" s="102" t="s">
        <v>15538</v>
      </c>
      <c r="H391" s="103" t="s">
        <v>14121</v>
      </c>
      <c r="I391" s="29"/>
      <c r="J391" s="29"/>
      <c r="K391" s="29"/>
      <c r="L391" s="29"/>
      <c r="M391" s="29"/>
      <c r="N391" s="29"/>
      <c r="O391" s="29"/>
      <c r="P391" s="29"/>
    </row>
    <row r="392" spans="1:16" ht="112.5" hidden="1" customHeight="1" x14ac:dyDescent="0.3">
      <c r="A392" s="104">
        <v>3587</v>
      </c>
      <c r="B392" s="28" t="s">
        <v>3549</v>
      </c>
      <c r="C392" s="28" t="s">
        <v>13034</v>
      </c>
      <c r="D392" s="27" t="s">
        <v>13035</v>
      </c>
      <c r="E392" s="29"/>
      <c r="F392" s="105" t="s">
        <v>15602</v>
      </c>
      <c r="G392" s="98" t="s">
        <v>15538</v>
      </c>
      <c r="H392" s="99" t="s">
        <v>14124</v>
      </c>
      <c r="I392" s="29"/>
      <c r="J392" s="29"/>
      <c r="K392" s="29"/>
      <c r="L392" s="29"/>
      <c r="M392" s="29"/>
      <c r="N392" s="29"/>
      <c r="O392" s="29"/>
      <c r="P392" s="29"/>
    </row>
    <row r="393" spans="1:16" ht="112.5" customHeight="1" x14ac:dyDescent="0.2">
      <c r="A393" s="75">
        <v>172</v>
      </c>
      <c r="B393" s="94" t="s">
        <v>3549</v>
      </c>
      <c r="C393" s="94" t="s">
        <v>12559</v>
      </c>
      <c r="D393" s="95" t="s">
        <v>12560</v>
      </c>
      <c r="E393" s="96"/>
      <c r="F393" s="97" t="s">
        <v>15851</v>
      </c>
      <c r="G393" s="102" t="s">
        <v>15852</v>
      </c>
      <c r="H393" s="103" t="s">
        <v>4667</v>
      </c>
      <c r="I393" s="29"/>
      <c r="J393" s="29"/>
      <c r="K393" s="29"/>
      <c r="L393" s="29"/>
      <c r="M393" s="29"/>
      <c r="N393" s="29"/>
      <c r="O393" s="29"/>
      <c r="P393" s="29"/>
    </row>
    <row r="394" spans="1:16" ht="112.5" hidden="1" customHeight="1" x14ac:dyDescent="0.3">
      <c r="A394" s="100">
        <v>3688</v>
      </c>
      <c r="B394" s="24" t="s">
        <v>3549</v>
      </c>
      <c r="C394" s="24" t="s">
        <v>14979</v>
      </c>
      <c r="D394" s="25" t="s">
        <v>14980</v>
      </c>
      <c r="E394" s="29"/>
      <c r="F394" s="101" t="s">
        <v>15579</v>
      </c>
      <c r="G394" s="102" t="s">
        <v>15538</v>
      </c>
      <c r="H394" s="103" t="s">
        <v>14425</v>
      </c>
      <c r="I394" s="29"/>
      <c r="J394" s="29"/>
      <c r="K394" s="29"/>
      <c r="L394" s="29"/>
      <c r="M394" s="29"/>
      <c r="N394" s="29"/>
      <c r="O394" s="29"/>
      <c r="P394" s="29"/>
    </row>
    <row r="395" spans="1:16" ht="112.5" hidden="1" customHeight="1" x14ac:dyDescent="0.3">
      <c r="A395" s="104">
        <v>3697</v>
      </c>
      <c r="B395" s="28" t="s">
        <v>3549</v>
      </c>
      <c r="C395" s="28" t="s">
        <v>13217</v>
      </c>
      <c r="D395" s="27" t="s">
        <v>13218</v>
      </c>
      <c r="E395" s="29"/>
      <c r="F395" s="105" t="s">
        <v>15853</v>
      </c>
      <c r="G395" s="98" t="s">
        <v>15538</v>
      </c>
      <c r="H395" s="99" t="s">
        <v>14452</v>
      </c>
      <c r="I395" s="29"/>
      <c r="J395" s="29"/>
      <c r="K395" s="29"/>
      <c r="L395" s="29"/>
      <c r="M395" s="29"/>
      <c r="N395" s="29"/>
      <c r="O395" s="29"/>
      <c r="P395" s="29"/>
    </row>
    <row r="396" spans="1:16" ht="112.5" hidden="1" customHeight="1" x14ac:dyDescent="0.3">
      <c r="A396" s="100">
        <v>3698</v>
      </c>
      <c r="B396" s="24" t="s">
        <v>3549</v>
      </c>
      <c r="C396" s="24" t="s">
        <v>13285</v>
      </c>
      <c r="D396" s="25" t="s">
        <v>13286</v>
      </c>
      <c r="E396" s="29"/>
      <c r="F396" s="101" t="s">
        <v>15854</v>
      </c>
      <c r="G396" s="102" t="s">
        <v>15538</v>
      </c>
      <c r="H396" s="103" t="s">
        <v>14455</v>
      </c>
      <c r="I396" s="29"/>
      <c r="J396" s="29"/>
      <c r="K396" s="29"/>
      <c r="L396" s="29"/>
      <c r="M396" s="29"/>
      <c r="N396" s="29"/>
      <c r="O396" s="29"/>
      <c r="P396" s="29"/>
    </row>
    <row r="397" spans="1:16" ht="112.5" hidden="1" customHeight="1" x14ac:dyDescent="0.3">
      <c r="A397" s="100">
        <v>3700</v>
      </c>
      <c r="B397" s="24" t="s">
        <v>3549</v>
      </c>
      <c r="C397" s="24" t="s">
        <v>14925</v>
      </c>
      <c r="D397" s="25" t="s">
        <v>14926</v>
      </c>
      <c r="E397" s="29"/>
      <c r="F397" s="101" t="s">
        <v>15632</v>
      </c>
      <c r="G397" s="102" t="s">
        <v>15538</v>
      </c>
      <c r="H397" s="103" t="s">
        <v>14461</v>
      </c>
      <c r="I397" s="29"/>
      <c r="J397" s="29"/>
      <c r="K397" s="29"/>
      <c r="L397" s="29"/>
      <c r="M397" s="29"/>
      <c r="N397" s="29"/>
      <c r="O397" s="29"/>
      <c r="P397" s="29"/>
    </row>
    <row r="398" spans="1:16" ht="112.5" customHeight="1" x14ac:dyDescent="0.2">
      <c r="A398" s="75">
        <v>173</v>
      </c>
      <c r="B398" s="94" t="s">
        <v>3549</v>
      </c>
      <c r="C398" s="94" t="s">
        <v>13162</v>
      </c>
      <c r="D398" s="95" t="s">
        <v>13163</v>
      </c>
      <c r="E398" s="96"/>
      <c r="F398" s="97" t="s">
        <v>15855</v>
      </c>
      <c r="G398" s="102" t="s">
        <v>15562</v>
      </c>
      <c r="H398" s="103" t="s">
        <v>14519</v>
      </c>
      <c r="I398" s="29"/>
      <c r="J398" s="29"/>
      <c r="K398" s="29"/>
      <c r="L398" s="29"/>
      <c r="M398" s="29"/>
      <c r="N398" s="29"/>
      <c r="O398" s="29"/>
      <c r="P398" s="29"/>
    </row>
    <row r="399" spans="1:16" ht="112.5" customHeight="1" x14ac:dyDescent="0.2">
      <c r="A399" s="75">
        <v>174</v>
      </c>
      <c r="B399" s="94" t="s">
        <v>3549</v>
      </c>
      <c r="C399" s="94" t="s">
        <v>13211</v>
      </c>
      <c r="D399" s="95" t="s">
        <v>13212</v>
      </c>
      <c r="E399" s="96"/>
      <c r="F399" s="97" t="s">
        <v>15856</v>
      </c>
      <c r="G399" s="98" t="s">
        <v>15857</v>
      </c>
      <c r="H399" s="99" t="s">
        <v>14666</v>
      </c>
      <c r="I399" s="29"/>
      <c r="J399" s="29"/>
      <c r="K399" s="29"/>
      <c r="L399" s="29"/>
      <c r="M399" s="29"/>
      <c r="N399" s="29"/>
      <c r="O399" s="29"/>
      <c r="P399" s="29"/>
    </row>
    <row r="400" spans="1:16" ht="112.5" hidden="1" customHeight="1" x14ac:dyDescent="0.3">
      <c r="A400" s="100">
        <v>3926</v>
      </c>
      <c r="B400" s="24" t="s">
        <v>3549</v>
      </c>
      <c r="C400" s="24" t="s">
        <v>12717</v>
      </c>
      <c r="D400" s="25" t="s">
        <v>12718</v>
      </c>
      <c r="E400" s="29"/>
      <c r="F400" s="101" t="s">
        <v>15844</v>
      </c>
      <c r="G400" s="102" t="s">
        <v>15538</v>
      </c>
      <c r="H400" s="103" t="s">
        <v>4652</v>
      </c>
      <c r="I400" s="29"/>
      <c r="J400" s="29"/>
      <c r="K400" s="29"/>
      <c r="L400" s="29"/>
      <c r="M400" s="29"/>
      <c r="N400" s="29"/>
      <c r="O400" s="29"/>
      <c r="P400" s="29"/>
    </row>
    <row r="401" spans="1:16" ht="112.5" hidden="1" customHeight="1" x14ac:dyDescent="0.3">
      <c r="A401" s="104">
        <v>3927</v>
      </c>
      <c r="B401" s="28" t="s">
        <v>3549</v>
      </c>
      <c r="C401" s="28" t="s">
        <v>13282</v>
      </c>
      <c r="D401" s="27" t="s">
        <v>13283</v>
      </c>
      <c r="E401" s="29"/>
      <c r="F401" s="105" t="s">
        <v>15820</v>
      </c>
      <c r="G401" s="98" t="s">
        <v>15538</v>
      </c>
      <c r="H401" s="99" t="s">
        <v>15135</v>
      </c>
      <c r="I401" s="29"/>
      <c r="J401" s="29"/>
      <c r="K401" s="29"/>
      <c r="L401" s="29"/>
      <c r="M401" s="29"/>
      <c r="N401" s="29"/>
      <c r="O401" s="29"/>
      <c r="P401" s="29"/>
    </row>
    <row r="402" spans="1:16" ht="112.5" customHeight="1" x14ac:dyDescent="0.2">
      <c r="A402" s="75">
        <v>175</v>
      </c>
      <c r="B402" s="94" t="s">
        <v>4330</v>
      </c>
      <c r="C402" s="94" t="s">
        <v>13571</v>
      </c>
      <c r="D402" s="95" t="s">
        <v>13572</v>
      </c>
      <c r="E402" s="96"/>
      <c r="F402" s="97" t="s">
        <v>15579</v>
      </c>
      <c r="G402" s="102" t="s">
        <v>15858</v>
      </c>
      <c r="H402" s="103" t="s">
        <v>4078</v>
      </c>
      <c r="I402" s="29"/>
      <c r="J402" s="29"/>
      <c r="K402" s="29"/>
      <c r="L402" s="29"/>
      <c r="M402" s="29"/>
      <c r="N402" s="29"/>
      <c r="O402" s="29"/>
      <c r="P402" s="29"/>
    </row>
    <row r="403" spans="1:16" ht="112.5" customHeight="1" x14ac:dyDescent="0.2">
      <c r="A403" s="75">
        <v>176</v>
      </c>
      <c r="B403" s="94" t="s">
        <v>4330</v>
      </c>
      <c r="C403" s="94" t="s">
        <v>15313</v>
      </c>
      <c r="D403" s="95" t="s">
        <v>15314</v>
      </c>
      <c r="E403" s="96"/>
      <c r="F403" s="97" t="s">
        <v>15859</v>
      </c>
      <c r="G403" s="98" t="s">
        <v>15572</v>
      </c>
      <c r="H403" s="99" t="s">
        <v>4104</v>
      </c>
      <c r="I403" s="29"/>
      <c r="J403" s="29"/>
      <c r="K403" s="29"/>
      <c r="L403" s="29"/>
      <c r="M403" s="29"/>
      <c r="N403" s="29"/>
      <c r="O403" s="29"/>
      <c r="P403" s="29"/>
    </row>
    <row r="404" spans="1:16" ht="112.5" customHeight="1" x14ac:dyDescent="0.2">
      <c r="A404" s="75">
        <v>177</v>
      </c>
      <c r="B404" s="94" t="s">
        <v>4330</v>
      </c>
      <c r="C404" s="94" t="s">
        <v>12913</v>
      </c>
      <c r="D404" s="95" t="s">
        <v>12914</v>
      </c>
      <c r="E404" s="96"/>
      <c r="F404" s="97" t="s">
        <v>15606</v>
      </c>
      <c r="G404" s="102" t="s">
        <v>15572</v>
      </c>
      <c r="H404" s="103" t="s">
        <v>15162</v>
      </c>
      <c r="I404" s="29"/>
      <c r="J404" s="29"/>
      <c r="K404" s="29"/>
      <c r="L404" s="29"/>
      <c r="M404" s="29"/>
      <c r="N404" s="29"/>
      <c r="O404" s="29"/>
      <c r="P404" s="29"/>
    </row>
    <row r="405" spans="1:16" ht="112.5" customHeight="1" x14ac:dyDescent="0.2">
      <c r="A405" s="75">
        <v>178</v>
      </c>
      <c r="B405" s="94" t="s">
        <v>4330</v>
      </c>
      <c r="C405" s="94" t="s">
        <v>13568</v>
      </c>
      <c r="D405" s="95" t="s">
        <v>13569</v>
      </c>
      <c r="E405" s="96"/>
      <c r="F405" s="97" t="s">
        <v>15836</v>
      </c>
      <c r="G405" s="102" t="s">
        <v>15860</v>
      </c>
      <c r="H405" s="103" t="s">
        <v>15424</v>
      </c>
      <c r="I405" s="29"/>
      <c r="J405" s="29"/>
      <c r="K405" s="29"/>
      <c r="L405" s="29"/>
      <c r="M405" s="29"/>
      <c r="N405" s="29"/>
      <c r="O405" s="29"/>
      <c r="P405" s="29"/>
    </row>
    <row r="406" spans="1:16" ht="112.5" hidden="1" customHeight="1" x14ac:dyDescent="0.3">
      <c r="A406" s="104">
        <v>161</v>
      </c>
      <c r="B406" s="28" t="s">
        <v>14410</v>
      </c>
      <c r="C406" s="28" t="s">
        <v>14943</v>
      </c>
      <c r="D406" s="27" t="s">
        <v>14944</v>
      </c>
      <c r="E406" s="29"/>
      <c r="F406" s="105" t="s">
        <v>15757</v>
      </c>
      <c r="G406" s="98" t="s">
        <v>15538</v>
      </c>
      <c r="H406" s="99" t="s">
        <v>3991</v>
      </c>
      <c r="I406" s="29"/>
      <c r="J406" s="29"/>
      <c r="K406" s="29"/>
      <c r="L406" s="29"/>
      <c r="M406" s="29"/>
      <c r="N406" s="29"/>
      <c r="O406" s="29"/>
      <c r="P406" s="29"/>
    </row>
    <row r="407" spans="1:16" ht="112.5" hidden="1" customHeight="1" x14ac:dyDescent="0.3">
      <c r="A407" s="100">
        <v>174</v>
      </c>
      <c r="B407" s="24" t="s">
        <v>14410</v>
      </c>
      <c r="C407" s="24" t="s">
        <v>15235</v>
      </c>
      <c r="D407" s="25" t="s">
        <v>15236</v>
      </c>
      <c r="E407" s="29"/>
      <c r="F407" s="101" t="s">
        <v>15579</v>
      </c>
      <c r="G407" s="102" t="s">
        <v>15538</v>
      </c>
      <c r="H407" s="103" t="s">
        <v>4030</v>
      </c>
      <c r="I407" s="29"/>
      <c r="J407" s="29"/>
      <c r="K407" s="29"/>
      <c r="L407" s="29"/>
      <c r="M407" s="29"/>
      <c r="N407" s="29"/>
      <c r="O407" s="29"/>
      <c r="P407" s="29"/>
    </row>
    <row r="408" spans="1:16" ht="112.5" hidden="1" customHeight="1" x14ac:dyDescent="0.3">
      <c r="A408" s="104">
        <v>175</v>
      </c>
      <c r="B408" s="28" t="s">
        <v>14410</v>
      </c>
      <c r="C408" s="28" t="s">
        <v>14465</v>
      </c>
      <c r="D408" s="27" t="s">
        <v>14466</v>
      </c>
      <c r="E408" s="29"/>
      <c r="F408" s="105" t="s">
        <v>15588</v>
      </c>
      <c r="G408" s="98" t="s">
        <v>15538</v>
      </c>
      <c r="H408" s="99" t="s">
        <v>4033</v>
      </c>
      <c r="I408" s="29"/>
      <c r="J408" s="29"/>
      <c r="K408" s="29"/>
      <c r="L408" s="29"/>
      <c r="M408" s="29"/>
      <c r="N408" s="29"/>
      <c r="O408" s="29"/>
      <c r="P408" s="29"/>
    </row>
    <row r="409" spans="1:16" ht="112.5" hidden="1" customHeight="1" x14ac:dyDescent="0.3">
      <c r="A409" s="100">
        <v>176</v>
      </c>
      <c r="B409" s="24" t="s">
        <v>14410</v>
      </c>
      <c r="C409" s="24" t="s">
        <v>14946</v>
      </c>
      <c r="D409" s="25" t="s">
        <v>14947</v>
      </c>
      <c r="E409" s="29"/>
      <c r="F409" s="101" t="s">
        <v>15539</v>
      </c>
      <c r="G409" s="102" t="s">
        <v>15538</v>
      </c>
      <c r="H409" s="103" t="s">
        <v>4036</v>
      </c>
      <c r="I409" s="29"/>
      <c r="J409" s="29"/>
      <c r="K409" s="29"/>
      <c r="L409" s="29"/>
      <c r="M409" s="29"/>
      <c r="N409" s="29"/>
      <c r="O409" s="29"/>
      <c r="P409" s="29"/>
    </row>
    <row r="410" spans="1:16" ht="112.5" hidden="1" customHeight="1" x14ac:dyDescent="0.3">
      <c r="A410" s="104">
        <v>177</v>
      </c>
      <c r="B410" s="28" t="s">
        <v>14410</v>
      </c>
      <c r="C410" s="28" t="s">
        <v>14411</v>
      </c>
      <c r="D410" s="27" t="s">
        <v>14412</v>
      </c>
      <c r="E410" s="29"/>
      <c r="F410" s="105" t="s">
        <v>15638</v>
      </c>
      <c r="G410" s="98" t="s">
        <v>15538</v>
      </c>
      <c r="H410" s="99" t="s">
        <v>4039</v>
      </c>
      <c r="I410" s="29"/>
      <c r="J410" s="29"/>
      <c r="K410" s="29"/>
      <c r="L410" s="29"/>
      <c r="M410" s="29"/>
      <c r="N410" s="29"/>
      <c r="O410" s="29"/>
      <c r="P410" s="29"/>
    </row>
    <row r="411" spans="1:16" ht="112.5" hidden="1" customHeight="1" x14ac:dyDescent="0.3">
      <c r="A411" s="100">
        <v>54</v>
      </c>
      <c r="B411" s="24" t="s">
        <v>3533</v>
      </c>
      <c r="C411" s="24" t="s">
        <v>14607</v>
      </c>
      <c r="D411" s="25" t="s">
        <v>14608</v>
      </c>
      <c r="E411" s="29"/>
      <c r="F411" s="101" t="s">
        <v>15539</v>
      </c>
      <c r="G411" s="102" t="s">
        <v>15538</v>
      </c>
      <c r="H411" s="103" t="s">
        <v>3663</v>
      </c>
      <c r="I411" s="29"/>
      <c r="J411" s="29"/>
      <c r="K411" s="29"/>
      <c r="L411" s="29"/>
      <c r="M411" s="29"/>
      <c r="N411" s="29"/>
      <c r="O411" s="29"/>
      <c r="P411" s="29"/>
    </row>
    <row r="412" spans="1:16" ht="112.5" customHeight="1" x14ac:dyDescent="0.2">
      <c r="A412" s="75">
        <v>179</v>
      </c>
      <c r="B412" s="94" t="s">
        <v>3533</v>
      </c>
      <c r="C412" s="94" t="s">
        <v>14619</v>
      </c>
      <c r="D412" s="95" t="s">
        <v>14620</v>
      </c>
      <c r="E412" s="96"/>
      <c r="F412" s="97" t="s">
        <v>15589</v>
      </c>
      <c r="G412" s="98" t="s">
        <v>15861</v>
      </c>
      <c r="H412" s="99" t="s">
        <v>3679</v>
      </c>
      <c r="I412" s="29"/>
      <c r="J412" s="29"/>
      <c r="K412" s="29"/>
      <c r="L412" s="29"/>
      <c r="M412" s="29"/>
      <c r="N412" s="29"/>
      <c r="O412" s="29"/>
      <c r="P412" s="29"/>
    </row>
    <row r="413" spans="1:16" ht="112.5" customHeight="1" x14ac:dyDescent="0.2">
      <c r="A413" s="75">
        <v>180</v>
      </c>
      <c r="B413" s="94" t="s">
        <v>3533</v>
      </c>
      <c r="C413" s="94" t="s">
        <v>14691</v>
      </c>
      <c r="D413" s="95" t="s">
        <v>14692</v>
      </c>
      <c r="E413" s="96"/>
      <c r="F413" s="97" t="s">
        <v>15632</v>
      </c>
      <c r="G413" s="98" t="s">
        <v>15572</v>
      </c>
      <c r="H413" s="99" t="s">
        <v>3703</v>
      </c>
      <c r="I413" s="29"/>
      <c r="J413" s="29"/>
      <c r="K413" s="29"/>
      <c r="L413" s="29"/>
      <c r="M413" s="29"/>
      <c r="N413" s="29"/>
      <c r="O413" s="29"/>
      <c r="P413" s="29"/>
    </row>
    <row r="414" spans="1:16" ht="112.5" hidden="1" customHeight="1" x14ac:dyDescent="0.3">
      <c r="A414" s="100">
        <v>124</v>
      </c>
      <c r="B414" s="24" t="s">
        <v>3533</v>
      </c>
      <c r="C414" s="24" t="s">
        <v>13264</v>
      </c>
      <c r="D414" s="25" t="s">
        <v>13265</v>
      </c>
      <c r="E414" s="29"/>
      <c r="F414" s="101" t="s">
        <v>15551</v>
      </c>
      <c r="G414" s="102" t="s">
        <v>15538</v>
      </c>
      <c r="H414" s="103" t="s">
        <v>3879</v>
      </c>
      <c r="I414" s="29"/>
      <c r="J414" s="29"/>
      <c r="K414" s="29"/>
      <c r="L414" s="29"/>
      <c r="M414" s="29"/>
      <c r="N414" s="29"/>
      <c r="O414" s="29"/>
      <c r="P414" s="29"/>
    </row>
    <row r="415" spans="1:16" ht="112.5" hidden="1" customHeight="1" x14ac:dyDescent="0.3">
      <c r="A415" s="104">
        <v>163</v>
      </c>
      <c r="B415" s="28" t="s">
        <v>3533</v>
      </c>
      <c r="C415" s="28" t="s">
        <v>14961</v>
      </c>
      <c r="D415" s="27" t="s">
        <v>14962</v>
      </c>
      <c r="E415" s="29"/>
      <c r="F415" s="105" t="s">
        <v>15566</v>
      </c>
      <c r="G415" s="98" t="s">
        <v>15538</v>
      </c>
      <c r="H415" s="99" t="s">
        <v>3997</v>
      </c>
      <c r="I415" s="29"/>
      <c r="J415" s="29"/>
      <c r="K415" s="29"/>
      <c r="L415" s="29"/>
      <c r="M415" s="29"/>
      <c r="N415" s="29"/>
      <c r="O415" s="29"/>
      <c r="P415" s="29"/>
    </row>
    <row r="416" spans="1:16" ht="112.5" hidden="1" customHeight="1" x14ac:dyDescent="0.3">
      <c r="A416" s="104">
        <v>195</v>
      </c>
      <c r="B416" s="28" t="s">
        <v>3533</v>
      </c>
      <c r="C416" s="28" t="s">
        <v>14875</v>
      </c>
      <c r="D416" s="27" t="s">
        <v>14876</v>
      </c>
      <c r="E416" s="29"/>
      <c r="F416" s="105" t="s">
        <v>15550</v>
      </c>
      <c r="G416" s="98" t="s">
        <v>15538</v>
      </c>
      <c r="H416" s="99" t="s">
        <v>4093</v>
      </c>
      <c r="I416" s="29"/>
      <c r="J416" s="29"/>
      <c r="K416" s="29"/>
      <c r="L416" s="29"/>
      <c r="M416" s="29"/>
      <c r="N416" s="29"/>
      <c r="O416" s="29"/>
      <c r="P416" s="29"/>
    </row>
    <row r="417" spans="1:16" ht="112.5" hidden="1" customHeight="1" x14ac:dyDescent="0.3">
      <c r="A417" s="104">
        <v>251</v>
      </c>
      <c r="B417" s="28" t="s">
        <v>3533</v>
      </c>
      <c r="C417" s="28" t="s">
        <v>12691</v>
      </c>
      <c r="D417" s="27" t="s">
        <v>12692</v>
      </c>
      <c r="E417" s="29"/>
      <c r="F417" s="105" t="s">
        <v>15628</v>
      </c>
      <c r="G417" s="98" t="s">
        <v>15538</v>
      </c>
      <c r="H417" s="99" t="s">
        <v>4261</v>
      </c>
      <c r="I417" s="29"/>
      <c r="J417" s="29"/>
      <c r="K417" s="29"/>
      <c r="L417" s="29"/>
      <c r="M417" s="29"/>
      <c r="N417" s="29"/>
      <c r="O417" s="29"/>
      <c r="P417" s="29"/>
    </row>
    <row r="418" spans="1:16" ht="112.5" hidden="1" customHeight="1" x14ac:dyDescent="0.3">
      <c r="A418" s="104">
        <v>263</v>
      </c>
      <c r="B418" s="28" t="s">
        <v>3533</v>
      </c>
      <c r="C418" s="28" t="s">
        <v>13392</v>
      </c>
      <c r="D418" s="27" t="s">
        <v>13393</v>
      </c>
      <c r="E418" s="29"/>
      <c r="F418" s="105" t="s">
        <v>15632</v>
      </c>
      <c r="G418" s="98" t="s">
        <v>15538</v>
      </c>
      <c r="H418" s="99" t="s">
        <v>4297</v>
      </c>
      <c r="I418" s="29"/>
      <c r="J418" s="29"/>
      <c r="K418" s="29"/>
      <c r="L418" s="29"/>
      <c r="M418" s="29"/>
      <c r="N418" s="29"/>
      <c r="O418" s="29"/>
      <c r="P418" s="29"/>
    </row>
    <row r="419" spans="1:16" ht="112.5" customHeight="1" x14ac:dyDescent="0.2">
      <c r="A419" s="75">
        <v>181</v>
      </c>
      <c r="B419" s="94" t="s">
        <v>3533</v>
      </c>
      <c r="C419" s="94" t="s">
        <v>15199</v>
      </c>
      <c r="D419" s="95" t="s">
        <v>15200</v>
      </c>
      <c r="E419" s="96"/>
      <c r="F419" s="97" t="s">
        <v>15621</v>
      </c>
      <c r="G419" s="102" t="s">
        <v>15862</v>
      </c>
      <c r="H419" s="103" t="s">
        <v>4318</v>
      </c>
      <c r="I419" s="29"/>
      <c r="J419" s="29"/>
      <c r="K419" s="29"/>
      <c r="L419" s="29"/>
      <c r="M419" s="29"/>
      <c r="N419" s="29"/>
      <c r="O419" s="29"/>
      <c r="P419" s="29"/>
    </row>
    <row r="420" spans="1:16" ht="112.5" hidden="1" customHeight="1" x14ac:dyDescent="0.3">
      <c r="A420" s="104">
        <v>271</v>
      </c>
      <c r="B420" s="28" t="s">
        <v>3533</v>
      </c>
      <c r="C420" s="28" t="s">
        <v>15187</v>
      </c>
      <c r="D420" s="27" t="s">
        <v>15188</v>
      </c>
      <c r="E420" s="29"/>
      <c r="F420" s="105" t="s">
        <v>15606</v>
      </c>
      <c r="G420" s="98" t="s">
        <v>15538</v>
      </c>
      <c r="H420" s="99" t="s">
        <v>3879</v>
      </c>
      <c r="I420" s="29"/>
      <c r="J420" s="29"/>
      <c r="K420" s="29"/>
      <c r="L420" s="29"/>
      <c r="M420" s="29"/>
      <c r="N420" s="29"/>
      <c r="O420" s="29"/>
      <c r="P420" s="29"/>
    </row>
    <row r="421" spans="1:16" ht="112.5" hidden="1" customHeight="1" x14ac:dyDescent="0.3">
      <c r="A421" s="104">
        <v>1579</v>
      </c>
      <c r="B421" s="28" t="s">
        <v>3533</v>
      </c>
      <c r="C421" s="28" t="s">
        <v>13087</v>
      </c>
      <c r="D421" s="27" t="s">
        <v>13088</v>
      </c>
      <c r="E421" s="29"/>
      <c r="F421" s="105" t="s">
        <v>15701</v>
      </c>
      <c r="G421" s="98" t="s">
        <v>15538</v>
      </c>
      <c r="H421" s="99" t="s">
        <v>8198</v>
      </c>
      <c r="I421" s="29"/>
      <c r="J421" s="29"/>
      <c r="K421" s="29"/>
      <c r="L421" s="29"/>
      <c r="M421" s="29"/>
      <c r="N421" s="29"/>
      <c r="O421" s="29"/>
      <c r="P421" s="29"/>
    </row>
    <row r="422" spans="1:16" ht="112.5" hidden="1" customHeight="1" x14ac:dyDescent="0.3">
      <c r="A422" s="100">
        <v>3630</v>
      </c>
      <c r="B422" s="24" t="s">
        <v>3533</v>
      </c>
      <c r="C422" s="24" t="s">
        <v>15145</v>
      </c>
      <c r="D422" s="25" t="s">
        <v>15146</v>
      </c>
      <c r="E422" s="29"/>
      <c r="F422" s="101" t="s">
        <v>15730</v>
      </c>
      <c r="G422" s="102" t="s">
        <v>15538</v>
      </c>
      <c r="H422" s="103" t="s">
        <v>14251</v>
      </c>
      <c r="I422" s="29"/>
      <c r="J422" s="29"/>
      <c r="K422" s="29"/>
      <c r="L422" s="29"/>
      <c r="M422" s="29"/>
      <c r="N422" s="29"/>
      <c r="O422" s="29"/>
      <c r="P422" s="29"/>
    </row>
    <row r="423" spans="1:16" ht="112.5" hidden="1" customHeight="1" x14ac:dyDescent="0.3">
      <c r="A423" s="100">
        <v>3654</v>
      </c>
      <c r="B423" s="24" t="s">
        <v>3533</v>
      </c>
      <c r="C423" s="24" t="s">
        <v>13183</v>
      </c>
      <c r="D423" s="25" t="s">
        <v>13184</v>
      </c>
      <c r="E423" s="29"/>
      <c r="F423" s="101" t="s">
        <v>15863</v>
      </c>
      <c r="G423" s="106" t="s">
        <v>4171</v>
      </c>
      <c r="H423" s="103" t="s">
        <v>14323</v>
      </c>
      <c r="I423" s="29"/>
      <c r="J423" s="29"/>
      <c r="K423" s="29"/>
      <c r="L423" s="29"/>
      <c r="M423" s="29"/>
      <c r="N423" s="29"/>
      <c r="O423" s="29"/>
      <c r="P423" s="29"/>
    </row>
    <row r="424" spans="1:16" ht="112.5" hidden="1" customHeight="1" x14ac:dyDescent="0.3">
      <c r="A424" s="100">
        <v>3656</v>
      </c>
      <c r="B424" s="24" t="s">
        <v>3533</v>
      </c>
      <c r="C424" s="24" t="s">
        <v>15056</v>
      </c>
      <c r="D424" s="25" t="s">
        <v>15057</v>
      </c>
      <c r="E424" s="29"/>
      <c r="F424" s="101" t="s">
        <v>15548</v>
      </c>
      <c r="G424" s="102" t="s">
        <v>15538</v>
      </c>
      <c r="H424" s="103" t="s">
        <v>14329</v>
      </c>
      <c r="I424" s="29"/>
      <c r="J424" s="29"/>
      <c r="K424" s="29"/>
      <c r="L424" s="29"/>
      <c r="M424" s="29"/>
      <c r="N424" s="29"/>
      <c r="O424" s="29"/>
      <c r="P424" s="29"/>
    </row>
    <row r="425" spans="1:16" ht="112.5" hidden="1" customHeight="1" x14ac:dyDescent="0.3">
      <c r="A425" s="104">
        <v>3657</v>
      </c>
      <c r="B425" s="28" t="s">
        <v>3533</v>
      </c>
      <c r="C425" s="28" t="s">
        <v>15053</v>
      </c>
      <c r="D425" s="27" t="s">
        <v>15054</v>
      </c>
      <c r="E425" s="29"/>
      <c r="F425" s="105" t="s">
        <v>15864</v>
      </c>
      <c r="G425" s="98" t="s">
        <v>15538</v>
      </c>
      <c r="H425" s="99" t="s">
        <v>14332</v>
      </c>
      <c r="I425" s="29"/>
      <c r="J425" s="29"/>
      <c r="K425" s="29"/>
      <c r="L425" s="29"/>
      <c r="M425" s="29"/>
      <c r="N425" s="29"/>
      <c r="O425" s="29"/>
      <c r="P425" s="29"/>
    </row>
    <row r="426" spans="1:16" ht="112.5" customHeight="1" x14ac:dyDescent="0.2">
      <c r="A426" s="75">
        <v>182</v>
      </c>
      <c r="B426" s="94" t="s">
        <v>3533</v>
      </c>
      <c r="C426" s="94" t="s">
        <v>14964</v>
      </c>
      <c r="D426" s="95" t="s">
        <v>14965</v>
      </c>
      <c r="E426" s="96"/>
      <c r="F426" s="97" t="s">
        <v>15865</v>
      </c>
      <c r="G426" s="98" t="s">
        <v>15866</v>
      </c>
      <c r="H426" s="99" t="s">
        <v>14428</v>
      </c>
      <c r="I426" s="29"/>
      <c r="J426" s="29"/>
      <c r="K426" s="29"/>
      <c r="L426" s="29"/>
      <c r="M426" s="29"/>
      <c r="N426" s="29"/>
      <c r="O426" s="29"/>
      <c r="P426" s="29"/>
    </row>
    <row r="427" spans="1:16" ht="112.5" hidden="1" customHeight="1" x14ac:dyDescent="0.3">
      <c r="A427" s="100">
        <v>3690</v>
      </c>
      <c r="B427" s="24" t="s">
        <v>3533</v>
      </c>
      <c r="C427" s="24" t="s">
        <v>12904</v>
      </c>
      <c r="D427" s="25" t="s">
        <v>12905</v>
      </c>
      <c r="E427" s="29"/>
      <c r="F427" s="101" t="s">
        <v>15606</v>
      </c>
      <c r="G427" s="102" t="s">
        <v>15538</v>
      </c>
      <c r="H427" s="103" t="s">
        <v>14431</v>
      </c>
      <c r="I427" s="29"/>
      <c r="J427" s="29"/>
      <c r="K427" s="29"/>
      <c r="L427" s="29"/>
      <c r="M427" s="29"/>
      <c r="N427" s="29"/>
      <c r="O427" s="29"/>
      <c r="P427" s="29"/>
    </row>
    <row r="428" spans="1:16" ht="112.5" customHeight="1" x14ac:dyDescent="0.2">
      <c r="A428" s="75">
        <v>183</v>
      </c>
      <c r="B428" s="94" t="s">
        <v>3533</v>
      </c>
      <c r="C428" s="94" t="s">
        <v>12616</v>
      </c>
      <c r="D428" s="95" t="s">
        <v>12617</v>
      </c>
      <c r="E428" s="96"/>
      <c r="F428" s="97" t="s">
        <v>15596</v>
      </c>
      <c r="G428" s="98" t="s">
        <v>15867</v>
      </c>
      <c r="H428" s="99" t="s">
        <v>14480</v>
      </c>
      <c r="I428" s="29"/>
      <c r="J428" s="29"/>
      <c r="K428" s="29"/>
      <c r="L428" s="29"/>
      <c r="M428" s="29"/>
      <c r="N428" s="29"/>
      <c r="O428" s="29"/>
      <c r="P428" s="29"/>
    </row>
    <row r="429" spans="1:16" ht="112.5" hidden="1" customHeight="1" x14ac:dyDescent="0.3">
      <c r="A429" s="100">
        <v>3708</v>
      </c>
      <c r="B429" s="24" t="s">
        <v>3533</v>
      </c>
      <c r="C429" s="24" t="s">
        <v>12964</v>
      </c>
      <c r="D429" s="25" t="s">
        <v>12965</v>
      </c>
      <c r="E429" s="29"/>
      <c r="F429" s="101" t="s">
        <v>15757</v>
      </c>
      <c r="G429" s="102" t="s">
        <v>15538</v>
      </c>
      <c r="H429" s="103" t="s">
        <v>14483</v>
      </c>
      <c r="I429" s="29"/>
      <c r="J429" s="29"/>
      <c r="K429" s="29"/>
      <c r="L429" s="29"/>
      <c r="M429" s="29"/>
      <c r="N429" s="29"/>
      <c r="O429" s="29"/>
      <c r="P429" s="29"/>
    </row>
    <row r="430" spans="1:16" ht="112.5" hidden="1" customHeight="1" x14ac:dyDescent="0.3">
      <c r="A430" s="104">
        <v>3713</v>
      </c>
      <c r="B430" s="28" t="s">
        <v>3533</v>
      </c>
      <c r="C430" s="28" t="s">
        <v>13395</v>
      </c>
      <c r="D430" s="27" t="s">
        <v>13396</v>
      </c>
      <c r="E430" s="29"/>
      <c r="F430" s="105" t="s">
        <v>15577</v>
      </c>
      <c r="G430" s="98" t="s">
        <v>15538</v>
      </c>
      <c r="H430" s="99" t="s">
        <v>14498</v>
      </c>
      <c r="I430" s="29"/>
      <c r="J430" s="29"/>
      <c r="K430" s="29"/>
      <c r="L430" s="29"/>
      <c r="M430" s="29"/>
      <c r="N430" s="29"/>
      <c r="O430" s="29"/>
      <c r="P430" s="29"/>
    </row>
    <row r="431" spans="1:16" ht="112.5" hidden="1" customHeight="1" x14ac:dyDescent="0.3">
      <c r="A431" s="100">
        <v>3826</v>
      </c>
      <c r="B431" s="24" t="s">
        <v>3533</v>
      </c>
      <c r="C431" s="24" t="s">
        <v>14646</v>
      </c>
      <c r="D431" s="25" t="s">
        <v>14647</v>
      </c>
      <c r="E431" s="29"/>
      <c r="F431" s="101" t="s">
        <v>15628</v>
      </c>
      <c r="G431" s="102" t="s">
        <v>15538</v>
      </c>
      <c r="H431" s="103" t="s">
        <v>14837</v>
      </c>
      <c r="I431" s="29"/>
      <c r="J431" s="29"/>
      <c r="K431" s="29"/>
      <c r="L431" s="29"/>
      <c r="M431" s="29"/>
      <c r="N431" s="29"/>
      <c r="O431" s="29"/>
      <c r="P431" s="29"/>
    </row>
    <row r="432" spans="1:16" ht="112.5" hidden="1" customHeight="1" x14ac:dyDescent="0.3">
      <c r="A432" s="100">
        <v>3828</v>
      </c>
      <c r="B432" s="24" t="s">
        <v>3533</v>
      </c>
      <c r="C432" s="24" t="s">
        <v>14625</v>
      </c>
      <c r="D432" s="25" t="s">
        <v>14626</v>
      </c>
      <c r="E432" s="29"/>
      <c r="F432" s="101" t="s">
        <v>15549</v>
      </c>
      <c r="G432" s="102" t="s">
        <v>15538</v>
      </c>
      <c r="H432" s="103" t="s">
        <v>14843</v>
      </c>
      <c r="I432" s="29"/>
      <c r="J432" s="29"/>
      <c r="K432" s="29"/>
      <c r="L432" s="29"/>
      <c r="M432" s="29"/>
      <c r="N432" s="29"/>
      <c r="O432" s="29"/>
      <c r="P432" s="29"/>
    </row>
    <row r="433" spans="1:16" ht="112.5" customHeight="1" x14ac:dyDescent="0.2">
      <c r="A433" s="75">
        <v>184</v>
      </c>
      <c r="B433" s="94" t="s">
        <v>3533</v>
      </c>
      <c r="C433" s="94" t="s">
        <v>14441</v>
      </c>
      <c r="D433" s="95" t="s">
        <v>14442</v>
      </c>
      <c r="E433" s="96"/>
      <c r="F433" s="97" t="s">
        <v>15757</v>
      </c>
      <c r="G433" s="102" t="s">
        <v>15868</v>
      </c>
      <c r="H433" s="103" t="s">
        <v>15014</v>
      </c>
      <c r="I433" s="29"/>
      <c r="J433" s="29"/>
      <c r="K433" s="29"/>
      <c r="L433" s="29"/>
      <c r="M433" s="29"/>
      <c r="N433" s="29"/>
      <c r="O433" s="29"/>
      <c r="P433" s="29"/>
    </row>
    <row r="434" spans="1:16" ht="112.5" hidden="1" customHeight="1" x14ac:dyDescent="0.3">
      <c r="A434" s="100">
        <v>3934</v>
      </c>
      <c r="B434" s="24" t="s">
        <v>3533</v>
      </c>
      <c r="C434" s="24" t="s">
        <v>13855</v>
      </c>
      <c r="D434" s="25" t="s">
        <v>13856</v>
      </c>
      <c r="E434" s="29"/>
      <c r="F434" s="101" t="s">
        <v>15869</v>
      </c>
      <c r="G434" s="102" t="s">
        <v>15538</v>
      </c>
      <c r="H434" s="103" t="s">
        <v>15156</v>
      </c>
      <c r="I434" s="29"/>
      <c r="J434" s="29"/>
      <c r="K434" s="29"/>
      <c r="L434" s="29"/>
      <c r="M434" s="29"/>
      <c r="N434" s="29"/>
      <c r="O434" s="29"/>
      <c r="P434" s="29"/>
    </row>
    <row r="435" spans="1:16" ht="112.5" customHeight="1" x14ac:dyDescent="0.2">
      <c r="A435" s="75">
        <v>185</v>
      </c>
      <c r="B435" s="94" t="s">
        <v>3533</v>
      </c>
      <c r="C435" s="94" t="s">
        <v>12800</v>
      </c>
      <c r="D435" s="95" t="s">
        <v>12801</v>
      </c>
      <c r="E435" s="96"/>
      <c r="F435" s="97" t="s">
        <v>15564</v>
      </c>
      <c r="G435" s="98" t="s">
        <v>15572</v>
      </c>
      <c r="H435" s="99" t="s">
        <v>15291</v>
      </c>
      <c r="I435" s="29"/>
      <c r="J435" s="29"/>
      <c r="K435" s="29"/>
      <c r="L435" s="29"/>
      <c r="M435" s="29"/>
      <c r="N435" s="29"/>
      <c r="O435" s="29"/>
      <c r="P435" s="29"/>
    </row>
    <row r="436" spans="1:16" ht="112.5" customHeight="1" x14ac:dyDescent="0.2">
      <c r="A436" s="75">
        <v>186</v>
      </c>
      <c r="B436" s="94" t="s">
        <v>3533</v>
      </c>
      <c r="C436" s="94" t="s">
        <v>13680</v>
      </c>
      <c r="D436" s="95" t="s">
        <v>13681</v>
      </c>
      <c r="E436" s="96"/>
      <c r="F436" s="97" t="s">
        <v>15632</v>
      </c>
      <c r="G436" s="102" t="s">
        <v>15870</v>
      </c>
      <c r="H436" s="103" t="s">
        <v>15300</v>
      </c>
      <c r="I436" s="29"/>
      <c r="J436" s="29"/>
      <c r="K436" s="29"/>
      <c r="L436" s="29"/>
      <c r="M436" s="29"/>
      <c r="N436" s="29"/>
      <c r="O436" s="29"/>
      <c r="P436" s="29"/>
    </row>
    <row r="437" spans="1:16" ht="112.5" customHeight="1" x14ac:dyDescent="0.2">
      <c r="A437" s="75">
        <v>187</v>
      </c>
      <c r="B437" s="94" t="s">
        <v>3814</v>
      </c>
      <c r="C437" s="94" t="s">
        <v>15223</v>
      </c>
      <c r="D437" s="95" t="s">
        <v>15224</v>
      </c>
      <c r="E437" s="96"/>
      <c r="F437" s="97" t="s">
        <v>15593</v>
      </c>
      <c r="G437" s="102" t="s">
        <v>15572</v>
      </c>
      <c r="H437" s="103" t="s">
        <v>3505</v>
      </c>
      <c r="I437" s="29"/>
      <c r="J437" s="29"/>
      <c r="K437" s="29"/>
      <c r="L437" s="29"/>
      <c r="M437" s="29"/>
      <c r="N437" s="29"/>
      <c r="O437" s="29"/>
      <c r="P437" s="29"/>
    </row>
    <row r="438" spans="1:16" ht="112.5" customHeight="1" x14ac:dyDescent="0.2">
      <c r="A438" s="75">
        <v>188</v>
      </c>
      <c r="B438" s="94" t="s">
        <v>3814</v>
      </c>
      <c r="C438" s="94" t="s">
        <v>15500</v>
      </c>
      <c r="D438" s="95" t="s">
        <v>15501</v>
      </c>
      <c r="E438" s="96"/>
      <c r="F438" s="97" t="s">
        <v>15566</v>
      </c>
      <c r="G438" s="98" t="s">
        <v>15871</v>
      </c>
      <c r="H438" s="99" t="s">
        <v>3508</v>
      </c>
      <c r="I438" s="29"/>
      <c r="J438" s="29"/>
      <c r="K438" s="29"/>
      <c r="L438" s="29"/>
      <c r="M438" s="29"/>
      <c r="N438" s="29"/>
      <c r="O438" s="29"/>
      <c r="P438" s="29"/>
    </row>
    <row r="439" spans="1:16" ht="112.5" customHeight="1" x14ac:dyDescent="0.2">
      <c r="A439" s="75">
        <v>189</v>
      </c>
      <c r="B439" s="94" t="s">
        <v>3814</v>
      </c>
      <c r="C439" s="94" t="s">
        <v>15530</v>
      </c>
      <c r="D439" s="95" t="s">
        <v>15531</v>
      </c>
      <c r="E439" s="96"/>
      <c r="F439" s="97" t="s">
        <v>15569</v>
      </c>
      <c r="G439" s="102" t="s">
        <v>15702</v>
      </c>
      <c r="H439" s="103" t="s">
        <v>3525</v>
      </c>
      <c r="I439" s="29"/>
      <c r="J439" s="29"/>
      <c r="K439" s="29"/>
      <c r="L439" s="29"/>
      <c r="M439" s="29"/>
      <c r="N439" s="29"/>
      <c r="O439" s="29"/>
      <c r="P439" s="29"/>
    </row>
    <row r="440" spans="1:16" ht="112.5" customHeight="1" x14ac:dyDescent="0.2">
      <c r="A440" s="75">
        <v>190</v>
      </c>
      <c r="B440" s="94" t="s">
        <v>3814</v>
      </c>
      <c r="C440" s="94" t="s">
        <v>15133</v>
      </c>
      <c r="D440" s="95" t="s">
        <v>15134</v>
      </c>
      <c r="E440" s="96"/>
      <c r="F440" s="97" t="s">
        <v>15790</v>
      </c>
      <c r="G440" s="98" t="s">
        <v>15872</v>
      </c>
      <c r="H440" s="99" t="s">
        <v>3529</v>
      </c>
      <c r="I440" s="29"/>
      <c r="J440" s="29"/>
      <c r="K440" s="29"/>
      <c r="L440" s="29"/>
      <c r="M440" s="29"/>
      <c r="N440" s="29"/>
      <c r="O440" s="29"/>
      <c r="P440" s="29"/>
    </row>
    <row r="441" spans="1:16" ht="112.5" customHeight="1" x14ac:dyDescent="0.2">
      <c r="A441" s="75">
        <v>191</v>
      </c>
      <c r="B441" s="94" t="s">
        <v>3814</v>
      </c>
      <c r="C441" s="94" t="s">
        <v>15131</v>
      </c>
      <c r="D441" s="95" t="s">
        <v>15132</v>
      </c>
      <c r="E441" s="96"/>
      <c r="F441" s="97" t="s">
        <v>15730</v>
      </c>
      <c r="G441" s="102" t="s">
        <v>15873</v>
      </c>
      <c r="H441" s="103" t="s">
        <v>3532</v>
      </c>
      <c r="I441" s="29"/>
      <c r="J441" s="29"/>
      <c r="K441" s="29"/>
      <c r="L441" s="29"/>
      <c r="M441" s="29"/>
      <c r="N441" s="29"/>
      <c r="O441" s="29"/>
      <c r="P441" s="29"/>
    </row>
    <row r="442" spans="1:16" ht="112.5" hidden="1" customHeight="1" x14ac:dyDescent="0.3">
      <c r="A442" s="100">
        <v>64</v>
      </c>
      <c r="B442" s="24" t="s">
        <v>3814</v>
      </c>
      <c r="C442" s="24" t="s">
        <v>15274</v>
      </c>
      <c r="D442" s="25" t="s">
        <v>15275</v>
      </c>
      <c r="E442" s="29"/>
      <c r="F442" s="101" t="s">
        <v>15589</v>
      </c>
      <c r="G442" s="102" t="s">
        <v>15538</v>
      </c>
      <c r="H442" s="103" t="s">
        <v>3694</v>
      </c>
      <c r="I442" s="29"/>
      <c r="J442" s="29"/>
      <c r="K442" s="29"/>
      <c r="L442" s="29"/>
      <c r="M442" s="29"/>
      <c r="N442" s="29"/>
      <c r="O442" s="29"/>
      <c r="P442" s="29"/>
    </row>
    <row r="443" spans="1:16" ht="112.5" customHeight="1" x14ac:dyDescent="0.2">
      <c r="A443" s="75">
        <v>192</v>
      </c>
      <c r="B443" s="94" t="s">
        <v>3814</v>
      </c>
      <c r="C443" s="94" t="s">
        <v>14682</v>
      </c>
      <c r="D443" s="95" t="s">
        <v>14683</v>
      </c>
      <c r="E443" s="96"/>
      <c r="F443" s="97" t="s">
        <v>15655</v>
      </c>
      <c r="G443" s="98" t="s">
        <v>15582</v>
      </c>
      <c r="H443" s="99" t="s">
        <v>3715</v>
      </c>
      <c r="I443" s="29"/>
      <c r="J443" s="29"/>
      <c r="K443" s="29"/>
      <c r="L443" s="29"/>
      <c r="M443" s="29"/>
      <c r="N443" s="29"/>
      <c r="O443" s="29"/>
      <c r="P443" s="29"/>
    </row>
    <row r="444" spans="1:16" ht="112.5" customHeight="1" x14ac:dyDescent="0.2">
      <c r="A444" s="75">
        <v>193</v>
      </c>
      <c r="B444" s="94" t="s">
        <v>3814</v>
      </c>
      <c r="C444" s="94" t="s">
        <v>15247</v>
      </c>
      <c r="D444" s="95" t="s">
        <v>15248</v>
      </c>
      <c r="E444" s="96"/>
      <c r="F444" s="97" t="s">
        <v>15555</v>
      </c>
      <c r="G444" s="102" t="s">
        <v>15592</v>
      </c>
      <c r="H444" s="103" t="s">
        <v>3897</v>
      </c>
      <c r="I444" s="29"/>
      <c r="J444" s="29"/>
      <c r="K444" s="29"/>
      <c r="L444" s="29"/>
      <c r="M444" s="29"/>
      <c r="N444" s="29"/>
      <c r="O444" s="29"/>
      <c r="P444" s="29"/>
    </row>
    <row r="445" spans="1:16" ht="112.5" customHeight="1" x14ac:dyDescent="0.2">
      <c r="A445" s="75">
        <v>194</v>
      </c>
      <c r="B445" s="94" t="s">
        <v>3814</v>
      </c>
      <c r="C445" s="94" t="s">
        <v>15491</v>
      </c>
      <c r="D445" s="95" t="s">
        <v>15492</v>
      </c>
      <c r="E445" s="96"/>
      <c r="F445" s="97" t="s">
        <v>15550</v>
      </c>
      <c r="G445" s="98" t="s">
        <v>15874</v>
      </c>
      <c r="H445" s="99" t="s">
        <v>3949</v>
      </c>
      <c r="I445" s="29"/>
      <c r="J445" s="29"/>
      <c r="K445" s="29"/>
      <c r="L445" s="29"/>
      <c r="M445" s="29"/>
      <c r="N445" s="29"/>
      <c r="O445" s="29"/>
      <c r="P445" s="29"/>
    </row>
    <row r="446" spans="1:16" ht="112.5" customHeight="1" x14ac:dyDescent="0.2">
      <c r="A446" s="75">
        <v>195</v>
      </c>
      <c r="B446" s="94" t="s">
        <v>3814</v>
      </c>
      <c r="C446" s="94" t="s">
        <v>15125</v>
      </c>
      <c r="D446" s="95" t="s">
        <v>15126</v>
      </c>
      <c r="E446" s="96"/>
      <c r="F446" s="97" t="s">
        <v>15566</v>
      </c>
      <c r="G446" s="98" t="s">
        <v>15875</v>
      </c>
      <c r="H446" s="99" t="s">
        <v>4087</v>
      </c>
      <c r="I446" s="29"/>
      <c r="J446" s="29"/>
      <c r="K446" s="29"/>
      <c r="L446" s="29"/>
      <c r="M446" s="29"/>
      <c r="N446" s="29"/>
      <c r="O446" s="29"/>
      <c r="P446" s="29"/>
    </row>
    <row r="447" spans="1:16" ht="112.5" customHeight="1" x14ac:dyDescent="0.2">
      <c r="A447" s="75">
        <v>196</v>
      </c>
      <c r="B447" s="94" t="s">
        <v>3814</v>
      </c>
      <c r="C447" s="94" t="s">
        <v>14514</v>
      </c>
      <c r="D447" s="95" t="s">
        <v>14515</v>
      </c>
      <c r="E447" s="96"/>
      <c r="F447" s="97" t="s">
        <v>15535</v>
      </c>
      <c r="G447" s="98" t="s">
        <v>15876</v>
      </c>
      <c r="H447" s="99" t="s">
        <v>4134</v>
      </c>
      <c r="I447" s="29"/>
      <c r="J447" s="29"/>
      <c r="K447" s="29"/>
      <c r="L447" s="29"/>
      <c r="M447" s="29"/>
      <c r="N447" s="29"/>
      <c r="O447" s="29"/>
      <c r="P447" s="29"/>
    </row>
    <row r="448" spans="1:16" ht="112.5" hidden="1" customHeight="1" x14ac:dyDescent="0.3">
      <c r="A448" s="100">
        <v>226</v>
      </c>
      <c r="B448" s="24" t="s">
        <v>3814</v>
      </c>
      <c r="C448" s="24" t="s">
        <v>12797</v>
      </c>
      <c r="D448" s="25" t="s">
        <v>12798</v>
      </c>
      <c r="E448" s="29"/>
      <c r="F448" s="101" t="s">
        <v>15551</v>
      </c>
      <c r="G448" s="102" t="s">
        <v>15538</v>
      </c>
      <c r="H448" s="103" t="s">
        <v>4186</v>
      </c>
      <c r="I448" s="29"/>
      <c r="J448" s="29"/>
      <c r="K448" s="29"/>
      <c r="L448" s="29"/>
      <c r="M448" s="29"/>
      <c r="N448" s="29"/>
      <c r="O448" s="29"/>
      <c r="P448" s="29"/>
    </row>
    <row r="449" spans="1:16" ht="112.5" hidden="1" customHeight="1" x14ac:dyDescent="0.3">
      <c r="A449" s="104">
        <v>239</v>
      </c>
      <c r="B449" s="28" t="s">
        <v>3814</v>
      </c>
      <c r="C449" s="28" t="s">
        <v>13195</v>
      </c>
      <c r="D449" s="27" t="s">
        <v>13196</v>
      </c>
      <c r="E449" s="29"/>
      <c r="F449" s="105" t="s">
        <v>15539</v>
      </c>
      <c r="G449" s="98" t="s">
        <v>15538</v>
      </c>
      <c r="H449" s="99" t="s">
        <v>4225</v>
      </c>
      <c r="I449" s="29"/>
      <c r="J449" s="29"/>
      <c r="K449" s="29"/>
      <c r="L449" s="29"/>
      <c r="M449" s="29"/>
      <c r="N449" s="29"/>
      <c r="O449" s="29"/>
      <c r="P449" s="29"/>
    </row>
    <row r="450" spans="1:16" ht="112.5" customHeight="1" x14ac:dyDescent="0.2">
      <c r="A450" s="75">
        <v>197</v>
      </c>
      <c r="B450" s="94" t="s">
        <v>3814</v>
      </c>
      <c r="C450" s="94" t="s">
        <v>13111</v>
      </c>
      <c r="D450" s="95" t="s">
        <v>13112</v>
      </c>
      <c r="E450" s="96"/>
      <c r="F450" s="97" t="s">
        <v>15555</v>
      </c>
      <c r="G450" s="98" t="s">
        <v>15877</v>
      </c>
      <c r="H450" s="99" t="s">
        <v>7191</v>
      </c>
      <c r="I450" s="29"/>
      <c r="J450" s="29"/>
      <c r="K450" s="29"/>
      <c r="L450" s="29"/>
      <c r="M450" s="29"/>
      <c r="N450" s="29"/>
      <c r="O450" s="29"/>
      <c r="P450" s="29"/>
    </row>
    <row r="451" spans="1:16" ht="112.5" hidden="1" customHeight="1" x14ac:dyDescent="0.3">
      <c r="A451" s="100">
        <v>2032</v>
      </c>
      <c r="B451" s="24" t="s">
        <v>3814</v>
      </c>
      <c r="C451" s="24" t="s">
        <v>13005</v>
      </c>
      <c r="D451" s="25" t="s">
        <v>13006</v>
      </c>
      <c r="E451" s="29"/>
      <c r="F451" s="101" t="s">
        <v>15706</v>
      </c>
      <c r="G451" s="102" t="s">
        <v>15538</v>
      </c>
      <c r="H451" s="103" t="s">
        <v>9548</v>
      </c>
      <c r="I451" s="29"/>
      <c r="J451" s="29"/>
      <c r="K451" s="29"/>
      <c r="L451" s="29"/>
      <c r="M451" s="29"/>
      <c r="N451" s="29"/>
      <c r="O451" s="29"/>
      <c r="P451" s="29"/>
    </row>
    <row r="452" spans="1:16" ht="112.5" customHeight="1" x14ac:dyDescent="0.2">
      <c r="A452" s="75">
        <v>198</v>
      </c>
      <c r="B452" s="94" t="s">
        <v>3814</v>
      </c>
      <c r="C452" s="94" t="s">
        <v>13165</v>
      </c>
      <c r="D452" s="95" t="s">
        <v>13166</v>
      </c>
      <c r="E452" s="96"/>
      <c r="F452" s="97" t="s">
        <v>15606</v>
      </c>
      <c r="G452" s="98" t="s">
        <v>15585</v>
      </c>
      <c r="H452" s="99" t="s">
        <v>13797</v>
      </c>
      <c r="I452" s="29"/>
      <c r="J452" s="29"/>
      <c r="K452" s="29"/>
      <c r="L452" s="29"/>
      <c r="M452" s="29"/>
      <c r="N452" s="29"/>
      <c r="O452" s="29"/>
      <c r="P452" s="29"/>
    </row>
    <row r="453" spans="1:16" ht="112.5" hidden="1" customHeight="1" x14ac:dyDescent="0.3">
      <c r="A453" s="100">
        <v>3478</v>
      </c>
      <c r="B453" s="24" t="s">
        <v>3814</v>
      </c>
      <c r="C453" s="24" t="s">
        <v>13425</v>
      </c>
      <c r="D453" s="25" t="s">
        <v>13426</v>
      </c>
      <c r="E453" s="29"/>
      <c r="F453" s="101" t="s">
        <v>15546</v>
      </c>
      <c r="G453" s="102" t="s">
        <v>15538</v>
      </c>
      <c r="H453" s="103" t="s">
        <v>13800</v>
      </c>
      <c r="I453" s="29"/>
      <c r="J453" s="29"/>
      <c r="K453" s="29"/>
      <c r="L453" s="29"/>
      <c r="M453" s="29"/>
      <c r="N453" s="29"/>
      <c r="O453" s="29"/>
      <c r="P453" s="29"/>
    </row>
    <row r="454" spans="1:16" ht="112.5" customHeight="1" x14ac:dyDescent="0.2">
      <c r="A454" s="75">
        <v>199</v>
      </c>
      <c r="B454" s="94" t="s">
        <v>3814</v>
      </c>
      <c r="C454" s="94" t="s">
        <v>12773</v>
      </c>
      <c r="D454" s="95" t="s">
        <v>12774</v>
      </c>
      <c r="E454" s="96"/>
      <c r="F454" s="97" t="s">
        <v>15609</v>
      </c>
      <c r="G454" s="102" t="s">
        <v>15878</v>
      </c>
      <c r="H454" s="103" t="s">
        <v>13889</v>
      </c>
      <c r="I454" s="29"/>
      <c r="J454" s="29"/>
      <c r="K454" s="29"/>
      <c r="L454" s="29"/>
      <c r="M454" s="29"/>
      <c r="N454" s="29"/>
      <c r="O454" s="29"/>
      <c r="P454" s="29"/>
    </row>
    <row r="455" spans="1:16" ht="112.5" customHeight="1" x14ac:dyDescent="0.2">
      <c r="A455" s="75">
        <v>200</v>
      </c>
      <c r="B455" s="94" t="s">
        <v>3814</v>
      </c>
      <c r="C455" s="94" t="s">
        <v>12514</v>
      </c>
      <c r="D455" s="95" t="s">
        <v>12515</v>
      </c>
      <c r="E455" s="96"/>
      <c r="F455" s="97" t="s">
        <v>15638</v>
      </c>
      <c r="G455" s="98" t="s">
        <v>15879</v>
      </c>
      <c r="H455" s="99" t="s">
        <v>13975</v>
      </c>
      <c r="I455" s="29"/>
      <c r="J455" s="29"/>
      <c r="K455" s="29"/>
      <c r="L455" s="29"/>
      <c r="M455" s="29"/>
      <c r="N455" s="29"/>
      <c r="O455" s="29"/>
      <c r="P455" s="29"/>
    </row>
    <row r="456" spans="1:16" ht="112.5" customHeight="1" x14ac:dyDescent="0.2">
      <c r="A456" s="75">
        <v>201</v>
      </c>
      <c r="B456" s="94" t="s">
        <v>3814</v>
      </c>
      <c r="C456" s="94" t="s">
        <v>15392</v>
      </c>
      <c r="D456" s="95" t="s">
        <v>15393</v>
      </c>
      <c r="E456" s="96"/>
      <c r="F456" s="97" t="s">
        <v>15609</v>
      </c>
      <c r="G456" s="98" t="s">
        <v>15880</v>
      </c>
      <c r="H456" s="99" t="s">
        <v>14047</v>
      </c>
      <c r="I456" s="29"/>
      <c r="J456" s="29"/>
      <c r="K456" s="29"/>
      <c r="L456" s="29"/>
      <c r="M456" s="29"/>
      <c r="N456" s="29"/>
      <c r="O456" s="29"/>
      <c r="P456" s="29"/>
    </row>
    <row r="457" spans="1:16" ht="112.5" customHeight="1" x14ac:dyDescent="0.2">
      <c r="A457" s="75">
        <v>202</v>
      </c>
      <c r="B457" s="94" t="s">
        <v>3814</v>
      </c>
      <c r="C457" s="94" t="s">
        <v>13099</v>
      </c>
      <c r="D457" s="95" t="s">
        <v>13100</v>
      </c>
      <c r="E457" s="96"/>
      <c r="F457" s="97" t="s">
        <v>15749</v>
      </c>
      <c r="G457" s="102" t="s">
        <v>15881</v>
      </c>
      <c r="H457" s="103" t="s">
        <v>14056</v>
      </c>
      <c r="I457" s="29"/>
      <c r="J457" s="29"/>
      <c r="K457" s="29"/>
      <c r="L457" s="29"/>
      <c r="M457" s="29"/>
      <c r="N457" s="29"/>
      <c r="O457" s="29"/>
      <c r="P457" s="29"/>
    </row>
    <row r="458" spans="1:16" ht="112.5" customHeight="1" x14ac:dyDescent="0.2">
      <c r="A458" s="75">
        <v>203</v>
      </c>
      <c r="B458" s="94" t="s">
        <v>3814</v>
      </c>
      <c r="C458" s="94" t="s">
        <v>15292</v>
      </c>
      <c r="D458" s="95" t="s">
        <v>15293</v>
      </c>
      <c r="E458" s="96"/>
      <c r="F458" s="97" t="s">
        <v>15706</v>
      </c>
      <c r="G458" s="102" t="s">
        <v>15882</v>
      </c>
      <c r="H458" s="103" t="s">
        <v>14104</v>
      </c>
      <c r="I458" s="29"/>
      <c r="J458" s="29"/>
      <c r="K458" s="29"/>
      <c r="L458" s="29"/>
      <c r="M458" s="29"/>
      <c r="N458" s="29"/>
      <c r="O458" s="29"/>
      <c r="P458" s="29"/>
    </row>
    <row r="459" spans="1:16" ht="112.5" customHeight="1" x14ac:dyDescent="0.2">
      <c r="A459" s="75">
        <v>204</v>
      </c>
      <c r="B459" s="94" t="s">
        <v>3814</v>
      </c>
      <c r="C459" s="94" t="s">
        <v>12988</v>
      </c>
      <c r="D459" s="95" t="s">
        <v>12989</v>
      </c>
      <c r="E459" s="96"/>
      <c r="F459" s="97" t="s">
        <v>15563</v>
      </c>
      <c r="G459" s="98" t="s">
        <v>15883</v>
      </c>
      <c r="H459" s="99" t="s">
        <v>14107</v>
      </c>
      <c r="I459" s="29"/>
      <c r="J459" s="29"/>
      <c r="K459" s="29"/>
      <c r="L459" s="29"/>
      <c r="M459" s="29"/>
      <c r="N459" s="29"/>
      <c r="O459" s="29"/>
      <c r="P459" s="29"/>
    </row>
    <row r="460" spans="1:16" ht="112.5" customHeight="1" x14ac:dyDescent="0.2">
      <c r="A460" s="75">
        <v>205</v>
      </c>
      <c r="B460" s="94" t="s">
        <v>3814</v>
      </c>
      <c r="C460" s="94" t="s">
        <v>12937</v>
      </c>
      <c r="D460" s="95" t="s">
        <v>12938</v>
      </c>
      <c r="E460" s="96"/>
      <c r="F460" s="97" t="s">
        <v>15545</v>
      </c>
      <c r="G460" s="98" t="s">
        <v>15884</v>
      </c>
      <c r="H460" s="99" t="s">
        <v>14152</v>
      </c>
      <c r="I460" s="29"/>
      <c r="J460" s="29"/>
      <c r="K460" s="29"/>
      <c r="L460" s="29"/>
      <c r="M460" s="29"/>
      <c r="N460" s="29"/>
      <c r="O460" s="29"/>
      <c r="P460" s="29"/>
    </row>
    <row r="461" spans="1:16" ht="112.5" hidden="1" customHeight="1" x14ac:dyDescent="0.3">
      <c r="A461" s="104">
        <v>3619</v>
      </c>
      <c r="B461" s="28" t="s">
        <v>3814</v>
      </c>
      <c r="C461" s="28" t="s">
        <v>13123</v>
      </c>
      <c r="D461" s="27" t="s">
        <v>13124</v>
      </c>
      <c r="E461" s="29"/>
      <c r="F461" s="105" t="s">
        <v>15806</v>
      </c>
      <c r="G461" s="98" t="s">
        <v>15538</v>
      </c>
      <c r="H461" s="99" t="s">
        <v>14218</v>
      </c>
      <c r="I461" s="29"/>
      <c r="J461" s="29"/>
      <c r="K461" s="29"/>
      <c r="L461" s="29"/>
      <c r="M461" s="29"/>
      <c r="N461" s="29"/>
      <c r="O461" s="29"/>
      <c r="P461" s="29"/>
    </row>
    <row r="462" spans="1:16" ht="112.5" customHeight="1" x14ac:dyDescent="0.2">
      <c r="A462" s="75">
        <v>206</v>
      </c>
      <c r="B462" s="94" t="s">
        <v>3814</v>
      </c>
      <c r="C462" s="94" t="s">
        <v>12976</v>
      </c>
      <c r="D462" s="95" t="s">
        <v>12977</v>
      </c>
      <c r="E462" s="96"/>
      <c r="F462" s="97" t="s">
        <v>15546</v>
      </c>
      <c r="G462" s="102" t="s">
        <v>15885</v>
      </c>
      <c r="H462" s="103" t="s">
        <v>14221</v>
      </c>
      <c r="I462" s="29"/>
      <c r="J462" s="29"/>
      <c r="K462" s="29"/>
      <c r="L462" s="29"/>
      <c r="M462" s="29"/>
      <c r="N462" s="29"/>
      <c r="O462" s="29"/>
      <c r="P462" s="29"/>
    </row>
    <row r="463" spans="1:16" ht="112.5" hidden="1" customHeight="1" x14ac:dyDescent="0.3">
      <c r="A463" s="104">
        <v>3621</v>
      </c>
      <c r="B463" s="28" t="s">
        <v>3814</v>
      </c>
      <c r="C463" s="28" t="s">
        <v>12907</v>
      </c>
      <c r="D463" s="27" t="s">
        <v>12908</v>
      </c>
      <c r="E463" s="29"/>
      <c r="F463" s="105" t="s">
        <v>15626</v>
      </c>
      <c r="G463" s="98" t="s">
        <v>15538</v>
      </c>
      <c r="H463" s="99" t="s">
        <v>14224</v>
      </c>
      <c r="I463" s="29"/>
      <c r="J463" s="29"/>
      <c r="K463" s="29"/>
      <c r="L463" s="29"/>
      <c r="M463" s="29"/>
      <c r="N463" s="29"/>
      <c r="O463" s="29"/>
      <c r="P463" s="29"/>
    </row>
    <row r="464" spans="1:16" ht="112.5" hidden="1" customHeight="1" x14ac:dyDescent="0.3">
      <c r="A464" s="100">
        <v>3622</v>
      </c>
      <c r="B464" s="24" t="s">
        <v>3814</v>
      </c>
      <c r="C464" s="24" t="s">
        <v>13189</v>
      </c>
      <c r="D464" s="25" t="s">
        <v>13190</v>
      </c>
      <c r="E464" s="29"/>
      <c r="F464" s="101" t="s">
        <v>15655</v>
      </c>
      <c r="G464" s="102" t="s">
        <v>15538</v>
      </c>
      <c r="H464" s="103" t="s">
        <v>14227</v>
      </c>
      <c r="I464" s="29"/>
      <c r="J464" s="29"/>
      <c r="K464" s="29"/>
      <c r="L464" s="29"/>
      <c r="M464" s="29"/>
      <c r="N464" s="29"/>
      <c r="O464" s="29"/>
      <c r="P464" s="29"/>
    </row>
    <row r="465" spans="1:16" ht="112.5" customHeight="1" x14ac:dyDescent="0.2">
      <c r="A465" s="75">
        <v>207</v>
      </c>
      <c r="B465" s="94" t="s">
        <v>3814</v>
      </c>
      <c r="C465" s="94" t="s">
        <v>12991</v>
      </c>
      <c r="D465" s="95" t="s">
        <v>12992</v>
      </c>
      <c r="E465" s="96"/>
      <c r="F465" s="97" t="s">
        <v>15588</v>
      </c>
      <c r="G465" s="98" t="s">
        <v>15886</v>
      </c>
      <c r="H465" s="99" t="s">
        <v>14230</v>
      </c>
      <c r="I465" s="29"/>
      <c r="J465" s="29"/>
      <c r="K465" s="29"/>
      <c r="L465" s="29"/>
      <c r="M465" s="29"/>
      <c r="N465" s="29"/>
      <c r="O465" s="29"/>
      <c r="P465" s="29"/>
    </row>
    <row r="466" spans="1:16" ht="112.5" hidden="1" customHeight="1" x14ac:dyDescent="0.3">
      <c r="A466" s="100">
        <v>3624</v>
      </c>
      <c r="B466" s="24" t="s">
        <v>3814</v>
      </c>
      <c r="C466" s="24" t="s">
        <v>12628</v>
      </c>
      <c r="D466" s="25" t="s">
        <v>12629</v>
      </c>
      <c r="E466" s="29"/>
      <c r="F466" s="101" t="s">
        <v>15546</v>
      </c>
      <c r="G466" s="102" t="s">
        <v>15538</v>
      </c>
      <c r="H466" s="103" t="s">
        <v>14233</v>
      </c>
      <c r="I466" s="29"/>
      <c r="J466" s="29"/>
      <c r="K466" s="29"/>
      <c r="L466" s="29"/>
      <c r="M466" s="29"/>
      <c r="N466" s="29"/>
      <c r="O466" s="29"/>
      <c r="P466" s="29"/>
    </row>
    <row r="467" spans="1:16" ht="112.5" customHeight="1" x14ac:dyDescent="0.2">
      <c r="A467" s="75">
        <v>208</v>
      </c>
      <c r="B467" s="94" t="s">
        <v>3814</v>
      </c>
      <c r="C467" s="94" t="s">
        <v>12574</v>
      </c>
      <c r="D467" s="95" t="s">
        <v>12575</v>
      </c>
      <c r="E467" s="96"/>
      <c r="F467" s="97" t="s">
        <v>15632</v>
      </c>
      <c r="G467" s="98" t="s">
        <v>15887</v>
      </c>
      <c r="H467" s="99" t="s">
        <v>14236</v>
      </c>
      <c r="I467" s="29"/>
      <c r="J467" s="29"/>
      <c r="K467" s="29"/>
      <c r="L467" s="29"/>
      <c r="M467" s="29"/>
      <c r="N467" s="29"/>
      <c r="O467" s="29"/>
      <c r="P467" s="29"/>
    </row>
    <row r="468" spans="1:16" ht="112.5" hidden="1" customHeight="1" x14ac:dyDescent="0.3">
      <c r="A468" s="104">
        <v>3635</v>
      </c>
      <c r="B468" s="28" t="s">
        <v>3814</v>
      </c>
      <c r="C468" s="28" t="s">
        <v>13336</v>
      </c>
      <c r="D468" s="27" t="s">
        <v>13337</v>
      </c>
      <c r="E468" s="29"/>
      <c r="F468" s="105" t="s">
        <v>15694</v>
      </c>
      <c r="G468" s="98" t="s">
        <v>15538</v>
      </c>
      <c r="H468" s="99" t="s">
        <v>14266</v>
      </c>
      <c r="I468" s="29"/>
      <c r="J468" s="29"/>
      <c r="K468" s="29"/>
      <c r="L468" s="29"/>
      <c r="M468" s="29"/>
      <c r="N468" s="29"/>
      <c r="O468" s="29"/>
      <c r="P468" s="29"/>
    </row>
    <row r="469" spans="1:16" ht="112.5" customHeight="1" x14ac:dyDescent="0.2">
      <c r="A469" s="75">
        <v>209</v>
      </c>
      <c r="B469" s="94" t="s">
        <v>3814</v>
      </c>
      <c r="C469" s="94" t="s">
        <v>12601</v>
      </c>
      <c r="D469" s="95" t="s">
        <v>12602</v>
      </c>
      <c r="E469" s="96"/>
      <c r="F469" s="97" t="s">
        <v>15593</v>
      </c>
      <c r="G469" s="98" t="s">
        <v>15888</v>
      </c>
      <c r="H469" s="99" t="s">
        <v>14446</v>
      </c>
      <c r="I469" s="29"/>
      <c r="J469" s="29"/>
      <c r="K469" s="29"/>
      <c r="L469" s="29"/>
      <c r="M469" s="29"/>
      <c r="N469" s="29"/>
      <c r="O469" s="29"/>
      <c r="P469" s="29"/>
    </row>
    <row r="470" spans="1:16" ht="112.5" customHeight="1" x14ac:dyDescent="0.2">
      <c r="A470" s="75">
        <v>210</v>
      </c>
      <c r="B470" s="94" t="s">
        <v>3814</v>
      </c>
      <c r="C470" s="94" t="s">
        <v>14858</v>
      </c>
      <c r="D470" s="95" t="s">
        <v>14859</v>
      </c>
      <c r="E470" s="96"/>
      <c r="F470" s="97" t="s">
        <v>15599</v>
      </c>
      <c r="G470" s="102" t="s">
        <v>15889</v>
      </c>
      <c r="H470" s="103" t="s">
        <v>14567</v>
      </c>
      <c r="I470" s="29"/>
      <c r="J470" s="29"/>
      <c r="K470" s="29"/>
      <c r="L470" s="29"/>
      <c r="M470" s="29"/>
      <c r="N470" s="29"/>
      <c r="O470" s="29"/>
      <c r="P470" s="29"/>
    </row>
    <row r="471" spans="1:16" ht="112.5" hidden="1" customHeight="1" x14ac:dyDescent="0.3">
      <c r="A471" s="104">
        <v>3743</v>
      </c>
      <c r="B471" s="28" t="s">
        <v>3814</v>
      </c>
      <c r="C471" s="28" t="s">
        <v>14846</v>
      </c>
      <c r="D471" s="27" t="s">
        <v>14847</v>
      </c>
      <c r="E471" s="29"/>
      <c r="F471" s="105" t="s">
        <v>15535</v>
      </c>
      <c r="G471" s="98" t="s">
        <v>15538</v>
      </c>
      <c r="H471" s="99" t="s">
        <v>14588</v>
      </c>
      <c r="I471" s="29"/>
      <c r="J471" s="29"/>
      <c r="K471" s="29"/>
      <c r="L471" s="29"/>
      <c r="M471" s="29"/>
      <c r="N471" s="29"/>
      <c r="O471" s="29"/>
      <c r="P471" s="29"/>
    </row>
    <row r="472" spans="1:16" ht="112.5" hidden="1" customHeight="1" x14ac:dyDescent="0.3">
      <c r="A472" s="100">
        <v>3744</v>
      </c>
      <c r="B472" s="24" t="s">
        <v>3814</v>
      </c>
      <c r="C472" s="24" t="s">
        <v>14849</v>
      </c>
      <c r="D472" s="25" t="s">
        <v>14850</v>
      </c>
      <c r="E472" s="29"/>
      <c r="F472" s="101" t="s">
        <v>15762</v>
      </c>
      <c r="G472" s="102" t="s">
        <v>15538</v>
      </c>
      <c r="H472" s="103" t="s">
        <v>14591</v>
      </c>
      <c r="I472" s="29"/>
      <c r="J472" s="29"/>
      <c r="K472" s="29"/>
      <c r="L472" s="29"/>
      <c r="M472" s="29"/>
      <c r="N472" s="29"/>
      <c r="O472" s="29"/>
      <c r="P472" s="29"/>
    </row>
    <row r="473" spans="1:16" ht="112.5" hidden="1" customHeight="1" x14ac:dyDescent="0.3">
      <c r="A473" s="100">
        <v>3788</v>
      </c>
      <c r="B473" s="24" t="s">
        <v>3814</v>
      </c>
      <c r="C473" s="24" t="s">
        <v>13416</v>
      </c>
      <c r="D473" s="25" t="s">
        <v>13417</v>
      </c>
      <c r="E473" s="29"/>
      <c r="F473" s="101" t="s">
        <v>15810</v>
      </c>
      <c r="G473" s="102" t="s">
        <v>15538</v>
      </c>
      <c r="H473" s="103" t="s">
        <v>14723</v>
      </c>
      <c r="I473" s="29"/>
      <c r="J473" s="29"/>
      <c r="K473" s="29"/>
      <c r="L473" s="29"/>
      <c r="M473" s="29"/>
      <c r="N473" s="29"/>
      <c r="O473" s="29"/>
      <c r="P473" s="29"/>
    </row>
    <row r="474" spans="1:16" ht="112.5" customHeight="1" x14ac:dyDescent="0.2">
      <c r="A474" s="75">
        <v>211</v>
      </c>
      <c r="B474" s="94" t="s">
        <v>3814</v>
      </c>
      <c r="C474" s="94" t="s">
        <v>12842</v>
      </c>
      <c r="D474" s="95" t="s">
        <v>12843</v>
      </c>
      <c r="E474" s="96"/>
      <c r="F474" s="97" t="s">
        <v>15551</v>
      </c>
      <c r="G474" s="98" t="s">
        <v>15890</v>
      </c>
      <c r="H474" s="99" t="s">
        <v>14732</v>
      </c>
      <c r="I474" s="29"/>
      <c r="J474" s="29"/>
      <c r="K474" s="29"/>
      <c r="L474" s="29"/>
      <c r="M474" s="29"/>
      <c r="N474" s="29"/>
      <c r="O474" s="29"/>
      <c r="P474" s="29"/>
    </row>
    <row r="475" spans="1:16" ht="112.5" customHeight="1" x14ac:dyDescent="0.2">
      <c r="A475" s="75">
        <v>212</v>
      </c>
      <c r="B475" s="94" t="s">
        <v>3814</v>
      </c>
      <c r="C475" s="94" t="s">
        <v>12577</v>
      </c>
      <c r="D475" s="95" t="s">
        <v>12578</v>
      </c>
      <c r="E475" s="96"/>
      <c r="F475" s="97" t="s">
        <v>15569</v>
      </c>
      <c r="G475" s="102" t="s">
        <v>15891</v>
      </c>
      <c r="H475" s="103" t="s">
        <v>14735</v>
      </c>
      <c r="I475" s="29"/>
      <c r="J475" s="29"/>
      <c r="K475" s="29"/>
      <c r="L475" s="29"/>
      <c r="M475" s="29"/>
      <c r="N475" s="29"/>
      <c r="O475" s="29"/>
      <c r="P475" s="29"/>
    </row>
    <row r="476" spans="1:16" ht="112.5" hidden="1" customHeight="1" x14ac:dyDescent="0.3">
      <c r="A476" s="104">
        <v>3809</v>
      </c>
      <c r="B476" s="28" t="s">
        <v>3814</v>
      </c>
      <c r="C476" s="28" t="s">
        <v>13075</v>
      </c>
      <c r="D476" s="27" t="s">
        <v>13076</v>
      </c>
      <c r="E476" s="29"/>
      <c r="F476" s="105" t="s">
        <v>15635</v>
      </c>
      <c r="G476" s="107" t="s">
        <v>4171</v>
      </c>
      <c r="H476" s="99" t="s">
        <v>14786</v>
      </c>
      <c r="I476" s="29"/>
      <c r="J476" s="29"/>
      <c r="K476" s="29"/>
      <c r="L476" s="29"/>
      <c r="M476" s="29"/>
      <c r="N476" s="29"/>
      <c r="O476" s="29"/>
      <c r="P476" s="29"/>
    </row>
    <row r="477" spans="1:16" ht="112.5" hidden="1" customHeight="1" x14ac:dyDescent="0.3">
      <c r="A477" s="100">
        <v>3814</v>
      </c>
      <c r="B477" s="24" t="s">
        <v>3814</v>
      </c>
      <c r="C477" s="24" t="s">
        <v>13229</v>
      </c>
      <c r="D477" s="25" t="s">
        <v>13230</v>
      </c>
      <c r="E477" s="29"/>
      <c r="F477" s="101" t="s">
        <v>15586</v>
      </c>
      <c r="G477" s="102" t="s">
        <v>15538</v>
      </c>
      <c r="H477" s="103" t="s">
        <v>14801</v>
      </c>
      <c r="I477" s="29"/>
      <c r="J477" s="29"/>
      <c r="K477" s="29"/>
      <c r="L477" s="29"/>
      <c r="M477" s="29"/>
      <c r="N477" s="29"/>
      <c r="O477" s="29"/>
      <c r="P477" s="29"/>
    </row>
    <row r="478" spans="1:16" ht="112.5" hidden="1" customHeight="1" x14ac:dyDescent="0.3">
      <c r="A478" s="104">
        <v>3815</v>
      </c>
      <c r="B478" s="28" t="s">
        <v>3814</v>
      </c>
      <c r="C478" s="28" t="s">
        <v>12943</v>
      </c>
      <c r="D478" s="27" t="s">
        <v>12944</v>
      </c>
      <c r="E478" s="29"/>
      <c r="F478" s="105" t="s">
        <v>15606</v>
      </c>
      <c r="G478" s="98" t="s">
        <v>15538</v>
      </c>
      <c r="H478" s="99" t="s">
        <v>14804</v>
      </c>
      <c r="I478" s="29"/>
      <c r="J478" s="29"/>
      <c r="K478" s="29"/>
      <c r="L478" s="29"/>
      <c r="M478" s="29"/>
      <c r="N478" s="29"/>
      <c r="O478" s="29"/>
      <c r="P478" s="29"/>
    </row>
    <row r="479" spans="1:16" ht="112.5" customHeight="1" x14ac:dyDescent="0.2">
      <c r="A479" s="75">
        <v>213</v>
      </c>
      <c r="B479" s="94" t="s">
        <v>3814</v>
      </c>
      <c r="C479" s="94" t="s">
        <v>14580</v>
      </c>
      <c r="D479" s="95" t="s">
        <v>14581</v>
      </c>
      <c r="E479" s="96"/>
      <c r="F479" s="97" t="s">
        <v>15635</v>
      </c>
      <c r="G479" s="102" t="s">
        <v>15892</v>
      </c>
      <c r="H479" s="103" t="s">
        <v>14895</v>
      </c>
      <c r="I479" s="29"/>
      <c r="J479" s="29"/>
      <c r="K479" s="29"/>
      <c r="L479" s="29"/>
      <c r="M479" s="29"/>
      <c r="N479" s="29"/>
      <c r="O479" s="29"/>
      <c r="P479" s="29"/>
    </row>
    <row r="480" spans="1:16" ht="112.5" customHeight="1" x14ac:dyDescent="0.2">
      <c r="A480" s="75">
        <v>214</v>
      </c>
      <c r="B480" s="94" t="s">
        <v>3814</v>
      </c>
      <c r="C480" s="94" t="s">
        <v>12970</v>
      </c>
      <c r="D480" s="95" t="s">
        <v>12971</v>
      </c>
      <c r="E480" s="96"/>
      <c r="F480" s="97" t="s">
        <v>15548</v>
      </c>
      <c r="G480" s="102" t="s">
        <v>15893</v>
      </c>
      <c r="H480" s="103" t="s">
        <v>14996</v>
      </c>
      <c r="I480" s="29"/>
      <c r="J480" s="29"/>
      <c r="K480" s="29"/>
      <c r="L480" s="29"/>
      <c r="M480" s="29"/>
      <c r="N480" s="29"/>
      <c r="O480" s="29"/>
      <c r="P480" s="29"/>
    </row>
    <row r="481" spans="1:16" ht="112.5" customHeight="1" x14ac:dyDescent="0.2">
      <c r="A481" s="75">
        <v>215</v>
      </c>
      <c r="B481" s="94" t="s">
        <v>3814</v>
      </c>
      <c r="C481" s="94" t="s">
        <v>13132</v>
      </c>
      <c r="D481" s="95" t="s">
        <v>13133</v>
      </c>
      <c r="E481" s="96"/>
      <c r="F481" s="97" t="s">
        <v>15693</v>
      </c>
      <c r="G481" s="98" t="s">
        <v>15894</v>
      </c>
      <c r="H481" s="99" t="s">
        <v>15035</v>
      </c>
      <c r="I481" s="29"/>
      <c r="J481" s="29"/>
      <c r="K481" s="29"/>
      <c r="L481" s="29"/>
      <c r="M481" s="29"/>
      <c r="N481" s="29"/>
      <c r="O481" s="29"/>
      <c r="P481" s="29"/>
    </row>
    <row r="482" spans="1:16" ht="112.5" customHeight="1" x14ac:dyDescent="0.2">
      <c r="A482" s="75">
        <v>216</v>
      </c>
      <c r="B482" s="94" t="s">
        <v>3814</v>
      </c>
      <c r="C482" s="94" t="s">
        <v>13714</v>
      </c>
      <c r="D482" s="95" t="s">
        <v>13715</v>
      </c>
      <c r="E482" s="96"/>
      <c r="F482" s="97" t="s">
        <v>15749</v>
      </c>
      <c r="G482" s="98" t="s">
        <v>15895</v>
      </c>
      <c r="H482" s="99" t="s">
        <v>15327</v>
      </c>
      <c r="I482" s="29"/>
      <c r="J482" s="29"/>
      <c r="K482" s="29"/>
      <c r="L482" s="29"/>
      <c r="M482" s="29"/>
      <c r="N482" s="29"/>
      <c r="O482" s="29"/>
      <c r="P482" s="29"/>
    </row>
    <row r="483" spans="1:16" ht="112.5" hidden="1" customHeight="1" x14ac:dyDescent="0.3">
      <c r="A483" s="100">
        <v>3992</v>
      </c>
      <c r="B483" s="24" t="s">
        <v>3814</v>
      </c>
      <c r="C483" s="24" t="s">
        <v>13711</v>
      </c>
      <c r="D483" s="25" t="s">
        <v>13712</v>
      </c>
      <c r="E483" s="29"/>
      <c r="F483" s="101" t="s">
        <v>15588</v>
      </c>
      <c r="G483" s="102" t="s">
        <v>15538</v>
      </c>
      <c r="H483" s="110"/>
      <c r="I483" s="29"/>
      <c r="J483" s="29"/>
      <c r="K483" s="29"/>
      <c r="L483" s="29"/>
      <c r="M483" s="29"/>
      <c r="N483" s="29"/>
      <c r="O483" s="29"/>
      <c r="P483" s="29"/>
    </row>
    <row r="484" spans="1:16" ht="112.5" customHeight="1" x14ac:dyDescent="0.2">
      <c r="A484" s="75">
        <v>217</v>
      </c>
      <c r="B484" s="94" t="s">
        <v>3814</v>
      </c>
      <c r="C484" s="94" t="s">
        <v>13703</v>
      </c>
      <c r="D484" s="95" t="s">
        <v>13704</v>
      </c>
      <c r="E484" s="96"/>
      <c r="F484" s="97" t="s">
        <v>15749</v>
      </c>
      <c r="G484" s="98" t="s">
        <v>15896</v>
      </c>
      <c r="H484" s="99" t="s">
        <v>15332</v>
      </c>
      <c r="I484" s="29"/>
      <c r="J484" s="29"/>
      <c r="K484" s="29"/>
      <c r="L484" s="29"/>
      <c r="M484" s="29"/>
      <c r="N484" s="29"/>
      <c r="O484" s="29"/>
      <c r="P484" s="29"/>
    </row>
    <row r="485" spans="1:16" ht="112.5" hidden="1" customHeight="1" x14ac:dyDescent="0.3">
      <c r="A485" s="104">
        <v>4009</v>
      </c>
      <c r="B485" s="28" t="s">
        <v>3814</v>
      </c>
      <c r="C485" s="28" t="s">
        <v>13625</v>
      </c>
      <c r="D485" s="27" t="s">
        <v>13626</v>
      </c>
      <c r="E485" s="29"/>
      <c r="F485" s="105" t="s">
        <v>15552</v>
      </c>
      <c r="G485" s="98" t="s">
        <v>15538</v>
      </c>
      <c r="H485" s="99" t="s">
        <v>15380</v>
      </c>
      <c r="I485" s="29"/>
      <c r="J485" s="29"/>
      <c r="K485" s="29"/>
      <c r="L485" s="29"/>
      <c r="M485" s="29"/>
      <c r="N485" s="29"/>
      <c r="O485" s="29"/>
      <c r="P485" s="29"/>
    </row>
    <row r="486" spans="1:16" ht="112.5" hidden="1" customHeight="1" x14ac:dyDescent="0.3">
      <c r="A486" s="100">
        <v>4032</v>
      </c>
      <c r="B486" s="24" t="s">
        <v>3814</v>
      </c>
      <c r="C486" s="24" t="s">
        <v>13455</v>
      </c>
      <c r="D486" s="25" t="s">
        <v>13456</v>
      </c>
      <c r="E486" s="29"/>
      <c r="F486" s="101" t="s">
        <v>15548</v>
      </c>
      <c r="G486" s="102" t="s">
        <v>15538</v>
      </c>
      <c r="H486" s="103" t="s">
        <v>15448</v>
      </c>
      <c r="I486" s="29"/>
      <c r="J486" s="29"/>
      <c r="K486" s="29"/>
      <c r="L486" s="29"/>
      <c r="M486" s="29"/>
      <c r="N486" s="29"/>
      <c r="O486" s="29"/>
      <c r="P486" s="29"/>
    </row>
    <row r="487" spans="1:16" ht="112.5" customHeight="1" x14ac:dyDescent="0.2">
      <c r="A487" s="75">
        <v>218</v>
      </c>
      <c r="B487" s="94" t="s">
        <v>3513</v>
      </c>
      <c r="C487" s="94" t="s">
        <v>14496</v>
      </c>
      <c r="D487" s="95" t="s">
        <v>14497</v>
      </c>
      <c r="E487" s="96"/>
      <c r="F487" s="97" t="s">
        <v>15626</v>
      </c>
      <c r="G487" s="102" t="s">
        <v>15893</v>
      </c>
      <c r="H487" s="103" t="s">
        <v>3559</v>
      </c>
      <c r="I487" s="29"/>
      <c r="J487" s="29"/>
      <c r="K487" s="29"/>
      <c r="L487" s="29"/>
      <c r="M487" s="29"/>
      <c r="N487" s="29"/>
      <c r="O487" s="29"/>
      <c r="P487" s="29"/>
    </row>
    <row r="488" spans="1:16" ht="112.5" customHeight="1" x14ac:dyDescent="0.2">
      <c r="A488" s="75">
        <v>219</v>
      </c>
      <c r="B488" s="94" t="s">
        <v>3513</v>
      </c>
      <c r="C488" s="94" t="s">
        <v>14499</v>
      </c>
      <c r="D488" s="95" t="s">
        <v>14500</v>
      </c>
      <c r="E488" s="96"/>
      <c r="F488" s="97" t="s">
        <v>15563</v>
      </c>
      <c r="G488" s="98" t="s">
        <v>15897</v>
      </c>
      <c r="H488" s="99" t="s">
        <v>3562</v>
      </c>
      <c r="I488" s="29"/>
      <c r="J488" s="29"/>
      <c r="K488" s="29"/>
      <c r="L488" s="29"/>
      <c r="M488" s="29"/>
      <c r="N488" s="29"/>
      <c r="O488" s="29"/>
      <c r="P488" s="29"/>
    </row>
    <row r="489" spans="1:16" ht="112.5" customHeight="1" x14ac:dyDescent="0.2">
      <c r="A489" s="75">
        <v>220</v>
      </c>
      <c r="B489" s="94" t="s">
        <v>3513</v>
      </c>
      <c r="C489" s="94" t="s">
        <v>15030</v>
      </c>
      <c r="D489" s="95" t="s">
        <v>15031</v>
      </c>
      <c r="E489" s="96"/>
      <c r="F489" s="97" t="s">
        <v>15589</v>
      </c>
      <c r="G489" s="102" t="s">
        <v>15729</v>
      </c>
      <c r="H489" s="103" t="s">
        <v>3565</v>
      </c>
      <c r="I489" s="29"/>
      <c r="J489" s="29"/>
      <c r="K489" s="29"/>
      <c r="L489" s="29"/>
      <c r="M489" s="29"/>
      <c r="N489" s="29"/>
      <c r="O489" s="29"/>
      <c r="P489" s="29"/>
    </row>
    <row r="490" spans="1:16" ht="112.5" customHeight="1" x14ac:dyDescent="0.2">
      <c r="A490" s="75">
        <v>221</v>
      </c>
      <c r="B490" s="94" t="s">
        <v>3513</v>
      </c>
      <c r="C490" s="94" t="s">
        <v>13646</v>
      </c>
      <c r="D490" s="95" t="s">
        <v>13647</v>
      </c>
      <c r="E490" s="96"/>
      <c r="F490" s="97" t="s">
        <v>15557</v>
      </c>
      <c r="G490" s="98" t="s">
        <v>15687</v>
      </c>
      <c r="H490" s="99" t="s">
        <v>3568</v>
      </c>
      <c r="I490" s="29"/>
      <c r="J490" s="29"/>
      <c r="K490" s="29"/>
      <c r="L490" s="29"/>
      <c r="M490" s="29"/>
      <c r="N490" s="29"/>
      <c r="O490" s="29"/>
      <c r="P490" s="29"/>
    </row>
    <row r="491" spans="1:16" ht="112.5" hidden="1" customHeight="1" x14ac:dyDescent="0.3">
      <c r="A491" s="100">
        <v>26</v>
      </c>
      <c r="B491" s="24" t="s">
        <v>3513</v>
      </c>
      <c r="C491" s="24" t="s">
        <v>13649</v>
      </c>
      <c r="D491" s="25" t="s">
        <v>13650</v>
      </c>
      <c r="E491" s="29"/>
      <c r="F491" s="101" t="s">
        <v>15589</v>
      </c>
      <c r="G491" s="102" t="s">
        <v>15538</v>
      </c>
      <c r="H491" s="103" t="s">
        <v>3577</v>
      </c>
      <c r="I491" s="29"/>
      <c r="J491" s="29"/>
      <c r="K491" s="29"/>
      <c r="L491" s="29"/>
      <c r="M491" s="29"/>
      <c r="N491" s="29"/>
      <c r="O491" s="29"/>
      <c r="P491" s="29"/>
    </row>
    <row r="492" spans="1:16" ht="112.5" customHeight="1" x14ac:dyDescent="0.2">
      <c r="A492" s="75">
        <v>222</v>
      </c>
      <c r="B492" s="94" t="s">
        <v>3513</v>
      </c>
      <c r="C492" s="94" t="s">
        <v>15033</v>
      </c>
      <c r="D492" s="95" t="s">
        <v>15034</v>
      </c>
      <c r="E492" s="96"/>
      <c r="F492" s="97" t="s">
        <v>15589</v>
      </c>
      <c r="G492" s="98" t="s">
        <v>15898</v>
      </c>
      <c r="H492" s="99" t="s">
        <v>3580</v>
      </c>
      <c r="I492" s="29"/>
      <c r="J492" s="29"/>
      <c r="K492" s="29"/>
      <c r="L492" s="29"/>
      <c r="M492" s="29"/>
      <c r="N492" s="29"/>
      <c r="O492" s="29"/>
      <c r="P492" s="29"/>
    </row>
    <row r="493" spans="1:16" ht="112.5" customHeight="1" x14ac:dyDescent="0.2">
      <c r="A493" s="75">
        <v>223</v>
      </c>
      <c r="B493" s="94" t="s">
        <v>3513</v>
      </c>
      <c r="C493" s="94" t="s">
        <v>15304</v>
      </c>
      <c r="D493" s="95" t="s">
        <v>15305</v>
      </c>
      <c r="E493" s="96"/>
      <c r="F493" s="97" t="s">
        <v>15632</v>
      </c>
      <c r="G493" s="98" t="s">
        <v>15724</v>
      </c>
      <c r="H493" s="99" t="s">
        <v>3598</v>
      </c>
      <c r="I493" s="29"/>
      <c r="J493" s="29"/>
      <c r="K493" s="29"/>
      <c r="L493" s="29"/>
      <c r="M493" s="29"/>
      <c r="N493" s="29"/>
      <c r="O493" s="29"/>
      <c r="P493" s="29"/>
    </row>
    <row r="494" spans="1:16" ht="112.5" customHeight="1" x14ac:dyDescent="0.2">
      <c r="A494" s="75">
        <v>224</v>
      </c>
      <c r="B494" s="94" t="s">
        <v>3513</v>
      </c>
      <c r="C494" s="94" t="s">
        <v>14820</v>
      </c>
      <c r="D494" s="95" t="s">
        <v>14821</v>
      </c>
      <c r="E494" s="96"/>
      <c r="F494" s="97" t="s">
        <v>15606</v>
      </c>
      <c r="G494" s="102" t="s">
        <v>15899</v>
      </c>
      <c r="H494" s="103" t="s">
        <v>3602</v>
      </c>
      <c r="I494" s="29"/>
      <c r="J494" s="29"/>
      <c r="K494" s="29"/>
      <c r="L494" s="29"/>
      <c r="M494" s="29"/>
      <c r="N494" s="29"/>
      <c r="O494" s="29"/>
      <c r="P494" s="29"/>
    </row>
    <row r="495" spans="1:16" ht="112.5" customHeight="1" x14ac:dyDescent="0.2">
      <c r="A495" s="75">
        <v>225</v>
      </c>
      <c r="B495" s="94" t="s">
        <v>3513</v>
      </c>
      <c r="C495" s="94" t="s">
        <v>15104</v>
      </c>
      <c r="D495" s="95" t="s">
        <v>15105</v>
      </c>
      <c r="E495" s="96"/>
      <c r="F495" s="97" t="s">
        <v>15593</v>
      </c>
      <c r="G495" s="98" t="s">
        <v>15900</v>
      </c>
      <c r="H495" s="99" t="s">
        <v>3623</v>
      </c>
      <c r="I495" s="29"/>
      <c r="J495" s="29"/>
      <c r="K495" s="29"/>
      <c r="L495" s="29"/>
      <c r="M495" s="29"/>
      <c r="N495" s="29"/>
      <c r="O495" s="29"/>
      <c r="P495" s="29"/>
    </row>
    <row r="496" spans="1:16" ht="112.5" customHeight="1" x14ac:dyDescent="0.2">
      <c r="A496" s="75">
        <v>226</v>
      </c>
      <c r="B496" s="94" t="s">
        <v>3513</v>
      </c>
      <c r="C496" s="94" t="s">
        <v>57</v>
      </c>
      <c r="D496" s="95" t="s">
        <v>58</v>
      </c>
      <c r="E496" s="96"/>
      <c r="F496" s="97" t="s">
        <v>15557</v>
      </c>
      <c r="G496" s="102" t="s">
        <v>15582</v>
      </c>
      <c r="H496" s="103" t="s">
        <v>3688</v>
      </c>
      <c r="I496" s="29"/>
      <c r="J496" s="29"/>
      <c r="K496" s="29"/>
      <c r="L496" s="29"/>
      <c r="M496" s="29"/>
      <c r="N496" s="29"/>
      <c r="O496" s="29"/>
      <c r="P496" s="29"/>
    </row>
    <row r="497" spans="1:16" ht="112.5" hidden="1" customHeight="1" x14ac:dyDescent="0.3">
      <c r="A497" s="100">
        <v>70</v>
      </c>
      <c r="B497" s="24" t="s">
        <v>3513</v>
      </c>
      <c r="C497" s="24" t="s">
        <v>14721</v>
      </c>
      <c r="D497" s="25" t="s">
        <v>14722</v>
      </c>
      <c r="E497" s="29"/>
      <c r="F497" s="101" t="s">
        <v>15581</v>
      </c>
      <c r="G497" s="102" t="s">
        <v>15538</v>
      </c>
      <c r="H497" s="103" t="s">
        <v>3712</v>
      </c>
      <c r="I497" s="29"/>
      <c r="J497" s="29"/>
      <c r="K497" s="29"/>
      <c r="L497" s="29"/>
      <c r="M497" s="29"/>
      <c r="N497" s="29"/>
      <c r="O497" s="29"/>
      <c r="P497" s="29"/>
    </row>
    <row r="498" spans="1:16" ht="112.5" customHeight="1" x14ac:dyDescent="0.2">
      <c r="A498" s="75">
        <v>227</v>
      </c>
      <c r="B498" s="94" t="s">
        <v>3513</v>
      </c>
      <c r="C498" s="94" t="s">
        <v>14790</v>
      </c>
      <c r="D498" s="95" t="s">
        <v>14791</v>
      </c>
      <c r="E498" s="96"/>
      <c r="F498" s="97" t="s">
        <v>15859</v>
      </c>
      <c r="G498" s="98" t="s">
        <v>15901</v>
      </c>
      <c r="H498" s="99" t="s">
        <v>3721</v>
      </c>
      <c r="I498" s="29"/>
      <c r="J498" s="29"/>
      <c r="K498" s="29"/>
      <c r="L498" s="29"/>
      <c r="M498" s="29"/>
      <c r="N498" s="29"/>
      <c r="O498" s="29"/>
      <c r="P498" s="29"/>
    </row>
    <row r="499" spans="1:16" ht="112.5" hidden="1" customHeight="1" x14ac:dyDescent="0.3">
      <c r="A499" s="104">
        <v>95</v>
      </c>
      <c r="B499" s="28" t="s">
        <v>3513</v>
      </c>
      <c r="C499" s="28" t="s">
        <v>15256</v>
      </c>
      <c r="D499" s="27" t="s">
        <v>15257</v>
      </c>
      <c r="E499" s="29"/>
      <c r="F499" s="105" t="s">
        <v>15902</v>
      </c>
      <c r="G499" s="98" t="s">
        <v>15538</v>
      </c>
      <c r="H499" s="99" t="s">
        <v>3788</v>
      </c>
      <c r="I499" s="29"/>
      <c r="J499" s="29"/>
      <c r="K499" s="29"/>
      <c r="L499" s="29"/>
      <c r="M499" s="29"/>
      <c r="N499" s="29"/>
      <c r="O499" s="29"/>
      <c r="P499" s="29"/>
    </row>
    <row r="500" spans="1:16" ht="112.5" customHeight="1" x14ac:dyDescent="0.2">
      <c r="A500" s="75">
        <v>228</v>
      </c>
      <c r="B500" s="94" t="s">
        <v>3513</v>
      </c>
      <c r="C500" s="94" t="s">
        <v>15259</v>
      </c>
      <c r="D500" s="95" t="s">
        <v>15260</v>
      </c>
      <c r="E500" s="96"/>
      <c r="F500" s="97" t="s">
        <v>15609</v>
      </c>
      <c r="G500" s="102" t="s">
        <v>15903</v>
      </c>
      <c r="H500" s="103" t="s">
        <v>3837</v>
      </c>
      <c r="I500" s="29"/>
      <c r="J500" s="29"/>
      <c r="K500" s="29"/>
      <c r="L500" s="29"/>
      <c r="M500" s="29"/>
      <c r="N500" s="29"/>
      <c r="O500" s="29"/>
      <c r="P500" s="29"/>
    </row>
    <row r="501" spans="1:16" ht="112.5" customHeight="1" x14ac:dyDescent="0.2">
      <c r="A501" s="75">
        <v>229</v>
      </c>
      <c r="B501" s="94" t="s">
        <v>3513</v>
      </c>
      <c r="C501" s="94" t="s">
        <v>13686</v>
      </c>
      <c r="D501" s="95" t="s">
        <v>13687</v>
      </c>
      <c r="E501" s="96"/>
      <c r="F501" s="97" t="s">
        <v>15842</v>
      </c>
      <c r="G501" s="98" t="s">
        <v>15904</v>
      </c>
      <c r="H501" s="99" t="s">
        <v>3901</v>
      </c>
      <c r="I501" s="29"/>
      <c r="J501" s="29"/>
      <c r="K501" s="29"/>
      <c r="L501" s="29"/>
      <c r="M501" s="29"/>
      <c r="N501" s="29"/>
      <c r="O501" s="29"/>
      <c r="P501" s="29"/>
    </row>
    <row r="502" spans="1:16" ht="112.5" hidden="1" customHeight="1" x14ac:dyDescent="0.3">
      <c r="A502" s="104">
        <v>139</v>
      </c>
      <c r="B502" s="28" t="s">
        <v>3513</v>
      </c>
      <c r="C502" s="28" t="s">
        <v>15190</v>
      </c>
      <c r="D502" s="27" t="s">
        <v>15191</v>
      </c>
      <c r="E502" s="29"/>
      <c r="F502" s="105" t="s">
        <v>15581</v>
      </c>
      <c r="G502" s="98" t="s">
        <v>15538</v>
      </c>
      <c r="H502" s="99" t="s">
        <v>3925</v>
      </c>
      <c r="I502" s="29"/>
      <c r="J502" s="29"/>
      <c r="K502" s="29"/>
      <c r="L502" s="29"/>
      <c r="M502" s="29"/>
      <c r="N502" s="29"/>
      <c r="O502" s="29"/>
      <c r="P502" s="29"/>
    </row>
    <row r="503" spans="1:16" ht="112.5" hidden="1" customHeight="1" x14ac:dyDescent="0.3">
      <c r="A503" s="100">
        <v>146</v>
      </c>
      <c r="B503" s="24" t="s">
        <v>3513</v>
      </c>
      <c r="C503" s="24" t="s">
        <v>13631</v>
      </c>
      <c r="D503" s="25" t="s">
        <v>13632</v>
      </c>
      <c r="E503" s="29"/>
      <c r="F503" s="101" t="s">
        <v>15797</v>
      </c>
      <c r="G503" s="102" t="s">
        <v>15538</v>
      </c>
      <c r="H503" s="103" t="s">
        <v>3946</v>
      </c>
      <c r="I503" s="29"/>
      <c r="J503" s="29"/>
      <c r="K503" s="29"/>
      <c r="L503" s="29"/>
      <c r="M503" s="29"/>
      <c r="N503" s="29"/>
      <c r="O503" s="29"/>
      <c r="P503" s="29"/>
    </row>
    <row r="504" spans="1:16" ht="112.5" customHeight="1" x14ac:dyDescent="0.2">
      <c r="A504" s="75">
        <v>230</v>
      </c>
      <c r="B504" s="94" t="s">
        <v>3513</v>
      </c>
      <c r="C504" s="94" t="s">
        <v>15265</v>
      </c>
      <c r="D504" s="95" t="s">
        <v>15266</v>
      </c>
      <c r="E504" s="96"/>
      <c r="F504" s="97" t="s">
        <v>15551</v>
      </c>
      <c r="G504" s="102" t="s">
        <v>15582</v>
      </c>
      <c r="H504" s="103" t="s">
        <v>4054</v>
      </c>
      <c r="I504" s="29"/>
      <c r="J504" s="29"/>
      <c r="K504" s="29"/>
      <c r="L504" s="29"/>
      <c r="M504" s="29"/>
      <c r="N504" s="29"/>
      <c r="O504" s="29"/>
      <c r="P504" s="29"/>
    </row>
    <row r="505" spans="1:16" ht="112.5" customHeight="1" x14ac:dyDescent="0.2">
      <c r="A505" s="75">
        <v>231</v>
      </c>
      <c r="B505" s="94" t="s">
        <v>3513</v>
      </c>
      <c r="C505" s="94" t="s">
        <v>14583</v>
      </c>
      <c r="D505" s="95" t="s">
        <v>14584</v>
      </c>
      <c r="E505" s="96"/>
      <c r="F505" s="97" t="s">
        <v>15606</v>
      </c>
      <c r="G505" s="102" t="s">
        <v>15905</v>
      </c>
      <c r="H505" s="103" t="s">
        <v>4125</v>
      </c>
      <c r="I505" s="29"/>
      <c r="J505" s="29"/>
      <c r="K505" s="29"/>
      <c r="L505" s="29"/>
      <c r="M505" s="29"/>
      <c r="N505" s="29"/>
      <c r="O505" s="29"/>
      <c r="P505" s="29"/>
    </row>
    <row r="506" spans="1:16" ht="112.5" customHeight="1" x14ac:dyDescent="0.2">
      <c r="A506" s="75">
        <v>232</v>
      </c>
      <c r="B506" s="94" t="s">
        <v>3513</v>
      </c>
      <c r="C506" s="94" t="s">
        <v>15107</v>
      </c>
      <c r="D506" s="95" t="s">
        <v>15108</v>
      </c>
      <c r="E506" s="96"/>
      <c r="F506" s="97" t="s">
        <v>15859</v>
      </c>
      <c r="G506" s="98" t="s">
        <v>15572</v>
      </c>
      <c r="H506" s="99" t="s">
        <v>4158</v>
      </c>
      <c r="I506" s="29"/>
      <c r="J506" s="29"/>
      <c r="K506" s="29"/>
      <c r="L506" s="29"/>
      <c r="M506" s="29"/>
      <c r="N506" s="29"/>
      <c r="O506" s="29"/>
      <c r="P506" s="29"/>
    </row>
    <row r="507" spans="1:16" ht="112.5" customHeight="1" x14ac:dyDescent="0.2">
      <c r="A507" s="75">
        <v>233</v>
      </c>
      <c r="B507" s="94" t="s">
        <v>3513</v>
      </c>
      <c r="C507" s="94" t="s">
        <v>13985</v>
      </c>
      <c r="D507" s="95" t="s">
        <v>13986</v>
      </c>
      <c r="E507" s="96"/>
      <c r="F507" s="97" t="s">
        <v>15609</v>
      </c>
      <c r="G507" s="98" t="s">
        <v>15906</v>
      </c>
      <c r="H507" s="99" t="s">
        <v>4189</v>
      </c>
      <c r="I507" s="29"/>
      <c r="J507" s="29"/>
      <c r="K507" s="29"/>
      <c r="L507" s="29"/>
      <c r="M507" s="29"/>
      <c r="N507" s="29"/>
      <c r="O507" s="29"/>
      <c r="P507" s="29"/>
    </row>
    <row r="508" spans="1:16" ht="112.5" hidden="1" customHeight="1" x14ac:dyDescent="0.3">
      <c r="A508" s="100">
        <v>268</v>
      </c>
      <c r="B508" s="24" t="s">
        <v>3513</v>
      </c>
      <c r="C508" s="24" t="s">
        <v>13201</v>
      </c>
      <c r="D508" s="25" t="s">
        <v>13202</v>
      </c>
      <c r="E508" s="29"/>
      <c r="F508" s="101" t="s">
        <v>15606</v>
      </c>
      <c r="G508" s="102" t="s">
        <v>15538</v>
      </c>
      <c r="H508" s="103" t="s">
        <v>4312</v>
      </c>
      <c r="I508" s="29"/>
      <c r="J508" s="29"/>
      <c r="K508" s="29"/>
      <c r="L508" s="29"/>
      <c r="M508" s="29"/>
      <c r="N508" s="29"/>
      <c r="O508" s="29"/>
      <c r="P508" s="29"/>
    </row>
    <row r="509" spans="1:16" ht="112.5" hidden="1" customHeight="1" x14ac:dyDescent="0.3">
      <c r="A509" s="100">
        <v>276</v>
      </c>
      <c r="B509" s="24" t="s">
        <v>3513</v>
      </c>
      <c r="C509" s="24" t="s">
        <v>15316</v>
      </c>
      <c r="D509" s="25" t="s">
        <v>15317</v>
      </c>
      <c r="E509" s="29"/>
      <c r="F509" s="101" t="s">
        <v>15730</v>
      </c>
      <c r="G509" s="102" t="s">
        <v>15538</v>
      </c>
      <c r="H509" s="103" t="s">
        <v>4337</v>
      </c>
      <c r="I509" s="29"/>
      <c r="J509" s="29"/>
      <c r="K509" s="29"/>
      <c r="L509" s="29"/>
      <c r="M509" s="29"/>
      <c r="N509" s="29"/>
      <c r="O509" s="29"/>
      <c r="P509" s="29"/>
    </row>
    <row r="510" spans="1:16" ht="112.5" hidden="1" customHeight="1" x14ac:dyDescent="0.3">
      <c r="A510" s="100">
        <v>282</v>
      </c>
      <c r="B510" s="24" t="s">
        <v>3513</v>
      </c>
      <c r="C510" s="24" t="s">
        <v>13377</v>
      </c>
      <c r="D510" s="25" t="s">
        <v>13378</v>
      </c>
      <c r="E510" s="29"/>
      <c r="F510" s="101" t="s">
        <v>15552</v>
      </c>
      <c r="G510" s="102" t="s">
        <v>15538</v>
      </c>
      <c r="H510" s="103" t="s">
        <v>4355</v>
      </c>
      <c r="I510" s="29"/>
      <c r="J510" s="29"/>
      <c r="K510" s="29"/>
      <c r="L510" s="29"/>
      <c r="M510" s="29"/>
      <c r="N510" s="29"/>
      <c r="O510" s="29"/>
      <c r="P510" s="29"/>
    </row>
    <row r="511" spans="1:16" ht="112.5" hidden="1" customHeight="1" x14ac:dyDescent="0.3">
      <c r="A511" s="104">
        <v>449</v>
      </c>
      <c r="B511" s="28" t="s">
        <v>3513</v>
      </c>
      <c r="C511" s="28" t="s">
        <v>13449</v>
      </c>
      <c r="D511" s="27" t="s">
        <v>13450</v>
      </c>
      <c r="E511" s="29"/>
      <c r="F511" s="105" t="s">
        <v>15635</v>
      </c>
      <c r="G511" s="98" t="s">
        <v>15538</v>
      </c>
      <c r="H511" s="99" t="s">
        <v>4853</v>
      </c>
      <c r="I511" s="29"/>
      <c r="J511" s="29"/>
      <c r="K511" s="29"/>
      <c r="L511" s="29"/>
      <c r="M511" s="29"/>
      <c r="N511" s="29"/>
      <c r="O511" s="29"/>
      <c r="P511" s="29"/>
    </row>
    <row r="512" spans="1:16" ht="112.5" hidden="1" customHeight="1" x14ac:dyDescent="0.3">
      <c r="A512" s="104">
        <v>471</v>
      </c>
      <c r="B512" s="28" t="s">
        <v>3513</v>
      </c>
      <c r="C512" s="28" t="s">
        <v>13153</v>
      </c>
      <c r="D512" s="27" t="s">
        <v>13154</v>
      </c>
      <c r="E512" s="29"/>
      <c r="F512" s="105" t="s">
        <v>15551</v>
      </c>
      <c r="G512" s="98" t="s">
        <v>15538</v>
      </c>
      <c r="H512" s="99" t="s">
        <v>4918</v>
      </c>
      <c r="I512" s="29"/>
      <c r="J512" s="29"/>
      <c r="K512" s="29"/>
      <c r="L512" s="29"/>
      <c r="M512" s="29"/>
      <c r="N512" s="29"/>
      <c r="O512" s="29"/>
      <c r="P512" s="29"/>
    </row>
    <row r="513" spans="1:16" ht="112.5" hidden="1" customHeight="1" x14ac:dyDescent="0.3">
      <c r="A513" s="100">
        <v>1374</v>
      </c>
      <c r="B513" s="24" t="s">
        <v>3513</v>
      </c>
      <c r="C513" s="24" t="s">
        <v>14955</v>
      </c>
      <c r="D513" s="25" t="s">
        <v>14956</v>
      </c>
      <c r="E513" s="29"/>
      <c r="F513" s="101" t="s">
        <v>15706</v>
      </c>
      <c r="G513" s="102" t="s">
        <v>15538</v>
      </c>
      <c r="H513" s="103" t="s">
        <v>7591</v>
      </c>
      <c r="I513" s="29"/>
      <c r="J513" s="29"/>
      <c r="K513" s="29"/>
      <c r="L513" s="29"/>
      <c r="M513" s="29"/>
      <c r="N513" s="29"/>
      <c r="O513" s="29"/>
      <c r="P513" s="29"/>
    </row>
    <row r="514" spans="1:16" ht="112.5" hidden="1" customHeight="1" x14ac:dyDescent="0.3">
      <c r="A514" s="100">
        <v>1432</v>
      </c>
      <c r="B514" s="24" t="s">
        <v>3513</v>
      </c>
      <c r="C514" s="24" t="s">
        <v>13046</v>
      </c>
      <c r="D514" s="25" t="s">
        <v>13047</v>
      </c>
      <c r="E514" s="29"/>
      <c r="F514" s="101" t="s">
        <v>15538</v>
      </c>
      <c r="G514" s="102" t="s">
        <v>15538</v>
      </c>
      <c r="H514" s="103" t="s">
        <v>7759</v>
      </c>
      <c r="I514" s="29"/>
      <c r="J514" s="29"/>
      <c r="K514" s="29"/>
      <c r="L514" s="29"/>
      <c r="M514" s="29"/>
      <c r="N514" s="29"/>
      <c r="O514" s="29"/>
      <c r="P514" s="29"/>
    </row>
    <row r="515" spans="1:16" ht="112.5" hidden="1" customHeight="1" x14ac:dyDescent="0.3">
      <c r="A515" s="104">
        <v>1433</v>
      </c>
      <c r="B515" s="28" t="s">
        <v>3513</v>
      </c>
      <c r="C515" s="28" t="s">
        <v>13007</v>
      </c>
      <c r="D515" s="27" t="s">
        <v>13008</v>
      </c>
      <c r="E515" s="29"/>
      <c r="F515" s="105" t="s">
        <v>15694</v>
      </c>
      <c r="G515" s="98" t="s">
        <v>15538</v>
      </c>
      <c r="H515" s="99" t="s">
        <v>7762</v>
      </c>
      <c r="I515" s="29"/>
      <c r="J515" s="29"/>
      <c r="K515" s="29"/>
      <c r="L515" s="29"/>
      <c r="M515" s="29"/>
      <c r="N515" s="29"/>
      <c r="O515" s="29"/>
      <c r="P515" s="29"/>
    </row>
    <row r="516" spans="1:16" ht="112.5" hidden="1" customHeight="1" x14ac:dyDescent="0.3">
      <c r="A516" s="100">
        <v>3438</v>
      </c>
      <c r="B516" s="24" t="s">
        <v>3513</v>
      </c>
      <c r="C516" s="24" t="s">
        <v>14793</v>
      </c>
      <c r="D516" s="25" t="s">
        <v>14794</v>
      </c>
      <c r="E516" s="29"/>
      <c r="F516" s="101" t="s">
        <v>15552</v>
      </c>
      <c r="G516" s="102" t="s">
        <v>15538</v>
      </c>
      <c r="H516" s="103" t="s">
        <v>13685</v>
      </c>
      <c r="I516" s="29"/>
      <c r="J516" s="29"/>
      <c r="K516" s="29"/>
      <c r="L516" s="29"/>
      <c r="M516" s="29"/>
      <c r="N516" s="29"/>
      <c r="O516" s="29"/>
      <c r="P516" s="29"/>
    </row>
    <row r="517" spans="1:16" ht="112.5" hidden="1" customHeight="1" x14ac:dyDescent="0.3">
      <c r="A517" s="100">
        <v>3484</v>
      </c>
      <c r="B517" s="24" t="s">
        <v>3513</v>
      </c>
      <c r="C517" s="24" t="s">
        <v>13037</v>
      </c>
      <c r="D517" s="25" t="s">
        <v>13038</v>
      </c>
      <c r="E517" s="29"/>
      <c r="F517" s="101" t="s">
        <v>15634</v>
      </c>
      <c r="G517" s="102" t="s">
        <v>15538</v>
      </c>
      <c r="H517" s="103" t="s">
        <v>13818</v>
      </c>
      <c r="I517" s="29"/>
      <c r="J517" s="29"/>
      <c r="K517" s="29"/>
      <c r="L517" s="29"/>
      <c r="M517" s="29"/>
      <c r="N517" s="29"/>
      <c r="O517" s="29"/>
      <c r="P517" s="29"/>
    </row>
    <row r="518" spans="1:16" ht="112.5" hidden="1" customHeight="1" x14ac:dyDescent="0.3">
      <c r="A518" s="104">
        <v>3525</v>
      </c>
      <c r="B518" s="28" t="s">
        <v>3513</v>
      </c>
      <c r="C518" s="28" t="s">
        <v>12732</v>
      </c>
      <c r="D518" s="27" t="s">
        <v>12733</v>
      </c>
      <c r="E518" s="29"/>
      <c r="F518" s="105" t="s">
        <v>15726</v>
      </c>
      <c r="G518" s="98" t="s">
        <v>15538</v>
      </c>
      <c r="H518" s="99" t="s">
        <v>13939</v>
      </c>
      <c r="I518" s="29"/>
      <c r="J518" s="29"/>
      <c r="K518" s="29"/>
      <c r="L518" s="29"/>
      <c r="M518" s="29"/>
      <c r="N518" s="29"/>
      <c r="O518" s="29"/>
      <c r="P518" s="29"/>
    </row>
    <row r="519" spans="1:16" ht="112.5" hidden="1" customHeight="1" x14ac:dyDescent="0.3">
      <c r="A519" s="100">
        <v>3570</v>
      </c>
      <c r="B519" s="24" t="s">
        <v>3513</v>
      </c>
      <c r="C519" s="24" t="s">
        <v>13437</v>
      </c>
      <c r="D519" s="25" t="s">
        <v>13438</v>
      </c>
      <c r="E519" s="29"/>
      <c r="F519" s="101" t="s">
        <v>15579</v>
      </c>
      <c r="G519" s="102" t="s">
        <v>15538</v>
      </c>
      <c r="H519" s="103" t="s">
        <v>14074</v>
      </c>
      <c r="I519" s="29"/>
      <c r="J519" s="29"/>
      <c r="K519" s="29"/>
      <c r="L519" s="29"/>
      <c r="M519" s="29"/>
      <c r="N519" s="29"/>
      <c r="O519" s="29"/>
      <c r="P519" s="29"/>
    </row>
    <row r="520" spans="1:16" ht="112.5" hidden="1" customHeight="1" x14ac:dyDescent="0.3">
      <c r="A520" s="100">
        <v>3636</v>
      </c>
      <c r="B520" s="24" t="s">
        <v>3513</v>
      </c>
      <c r="C520" s="24" t="s">
        <v>12729</v>
      </c>
      <c r="D520" s="25" t="s">
        <v>12730</v>
      </c>
      <c r="E520" s="29"/>
      <c r="F520" s="101" t="s">
        <v>15609</v>
      </c>
      <c r="G520" s="102" t="s">
        <v>15538</v>
      </c>
      <c r="H520" s="103" t="s">
        <v>14269</v>
      </c>
      <c r="I520" s="29"/>
      <c r="J520" s="29"/>
      <c r="K520" s="29"/>
      <c r="L520" s="29"/>
      <c r="M520" s="29"/>
      <c r="N520" s="29"/>
      <c r="O520" s="29"/>
      <c r="P520" s="29"/>
    </row>
    <row r="521" spans="1:16" ht="112.5" hidden="1" customHeight="1" x14ac:dyDescent="0.3">
      <c r="A521" s="104">
        <v>3637</v>
      </c>
      <c r="B521" s="28" t="s">
        <v>3513</v>
      </c>
      <c r="C521" s="28" t="s">
        <v>15101</v>
      </c>
      <c r="D521" s="27" t="s">
        <v>15102</v>
      </c>
      <c r="E521" s="29"/>
      <c r="F521" s="105" t="s">
        <v>15546</v>
      </c>
      <c r="G521" s="98" t="s">
        <v>15538</v>
      </c>
      <c r="H521" s="99" t="s">
        <v>14272</v>
      </c>
      <c r="I521" s="29"/>
      <c r="J521" s="29"/>
      <c r="K521" s="29"/>
      <c r="L521" s="29"/>
      <c r="M521" s="29"/>
      <c r="N521" s="29"/>
      <c r="O521" s="29"/>
      <c r="P521" s="29"/>
    </row>
    <row r="522" spans="1:16" ht="112.5" hidden="1" customHeight="1" x14ac:dyDescent="0.3">
      <c r="A522" s="104">
        <v>3641</v>
      </c>
      <c r="B522" s="28" t="s">
        <v>3513</v>
      </c>
      <c r="C522" s="28" t="s">
        <v>15089</v>
      </c>
      <c r="D522" s="27" t="s">
        <v>15090</v>
      </c>
      <c r="E522" s="29"/>
      <c r="F522" s="105" t="s">
        <v>15907</v>
      </c>
      <c r="G522" s="98" t="s">
        <v>15538</v>
      </c>
      <c r="H522" s="99" t="s">
        <v>14284</v>
      </c>
      <c r="I522" s="29"/>
      <c r="J522" s="29"/>
      <c r="K522" s="29"/>
      <c r="L522" s="29"/>
      <c r="M522" s="29"/>
      <c r="N522" s="29"/>
      <c r="O522" s="29"/>
      <c r="P522" s="29"/>
    </row>
    <row r="523" spans="1:16" ht="112.5" customHeight="1" x14ac:dyDescent="0.2">
      <c r="A523" s="75">
        <v>234</v>
      </c>
      <c r="B523" s="94" t="s">
        <v>3513</v>
      </c>
      <c r="C523" s="94" t="s">
        <v>12556</v>
      </c>
      <c r="D523" s="95" t="s">
        <v>12557</v>
      </c>
      <c r="E523" s="96"/>
      <c r="F523" s="97" t="s">
        <v>15908</v>
      </c>
      <c r="G523" s="102" t="s">
        <v>15909</v>
      </c>
      <c r="H523" s="103" t="s">
        <v>14287</v>
      </c>
      <c r="I523" s="29"/>
      <c r="J523" s="29"/>
      <c r="K523" s="29"/>
      <c r="L523" s="29"/>
      <c r="M523" s="29"/>
      <c r="N523" s="29"/>
      <c r="O523" s="29"/>
      <c r="P523" s="29"/>
    </row>
    <row r="524" spans="1:16" ht="112.5" hidden="1" customHeight="1" x14ac:dyDescent="0.3">
      <c r="A524" s="104">
        <v>3651</v>
      </c>
      <c r="B524" s="28" t="s">
        <v>3513</v>
      </c>
      <c r="C524" s="28" t="s">
        <v>15065</v>
      </c>
      <c r="D524" s="27" t="s">
        <v>15066</v>
      </c>
      <c r="E524" s="29"/>
      <c r="F524" s="105" t="s">
        <v>15550</v>
      </c>
      <c r="G524" s="98" t="s">
        <v>15538</v>
      </c>
      <c r="H524" s="99" t="s">
        <v>14314</v>
      </c>
      <c r="I524" s="29"/>
      <c r="J524" s="29"/>
      <c r="K524" s="29"/>
      <c r="L524" s="29"/>
      <c r="M524" s="29"/>
      <c r="N524" s="29"/>
      <c r="O524" s="29"/>
      <c r="P524" s="29"/>
    </row>
    <row r="525" spans="1:16" ht="112.5" hidden="1" customHeight="1" x14ac:dyDescent="0.3">
      <c r="A525" s="100">
        <v>3652</v>
      </c>
      <c r="B525" s="24" t="s">
        <v>3513</v>
      </c>
      <c r="C525" s="24" t="s">
        <v>15062</v>
      </c>
      <c r="D525" s="25" t="s">
        <v>15063</v>
      </c>
      <c r="E525" s="29"/>
      <c r="F525" s="101" t="s">
        <v>15550</v>
      </c>
      <c r="G525" s="102" t="s">
        <v>15538</v>
      </c>
      <c r="H525" s="103" t="s">
        <v>14317</v>
      </c>
      <c r="I525" s="29"/>
      <c r="J525" s="29"/>
      <c r="K525" s="29"/>
      <c r="L525" s="29"/>
      <c r="M525" s="29"/>
      <c r="N525" s="29"/>
      <c r="O525" s="29"/>
      <c r="P525" s="29"/>
    </row>
    <row r="526" spans="1:16" ht="112.5" hidden="1" customHeight="1" x14ac:dyDescent="0.3">
      <c r="A526" s="100">
        <v>3674</v>
      </c>
      <c r="B526" s="24" t="s">
        <v>3513</v>
      </c>
      <c r="C526" s="24" t="s">
        <v>13303</v>
      </c>
      <c r="D526" s="25" t="s">
        <v>13304</v>
      </c>
      <c r="E526" s="29"/>
      <c r="F526" s="101" t="s">
        <v>15550</v>
      </c>
      <c r="G526" s="102" t="s">
        <v>15538</v>
      </c>
      <c r="H526" s="103" t="s">
        <v>14383</v>
      </c>
      <c r="I526" s="29"/>
      <c r="J526" s="29"/>
      <c r="K526" s="29"/>
      <c r="L526" s="29"/>
      <c r="M526" s="29"/>
      <c r="N526" s="29"/>
      <c r="O526" s="29"/>
      <c r="P526" s="29"/>
    </row>
    <row r="527" spans="1:16" ht="112.5" customHeight="1" x14ac:dyDescent="0.2">
      <c r="A527" s="75">
        <v>235</v>
      </c>
      <c r="B527" s="94" t="s">
        <v>3513</v>
      </c>
      <c r="C527" s="94" t="s">
        <v>14997</v>
      </c>
      <c r="D527" s="95" t="s">
        <v>14998</v>
      </c>
      <c r="E527" s="96"/>
      <c r="F527" s="97" t="s">
        <v>15593</v>
      </c>
      <c r="G527" s="98" t="s">
        <v>15910</v>
      </c>
      <c r="H527" s="99" t="s">
        <v>14409</v>
      </c>
      <c r="I527" s="29"/>
      <c r="J527" s="29"/>
      <c r="K527" s="29"/>
      <c r="L527" s="29"/>
      <c r="M527" s="29"/>
      <c r="N527" s="29"/>
      <c r="O527" s="29"/>
      <c r="P527" s="29"/>
    </row>
    <row r="528" spans="1:16" ht="112.5" hidden="1" customHeight="1" x14ac:dyDescent="0.3">
      <c r="A528" s="104">
        <v>3685</v>
      </c>
      <c r="B528" s="28" t="s">
        <v>3513</v>
      </c>
      <c r="C528" s="28" t="s">
        <v>14994</v>
      </c>
      <c r="D528" s="27" t="s">
        <v>14995</v>
      </c>
      <c r="E528" s="29"/>
      <c r="F528" s="105" t="s">
        <v>15643</v>
      </c>
      <c r="G528" s="98" t="s">
        <v>15538</v>
      </c>
      <c r="H528" s="99" t="s">
        <v>14416</v>
      </c>
      <c r="I528" s="29"/>
      <c r="J528" s="29"/>
      <c r="K528" s="29"/>
      <c r="L528" s="29"/>
      <c r="M528" s="29"/>
      <c r="N528" s="29"/>
      <c r="O528" s="29"/>
      <c r="P528" s="29"/>
    </row>
    <row r="529" spans="1:16" ht="112.5" hidden="1" customHeight="1" x14ac:dyDescent="0.3">
      <c r="A529" s="100">
        <v>3686</v>
      </c>
      <c r="B529" s="24" t="s">
        <v>3513</v>
      </c>
      <c r="C529" s="24" t="s">
        <v>12720</v>
      </c>
      <c r="D529" s="25" t="s">
        <v>12721</v>
      </c>
      <c r="E529" s="29"/>
      <c r="F529" s="101" t="s">
        <v>15609</v>
      </c>
      <c r="G529" s="102" t="s">
        <v>15538</v>
      </c>
      <c r="H529" s="103" t="s">
        <v>14419</v>
      </c>
      <c r="I529" s="29"/>
      <c r="J529" s="29"/>
      <c r="K529" s="29"/>
      <c r="L529" s="29"/>
      <c r="M529" s="29"/>
      <c r="N529" s="29"/>
      <c r="O529" s="29"/>
      <c r="P529" s="29"/>
    </row>
    <row r="530" spans="1:16" ht="112.5" customHeight="1" x14ac:dyDescent="0.2">
      <c r="A530" s="75">
        <v>236</v>
      </c>
      <c r="B530" s="94" t="s">
        <v>3513</v>
      </c>
      <c r="C530" s="94" t="s">
        <v>12726</v>
      </c>
      <c r="D530" s="95" t="s">
        <v>12727</v>
      </c>
      <c r="E530" s="96"/>
      <c r="F530" s="97" t="s">
        <v>15770</v>
      </c>
      <c r="G530" s="98" t="s">
        <v>15911</v>
      </c>
      <c r="H530" s="99" t="s">
        <v>14422</v>
      </c>
      <c r="I530" s="29"/>
      <c r="J530" s="29"/>
      <c r="K530" s="29"/>
      <c r="L530" s="29"/>
      <c r="M530" s="29"/>
      <c r="N530" s="29"/>
      <c r="O530" s="29"/>
      <c r="P530" s="29"/>
    </row>
    <row r="531" spans="1:16" ht="112.5" customHeight="1" x14ac:dyDescent="0.2">
      <c r="A531" s="75">
        <v>237</v>
      </c>
      <c r="B531" s="94" t="s">
        <v>3513</v>
      </c>
      <c r="C531" s="94" t="s">
        <v>12479</v>
      </c>
      <c r="D531" s="95" t="s">
        <v>12480</v>
      </c>
      <c r="E531" s="96"/>
      <c r="F531" s="97" t="s">
        <v>15609</v>
      </c>
      <c r="G531" s="102" t="s">
        <v>15912</v>
      </c>
      <c r="H531" s="103" t="s">
        <v>14437</v>
      </c>
      <c r="I531" s="29"/>
      <c r="J531" s="29"/>
      <c r="K531" s="29"/>
      <c r="L531" s="29"/>
      <c r="M531" s="29"/>
      <c r="N531" s="29"/>
      <c r="O531" s="29"/>
      <c r="P531" s="29"/>
    </row>
    <row r="532" spans="1:16" ht="112.5" customHeight="1" x14ac:dyDescent="0.2">
      <c r="A532" s="75">
        <v>238</v>
      </c>
      <c r="B532" s="94" t="s">
        <v>3513</v>
      </c>
      <c r="C532" s="94" t="s">
        <v>14913</v>
      </c>
      <c r="D532" s="95" t="s">
        <v>14914</v>
      </c>
      <c r="E532" s="96"/>
      <c r="F532" s="97" t="s">
        <v>15749</v>
      </c>
      <c r="G532" s="98" t="s">
        <v>15913</v>
      </c>
      <c r="H532" s="99" t="s">
        <v>14486</v>
      </c>
      <c r="I532" s="29"/>
      <c r="J532" s="29"/>
      <c r="K532" s="29"/>
      <c r="L532" s="29"/>
      <c r="M532" s="29"/>
      <c r="N532" s="29"/>
      <c r="O532" s="29"/>
      <c r="P532" s="29"/>
    </row>
    <row r="533" spans="1:16" ht="112.5" hidden="1" customHeight="1" x14ac:dyDescent="0.3">
      <c r="A533" s="104">
        <v>3711</v>
      </c>
      <c r="B533" s="28" t="s">
        <v>3513</v>
      </c>
      <c r="C533" s="28" t="s">
        <v>12865</v>
      </c>
      <c r="D533" s="27" t="s">
        <v>12866</v>
      </c>
      <c r="E533" s="29"/>
      <c r="F533" s="105" t="s">
        <v>15697</v>
      </c>
      <c r="G533" s="98" t="s">
        <v>15538</v>
      </c>
      <c r="H533" s="99" t="s">
        <v>14492</v>
      </c>
      <c r="I533" s="29"/>
      <c r="J533" s="29"/>
      <c r="K533" s="29"/>
      <c r="L533" s="29"/>
      <c r="M533" s="29"/>
      <c r="N533" s="29"/>
      <c r="O533" s="29"/>
      <c r="P533" s="29"/>
    </row>
    <row r="534" spans="1:16" ht="112.5" hidden="1" customHeight="1" x14ac:dyDescent="0.3">
      <c r="A534" s="104">
        <v>3715</v>
      </c>
      <c r="B534" s="28" t="s">
        <v>3513</v>
      </c>
      <c r="C534" s="28" t="s">
        <v>12779</v>
      </c>
      <c r="D534" s="27" t="s">
        <v>12780</v>
      </c>
      <c r="E534" s="29"/>
      <c r="F534" s="105" t="s">
        <v>15549</v>
      </c>
      <c r="G534" s="98" t="s">
        <v>15538</v>
      </c>
      <c r="H534" s="99" t="s">
        <v>14504</v>
      </c>
      <c r="I534" s="29"/>
      <c r="J534" s="29"/>
      <c r="K534" s="29"/>
      <c r="L534" s="29"/>
      <c r="M534" s="29"/>
      <c r="N534" s="29"/>
      <c r="O534" s="29"/>
      <c r="P534" s="29"/>
    </row>
    <row r="535" spans="1:16" ht="112.5" hidden="1" customHeight="1" x14ac:dyDescent="0.3">
      <c r="A535" s="100">
        <v>3716</v>
      </c>
      <c r="B535" s="24" t="s">
        <v>3513</v>
      </c>
      <c r="C535" s="24" t="s">
        <v>12523</v>
      </c>
      <c r="D535" s="25" t="s">
        <v>12524</v>
      </c>
      <c r="E535" s="29"/>
      <c r="F535" s="101" t="s">
        <v>15556</v>
      </c>
      <c r="G535" s="102" t="s">
        <v>15538</v>
      </c>
      <c r="H535" s="103" t="s">
        <v>14507</v>
      </c>
      <c r="I535" s="29"/>
      <c r="J535" s="29"/>
      <c r="K535" s="29"/>
      <c r="L535" s="29"/>
      <c r="M535" s="29"/>
      <c r="N535" s="29"/>
      <c r="O535" s="29"/>
      <c r="P535" s="29"/>
    </row>
    <row r="536" spans="1:16" ht="112.5" customHeight="1" x14ac:dyDescent="0.2">
      <c r="A536" s="75">
        <v>239</v>
      </c>
      <c r="B536" s="94" t="s">
        <v>3513</v>
      </c>
      <c r="C536" s="94" t="s">
        <v>14869</v>
      </c>
      <c r="D536" s="95" t="s">
        <v>14870</v>
      </c>
      <c r="E536" s="96"/>
      <c r="F536" s="97" t="s">
        <v>15554</v>
      </c>
      <c r="G536" s="98" t="s">
        <v>15900</v>
      </c>
      <c r="H536" s="99" t="s">
        <v>14552</v>
      </c>
      <c r="I536" s="29"/>
      <c r="J536" s="29"/>
      <c r="K536" s="29"/>
      <c r="L536" s="29"/>
      <c r="M536" s="29"/>
      <c r="N536" s="29"/>
      <c r="O536" s="29"/>
      <c r="P536" s="29"/>
    </row>
    <row r="537" spans="1:16" ht="112.5" customHeight="1" x14ac:dyDescent="0.2">
      <c r="A537" s="75">
        <v>240</v>
      </c>
      <c r="B537" s="94" t="s">
        <v>3513</v>
      </c>
      <c r="C537" s="94" t="s">
        <v>14829</v>
      </c>
      <c r="D537" s="95" t="s">
        <v>14830</v>
      </c>
      <c r="E537" s="96"/>
      <c r="F537" s="97" t="s">
        <v>15581</v>
      </c>
      <c r="G537" s="98" t="s">
        <v>15914</v>
      </c>
      <c r="H537" s="99" t="s">
        <v>14624</v>
      </c>
      <c r="I537" s="29"/>
      <c r="J537" s="29"/>
      <c r="K537" s="29"/>
      <c r="L537" s="29"/>
      <c r="M537" s="29"/>
      <c r="N537" s="29"/>
      <c r="O537" s="29"/>
      <c r="P537" s="29"/>
    </row>
    <row r="538" spans="1:16" ht="112.5" hidden="1" customHeight="1" x14ac:dyDescent="0.3">
      <c r="A538" s="100">
        <v>3756</v>
      </c>
      <c r="B538" s="24" t="s">
        <v>3513</v>
      </c>
      <c r="C538" s="24" t="s">
        <v>13069</v>
      </c>
      <c r="D538" s="25" t="s">
        <v>13070</v>
      </c>
      <c r="E538" s="29"/>
      <c r="F538" s="101" t="s">
        <v>15593</v>
      </c>
      <c r="G538" s="102" t="s">
        <v>15538</v>
      </c>
      <c r="H538" s="103" t="s">
        <v>14627</v>
      </c>
      <c r="I538" s="29"/>
      <c r="J538" s="29"/>
      <c r="K538" s="29"/>
      <c r="L538" s="29"/>
      <c r="M538" s="29"/>
      <c r="N538" s="29"/>
      <c r="O538" s="29"/>
      <c r="P538" s="29"/>
    </row>
    <row r="539" spans="1:16" ht="112.5" hidden="1" customHeight="1" x14ac:dyDescent="0.3">
      <c r="A539" s="100">
        <v>3758</v>
      </c>
      <c r="B539" s="24" t="s">
        <v>3513</v>
      </c>
      <c r="C539" s="24" t="s">
        <v>14826</v>
      </c>
      <c r="D539" s="25" t="s">
        <v>14827</v>
      </c>
      <c r="E539" s="29"/>
      <c r="F539" s="101" t="s">
        <v>15915</v>
      </c>
      <c r="G539" s="102" t="s">
        <v>15538</v>
      </c>
      <c r="H539" s="103" t="s">
        <v>14633</v>
      </c>
      <c r="I539" s="29"/>
      <c r="J539" s="29"/>
      <c r="K539" s="29"/>
      <c r="L539" s="29"/>
      <c r="M539" s="29"/>
      <c r="N539" s="29"/>
      <c r="O539" s="29"/>
      <c r="P539" s="29"/>
    </row>
    <row r="540" spans="1:16" ht="112.5" hidden="1" customHeight="1" x14ac:dyDescent="0.3">
      <c r="A540" s="104">
        <v>3759</v>
      </c>
      <c r="B540" s="28" t="s">
        <v>3513</v>
      </c>
      <c r="C540" s="28" t="s">
        <v>13404</v>
      </c>
      <c r="D540" s="27" t="s">
        <v>13405</v>
      </c>
      <c r="E540" s="29"/>
      <c r="F540" s="105" t="s">
        <v>15563</v>
      </c>
      <c r="G540" s="98" t="s">
        <v>15538</v>
      </c>
      <c r="H540" s="99" t="s">
        <v>14636</v>
      </c>
      <c r="I540" s="29"/>
      <c r="J540" s="29"/>
      <c r="K540" s="29"/>
      <c r="L540" s="29"/>
      <c r="M540" s="29"/>
      <c r="N540" s="29"/>
      <c r="O540" s="29"/>
      <c r="P540" s="29"/>
    </row>
    <row r="541" spans="1:16" ht="112.5" customHeight="1" x14ac:dyDescent="0.2">
      <c r="A541" s="75">
        <v>241</v>
      </c>
      <c r="B541" s="94" t="s">
        <v>3513</v>
      </c>
      <c r="C541" s="94" t="s">
        <v>14733</v>
      </c>
      <c r="D541" s="95" t="s">
        <v>14734</v>
      </c>
      <c r="E541" s="96"/>
      <c r="F541" s="97" t="s">
        <v>15812</v>
      </c>
      <c r="G541" s="98" t="s">
        <v>15916</v>
      </c>
      <c r="H541" s="99" t="s">
        <v>14738</v>
      </c>
      <c r="I541" s="29"/>
      <c r="J541" s="29"/>
      <c r="K541" s="29"/>
      <c r="L541" s="29"/>
      <c r="M541" s="29"/>
      <c r="N541" s="29"/>
      <c r="O541" s="29"/>
      <c r="P541" s="29"/>
    </row>
    <row r="542" spans="1:16" ht="112.5" hidden="1" customHeight="1" x14ac:dyDescent="0.3">
      <c r="A542" s="104">
        <v>3819</v>
      </c>
      <c r="B542" s="28" t="s">
        <v>3513</v>
      </c>
      <c r="C542" s="28" t="s">
        <v>14667</v>
      </c>
      <c r="D542" s="27" t="s">
        <v>14668</v>
      </c>
      <c r="E542" s="29"/>
      <c r="F542" s="105" t="s">
        <v>15917</v>
      </c>
      <c r="G542" s="98" t="s">
        <v>15538</v>
      </c>
      <c r="H542" s="99" t="s">
        <v>14816</v>
      </c>
      <c r="I542" s="29"/>
      <c r="J542" s="29"/>
      <c r="K542" s="29"/>
      <c r="L542" s="29"/>
      <c r="M542" s="29"/>
      <c r="N542" s="29"/>
      <c r="O542" s="29"/>
      <c r="P542" s="29"/>
    </row>
    <row r="543" spans="1:16" ht="112.5" hidden="1" customHeight="1" x14ac:dyDescent="0.3">
      <c r="A543" s="100">
        <v>3820</v>
      </c>
      <c r="B543" s="24" t="s">
        <v>3513</v>
      </c>
      <c r="C543" s="24" t="s">
        <v>14664</v>
      </c>
      <c r="D543" s="25" t="s">
        <v>14665</v>
      </c>
      <c r="E543" s="29"/>
      <c r="F543" s="101" t="s">
        <v>15581</v>
      </c>
      <c r="G543" s="102" t="s">
        <v>15538</v>
      </c>
      <c r="H543" s="103" t="s">
        <v>14819</v>
      </c>
      <c r="I543" s="29"/>
      <c r="J543" s="29"/>
      <c r="K543" s="29"/>
      <c r="L543" s="29"/>
      <c r="M543" s="29"/>
      <c r="N543" s="29"/>
      <c r="O543" s="29"/>
      <c r="P543" s="29"/>
    </row>
    <row r="544" spans="1:16" ht="112.5" hidden="1" customHeight="1" x14ac:dyDescent="0.3">
      <c r="A544" s="100">
        <v>3822</v>
      </c>
      <c r="B544" s="24" t="s">
        <v>3513</v>
      </c>
      <c r="C544" s="24" t="s">
        <v>14658</v>
      </c>
      <c r="D544" s="25" t="s">
        <v>14659</v>
      </c>
      <c r="E544" s="29"/>
      <c r="F544" s="101" t="s">
        <v>15612</v>
      </c>
      <c r="G544" s="102" t="s">
        <v>15538</v>
      </c>
      <c r="H544" s="103" t="s">
        <v>14825</v>
      </c>
      <c r="I544" s="29"/>
      <c r="J544" s="29"/>
      <c r="K544" s="29"/>
      <c r="L544" s="29"/>
      <c r="M544" s="29"/>
      <c r="N544" s="29"/>
      <c r="O544" s="29"/>
      <c r="P544" s="29"/>
    </row>
    <row r="545" spans="1:16" ht="112.5" hidden="1" customHeight="1" x14ac:dyDescent="0.3">
      <c r="A545" s="104">
        <v>3849</v>
      </c>
      <c r="B545" s="28" t="s">
        <v>3513</v>
      </c>
      <c r="C545" s="28" t="s">
        <v>12539</v>
      </c>
      <c r="D545" s="27" t="s">
        <v>12540</v>
      </c>
      <c r="E545" s="29"/>
      <c r="F545" s="105" t="s">
        <v>15606</v>
      </c>
      <c r="G545" s="107" t="s">
        <v>4171</v>
      </c>
      <c r="H545" s="99" t="s">
        <v>14903</v>
      </c>
      <c r="I545" s="29"/>
      <c r="J545" s="29"/>
      <c r="K545" s="29"/>
      <c r="L545" s="29"/>
      <c r="M545" s="29"/>
      <c r="N545" s="29"/>
      <c r="O545" s="29"/>
      <c r="P545" s="29"/>
    </row>
    <row r="546" spans="1:16" ht="112.5" hidden="1" customHeight="1" x14ac:dyDescent="0.3">
      <c r="A546" s="100">
        <v>3868</v>
      </c>
      <c r="B546" s="24" t="s">
        <v>3513</v>
      </c>
      <c r="C546" s="24" t="s">
        <v>14511</v>
      </c>
      <c r="D546" s="25" t="s">
        <v>14512</v>
      </c>
      <c r="E546" s="29"/>
      <c r="F546" s="101" t="s">
        <v>15694</v>
      </c>
      <c r="G546" s="102" t="s">
        <v>15538</v>
      </c>
      <c r="H546" s="103" t="s">
        <v>14960</v>
      </c>
      <c r="I546" s="29"/>
      <c r="J546" s="29"/>
      <c r="K546" s="29"/>
      <c r="L546" s="29"/>
      <c r="M546" s="29"/>
      <c r="N546" s="29"/>
      <c r="O546" s="29"/>
      <c r="P546" s="29"/>
    </row>
    <row r="547" spans="1:16" ht="112.5" hidden="1" customHeight="1" x14ac:dyDescent="0.3">
      <c r="A547" s="100">
        <v>3872</v>
      </c>
      <c r="B547" s="24" t="s">
        <v>3513</v>
      </c>
      <c r="C547" s="24" t="s">
        <v>13025</v>
      </c>
      <c r="D547" s="25" t="s">
        <v>13026</v>
      </c>
      <c r="E547" s="29"/>
      <c r="F547" s="101" t="s">
        <v>15810</v>
      </c>
      <c r="G547" s="102" t="s">
        <v>15538</v>
      </c>
      <c r="H547" s="103" t="s">
        <v>14972</v>
      </c>
      <c r="I547" s="29"/>
      <c r="J547" s="29"/>
      <c r="K547" s="29"/>
      <c r="L547" s="29"/>
      <c r="M547" s="29"/>
      <c r="N547" s="29"/>
      <c r="O547" s="29"/>
      <c r="P547" s="29"/>
    </row>
    <row r="548" spans="1:16" ht="112.5" hidden="1" customHeight="1" x14ac:dyDescent="0.3">
      <c r="A548" s="100">
        <v>3898</v>
      </c>
      <c r="B548" s="24" t="s">
        <v>3513</v>
      </c>
      <c r="C548" s="24" t="s">
        <v>13440</v>
      </c>
      <c r="D548" s="25" t="s">
        <v>13441</v>
      </c>
      <c r="E548" s="29"/>
      <c r="F548" s="101" t="s">
        <v>15853</v>
      </c>
      <c r="G548" s="102" t="s">
        <v>15538</v>
      </c>
      <c r="H548" s="103" t="s">
        <v>15049</v>
      </c>
      <c r="I548" s="29"/>
      <c r="J548" s="29"/>
      <c r="K548" s="29"/>
      <c r="L548" s="29"/>
      <c r="M548" s="29"/>
      <c r="N548" s="29"/>
      <c r="O548" s="29"/>
      <c r="P548" s="29"/>
    </row>
    <row r="549" spans="1:16" ht="112.5" hidden="1" customHeight="1" x14ac:dyDescent="0.3">
      <c r="A549" s="100">
        <v>4000</v>
      </c>
      <c r="B549" s="24" t="s">
        <v>3513</v>
      </c>
      <c r="C549" s="24" t="s">
        <v>12925</v>
      </c>
      <c r="D549" s="25" t="s">
        <v>12926</v>
      </c>
      <c r="E549" s="29"/>
      <c r="F549" s="101" t="s">
        <v>15583</v>
      </c>
      <c r="G549" s="102" t="s">
        <v>15538</v>
      </c>
      <c r="H549" s="103" t="s">
        <v>15353</v>
      </c>
      <c r="I549" s="29"/>
      <c r="J549" s="29"/>
      <c r="K549" s="29"/>
      <c r="L549" s="29"/>
      <c r="M549" s="29"/>
      <c r="N549" s="29"/>
      <c r="O549" s="29"/>
      <c r="P549" s="29"/>
    </row>
    <row r="550" spans="1:16" ht="112.5" hidden="1" customHeight="1" x14ac:dyDescent="0.3">
      <c r="A550" s="100">
        <v>4010</v>
      </c>
      <c r="B550" s="24" t="s">
        <v>3513</v>
      </c>
      <c r="C550" s="24" t="s">
        <v>13622</v>
      </c>
      <c r="D550" s="25" t="s">
        <v>13623</v>
      </c>
      <c r="E550" s="29"/>
      <c r="F550" s="101" t="s">
        <v>15863</v>
      </c>
      <c r="G550" s="102" t="s">
        <v>15538</v>
      </c>
      <c r="H550" s="103" t="s">
        <v>15383</v>
      </c>
      <c r="I550" s="29"/>
      <c r="J550" s="29"/>
      <c r="K550" s="29"/>
      <c r="L550" s="29"/>
      <c r="M550" s="29"/>
      <c r="N550" s="29"/>
      <c r="O550" s="29"/>
      <c r="P550" s="29"/>
    </row>
    <row r="551" spans="1:16" ht="112.5" customHeight="1" x14ac:dyDescent="0.2">
      <c r="A551" s="75">
        <v>242</v>
      </c>
      <c r="B551" s="94" t="s">
        <v>3513</v>
      </c>
      <c r="C551" s="94" t="s">
        <v>12979</v>
      </c>
      <c r="D551" s="95" t="s">
        <v>12980</v>
      </c>
      <c r="E551" s="96"/>
      <c r="F551" s="97" t="s">
        <v>15918</v>
      </c>
      <c r="G551" s="98" t="s">
        <v>15919</v>
      </c>
      <c r="H551" s="99" t="s">
        <v>15487</v>
      </c>
      <c r="I551" s="29"/>
      <c r="J551" s="29"/>
      <c r="K551" s="29"/>
      <c r="L551" s="29"/>
      <c r="M551" s="29"/>
      <c r="N551" s="29"/>
      <c r="O551" s="29"/>
      <c r="P551" s="29"/>
    </row>
    <row r="552" spans="1:16" ht="112.5" hidden="1" customHeight="1" x14ac:dyDescent="0.3">
      <c r="A552" s="104">
        <v>4049</v>
      </c>
      <c r="B552" s="28" t="s">
        <v>3513</v>
      </c>
      <c r="C552" s="28" t="s">
        <v>13501</v>
      </c>
      <c r="D552" s="27" t="s">
        <v>13502</v>
      </c>
      <c r="E552" s="29"/>
      <c r="F552" s="105" t="s">
        <v>15538</v>
      </c>
      <c r="G552" s="98" t="s">
        <v>15538</v>
      </c>
      <c r="H552" s="99" t="s">
        <v>15499</v>
      </c>
      <c r="I552" s="29"/>
      <c r="J552" s="29"/>
      <c r="K552" s="29"/>
      <c r="L552" s="29"/>
      <c r="M552" s="29"/>
      <c r="N552" s="29"/>
      <c r="O552" s="29"/>
      <c r="P552" s="29"/>
    </row>
    <row r="553" spans="1:16" ht="112.5" customHeight="1" x14ac:dyDescent="0.2">
      <c r="A553" s="75">
        <v>243</v>
      </c>
      <c r="B553" s="94" t="s">
        <v>3509</v>
      </c>
      <c r="C553" s="94" t="s">
        <v>13546</v>
      </c>
      <c r="D553" s="95" t="s">
        <v>13547</v>
      </c>
      <c r="E553" s="96"/>
      <c r="F553" s="97" t="s">
        <v>15566</v>
      </c>
      <c r="G553" s="102" t="s">
        <v>15920</v>
      </c>
      <c r="H553" s="103" t="s">
        <v>15442</v>
      </c>
      <c r="I553" s="29"/>
      <c r="J553" s="29"/>
      <c r="K553" s="29"/>
      <c r="L553" s="29"/>
      <c r="M553" s="29"/>
      <c r="N553" s="29"/>
      <c r="O553" s="29"/>
      <c r="P553" s="29"/>
    </row>
    <row r="554" spans="1:16" ht="112.5" hidden="1" customHeight="1" x14ac:dyDescent="0.3">
      <c r="A554" s="100">
        <v>4034</v>
      </c>
      <c r="B554" s="24" t="s">
        <v>3509</v>
      </c>
      <c r="C554" s="24" t="s">
        <v>13531</v>
      </c>
      <c r="D554" s="25" t="s">
        <v>13532</v>
      </c>
      <c r="E554" s="29"/>
      <c r="F554" s="101" t="s">
        <v>15690</v>
      </c>
      <c r="G554" s="102" t="s">
        <v>15538</v>
      </c>
      <c r="H554" s="103" t="s">
        <v>15454</v>
      </c>
      <c r="I554" s="29"/>
      <c r="J554" s="29"/>
      <c r="K554" s="29"/>
      <c r="L554" s="29"/>
      <c r="M554" s="29"/>
      <c r="N554" s="29"/>
      <c r="O554" s="29"/>
      <c r="P554" s="29"/>
    </row>
    <row r="555" spans="1:16" ht="112.5" customHeight="1" x14ac:dyDescent="0.2">
      <c r="A555" s="75">
        <v>244</v>
      </c>
      <c r="B555" s="94" t="s">
        <v>3509</v>
      </c>
      <c r="C555" s="94" t="s">
        <v>12652</v>
      </c>
      <c r="D555" s="95" t="s">
        <v>12653</v>
      </c>
      <c r="E555" s="96"/>
      <c r="F555" s="97" t="s">
        <v>15864</v>
      </c>
      <c r="G555" s="102" t="s">
        <v>15921</v>
      </c>
      <c r="H555" s="103" t="s">
        <v>15472</v>
      </c>
      <c r="I555" s="29"/>
      <c r="J555" s="29"/>
      <c r="K555" s="29"/>
      <c r="L555" s="29"/>
      <c r="M555" s="29"/>
      <c r="N555" s="29"/>
      <c r="O555" s="29"/>
      <c r="P555" s="29"/>
    </row>
    <row r="556" spans="1:16" ht="112.5" hidden="1" customHeight="1" x14ac:dyDescent="0.3">
      <c r="A556" s="104">
        <v>4041</v>
      </c>
      <c r="B556" s="28" t="s">
        <v>3509</v>
      </c>
      <c r="C556" s="28" t="s">
        <v>13517</v>
      </c>
      <c r="D556" s="27" t="s">
        <v>13518</v>
      </c>
      <c r="E556" s="29"/>
      <c r="F556" s="105" t="s">
        <v>15806</v>
      </c>
      <c r="G556" s="98" t="s">
        <v>15538</v>
      </c>
      <c r="H556" s="99" t="s">
        <v>15475</v>
      </c>
      <c r="I556" s="29"/>
      <c r="J556" s="29"/>
      <c r="K556" s="29"/>
      <c r="L556" s="29"/>
      <c r="M556" s="29"/>
      <c r="N556" s="29"/>
      <c r="O556" s="29"/>
      <c r="P556" s="29"/>
    </row>
    <row r="557" spans="1:16" ht="112.5" hidden="1" customHeight="1" x14ac:dyDescent="0.3">
      <c r="A557" s="100">
        <v>4042</v>
      </c>
      <c r="B557" s="24" t="s">
        <v>3509</v>
      </c>
      <c r="C557" s="24" t="s">
        <v>12759</v>
      </c>
      <c r="D557" s="25" t="s">
        <v>12760</v>
      </c>
      <c r="E557" s="29"/>
      <c r="F557" s="101" t="s">
        <v>15635</v>
      </c>
      <c r="G557" s="102" t="s">
        <v>15538</v>
      </c>
      <c r="H557" s="103" t="s">
        <v>15478</v>
      </c>
      <c r="I557" s="29"/>
      <c r="J557" s="29"/>
      <c r="K557" s="29"/>
      <c r="L557" s="29"/>
      <c r="M557" s="29"/>
      <c r="N557" s="29"/>
      <c r="O557" s="29"/>
      <c r="P557" s="29"/>
    </row>
    <row r="558" spans="1:16" ht="112.5" customHeight="1" x14ac:dyDescent="0.2">
      <c r="A558" s="75">
        <v>245</v>
      </c>
      <c r="B558" s="94" t="s">
        <v>3492</v>
      </c>
      <c r="C558" s="94" t="s">
        <v>15301</v>
      </c>
      <c r="D558" s="95" t="s">
        <v>15302</v>
      </c>
      <c r="E558" s="96"/>
      <c r="F558" s="97" t="s">
        <v>15605</v>
      </c>
      <c r="G558" s="102" t="s">
        <v>15922</v>
      </c>
      <c r="H558" s="103" t="s">
        <v>3785</v>
      </c>
      <c r="I558" s="29"/>
      <c r="J558" s="29"/>
      <c r="K558" s="29"/>
      <c r="L558" s="29"/>
      <c r="M558" s="29"/>
      <c r="N558" s="29"/>
      <c r="O558" s="29"/>
      <c r="P558" s="29"/>
    </row>
    <row r="559" spans="1:16" ht="112.5" customHeight="1" x14ac:dyDescent="0.2">
      <c r="A559" s="75">
        <v>246</v>
      </c>
      <c r="B559" s="94" t="s">
        <v>3492</v>
      </c>
      <c r="C559" s="94" t="s">
        <v>14784</v>
      </c>
      <c r="D559" s="95" t="s">
        <v>14785</v>
      </c>
      <c r="E559" s="96"/>
      <c r="F559" s="97" t="s">
        <v>15651</v>
      </c>
      <c r="G559" s="102" t="s">
        <v>15536</v>
      </c>
      <c r="H559" s="103" t="s">
        <v>3934</v>
      </c>
      <c r="I559" s="29"/>
      <c r="J559" s="29"/>
      <c r="K559" s="29"/>
      <c r="L559" s="29"/>
      <c r="M559" s="29"/>
      <c r="N559" s="29"/>
      <c r="O559" s="29"/>
      <c r="P559" s="29"/>
    </row>
    <row r="560" spans="1:16" ht="112.5" customHeight="1" x14ac:dyDescent="0.2">
      <c r="A560" s="75">
        <v>247</v>
      </c>
      <c r="B560" s="94" t="s">
        <v>3492</v>
      </c>
      <c r="C560" s="94" t="s">
        <v>15080</v>
      </c>
      <c r="D560" s="95" t="s">
        <v>15081</v>
      </c>
      <c r="E560" s="96"/>
      <c r="F560" s="97" t="s">
        <v>15859</v>
      </c>
      <c r="G560" s="102" t="s">
        <v>15776</v>
      </c>
      <c r="H560" s="103" t="s">
        <v>4131</v>
      </c>
      <c r="I560" s="29"/>
      <c r="J560" s="29"/>
      <c r="K560" s="29"/>
      <c r="L560" s="29"/>
      <c r="M560" s="29"/>
      <c r="N560" s="29"/>
      <c r="O560" s="29"/>
      <c r="P560" s="29"/>
    </row>
    <row r="561" spans="1:16" ht="112.5" customHeight="1" x14ac:dyDescent="0.2">
      <c r="A561" s="75">
        <v>248</v>
      </c>
      <c r="B561" s="94" t="s">
        <v>3492</v>
      </c>
      <c r="C561" s="94" t="s">
        <v>13599</v>
      </c>
      <c r="D561" s="95" t="s">
        <v>13600</v>
      </c>
      <c r="E561" s="96"/>
      <c r="F561" s="97" t="s">
        <v>15859</v>
      </c>
      <c r="G561" s="98" t="s">
        <v>15923</v>
      </c>
      <c r="H561" s="99" t="s">
        <v>4273</v>
      </c>
      <c r="I561" s="29"/>
      <c r="J561" s="29"/>
      <c r="K561" s="29"/>
      <c r="L561" s="29"/>
      <c r="M561" s="29"/>
      <c r="N561" s="29"/>
      <c r="O561" s="29"/>
      <c r="P561" s="29"/>
    </row>
    <row r="562" spans="1:16" ht="112.5" hidden="1" customHeight="1" x14ac:dyDescent="0.3">
      <c r="A562" s="100">
        <v>286</v>
      </c>
      <c r="B562" s="24" t="s">
        <v>3492</v>
      </c>
      <c r="C562" s="24" t="s">
        <v>12667</v>
      </c>
      <c r="D562" s="25" t="s">
        <v>12668</v>
      </c>
      <c r="E562" s="29"/>
      <c r="F562" s="101" t="s">
        <v>15581</v>
      </c>
      <c r="G562" s="102" t="s">
        <v>15538</v>
      </c>
      <c r="H562" s="103" t="s">
        <v>4367</v>
      </c>
      <c r="I562" s="29"/>
      <c r="J562" s="29"/>
      <c r="K562" s="29"/>
      <c r="L562" s="29"/>
      <c r="M562" s="29"/>
      <c r="N562" s="29"/>
      <c r="O562" s="29"/>
      <c r="P562" s="29"/>
    </row>
    <row r="563" spans="1:16" ht="112.5" hidden="1" customHeight="1" x14ac:dyDescent="0.3">
      <c r="A563" s="100">
        <v>292</v>
      </c>
      <c r="B563" s="24" t="s">
        <v>3492</v>
      </c>
      <c r="C563" s="24" t="s">
        <v>13994</v>
      </c>
      <c r="D563" s="25" t="s">
        <v>13995</v>
      </c>
      <c r="E563" s="29"/>
      <c r="F563" s="101" t="s">
        <v>15851</v>
      </c>
      <c r="G563" s="102" t="s">
        <v>15538</v>
      </c>
      <c r="H563" s="103" t="s">
        <v>4385</v>
      </c>
      <c r="I563" s="29"/>
      <c r="J563" s="29"/>
      <c r="K563" s="29"/>
      <c r="L563" s="29"/>
      <c r="M563" s="29"/>
      <c r="N563" s="29"/>
      <c r="O563" s="29"/>
      <c r="P563" s="29"/>
    </row>
    <row r="564" spans="1:16" ht="112.5" hidden="1" customHeight="1" x14ac:dyDescent="0.3">
      <c r="A564" s="104">
        <v>423</v>
      </c>
      <c r="B564" s="28" t="s">
        <v>3492</v>
      </c>
      <c r="C564" s="28" t="s">
        <v>13997</v>
      </c>
      <c r="D564" s="27" t="s">
        <v>13998</v>
      </c>
      <c r="E564" s="29"/>
      <c r="F564" s="105" t="s">
        <v>15842</v>
      </c>
      <c r="G564" s="98" t="s">
        <v>15538</v>
      </c>
      <c r="H564" s="99" t="s">
        <v>4776</v>
      </c>
      <c r="I564" s="29"/>
      <c r="J564" s="29"/>
      <c r="K564" s="29"/>
      <c r="L564" s="29"/>
      <c r="M564" s="29"/>
      <c r="N564" s="29"/>
      <c r="O564" s="29"/>
      <c r="P564" s="29"/>
    </row>
    <row r="565" spans="1:16" ht="112.5" hidden="1" customHeight="1" x14ac:dyDescent="0.3">
      <c r="A565" s="100">
        <v>440</v>
      </c>
      <c r="B565" s="24" t="s">
        <v>3492</v>
      </c>
      <c r="C565" s="24" t="s">
        <v>13991</v>
      </c>
      <c r="D565" s="25" t="s">
        <v>13992</v>
      </c>
      <c r="E565" s="29"/>
      <c r="F565" s="101" t="s">
        <v>15827</v>
      </c>
      <c r="G565" s="102" t="s">
        <v>15538</v>
      </c>
      <c r="H565" s="103" t="s">
        <v>4827</v>
      </c>
      <c r="I565" s="29"/>
      <c r="J565" s="29"/>
      <c r="K565" s="29"/>
      <c r="L565" s="29"/>
      <c r="M565" s="29"/>
      <c r="N565" s="29"/>
      <c r="O565" s="29"/>
      <c r="P565" s="29"/>
    </row>
    <row r="566" spans="1:16" ht="112.5" customHeight="1" x14ac:dyDescent="0.2">
      <c r="A566" s="75">
        <v>249</v>
      </c>
      <c r="B566" s="94" t="s">
        <v>3492</v>
      </c>
      <c r="C566" s="94" t="s">
        <v>14919</v>
      </c>
      <c r="D566" s="95" t="s">
        <v>14920</v>
      </c>
      <c r="E566" s="96"/>
      <c r="F566" s="97" t="s">
        <v>15557</v>
      </c>
      <c r="G566" s="98" t="s">
        <v>15924</v>
      </c>
      <c r="H566" s="99" t="s">
        <v>7097</v>
      </c>
      <c r="I566" s="29"/>
      <c r="J566" s="29"/>
      <c r="K566" s="29"/>
      <c r="L566" s="29"/>
      <c r="M566" s="29"/>
      <c r="N566" s="29"/>
      <c r="O566" s="29"/>
      <c r="P566" s="29"/>
    </row>
    <row r="567" spans="1:16" ht="112.5" customHeight="1" x14ac:dyDescent="0.2">
      <c r="A567" s="75">
        <v>250</v>
      </c>
      <c r="B567" s="94" t="s">
        <v>3492</v>
      </c>
      <c r="C567" s="94" t="s">
        <v>14634</v>
      </c>
      <c r="D567" s="95" t="s">
        <v>14635</v>
      </c>
      <c r="E567" s="96"/>
      <c r="F567" s="97" t="s">
        <v>15686</v>
      </c>
      <c r="G567" s="98" t="s">
        <v>15925</v>
      </c>
      <c r="H567" s="99" t="s">
        <v>9191</v>
      </c>
      <c r="I567" s="29"/>
      <c r="J567" s="29"/>
      <c r="K567" s="29"/>
      <c r="L567" s="29"/>
      <c r="M567" s="29"/>
      <c r="N567" s="29"/>
      <c r="O567" s="29"/>
      <c r="P567" s="29"/>
    </row>
    <row r="568" spans="1:16" ht="112.5" hidden="1" customHeight="1" x14ac:dyDescent="0.3">
      <c r="A568" s="100">
        <v>1912</v>
      </c>
      <c r="B568" s="24" t="s">
        <v>3492</v>
      </c>
      <c r="C568" s="24" t="s">
        <v>13102</v>
      </c>
      <c r="D568" s="25" t="s">
        <v>13103</v>
      </c>
      <c r="E568" s="29"/>
      <c r="F568" s="101" t="s">
        <v>15618</v>
      </c>
      <c r="G568" s="102" t="s">
        <v>15538</v>
      </c>
      <c r="H568" s="103" t="s">
        <v>9194</v>
      </c>
      <c r="I568" s="29"/>
      <c r="J568" s="29"/>
      <c r="K568" s="29"/>
      <c r="L568" s="29"/>
      <c r="M568" s="29"/>
      <c r="N568" s="29"/>
      <c r="O568" s="29"/>
      <c r="P568" s="29"/>
    </row>
    <row r="569" spans="1:16" ht="112.5" customHeight="1" x14ac:dyDescent="0.2">
      <c r="A569" s="75">
        <v>251</v>
      </c>
      <c r="B569" s="94" t="s">
        <v>3492</v>
      </c>
      <c r="C569" s="94" t="s">
        <v>12857</v>
      </c>
      <c r="D569" s="95" t="s">
        <v>12858</v>
      </c>
      <c r="E569" s="96"/>
      <c r="F569" s="97" t="s">
        <v>15842</v>
      </c>
      <c r="G569" s="98" t="s">
        <v>15738</v>
      </c>
      <c r="H569" s="99" t="s">
        <v>4776</v>
      </c>
      <c r="I569" s="29"/>
      <c r="J569" s="29"/>
      <c r="K569" s="29"/>
      <c r="L569" s="29"/>
      <c r="M569" s="29"/>
      <c r="N569" s="29"/>
      <c r="O569" s="29"/>
      <c r="P569" s="29"/>
    </row>
    <row r="570" spans="1:16" ht="112.5" customHeight="1" x14ac:dyDescent="0.2">
      <c r="A570" s="75">
        <v>252</v>
      </c>
      <c r="B570" s="94" t="s">
        <v>3492</v>
      </c>
      <c r="C570" s="94" t="s">
        <v>15319</v>
      </c>
      <c r="D570" s="95" t="s">
        <v>15320</v>
      </c>
      <c r="E570" s="96"/>
      <c r="F570" s="97" t="s">
        <v>15737</v>
      </c>
      <c r="G570" s="98" t="s">
        <v>15926</v>
      </c>
      <c r="H570" s="99" t="s">
        <v>13815</v>
      </c>
      <c r="I570" s="29"/>
      <c r="J570" s="29"/>
      <c r="K570" s="29"/>
      <c r="L570" s="29"/>
      <c r="M570" s="29"/>
      <c r="N570" s="29"/>
      <c r="O570" s="29"/>
      <c r="P570" s="29"/>
    </row>
    <row r="571" spans="1:16" ht="112.5" hidden="1" customHeight="1" x14ac:dyDescent="0.3">
      <c r="A571" s="100">
        <v>3646</v>
      </c>
      <c r="B571" s="24" t="s">
        <v>3492</v>
      </c>
      <c r="C571" s="24" t="s">
        <v>12871</v>
      </c>
      <c r="D571" s="25" t="s">
        <v>12872</v>
      </c>
      <c r="E571" s="29"/>
      <c r="F571" s="101" t="s">
        <v>15927</v>
      </c>
      <c r="G571" s="102" t="s">
        <v>15538</v>
      </c>
      <c r="H571" s="103" t="s">
        <v>14299</v>
      </c>
      <c r="I571" s="29"/>
      <c r="J571" s="29"/>
      <c r="K571" s="29"/>
      <c r="L571" s="29"/>
      <c r="M571" s="29"/>
      <c r="N571" s="29"/>
      <c r="O571" s="29"/>
      <c r="P571" s="29"/>
    </row>
    <row r="572" spans="1:16" ht="112.5" customHeight="1" x14ac:dyDescent="0.2">
      <c r="A572" s="75">
        <v>253</v>
      </c>
      <c r="B572" s="94" t="s">
        <v>3492</v>
      </c>
      <c r="C572" s="94" t="s">
        <v>14916</v>
      </c>
      <c r="D572" s="95" t="s">
        <v>14917</v>
      </c>
      <c r="E572" s="96"/>
      <c r="F572" s="97" t="s">
        <v>15603</v>
      </c>
      <c r="G572" s="98" t="s">
        <v>15572</v>
      </c>
      <c r="H572" s="99" t="s">
        <v>14470</v>
      </c>
      <c r="I572" s="29"/>
      <c r="J572" s="29"/>
      <c r="K572" s="29"/>
      <c r="L572" s="29"/>
      <c r="M572" s="29"/>
      <c r="N572" s="29"/>
      <c r="O572" s="29"/>
      <c r="P572" s="29"/>
    </row>
    <row r="573" spans="1:16" ht="112.5" customHeight="1" x14ac:dyDescent="0.2">
      <c r="A573" s="75">
        <v>254</v>
      </c>
      <c r="B573" s="94" t="s">
        <v>3492</v>
      </c>
      <c r="C573" s="94" t="s">
        <v>12589</v>
      </c>
      <c r="D573" s="95" t="s">
        <v>12590</v>
      </c>
      <c r="E573" s="96"/>
      <c r="F573" s="97" t="s">
        <v>15605</v>
      </c>
      <c r="G573" s="102" t="s">
        <v>15928</v>
      </c>
      <c r="H573" s="103" t="s">
        <v>14471</v>
      </c>
      <c r="I573" s="29"/>
      <c r="J573" s="29"/>
      <c r="K573" s="29"/>
      <c r="L573" s="29"/>
      <c r="M573" s="29"/>
      <c r="N573" s="29"/>
      <c r="O573" s="29"/>
      <c r="P573" s="29"/>
    </row>
    <row r="574" spans="1:16" ht="112.5" customHeight="1" x14ac:dyDescent="0.2">
      <c r="A574" s="75">
        <v>255</v>
      </c>
      <c r="B574" s="94" t="s">
        <v>3492</v>
      </c>
      <c r="C574" s="94" t="s">
        <v>12880</v>
      </c>
      <c r="D574" s="95" t="s">
        <v>12881</v>
      </c>
      <c r="E574" s="96"/>
      <c r="F574" s="97" t="s">
        <v>15843</v>
      </c>
      <c r="G574" s="98" t="s">
        <v>15929</v>
      </c>
      <c r="H574" s="99" t="s">
        <v>14474</v>
      </c>
      <c r="I574" s="29"/>
      <c r="J574" s="29"/>
      <c r="K574" s="29"/>
      <c r="L574" s="29"/>
      <c r="M574" s="29"/>
      <c r="N574" s="29"/>
      <c r="O574" s="29"/>
      <c r="P574" s="29"/>
    </row>
    <row r="575" spans="1:16" ht="112.5" customHeight="1" x14ac:dyDescent="0.2">
      <c r="A575" s="75">
        <v>256</v>
      </c>
      <c r="B575" s="94" t="s">
        <v>3492</v>
      </c>
      <c r="C575" s="94" t="s">
        <v>13010</v>
      </c>
      <c r="D575" s="95" t="s">
        <v>13011</v>
      </c>
      <c r="E575" s="96"/>
      <c r="F575" s="97" t="s">
        <v>15930</v>
      </c>
      <c r="G575" s="98" t="s">
        <v>15823</v>
      </c>
      <c r="H575" s="99" t="s">
        <v>14534</v>
      </c>
      <c r="I575" s="29"/>
      <c r="J575" s="29"/>
      <c r="K575" s="29"/>
      <c r="L575" s="29"/>
      <c r="M575" s="29"/>
      <c r="N575" s="29"/>
      <c r="O575" s="29"/>
      <c r="P575" s="29"/>
    </row>
    <row r="576" spans="1:16" ht="112.5" hidden="1" customHeight="1" x14ac:dyDescent="0.3">
      <c r="A576" s="100">
        <v>3924</v>
      </c>
      <c r="B576" s="24" t="s">
        <v>3492</v>
      </c>
      <c r="C576" s="24" t="s">
        <v>13129</v>
      </c>
      <c r="D576" s="25" t="s">
        <v>13130</v>
      </c>
      <c r="E576" s="29"/>
      <c r="F576" s="101" t="s">
        <v>15555</v>
      </c>
      <c r="G576" s="102" t="s">
        <v>15538</v>
      </c>
      <c r="H576" s="103" t="s">
        <v>15127</v>
      </c>
      <c r="I576" s="29"/>
      <c r="J576" s="29"/>
      <c r="K576" s="29"/>
      <c r="L576" s="29"/>
      <c r="M576" s="29"/>
      <c r="N576" s="29"/>
      <c r="O576" s="29"/>
      <c r="P576" s="29"/>
    </row>
    <row r="577" spans="1:16" ht="112.5" hidden="1" customHeight="1" x14ac:dyDescent="0.3">
      <c r="A577" s="100">
        <v>3962</v>
      </c>
      <c r="B577" s="24" t="s">
        <v>3492</v>
      </c>
      <c r="C577" s="24" t="s">
        <v>12821</v>
      </c>
      <c r="D577" s="25" t="s">
        <v>12822</v>
      </c>
      <c r="E577" s="29"/>
      <c r="F577" s="101" t="s">
        <v>15593</v>
      </c>
      <c r="G577" s="102" t="s">
        <v>15538</v>
      </c>
      <c r="H577" s="103" t="s">
        <v>15240</v>
      </c>
      <c r="I577" s="29"/>
      <c r="J577" s="29"/>
      <c r="K577" s="29"/>
      <c r="L577" s="29"/>
      <c r="M577" s="29"/>
      <c r="N577" s="29"/>
      <c r="O577" s="29"/>
      <c r="P577" s="29"/>
    </row>
    <row r="578" spans="1:16" ht="112.5" hidden="1" customHeight="1" x14ac:dyDescent="0.3">
      <c r="A578" s="100">
        <v>3984</v>
      </c>
      <c r="B578" s="24" t="s">
        <v>3492</v>
      </c>
      <c r="C578" s="24" t="s">
        <v>13671</v>
      </c>
      <c r="D578" s="25" t="s">
        <v>13672</v>
      </c>
      <c r="E578" s="29"/>
      <c r="F578" s="101" t="s">
        <v>15603</v>
      </c>
      <c r="G578" s="102" t="s">
        <v>15538</v>
      </c>
      <c r="H578" s="103" t="s">
        <v>15306</v>
      </c>
      <c r="I578" s="29"/>
      <c r="J578" s="29"/>
      <c r="K578" s="29"/>
      <c r="L578" s="29"/>
      <c r="M578" s="29"/>
      <c r="N578" s="29"/>
      <c r="O578" s="29"/>
      <c r="P578" s="29"/>
    </row>
    <row r="579" spans="1:16" ht="112.5" hidden="1" customHeight="1" x14ac:dyDescent="0.3">
      <c r="A579" s="104">
        <v>3985</v>
      </c>
      <c r="B579" s="28" t="s">
        <v>3492</v>
      </c>
      <c r="C579" s="28" t="s">
        <v>13665</v>
      </c>
      <c r="D579" s="27" t="s">
        <v>13666</v>
      </c>
      <c r="E579" s="29"/>
      <c r="F579" s="105" t="s">
        <v>15671</v>
      </c>
      <c r="G579" s="98" t="s">
        <v>15538</v>
      </c>
      <c r="H579" s="99" t="s">
        <v>15309</v>
      </c>
      <c r="I579" s="29"/>
      <c r="J579" s="29"/>
      <c r="K579" s="29"/>
      <c r="L579" s="29"/>
      <c r="M579" s="29"/>
      <c r="N579" s="29"/>
      <c r="O579" s="29"/>
      <c r="P579" s="29"/>
    </row>
    <row r="580" spans="1:16" ht="112.5" customHeight="1" x14ac:dyDescent="0.2">
      <c r="A580" s="75">
        <v>257</v>
      </c>
      <c r="B580" s="94" t="s">
        <v>3492</v>
      </c>
      <c r="C580" s="94" t="s">
        <v>13668</v>
      </c>
      <c r="D580" s="95" t="s">
        <v>13669</v>
      </c>
      <c r="E580" s="96"/>
      <c r="F580" s="97" t="s">
        <v>15627</v>
      </c>
      <c r="G580" s="102" t="s">
        <v>15931</v>
      </c>
      <c r="H580" s="103" t="s">
        <v>15312</v>
      </c>
      <c r="I580" s="29"/>
      <c r="J580" s="29"/>
      <c r="K580" s="29"/>
      <c r="L580" s="29"/>
      <c r="M580" s="29"/>
      <c r="N580" s="29"/>
      <c r="O580" s="29"/>
      <c r="P580" s="29"/>
    </row>
    <row r="581" spans="1:16" ht="112.5" hidden="1" customHeight="1" x14ac:dyDescent="0.3">
      <c r="A581" s="104">
        <v>3987</v>
      </c>
      <c r="B581" s="28" t="s">
        <v>3492</v>
      </c>
      <c r="C581" s="28" t="s">
        <v>13662</v>
      </c>
      <c r="D581" s="27" t="s">
        <v>13663</v>
      </c>
      <c r="E581" s="29"/>
      <c r="F581" s="105" t="s">
        <v>15547</v>
      </c>
      <c r="G581" s="98" t="s">
        <v>15538</v>
      </c>
      <c r="H581" s="99" t="s">
        <v>15315</v>
      </c>
      <c r="I581" s="29"/>
      <c r="J581" s="29"/>
      <c r="K581" s="29"/>
      <c r="L581" s="29"/>
      <c r="M581" s="29"/>
      <c r="N581" s="29"/>
      <c r="O581" s="29"/>
      <c r="P581" s="29"/>
    </row>
    <row r="582" spans="1:16" ht="112.5" customHeight="1" x14ac:dyDescent="0.2">
      <c r="A582" s="75">
        <v>258</v>
      </c>
      <c r="B582" s="94" t="s">
        <v>3492</v>
      </c>
      <c r="C582" s="94" t="s">
        <v>13596</v>
      </c>
      <c r="D582" s="95" t="s">
        <v>13597</v>
      </c>
      <c r="E582" s="96"/>
      <c r="F582" s="97" t="s">
        <v>15551</v>
      </c>
      <c r="G582" s="98" t="s">
        <v>15929</v>
      </c>
      <c r="H582" s="99" t="s">
        <v>15397</v>
      </c>
      <c r="I582" s="29"/>
      <c r="J582" s="29"/>
      <c r="K582" s="29"/>
      <c r="L582" s="29"/>
      <c r="M582" s="29"/>
      <c r="N582" s="29"/>
      <c r="O582" s="29"/>
      <c r="P582" s="29"/>
    </row>
    <row r="583" spans="1:16" ht="112.5" customHeight="1" x14ac:dyDescent="0.2">
      <c r="A583" s="75">
        <v>259</v>
      </c>
      <c r="B583" s="94" t="s">
        <v>12428</v>
      </c>
      <c r="C583" s="94" t="s">
        <v>15048</v>
      </c>
      <c r="D583" s="95" t="s">
        <v>17</v>
      </c>
      <c r="E583" s="96"/>
      <c r="F583" s="97" t="s">
        <v>15539</v>
      </c>
      <c r="G583" s="102" t="s">
        <v>15863</v>
      </c>
      <c r="H583" s="103" t="s">
        <v>15932</v>
      </c>
      <c r="I583" s="29"/>
      <c r="J583" s="29"/>
      <c r="K583" s="29"/>
      <c r="L583" s="29"/>
      <c r="M583" s="29"/>
      <c r="N583" s="29"/>
      <c r="O583" s="29"/>
      <c r="P583" s="29"/>
    </row>
    <row r="584" spans="1:16" ht="112.5" hidden="1" customHeight="1" x14ac:dyDescent="0.3">
      <c r="A584" s="100">
        <v>18</v>
      </c>
      <c r="B584" s="24" t="s">
        <v>12428</v>
      </c>
      <c r="C584" s="24" t="s">
        <v>15437</v>
      </c>
      <c r="D584" s="25" t="s">
        <v>15438</v>
      </c>
      <c r="E584" s="29"/>
      <c r="F584" s="101" t="s">
        <v>15539</v>
      </c>
      <c r="G584" s="102" t="s">
        <v>15538</v>
      </c>
      <c r="H584" s="103" t="s">
        <v>3552</v>
      </c>
      <c r="I584" s="29"/>
      <c r="J584" s="29"/>
      <c r="K584" s="29"/>
      <c r="L584" s="29"/>
      <c r="M584" s="29"/>
      <c r="N584" s="29"/>
      <c r="O584" s="29"/>
      <c r="P584" s="29"/>
    </row>
    <row r="585" spans="1:16" ht="112.5" customHeight="1" x14ac:dyDescent="0.2">
      <c r="A585" s="75">
        <v>260</v>
      </c>
      <c r="B585" s="94" t="s">
        <v>12428</v>
      </c>
      <c r="C585" s="94" t="s">
        <v>15425</v>
      </c>
      <c r="D585" s="95" t="s">
        <v>15426</v>
      </c>
      <c r="E585" s="96"/>
      <c r="F585" s="97" t="s">
        <v>15694</v>
      </c>
      <c r="G585" s="98" t="s">
        <v>15933</v>
      </c>
      <c r="H585" s="99" t="s">
        <v>3555</v>
      </c>
      <c r="I585" s="29"/>
      <c r="J585" s="29"/>
      <c r="K585" s="29"/>
      <c r="L585" s="29"/>
      <c r="M585" s="29"/>
      <c r="N585" s="29"/>
      <c r="O585" s="29"/>
      <c r="P585" s="29"/>
    </row>
    <row r="586" spans="1:16" ht="112.5" customHeight="1" x14ac:dyDescent="0.2">
      <c r="A586" s="75">
        <v>261</v>
      </c>
      <c r="B586" s="94" t="s">
        <v>12428</v>
      </c>
      <c r="C586" s="94" t="s">
        <v>14652</v>
      </c>
      <c r="D586" s="95" t="s">
        <v>14653</v>
      </c>
      <c r="E586" s="96"/>
      <c r="F586" s="97" t="s">
        <v>15744</v>
      </c>
      <c r="G586" s="102" t="s">
        <v>15592</v>
      </c>
      <c r="H586" s="103" t="s">
        <v>3614</v>
      </c>
      <c r="I586" s="29"/>
      <c r="J586" s="29"/>
      <c r="K586" s="29"/>
      <c r="L586" s="29"/>
      <c r="M586" s="29"/>
      <c r="N586" s="29"/>
      <c r="O586" s="29"/>
      <c r="P586" s="29"/>
    </row>
    <row r="587" spans="1:16" ht="112.5" hidden="1" customHeight="1" x14ac:dyDescent="0.3">
      <c r="A587" s="104">
        <v>39</v>
      </c>
      <c r="B587" s="28" t="s">
        <v>12428</v>
      </c>
      <c r="C587" s="28" t="s">
        <v>14438</v>
      </c>
      <c r="D587" s="27" t="s">
        <v>14439</v>
      </c>
      <c r="E587" s="29"/>
      <c r="F587" s="105" t="s">
        <v>15583</v>
      </c>
      <c r="G587" s="98" t="s">
        <v>15538</v>
      </c>
      <c r="H587" s="99" t="s">
        <v>3617</v>
      </c>
      <c r="I587" s="29"/>
      <c r="J587" s="29"/>
      <c r="K587" s="29"/>
      <c r="L587" s="29"/>
      <c r="M587" s="29"/>
      <c r="N587" s="29"/>
      <c r="O587" s="29"/>
      <c r="P587" s="29"/>
    </row>
    <row r="588" spans="1:16" ht="112.5" customHeight="1" x14ac:dyDescent="0.2">
      <c r="A588" s="75">
        <v>262</v>
      </c>
      <c r="B588" s="94" t="s">
        <v>12428</v>
      </c>
      <c r="C588" s="94" t="s">
        <v>14381</v>
      </c>
      <c r="D588" s="95" t="s">
        <v>14382</v>
      </c>
      <c r="E588" s="96"/>
      <c r="F588" s="97" t="s">
        <v>15784</v>
      </c>
      <c r="G588" s="102" t="s">
        <v>15592</v>
      </c>
      <c r="H588" s="103" t="s">
        <v>3620</v>
      </c>
      <c r="I588" s="29"/>
      <c r="J588" s="29"/>
      <c r="K588" s="29"/>
      <c r="L588" s="29"/>
      <c r="M588" s="29"/>
      <c r="N588" s="29"/>
      <c r="O588" s="29"/>
      <c r="P588" s="29"/>
    </row>
    <row r="589" spans="1:16" ht="112.5" customHeight="1" x14ac:dyDescent="0.2">
      <c r="A589" s="75">
        <v>263</v>
      </c>
      <c r="B589" s="94" t="s">
        <v>12428</v>
      </c>
      <c r="C589" s="94" t="s">
        <v>13611</v>
      </c>
      <c r="D589" s="95" t="s">
        <v>13612</v>
      </c>
      <c r="E589" s="96"/>
      <c r="F589" s="97" t="s">
        <v>15686</v>
      </c>
      <c r="G589" s="102" t="s">
        <v>15934</v>
      </c>
      <c r="H589" s="103" t="s">
        <v>3626</v>
      </c>
      <c r="I589" s="29"/>
      <c r="J589" s="29"/>
      <c r="K589" s="29"/>
      <c r="L589" s="29"/>
      <c r="M589" s="29"/>
      <c r="N589" s="29"/>
      <c r="O589" s="29"/>
      <c r="P589" s="29"/>
    </row>
    <row r="590" spans="1:16" ht="112.5" customHeight="1" x14ac:dyDescent="0.2">
      <c r="A590" s="75">
        <v>264</v>
      </c>
      <c r="B590" s="94" t="s">
        <v>12428</v>
      </c>
      <c r="C590" s="94" t="s">
        <v>15473</v>
      </c>
      <c r="D590" s="95" t="s">
        <v>15474</v>
      </c>
      <c r="E590" s="96"/>
      <c r="F590" s="97" t="s">
        <v>15935</v>
      </c>
      <c r="G590" s="102" t="s">
        <v>15702</v>
      </c>
      <c r="H590" s="103" t="s">
        <v>3633</v>
      </c>
      <c r="I590" s="29"/>
      <c r="J590" s="29"/>
      <c r="K590" s="29"/>
      <c r="L590" s="29"/>
      <c r="M590" s="29"/>
      <c r="N590" s="29"/>
      <c r="O590" s="29"/>
      <c r="P590" s="29"/>
    </row>
    <row r="591" spans="1:16" ht="112.5" hidden="1" customHeight="1" x14ac:dyDescent="0.3">
      <c r="A591" s="104">
        <v>45</v>
      </c>
      <c r="B591" s="28" t="s">
        <v>12428</v>
      </c>
      <c r="C591" s="28" t="s">
        <v>15360</v>
      </c>
      <c r="D591" s="27" t="s">
        <v>15361</v>
      </c>
      <c r="E591" s="29"/>
      <c r="F591" s="105" t="s">
        <v>15749</v>
      </c>
      <c r="G591" s="98" t="s">
        <v>15538</v>
      </c>
      <c r="H591" s="99" t="s">
        <v>3636</v>
      </c>
      <c r="I591" s="29"/>
      <c r="J591" s="29"/>
      <c r="K591" s="29"/>
      <c r="L591" s="29"/>
      <c r="M591" s="29"/>
      <c r="N591" s="29"/>
      <c r="O591" s="29"/>
      <c r="P591" s="29"/>
    </row>
    <row r="592" spans="1:16" ht="112.5" hidden="1" customHeight="1" x14ac:dyDescent="0.3">
      <c r="A592" s="100">
        <v>46</v>
      </c>
      <c r="B592" s="24" t="s">
        <v>12428</v>
      </c>
      <c r="C592" s="24" t="s">
        <v>13477</v>
      </c>
      <c r="D592" s="25" t="s">
        <v>13478</v>
      </c>
      <c r="E592" s="29"/>
      <c r="F592" s="101" t="s">
        <v>15935</v>
      </c>
      <c r="G592" s="102" t="s">
        <v>15538</v>
      </c>
      <c r="H592" s="103" t="s">
        <v>3639</v>
      </c>
      <c r="I592" s="29"/>
      <c r="J592" s="29"/>
      <c r="K592" s="29"/>
      <c r="L592" s="29"/>
      <c r="M592" s="29"/>
      <c r="N592" s="29"/>
      <c r="O592" s="29"/>
      <c r="P592" s="29"/>
    </row>
    <row r="593" spans="1:16" ht="112.5" hidden="1" customHeight="1" x14ac:dyDescent="0.3">
      <c r="A593" s="100">
        <v>48</v>
      </c>
      <c r="B593" s="24" t="s">
        <v>12428</v>
      </c>
      <c r="C593" s="24" t="s">
        <v>14715</v>
      </c>
      <c r="D593" s="25" t="s">
        <v>14716</v>
      </c>
      <c r="E593" s="29"/>
      <c r="F593" s="101" t="s">
        <v>15677</v>
      </c>
      <c r="G593" s="102" t="s">
        <v>15538</v>
      </c>
      <c r="H593" s="103" t="s">
        <v>3645</v>
      </c>
      <c r="I593" s="29"/>
      <c r="J593" s="29"/>
      <c r="K593" s="29"/>
      <c r="L593" s="29"/>
      <c r="M593" s="29"/>
      <c r="N593" s="29"/>
      <c r="O593" s="29"/>
      <c r="P593" s="29"/>
    </row>
    <row r="594" spans="1:16" ht="112.5" hidden="1" customHeight="1" x14ac:dyDescent="0.3">
      <c r="A594" s="104">
        <v>49</v>
      </c>
      <c r="B594" s="28" t="s">
        <v>12428</v>
      </c>
      <c r="C594" s="28" t="s">
        <v>14387</v>
      </c>
      <c r="D594" s="27" t="s">
        <v>14388</v>
      </c>
      <c r="E594" s="29"/>
      <c r="F594" s="105" t="s">
        <v>15694</v>
      </c>
      <c r="G594" s="98" t="s">
        <v>15538</v>
      </c>
      <c r="H594" s="99" t="s">
        <v>3648</v>
      </c>
      <c r="I594" s="29"/>
      <c r="J594" s="29"/>
      <c r="K594" s="29"/>
      <c r="L594" s="29"/>
      <c r="M594" s="29"/>
      <c r="N594" s="29"/>
      <c r="O594" s="29"/>
      <c r="P594" s="29"/>
    </row>
    <row r="595" spans="1:16" ht="112.5" hidden="1" customHeight="1" x14ac:dyDescent="0.3">
      <c r="A595" s="100">
        <v>52</v>
      </c>
      <c r="B595" s="24" t="s">
        <v>12428</v>
      </c>
      <c r="C595" s="24" t="s">
        <v>14896</v>
      </c>
      <c r="D595" s="25" t="s">
        <v>14897</v>
      </c>
      <c r="E595" s="29"/>
      <c r="F595" s="101" t="s">
        <v>15596</v>
      </c>
      <c r="G595" s="102" t="s">
        <v>15538</v>
      </c>
      <c r="H595" s="103" t="s">
        <v>3657</v>
      </c>
      <c r="I595" s="29"/>
      <c r="J595" s="29"/>
      <c r="K595" s="29"/>
      <c r="L595" s="29"/>
      <c r="M595" s="29"/>
      <c r="N595" s="29"/>
      <c r="O595" s="29"/>
      <c r="P595" s="29"/>
    </row>
    <row r="596" spans="1:16" ht="112.5" hidden="1" customHeight="1" x14ac:dyDescent="0.3">
      <c r="A596" s="104">
        <v>53</v>
      </c>
      <c r="B596" s="28" t="s">
        <v>12428</v>
      </c>
      <c r="C596" s="28" t="s">
        <v>15166</v>
      </c>
      <c r="D596" s="27" t="s">
        <v>15167</v>
      </c>
      <c r="E596" s="29"/>
      <c r="F596" s="105" t="s">
        <v>15628</v>
      </c>
      <c r="G596" s="98" t="s">
        <v>15538</v>
      </c>
      <c r="H596" s="99" t="s">
        <v>3660</v>
      </c>
      <c r="I596" s="29"/>
      <c r="J596" s="29"/>
      <c r="K596" s="29"/>
      <c r="L596" s="29"/>
      <c r="M596" s="29"/>
      <c r="N596" s="29"/>
      <c r="O596" s="29"/>
      <c r="P596" s="29"/>
    </row>
    <row r="597" spans="1:16" ht="112.5" customHeight="1" x14ac:dyDescent="0.2">
      <c r="A597" s="75">
        <v>265</v>
      </c>
      <c r="B597" s="94" t="s">
        <v>12428</v>
      </c>
      <c r="C597" s="94" t="s">
        <v>51</v>
      </c>
      <c r="D597" s="95" t="s">
        <v>52</v>
      </c>
      <c r="E597" s="96"/>
      <c r="F597" s="97" t="s">
        <v>15936</v>
      </c>
      <c r="G597" s="102" t="s">
        <v>15937</v>
      </c>
      <c r="H597" s="103" t="s">
        <v>3669</v>
      </c>
      <c r="I597" s="29"/>
      <c r="J597" s="29"/>
      <c r="K597" s="29"/>
      <c r="L597" s="29"/>
      <c r="M597" s="29"/>
      <c r="N597" s="29"/>
      <c r="O597" s="29"/>
      <c r="P597" s="29"/>
    </row>
    <row r="598" spans="1:16" ht="112.5" hidden="1" customHeight="1" x14ac:dyDescent="0.3">
      <c r="A598" s="104">
        <v>57</v>
      </c>
      <c r="B598" s="28" t="s">
        <v>12428</v>
      </c>
      <c r="C598" s="28" t="s">
        <v>14973</v>
      </c>
      <c r="D598" s="27" t="s">
        <v>14974</v>
      </c>
      <c r="E598" s="29"/>
      <c r="F598" s="105" t="s">
        <v>15726</v>
      </c>
      <c r="G598" s="98" t="s">
        <v>15538</v>
      </c>
      <c r="H598" s="99" t="s">
        <v>3673</v>
      </c>
      <c r="I598" s="29"/>
      <c r="J598" s="29"/>
      <c r="K598" s="29"/>
      <c r="L598" s="29"/>
      <c r="M598" s="29"/>
      <c r="N598" s="29"/>
      <c r="O598" s="29"/>
      <c r="P598" s="29"/>
    </row>
    <row r="599" spans="1:16" ht="112.5" hidden="1" customHeight="1" x14ac:dyDescent="0.3">
      <c r="A599" s="100">
        <v>58</v>
      </c>
      <c r="B599" s="24" t="s">
        <v>12428</v>
      </c>
      <c r="C599" s="24" t="s">
        <v>14976</v>
      </c>
      <c r="D599" s="25" t="s">
        <v>14977</v>
      </c>
      <c r="E599" s="29"/>
      <c r="F599" s="101" t="s">
        <v>15557</v>
      </c>
      <c r="G599" s="102" t="s">
        <v>15538</v>
      </c>
      <c r="H599" s="103" t="s">
        <v>3676</v>
      </c>
      <c r="I599" s="29"/>
      <c r="J599" s="29"/>
      <c r="K599" s="29"/>
      <c r="L599" s="29"/>
      <c r="M599" s="29"/>
      <c r="N599" s="29"/>
      <c r="O599" s="29"/>
      <c r="P599" s="29"/>
    </row>
    <row r="600" spans="1:16" ht="112.5" hidden="1" customHeight="1" x14ac:dyDescent="0.3">
      <c r="A600" s="104">
        <v>63</v>
      </c>
      <c r="B600" s="28" t="s">
        <v>12428</v>
      </c>
      <c r="C600" s="28" t="s">
        <v>15416</v>
      </c>
      <c r="D600" s="27" t="s">
        <v>15417</v>
      </c>
      <c r="E600" s="29"/>
      <c r="F600" s="105" t="s">
        <v>15599</v>
      </c>
      <c r="G600" s="98" t="s">
        <v>15538</v>
      </c>
      <c r="H600" s="99" t="s">
        <v>3691</v>
      </c>
      <c r="I600" s="29"/>
      <c r="J600" s="29"/>
      <c r="K600" s="29"/>
      <c r="L600" s="29"/>
      <c r="M600" s="29"/>
      <c r="N600" s="29"/>
      <c r="O600" s="29"/>
      <c r="P600" s="29"/>
    </row>
    <row r="601" spans="1:16" ht="112.5" customHeight="1" x14ac:dyDescent="0.2">
      <c r="A601" s="75">
        <v>266</v>
      </c>
      <c r="B601" s="94" t="s">
        <v>12428</v>
      </c>
      <c r="C601" s="94" t="s">
        <v>14435</v>
      </c>
      <c r="D601" s="95" t="s">
        <v>14436</v>
      </c>
      <c r="E601" s="96"/>
      <c r="F601" s="97" t="s">
        <v>15583</v>
      </c>
      <c r="G601" s="98" t="s">
        <v>15582</v>
      </c>
      <c r="H601" s="99" t="s">
        <v>3697</v>
      </c>
      <c r="I601" s="29"/>
      <c r="J601" s="29"/>
      <c r="K601" s="29"/>
      <c r="L601" s="29"/>
      <c r="M601" s="29"/>
      <c r="N601" s="29"/>
      <c r="O601" s="29"/>
      <c r="P601" s="29"/>
    </row>
    <row r="602" spans="1:16" ht="112.5" hidden="1" customHeight="1" x14ac:dyDescent="0.3">
      <c r="A602" s="100">
        <v>68</v>
      </c>
      <c r="B602" s="24" t="s">
        <v>12428</v>
      </c>
      <c r="C602" s="24" t="s">
        <v>13614</v>
      </c>
      <c r="D602" s="25" t="s">
        <v>13615</v>
      </c>
      <c r="E602" s="29"/>
      <c r="F602" s="101" t="s">
        <v>15583</v>
      </c>
      <c r="G602" s="102" t="s">
        <v>15538</v>
      </c>
      <c r="H602" s="103" t="s">
        <v>3706</v>
      </c>
      <c r="I602" s="29"/>
      <c r="J602" s="29"/>
      <c r="K602" s="29"/>
      <c r="L602" s="29"/>
      <c r="M602" s="29"/>
      <c r="N602" s="29"/>
      <c r="O602" s="29"/>
      <c r="P602" s="29"/>
    </row>
    <row r="603" spans="1:16" ht="112.5" hidden="1" customHeight="1" x14ac:dyDescent="0.3">
      <c r="A603" s="100">
        <v>72</v>
      </c>
      <c r="B603" s="24" t="s">
        <v>12428</v>
      </c>
      <c r="C603" s="24" t="s">
        <v>15485</v>
      </c>
      <c r="D603" s="25" t="s">
        <v>15486</v>
      </c>
      <c r="E603" s="29"/>
      <c r="F603" s="101" t="s">
        <v>15930</v>
      </c>
      <c r="G603" s="102" t="s">
        <v>15538</v>
      </c>
      <c r="H603" s="103" t="s">
        <v>3718</v>
      </c>
      <c r="I603" s="29"/>
      <c r="J603" s="29"/>
      <c r="K603" s="29"/>
      <c r="L603" s="29"/>
      <c r="M603" s="29"/>
      <c r="N603" s="29"/>
      <c r="O603" s="29"/>
      <c r="P603" s="29"/>
    </row>
    <row r="604" spans="1:16" ht="112.5" customHeight="1" x14ac:dyDescent="0.2">
      <c r="A604" s="75">
        <v>267</v>
      </c>
      <c r="B604" s="94" t="s">
        <v>12428</v>
      </c>
      <c r="C604" s="94" t="s">
        <v>13760</v>
      </c>
      <c r="D604" s="95" t="s">
        <v>13761</v>
      </c>
      <c r="E604" s="96"/>
      <c r="F604" s="97" t="s">
        <v>15810</v>
      </c>
      <c r="G604" s="102" t="s">
        <v>15938</v>
      </c>
      <c r="H604" s="103" t="s">
        <v>3724</v>
      </c>
      <c r="I604" s="29"/>
      <c r="J604" s="29"/>
      <c r="K604" s="29"/>
      <c r="L604" s="29"/>
      <c r="M604" s="29"/>
      <c r="N604" s="29"/>
      <c r="O604" s="29"/>
      <c r="P604" s="29"/>
    </row>
    <row r="605" spans="1:16" ht="112.5" hidden="1" customHeight="1" x14ac:dyDescent="0.3">
      <c r="A605" s="104">
        <v>75</v>
      </c>
      <c r="B605" s="28" t="s">
        <v>12428</v>
      </c>
      <c r="C605" s="28" t="s">
        <v>15045</v>
      </c>
      <c r="D605" s="27" t="s">
        <v>15046</v>
      </c>
      <c r="E605" s="29"/>
      <c r="F605" s="105" t="s">
        <v>15577</v>
      </c>
      <c r="G605" s="98" t="s">
        <v>15538</v>
      </c>
      <c r="H605" s="99" t="s">
        <v>3727</v>
      </c>
      <c r="I605" s="29"/>
      <c r="J605" s="29"/>
      <c r="K605" s="29"/>
      <c r="L605" s="29"/>
      <c r="M605" s="29"/>
      <c r="N605" s="29"/>
      <c r="O605" s="29"/>
      <c r="P605" s="29"/>
    </row>
    <row r="606" spans="1:16" ht="112.5" hidden="1" customHeight="1" x14ac:dyDescent="0.3">
      <c r="A606" s="100">
        <v>76</v>
      </c>
      <c r="B606" s="24" t="s">
        <v>12428</v>
      </c>
      <c r="C606" s="24" t="s">
        <v>15333</v>
      </c>
      <c r="D606" s="25" t="s">
        <v>15334</v>
      </c>
      <c r="E606" s="29"/>
      <c r="F606" s="101" t="s">
        <v>15638</v>
      </c>
      <c r="G606" s="102" t="s">
        <v>15538</v>
      </c>
      <c r="H606" s="103" t="s">
        <v>3730</v>
      </c>
      <c r="I606" s="29"/>
      <c r="J606" s="29"/>
      <c r="K606" s="29"/>
      <c r="L606" s="29"/>
      <c r="M606" s="29"/>
      <c r="N606" s="29"/>
      <c r="O606" s="29"/>
      <c r="P606" s="29"/>
    </row>
    <row r="607" spans="1:16" ht="112.5" hidden="1" customHeight="1" x14ac:dyDescent="0.3">
      <c r="A607" s="104">
        <v>77</v>
      </c>
      <c r="B607" s="28" t="s">
        <v>12428</v>
      </c>
      <c r="C607" s="28" t="s">
        <v>13768</v>
      </c>
      <c r="D607" s="27" t="s">
        <v>13769</v>
      </c>
      <c r="E607" s="29"/>
      <c r="F607" s="105" t="s">
        <v>15614</v>
      </c>
      <c r="G607" s="98" t="s">
        <v>15538</v>
      </c>
      <c r="H607" s="99" t="s">
        <v>3733</v>
      </c>
      <c r="I607" s="29"/>
      <c r="J607" s="29"/>
      <c r="K607" s="29"/>
      <c r="L607" s="29"/>
      <c r="M607" s="29"/>
      <c r="N607" s="29"/>
      <c r="O607" s="29"/>
      <c r="P607" s="29"/>
    </row>
    <row r="608" spans="1:16" ht="112.5" hidden="1" customHeight="1" x14ac:dyDescent="0.3">
      <c r="A608" s="100">
        <v>78</v>
      </c>
      <c r="B608" s="24" t="s">
        <v>12428</v>
      </c>
      <c r="C608" s="24" t="s">
        <v>13692</v>
      </c>
      <c r="D608" s="25" t="s">
        <v>13693</v>
      </c>
      <c r="E608" s="29"/>
      <c r="F608" s="101" t="s">
        <v>15614</v>
      </c>
      <c r="G608" s="102" t="s">
        <v>15538</v>
      </c>
      <c r="H608" s="103" t="s">
        <v>3736</v>
      </c>
      <c r="I608" s="29"/>
      <c r="J608" s="29"/>
      <c r="K608" s="29"/>
      <c r="L608" s="29"/>
      <c r="M608" s="29"/>
      <c r="N608" s="29"/>
      <c r="O608" s="29"/>
      <c r="P608" s="29"/>
    </row>
    <row r="609" spans="1:16" ht="112.5" hidden="1" customHeight="1" x14ac:dyDescent="0.3">
      <c r="A609" s="104">
        <v>81</v>
      </c>
      <c r="B609" s="28" t="s">
        <v>12428</v>
      </c>
      <c r="C609" s="28" t="s">
        <v>15413</v>
      </c>
      <c r="D609" s="27" t="s">
        <v>15414</v>
      </c>
      <c r="E609" s="29"/>
      <c r="F609" s="105" t="s">
        <v>15539</v>
      </c>
      <c r="G609" s="98" t="s">
        <v>15538</v>
      </c>
      <c r="H609" s="99" t="s">
        <v>3745</v>
      </c>
      <c r="I609" s="29"/>
      <c r="J609" s="29"/>
      <c r="K609" s="29"/>
      <c r="L609" s="29"/>
      <c r="M609" s="29"/>
      <c r="N609" s="29"/>
      <c r="O609" s="29"/>
      <c r="P609" s="29"/>
    </row>
    <row r="610" spans="1:16" ht="112.5" hidden="1" customHeight="1" x14ac:dyDescent="0.3">
      <c r="A610" s="100">
        <v>82</v>
      </c>
      <c r="B610" s="24" t="s">
        <v>12428</v>
      </c>
      <c r="C610" s="24" t="s">
        <v>15476</v>
      </c>
      <c r="D610" s="25" t="s">
        <v>15477</v>
      </c>
      <c r="E610" s="29"/>
      <c r="F610" s="101" t="s">
        <v>15563</v>
      </c>
      <c r="G610" s="102" t="s">
        <v>15538</v>
      </c>
      <c r="H610" s="103" t="s">
        <v>3748</v>
      </c>
      <c r="I610" s="29"/>
      <c r="J610" s="29"/>
      <c r="K610" s="29"/>
      <c r="L610" s="29"/>
      <c r="M610" s="29"/>
      <c r="N610" s="29"/>
      <c r="O610" s="29"/>
      <c r="P610" s="29"/>
    </row>
    <row r="611" spans="1:16" ht="112.5" hidden="1" customHeight="1" x14ac:dyDescent="0.3">
      <c r="A611" s="104">
        <v>85</v>
      </c>
      <c r="B611" s="28" t="s">
        <v>12428</v>
      </c>
      <c r="C611" s="28" t="s">
        <v>14610</v>
      </c>
      <c r="D611" s="27" t="s">
        <v>14611</v>
      </c>
      <c r="E611" s="29"/>
      <c r="F611" s="105" t="s">
        <v>15793</v>
      </c>
      <c r="G611" s="98" t="s">
        <v>15538</v>
      </c>
      <c r="H611" s="99" t="s">
        <v>3758</v>
      </c>
      <c r="I611" s="29"/>
      <c r="J611" s="29"/>
      <c r="K611" s="29"/>
      <c r="L611" s="29"/>
      <c r="M611" s="29"/>
      <c r="N611" s="29"/>
      <c r="O611" s="29"/>
      <c r="P611" s="29"/>
    </row>
    <row r="612" spans="1:16" ht="112.5" hidden="1" customHeight="1" x14ac:dyDescent="0.3">
      <c r="A612" s="104">
        <v>87</v>
      </c>
      <c r="B612" s="28" t="s">
        <v>12428</v>
      </c>
      <c r="C612" s="28" t="s">
        <v>15119</v>
      </c>
      <c r="D612" s="27" t="s">
        <v>15120</v>
      </c>
      <c r="E612" s="29"/>
      <c r="F612" s="105" t="s">
        <v>15693</v>
      </c>
      <c r="G612" s="98" t="s">
        <v>15538</v>
      </c>
      <c r="H612" s="99" t="s">
        <v>3764</v>
      </c>
      <c r="I612" s="29"/>
      <c r="J612" s="29"/>
      <c r="K612" s="29"/>
      <c r="L612" s="29"/>
      <c r="M612" s="29"/>
      <c r="N612" s="29"/>
      <c r="O612" s="29"/>
      <c r="P612" s="29"/>
    </row>
    <row r="613" spans="1:16" ht="112.5" customHeight="1" x14ac:dyDescent="0.2">
      <c r="A613" s="75">
        <v>268</v>
      </c>
      <c r="B613" s="94" t="s">
        <v>12428</v>
      </c>
      <c r="C613" s="94" t="s">
        <v>15428</v>
      </c>
      <c r="D613" s="95" t="s">
        <v>15429</v>
      </c>
      <c r="E613" s="96"/>
      <c r="F613" s="97" t="s">
        <v>15694</v>
      </c>
      <c r="G613" s="102" t="s">
        <v>15900</v>
      </c>
      <c r="H613" s="103" t="s">
        <v>3767</v>
      </c>
      <c r="I613" s="29"/>
      <c r="J613" s="29"/>
      <c r="K613" s="29"/>
      <c r="L613" s="29"/>
      <c r="M613" s="29"/>
      <c r="N613" s="29"/>
      <c r="O613" s="29"/>
      <c r="P613" s="29"/>
    </row>
    <row r="614" spans="1:16" ht="112.5" hidden="1" customHeight="1" x14ac:dyDescent="0.3">
      <c r="A614" s="104">
        <v>89</v>
      </c>
      <c r="B614" s="28" t="s">
        <v>12428</v>
      </c>
      <c r="C614" s="28" t="s">
        <v>13763</v>
      </c>
      <c r="D614" s="27" t="s">
        <v>13764</v>
      </c>
      <c r="E614" s="29"/>
      <c r="F614" s="105" t="s">
        <v>15757</v>
      </c>
      <c r="G614" s="98" t="s">
        <v>15538</v>
      </c>
      <c r="H614" s="99" t="s">
        <v>3770</v>
      </c>
      <c r="I614" s="29"/>
      <c r="J614" s="29"/>
      <c r="K614" s="29"/>
      <c r="L614" s="29"/>
      <c r="M614" s="29"/>
      <c r="N614" s="29"/>
      <c r="O614" s="29"/>
      <c r="P614" s="29"/>
    </row>
    <row r="615" spans="1:16" ht="112.5" hidden="1" customHeight="1" x14ac:dyDescent="0.3">
      <c r="A615" s="100">
        <v>90</v>
      </c>
      <c r="B615" s="24" t="s">
        <v>12428</v>
      </c>
      <c r="C615" s="24" t="s">
        <v>14991</v>
      </c>
      <c r="D615" s="25" t="s">
        <v>14992</v>
      </c>
      <c r="E615" s="29"/>
      <c r="F615" s="101" t="s">
        <v>15694</v>
      </c>
      <c r="G615" s="102" t="s">
        <v>15538</v>
      </c>
      <c r="H615" s="103" t="s">
        <v>3773</v>
      </c>
      <c r="I615" s="29"/>
      <c r="J615" s="29"/>
      <c r="K615" s="29"/>
      <c r="L615" s="29"/>
      <c r="M615" s="29"/>
      <c r="N615" s="29"/>
      <c r="O615" s="29"/>
      <c r="P615" s="29"/>
    </row>
    <row r="616" spans="1:16" ht="112.5" hidden="1" customHeight="1" x14ac:dyDescent="0.3">
      <c r="A616" s="104">
        <v>91</v>
      </c>
      <c r="B616" s="28" t="s">
        <v>12428</v>
      </c>
      <c r="C616" s="28" t="s">
        <v>15440</v>
      </c>
      <c r="D616" s="27" t="s">
        <v>15441</v>
      </c>
      <c r="E616" s="29"/>
      <c r="F616" s="105" t="s">
        <v>15563</v>
      </c>
      <c r="G616" s="98" t="s">
        <v>15538</v>
      </c>
      <c r="H616" s="99" t="s">
        <v>3776</v>
      </c>
      <c r="I616" s="29"/>
      <c r="J616" s="29"/>
      <c r="K616" s="29"/>
      <c r="L616" s="29"/>
      <c r="M616" s="29"/>
      <c r="N616" s="29"/>
      <c r="O616" s="29"/>
      <c r="P616" s="29"/>
    </row>
    <row r="617" spans="1:16" ht="112.5" hidden="1" customHeight="1" x14ac:dyDescent="0.3">
      <c r="A617" s="100">
        <v>92</v>
      </c>
      <c r="B617" s="24" t="s">
        <v>12428</v>
      </c>
      <c r="C617" s="24" t="s">
        <v>14631</v>
      </c>
      <c r="D617" s="25" t="s">
        <v>14632</v>
      </c>
      <c r="E617" s="29"/>
      <c r="F617" s="101" t="s">
        <v>15563</v>
      </c>
      <c r="G617" s="102" t="s">
        <v>15538</v>
      </c>
      <c r="H617" s="103" t="s">
        <v>3779</v>
      </c>
      <c r="I617" s="29"/>
      <c r="J617" s="29"/>
      <c r="K617" s="29"/>
      <c r="L617" s="29"/>
      <c r="M617" s="29"/>
      <c r="N617" s="29"/>
      <c r="O617" s="29"/>
      <c r="P617" s="29"/>
    </row>
    <row r="618" spans="1:16" ht="112.5" hidden="1" customHeight="1" x14ac:dyDescent="0.3">
      <c r="A618" s="104">
        <v>93</v>
      </c>
      <c r="B618" s="28" t="s">
        <v>12428</v>
      </c>
      <c r="C618" s="28" t="s">
        <v>15482</v>
      </c>
      <c r="D618" s="27" t="s">
        <v>15483</v>
      </c>
      <c r="E618" s="29"/>
      <c r="F618" s="105" t="s">
        <v>15583</v>
      </c>
      <c r="G618" s="98" t="s">
        <v>15538</v>
      </c>
      <c r="H618" s="99" t="s">
        <v>3782</v>
      </c>
      <c r="I618" s="29"/>
      <c r="J618" s="29"/>
      <c r="K618" s="29"/>
      <c r="L618" s="29"/>
      <c r="M618" s="29"/>
      <c r="N618" s="29"/>
      <c r="O618" s="29"/>
      <c r="P618" s="29"/>
    </row>
    <row r="619" spans="1:16" ht="112.5" hidden="1" customHeight="1" x14ac:dyDescent="0.3">
      <c r="A619" s="100">
        <v>96</v>
      </c>
      <c r="B619" s="24" t="s">
        <v>12428</v>
      </c>
      <c r="C619" s="24" t="s">
        <v>14565</v>
      </c>
      <c r="D619" s="25" t="s">
        <v>14566</v>
      </c>
      <c r="E619" s="29"/>
      <c r="F619" s="101" t="s">
        <v>15635</v>
      </c>
      <c r="G619" s="102" t="s">
        <v>15538</v>
      </c>
      <c r="H619" s="103" t="s">
        <v>3791</v>
      </c>
      <c r="I619" s="29"/>
      <c r="J619" s="29"/>
      <c r="K619" s="29"/>
      <c r="L619" s="29"/>
      <c r="M619" s="29"/>
      <c r="N619" s="29"/>
      <c r="O619" s="29"/>
      <c r="P619" s="29"/>
    </row>
    <row r="620" spans="1:16" ht="112.5" hidden="1" customHeight="1" x14ac:dyDescent="0.3">
      <c r="A620" s="104">
        <v>97</v>
      </c>
      <c r="B620" s="28" t="s">
        <v>12428</v>
      </c>
      <c r="C620" s="28" t="s">
        <v>14640</v>
      </c>
      <c r="D620" s="27" t="s">
        <v>14641</v>
      </c>
      <c r="E620" s="29"/>
      <c r="F620" s="105" t="s">
        <v>15638</v>
      </c>
      <c r="G620" s="98" t="s">
        <v>15538</v>
      </c>
      <c r="H620" s="99" t="s">
        <v>3794</v>
      </c>
      <c r="I620" s="29"/>
      <c r="J620" s="29"/>
      <c r="K620" s="29"/>
      <c r="L620" s="29"/>
      <c r="M620" s="29"/>
      <c r="N620" s="29"/>
      <c r="O620" s="29"/>
      <c r="P620" s="29"/>
    </row>
    <row r="621" spans="1:16" ht="112.5" hidden="1" customHeight="1" x14ac:dyDescent="0.3">
      <c r="A621" s="100">
        <v>98</v>
      </c>
      <c r="B621" s="24" t="s">
        <v>12428</v>
      </c>
      <c r="C621" s="24" t="s">
        <v>14613</v>
      </c>
      <c r="D621" s="25" t="s">
        <v>14614</v>
      </c>
      <c r="E621" s="29"/>
      <c r="F621" s="101" t="s">
        <v>15694</v>
      </c>
      <c r="G621" s="102" t="s">
        <v>15538</v>
      </c>
      <c r="H621" s="103" t="s">
        <v>3797</v>
      </c>
      <c r="I621" s="29"/>
      <c r="J621" s="29"/>
      <c r="K621" s="29"/>
      <c r="L621" s="29"/>
      <c r="M621" s="29"/>
      <c r="N621" s="29"/>
      <c r="O621" s="29"/>
      <c r="P621" s="29"/>
    </row>
    <row r="622" spans="1:16" ht="112.5" hidden="1" customHeight="1" x14ac:dyDescent="0.3">
      <c r="A622" s="104">
        <v>99</v>
      </c>
      <c r="B622" s="28" t="s">
        <v>12428</v>
      </c>
      <c r="C622" s="28" t="s">
        <v>13543</v>
      </c>
      <c r="D622" s="27" t="s">
        <v>13544</v>
      </c>
      <c r="E622" s="29"/>
      <c r="F622" s="105" t="s">
        <v>15656</v>
      </c>
      <c r="G622" s="98" t="s">
        <v>15538</v>
      </c>
      <c r="H622" s="99" t="s">
        <v>3800</v>
      </c>
      <c r="I622" s="29"/>
      <c r="J622" s="29"/>
      <c r="K622" s="29"/>
      <c r="L622" s="29"/>
      <c r="M622" s="29"/>
      <c r="N622" s="29"/>
      <c r="O622" s="29"/>
      <c r="P622" s="29"/>
    </row>
    <row r="623" spans="1:16" ht="112.5" hidden="1" customHeight="1" x14ac:dyDescent="0.3">
      <c r="A623" s="100">
        <v>100</v>
      </c>
      <c r="B623" s="24" t="s">
        <v>12428</v>
      </c>
      <c r="C623" s="24" t="s">
        <v>13774</v>
      </c>
      <c r="D623" s="25" t="s">
        <v>13775</v>
      </c>
      <c r="E623" s="29"/>
      <c r="F623" s="101" t="s">
        <v>15539</v>
      </c>
      <c r="G623" s="102" t="s">
        <v>15538</v>
      </c>
      <c r="H623" s="103" t="s">
        <v>3804</v>
      </c>
      <c r="I623" s="29"/>
      <c r="J623" s="29"/>
      <c r="K623" s="29"/>
      <c r="L623" s="29"/>
      <c r="M623" s="29"/>
      <c r="N623" s="29"/>
      <c r="O623" s="29"/>
      <c r="P623" s="29"/>
    </row>
    <row r="624" spans="1:16" ht="112.5" customHeight="1" x14ac:dyDescent="0.2">
      <c r="A624" s="75">
        <v>269</v>
      </c>
      <c r="B624" s="94" t="s">
        <v>12428</v>
      </c>
      <c r="C624" s="94" t="s">
        <v>15494</v>
      </c>
      <c r="D624" s="95" t="s">
        <v>15495</v>
      </c>
      <c r="E624" s="96"/>
      <c r="F624" s="97" t="s">
        <v>15810</v>
      </c>
      <c r="G624" s="98" t="s">
        <v>15939</v>
      </c>
      <c r="H624" s="99" t="s">
        <v>3807</v>
      </c>
      <c r="I624" s="29"/>
      <c r="J624" s="29"/>
      <c r="K624" s="29"/>
      <c r="L624" s="29"/>
      <c r="M624" s="29"/>
      <c r="N624" s="29"/>
      <c r="O624" s="29"/>
      <c r="P624" s="29"/>
    </row>
    <row r="625" spans="1:16" ht="112.5" hidden="1" customHeight="1" x14ac:dyDescent="0.3">
      <c r="A625" s="104">
        <v>103</v>
      </c>
      <c r="B625" s="28" t="s">
        <v>12428</v>
      </c>
      <c r="C625" s="28" t="s">
        <v>13735</v>
      </c>
      <c r="D625" s="27" t="s">
        <v>13736</v>
      </c>
      <c r="E625" s="29"/>
      <c r="F625" s="105" t="s">
        <v>15930</v>
      </c>
      <c r="G625" s="98" t="s">
        <v>15538</v>
      </c>
      <c r="H625" s="99" t="s">
        <v>3813</v>
      </c>
      <c r="I625" s="29"/>
      <c r="J625" s="29"/>
      <c r="K625" s="29"/>
      <c r="L625" s="29"/>
      <c r="M625" s="29"/>
      <c r="N625" s="29"/>
      <c r="O625" s="29"/>
      <c r="P625" s="29"/>
    </row>
    <row r="626" spans="1:16" ht="112.5" hidden="1" customHeight="1" x14ac:dyDescent="0.3">
      <c r="A626" s="100">
        <v>104</v>
      </c>
      <c r="B626" s="24" t="s">
        <v>12428</v>
      </c>
      <c r="C626" s="24" t="s">
        <v>15351</v>
      </c>
      <c r="D626" s="25" t="s">
        <v>15352</v>
      </c>
      <c r="E626" s="29"/>
      <c r="F626" s="101" t="s">
        <v>15586</v>
      </c>
      <c r="G626" s="102" t="s">
        <v>15538</v>
      </c>
      <c r="H626" s="103" t="s">
        <v>3817</v>
      </c>
      <c r="I626" s="29"/>
      <c r="J626" s="29"/>
      <c r="K626" s="29"/>
      <c r="L626" s="29"/>
      <c r="M626" s="29"/>
      <c r="N626" s="29"/>
      <c r="O626" s="29"/>
      <c r="P626" s="29"/>
    </row>
    <row r="627" spans="1:16" ht="112.5" hidden="1" customHeight="1" x14ac:dyDescent="0.3">
      <c r="A627" s="104">
        <v>105</v>
      </c>
      <c r="B627" s="28" t="s">
        <v>12428</v>
      </c>
      <c r="C627" s="28" t="s">
        <v>15354</v>
      </c>
      <c r="D627" s="27" t="s">
        <v>15355</v>
      </c>
      <c r="E627" s="29"/>
      <c r="F627" s="105" t="s">
        <v>15586</v>
      </c>
      <c r="G627" s="98" t="s">
        <v>15538</v>
      </c>
      <c r="H627" s="99" t="s">
        <v>3821</v>
      </c>
      <c r="I627" s="29"/>
      <c r="J627" s="29"/>
      <c r="K627" s="29"/>
      <c r="L627" s="29"/>
      <c r="M627" s="29"/>
      <c r="N627" s="29"/>
      <c r="O627" s="29"/>
      <c r="P627" s="29"/>
    </row>
    <row r="628" spans="1:16" ht="112.5" hidden="1" customHeight="1" x14ac:dyDescent="0.3">
      <c r="A628" s="100">
        <v>106</v>
      </c>
      <c r="B628" s="24" t="s">
        <v>12428</v>
      </c>
      <c r="C628" s="24" t="s">
        <v>15348</v>
      </c>
      <c r="D628" s="25" t="s">
        <v>15349</v>
      </c>
      <c r="E628" s="29"/>
      <c r="F628" s="101" t="s">
        <v>15586</v>
      </c>
      <c r="G628" s="102" t="s">
        <v>15538</v>
      </c>
      <c r="H628" s="103" t="s">
        <v>3825</v>
      </c>
      <c r="I628" s="29"/>
      <c r="J628" s="29"/>
      <c r="K628" s="29"/>
      <c r="L628" s="29"/>
      <c r="M628" s="29"/>
      <c r="N628" s="29"/>
      <c r="O628" s="29"/>
      <c r="P628" s="29"/>
    </row>
    <row r="629" spans="1:16" ht="112.5" hidden="1" customHeight="1" x14ac:dyDescent="0.3">
      <c r="A629" s="104">
        <v>107</v>
      </c>
      <c r="B629" s="28" t="s">
        <v>12428</v>
      </c>
      <c r="C629" s="28" t="s">
        <v>15328</v>
      </c>
      <c r="D629" s="27" t="s">
        <v>15329</v>
      </c>
      <c r="E629" s="29"/>
      <c r="F629" s="105" t="s">
        <v>15668</v>
      </c>
      <c r="G629" s="98" t="s">
        <v>15538</v>
      </c>
      <c r="H629" s="99" t="s">
        <v>3828</v>
      </c>
      <c r="I629" s="29"/>
      <c r="J629" s="29"/>
      <c r="K629" s="29"/>
      <c r="L629" s="29"/>
      <c r="M629" s="29"/>
      <c r="N629" s="29"/>
      <c r="O629" s="29"/>
      <c r="P629" s="29"/>
    </row>
    <row r="630" spans="1:16" ht="112.5" hidden="1" customHeight="1" x14ac:dyDescent="0.3">
      <c r="A630" s="100">
        <v>108</v>
      </c>
      <c r="B630" s="24" t="s">
        <v>12428</v>
      </c>
      <c r="C630" s="24" t="s">
        <v>14399</v>
      </c>
      <c r="D630" s="25" t="s">
        <v>14400</v>
      </c>
      <c r="E630" s="29"/>
      <c r="F630" s="101" t="s">
        <v>15845</v>
      </c>
      <c r="G630" s="102" t="s">
        <v>15538</v>
      </c>
      <c r="H630" s="103" t="s">
        <v>3831</v>
      </c>
      <c r="I630" s="29"/>
      <c r="J630" s="29"/>
      <c r="K630" s="29"/>
      <c r="L630" s="29"/>
      <c r="M630" s="29"/>
      <c r="N630" s="29"/>
      <c r="O630" s="29"/>
      <c r="P630" s="29"/>
    </row>
    <row r="631" spans="1:16" ht="112.5" hidden="1" customHeight="1" x14ac:dyDescent="0.3">
      <c r="A631" s="104">
        <v>109</v>
      </c>
      <c r="B631" s="28" t="s">
        <v>12428</v>
      </c>
      <c r="C631" s="28" t="s">
        <v>14676</v>
      </c>
      <c r="D631" s="27" t="s">
        <v>14677</v>
      </c>
      <c r="E631" s="29"/>
      <c r="F631" s="105" t="s">
        <v>15940</v>
      </c>
      <c r="G631" s="98" t="s">
        <v>15538</v>
      </c>
      <c r="H631" s="99" t="s">
        <v>3834</v>
      </c>
      <c r="I631" s="29"/>
      <c r="J631" s="29"/>
      <c r="K631" s="29"/>
      <c r="L631" s="29"/>
      <c r="M631" s="29"/>
      <c r="N631" s="29"/>
      <c r="O631" s="29"/>
      <c r="P631" s="29"/>
    </row>
    <row r="632" spans="1:16" ht="112.5" customHeight="1" x14ac:dyDescent="0.2">
      <c r="A632" s="75">
        <v>270</v>
      </c>
      <c r="B632" s="94" t="s">
        <v>12428</v>
      </c>
      <c r="C632" s="94" t="s">
        <v>53</v>
      </c>
      <c r="D632" s="95" t="s">
        <v>54</v>
      </c>
      <c r="E632" s="96"/>
      <c r="F632" s="97" t="s">
        <v>15941</v>
      </c>
      <c r="G632" s="102" t="s">
        <v>15724</v>
      </c>
      <c r="H632" s="103" t="s">
        <v>3843</v>
      </c>
      <c r="I632" s="29"/>
      <c r="J632" s="29"/>
      <c r="K632" s="29"/>
      <c r="L632" s="29"/>
      <c r="M632" s="29"/>
      <c r="N632" s="29"/>
      <c r="O632" s="29"/>
      <c r="P632" s="29"/>
    </row>
    <row r="633" spans="1:16" ht="112.5" hidden="1" customHeight="1" x14ac:dyDescent="0.3">
      <c r="A633" s="100">
        <v>114</v>
      </c>
      <c r="B633" s="24" t="s">
        <v>12428</v>
      </c>
      <c r="C633" s="24" t="s">
        <v>15366</v>
      </c>
      <c r="D633" s="25" t="s">
        <v>15367</v>
      </c>
      <c r="E633" s="29"/>
      <c r="F633" s="101" t="s">
        <v>15549</v>
      </c>
      <c r="G633" s="102" t="s">
        <v>15538</v>
      </c>
      <c r="H633" s="103" t="s">
        <v>3849</v>
      </c>
      <c r="I633" s="29"/>
      <c r="J633" s="29"/>
      <c r="K633" s="29"/>
      <c r="L633" s="29"/>
      <c r="M633" s="29"/>
      <c r="N633" s="29"/>
      <c r="O633" s="29"/>
      <c r="P633" s="29"/>
    </row>
    <row r="634" spans="1:16" ht="112.5" customHeight="1" x14ac:dyDescent="0.2">
      <c r="A634" s="75">
        <v>271</v>
      </c>
      <c r="B634" s="94" t="s">
        <v>12428</v>
      </c>
      <c r="C634" s="94" t="s">
        <v>15372</v>
      </c>
      <c r="D634" s="95" t="s">
        <v>15373</v>
      </c>
      <c r="E634" s="96"/>
      <c r="F634" s="97" t="s">
        <v>15770</v>
      </c>
      <c r="G634" s="98" t="s">
        <v>15942</v>
      </c>
      <c r="H634" s="99" t="s">
        <v>3852</v>
      </c>
      <c r="I634" s="29"/>
      <c r="J634" s="29"/>
      <c r="K634" s="29"/>
      <c r="L634" s="29"/>
      <c r="M634" s="29"/>
      <c r="N634" s="29"/>
      <c r="O634" s="29"/>
      <c r="P634" s="29"/>
    </row>
    <row r="635" spans="1:16" ht="112.5" customHeight="1" x14ac:dyDescent="0.2">
      <c r="A635" s="75">
        <v>272</v>
      </c>
      <c r="B635" s="94" t="s">
        <v>12428</v>
      </c>
      <c r="C635" s="94" t="s">
        <v>49</v>
      </c>
      <c r="D635" s="95" t="s">
        <v>50</v>
      </c>
      <c r="E635" s="96"/>
      <c r="F635" s="97" t="s">
        <v>15589</v>
      </c>
      <c r="G635" s="102" t="s">
        <v>15943</v>
      </c>
      <c r="H635" s="103" t="s">
        <v>3855</v>
      </c>
      <c r="I635" s="29"/>
      <c r="J635" s="29"/>
      <c r="K635" s="29"/>
      <c r="L635" s="29"/>
      <c r="M635" s="29"/>
      <c r="N635" s="29"/>
      <c r="O635" s="29"/>
      <c r="P635" s="29"/>
    </row>
    <row r="636" spans="1:16" ht="112.5" customHeight="1" x14ac:dyDescent="0.2">
      <c r="A636" s="75">
        <v>273</v>
      </c>
      <c r="B636" s="94" t="s">
        <v>12428</v>
      </c>
      <c r="C636" s="94" t="s">
        <v>15381</v>
      </c>
      <c r="D636" s="95" t="s">
        <v>15382</v>
      </c>
      <c r="E636" s="96"/>
      <c r="F636" s="97" t="s">
        <v>15810</v>
      </c>
      <c r="G636" s="98" t="s">
        <v>15572</v>
      </c>
      <c r="H636" s="99" t="s">
        <v>3858</v>
      </c>
      <c r="I636" s="29"/>
      <c r="J636" s="29"/>
      <c r="K636" s="29"/>
      <c r="L636" s="29"/>
      <c r="M636" s="29"/>
      <c r="N636" s="29"/>
      <c r="O636" s="29"/>
      <c r="P636" s="29"/>
    </row>
    <row r="637" spans="1:16" ht="112.5" hidden="1" customHeight="1" x14ac:dyDescent="0.3">
      <c r="A637" s="100">
        <v>118</v>
      </c>
      <c r="B637" s="24" t="s">
        <v>12428</v>
      </c>
      <c r="C637" s="24" t="s">
        <v>15339</v>
      </c>
      <c r="D637" s="25" t="s">
        <v>15340</v>
      </c>
      <c r="E637" s="29"/>
      <c r="F637" s="101" t="s">
        <v>15550</v>
      </c>
      <c r="G637" s="102" t="s">
        <v>15538</v>
      </c>
      <c r="H637" s="103" t="s">
        <v>3861</v>
      </c>
      <c r="I637" s="29"/>
      <c r="J637" s="29"/>
      <c r="K637" s="29"/>
      <c r="L637" s="29"/>
      <c r="M637" s="29"/>
      <c r="N637" s="29"/>
      <c r="O637" s="29"/>
      <c r="P637" s="29"/>
    </row>
    <row r="638" spans="1:16" ht="112.5" hidden="1" customHeight="1" x14ac:dyDescent="0.3">
      <c r="A638" s="104">
        <v>119</v>
      </c>
      <c r="B638" s="28" t="s">
        <v>12428</v>
      </c>
      <c r="C638" s="28" t="s">
        <v>15384</v>
      </c>
      <c r="D638" s="27" t="s">
        <v>15385</v>
      </c>
      <c r="E638" s="29"/>
      <c r="F638" s="105" t="s">
        <v>15604</v>
      </c>
      <c r="G638" s="98" t="s">
        <v>15538</v>
      </c>
      <c r="H638" s="99" t="s">
        <v>3864</v>
      </c>
      <c r="I638" s="29"/>
      <c r="J638" s="29"/>
      <c r="K638" s="29"/>
      <c r="L638" s="29"/>
      <c r="M638" s="29"/>
      <c r="N638" s="29"/>
      <c r="O638" s="29"/>
      <c r="P638" s="29"/>
    </row>
    <row r="639" spans="1:16" ht="112.5" customHeight="1" x14ac:dyDescent="0.2">
      <c r="A639" s="75">
        <v>274</v>
      </c>
      <c r="B639" s="94" t="s">
        <v>12428</v>
      </c>
      <c r="C639" s="94" t="s">
        <v>14649</v>
      </c>
      <c r="D639" s="95" t="s">
        <v>14650</v>
      </c>
      <c r="E639" s="96"/>
      <c r="F639" s="97" t="s">
        <v>15757</v>
      </c>
      <c r="G639" s="102" t="s">
        <v>15619</v>
      </c>
      <c r="H639" s="103" t="s">
        <v>3867</v>
      </c>
      <c r="I639" s="29"/>
      <c r="J639" s="29"/>
      <c r="K639" s="29"/>
      <c r="L639" s="29"/>
      <c r="M639" s="29"/>
      <c r="N639" s="29"/>
      <c r="O639" s="29"/>
      <c r="P639" s="29"/>
    </row>
    <row r="640" spans="1:16" ht="112.5" customHeight="1" x14ac:dyDescent="0.2">
      <c r="A640" s="75">
        <v>275</v>
      </c>
      <c r="B640" s="94" t="s">
        <v>12428</v>
      </c>
      <c r="C640" s="94" t="s">
        <v>15369</v>
      </c>
      <c r="D640" s="95" t="s">
        <v>15370</v>
      </c>
      <c r="E640" s="96"/>
      <c r="F640" s="97" t="s">
        <v>15638</v>
      </c>
      <c r="G640" s="98" t="s">
        <v>15592</v>
      </c>
      <c r="H640" s="99" t="s">
        <v>3869</v>
      </c>
      <c r="I640" s="29"/>
      <c r="J640" s="29"/>
      <c r="K640" s="29"/>
      <c r="L640" s="29"/>
      <c r="M640" s="29"/>
      <c r="N640" s="29"/>
      <c r="O640" s="29"/>
      <c r="P640" s="29"/>
    </row>
    <row r="641" spans="1:16" ht="112.5" hidden="1" customHeight="1" x14ac:dyDescent="0.3">
      <c r="A641" s="100">
        <v>122</v>
      </c>
      <c r="B641" s="24" t="s">
        <v>12428</v>
      </c>
      <c r="C641" s="24" t="s">
        <v>15467</v>
      </c>
      <c r="D641" s="25" t="s">
        <v>15468</v>
      </c>
      <c r="E641" s="29"/>
      <c r="F641" s="101" t="s">
        <v>15637</v>
      </c>
      <c r="G641" s="102" t="s">
        <v>15538</v>
      </c>
      <c r="H641" s="103" t="s">
        <v>3872</v>
      </c>
      <c r="I641" s="29"/>
      <c r="J641" s="29"/>
      <c r="K641" s="29"/>
      <c r="L641" s="29"/>
      <c r="M641" s="29"/>
      <c r="N641" s="29"/>
      <c r="O641" s="29"/>
      <c r="P641" s="29"/>
    </row>
    <row r="642" spans="1:16" ht="112.5" hidden="1" customHeight="1" x14ac:dyDescent="0.3">
      <c r="A642" s="104">
        <v>123</v>
      </c>
      <c r="B642" s="28" t="s">
        <v>12428</v>
      </c>
      <c r="C642" s="28" t="s">
        <v>13689</v>
      </c>
      <c r="D642" s="27" t="s">
        <v>13690</v>
      </c>
      <c r="E642" s="29"/>
      <c r="F642" s="105" t="s">
        <v>15706</v>
      </c>
      <c r="G642" s="98" t="s">
        <v>15538</v>
      </c>
      <c r="H642" s="99" t="s">
        <v>3875</v>
      </c>
      <c r="I642" s="29"/>
      <c r="J642" s="29"/>
      <c r="K642" s="29"/>
      <c r="L642" s="29"/>
      <c r="M642" s="29"/>
      <c r="N642" s="29"/>
      <c r="O642" s="29"/>
      <c r="P642" s="29"/>
    </row>
    <row r="643" spans="1:16" ht="112.5" hidden="1" customHeight="1" x14ac:dyDescent="0.3">
      <c r="A643" s="104">
        <v>125</v>
      </c>
      <c r="B643" s="28" t="s">
        <v>12428</v>
      </c>
      <c r="C643" s="28" t="s">
        <v>14589</v>
      </c>
      <c r="D643" s="27" t="s">
        <v>14590</v>
      </c>
      <c r="E643" s="29"/>
      <c r="F643" s="105" t="s">
        <v>15694</v>
      </c>
      <c r="G643" s="98" t="s">
        <v>15538</v>
      </c>
      <c r="H643" s="99" t="s">
        <v>3882</v>
      </c>
      <c r="I643" s="29"/>
      <c r="J643" s="29"/>
      <c r="K643" s="29"/>
      <c r="L643" s="29"/>
      <c r="M643" s="29"/>
      <c r="N643" s="29"/>
      <c r="O643" s="29"/>
      <c r="P643" s="29"/>
    </row>
    <row r="644" spans="1:16" ht="112.5" customHeight="1" x14ac:dyDescent="0.2">
      <c r="A644" s="75">
        <v>276</v>
      </c>
      <c r="B644" s="94" t="s">
        <v>12428</v>
      </c>
      <c r="C644" s="94" t="s">
        <v>15157</v>
      </c>
      <c r="D644" s="95" t="s">
        <v>15158</v>
      </c>
      <c r="E644" s="96"/>
      <c r="F644" s="97" t="s">
        <v>15628</v>
      </c>
      <c r="G644" s="98" t="s">
        <v>15944</v>
      </c>
      <c r="H644" s="99" t="s">
        <v>3888</v>
      </c>
      <c r="I644" s="29"/>
      <c r="J644" s="29"/>
      <c r="K644" s="29"/>
      <c r="L644" s="29"/>
      <c r="M644" s="29"/>
      <c r="N644" s="29"/>
      <c r="O644" s="29"/>
      <c r="P644" s="29"/>
    </row>
    <row r="645" spans="1:16" ht="112.5" hidden="1" customHeight="1" x14ac:dyDescent="0.3">
      <c r="A645" s="100">
        <v>128</v>
      </c>
      <c r="B645" s="24" t="s">
        <v>12428</v>
      </c>
      <c r="C645" s="24" t="s">
        <v>15375</v>
      </c>
      <c r="D645" s="25" t="s">
        <v>15376</v>
      </c>
      <c r="E645" s="29"/>
      <c r="F645" s="101" t="s">
        <v>15648</v>
      </c>
      <c r="G645" s="102" t="s">
        <v>15538</v>
      </c>
      <c r="H645" s="103" t="s">
        <v>3891</v>
      </c>
      <c r="I645" s="29"/>
      <c r="J645" s="29"/>
      <c r="K645" s="29"/>
      <c r="L645" s="29"/>
      <c r="M645" s="29"/>
      <c r="N645" s="29"/>
      <c r="O645" s="29"/>
      <c r="P645" s="29"/>
    </row>
    <row r="646" spans="1:16" ht="112.5" hidden="1" customHeight="1" x14ac:dyDescent="0.3">
      <c r="A646" s="104">
        <v>129</v>
      </c>
      <c r="B646" s="28" t="s">
        <v>12428</v>
      </c>
      <c r="C646" s="28" t="s">
        <v>13754</v>
      </c>
      <c r="D646" s="27" t="s">
        <v>13755</v>
      </c>
      <c r="E646" s="29"/>
      <c r="F646" s="105" t="s">
        <v>15749</v>
      </c>
      <c r="G646" s="98" t="s">
        <v>15538</v>
      </c>
      <c r="H646" s="99" t="s">
        <v>3894</v>
      </c>
      <c r="I646" s="29"/>
      <c r="J646" s="29"/>
      <c r="K646" s="29"/>
      <c r="L646" s="29"/>
      <c r="M646" s="29"/>
      <c r="N646" s="29"/>
      <c r="O646" s="29"/>
      <c r="P646" s="29"/>
    </row>
    <row r="647" spans="1:16" ht="112.5" hidden="1" customHeight="1" x14ac:dyDescent="0.3">
      <c r="A647" s="100">
        <v>132</v>
      </c>
      <c r="B647" s="24" t="s">
        <v>12428</v>
      </c>
      <c r="C647" s="24" t="s">
        <v>15342</v>
      </c>
      <c r="D647" s="25" t="s">
        <v>15343</v>
      </c>
      <c r="E647" s="29"/>
      <c r="F647" s="101" t="s">
        <v>15693</v>
      </c>
      <c r="G647" s="102" t="s">
        <v>15538</v>
      </c>
      <c r="H647" s="103" t="s">
        <v>3904</v>
      </c>
      <c r="I647" s="29"/>
      <c r="J647" s="29"/>
      <c r="K647" s="29"/>
      <c r="L647" s="29"/>
      <c r="M647" s="29"/>
      <c r="N647" s="29"/>
      <c r="O647" s="29"/>
      <c r="P647" s="29"/>
    </row>
    <row r="648" spans="1:16" ht="112.5" hidden="1" customHeight="1" x14ac:dyDescent="0.3">
      <c r="A648" s="104">
        <v>133</v>
      </c>
      <c r="B648" s="28" t="s">
        <v>12428</v>
      </c>
      <c r="C648" s="28" t="s">
        <v>15175</v>
      </c>
      <c r="D648" s="27" t="s">
        <v>15176</v>
      </c>
      <c r="E648" s="29"/>
      <c r="F648" s="105" t="s">
        <v>15551</v>
      </c>
      <c r="G648" s="98" t="s">
        <v>15538</v>
      </c>
      <c r="H648" s="99" t="s">
        <v>3907</v>
      </c>
      <c r="I648" s="29"/>
      <c r="J648" s="29"/>
      <c r="K648" s="29"/>
      <c r="L648" s="29"/>
      <c r="M648" s="29"/>
      <c r="N648" s="29"/>
      <c r="O648" s="29"/>
      <c r="P648" s="29"/>
    </row>
    <row r="649" spans="1:16" ht="112.5" hidden="1" customHeight="1" x14ac:dyDescent="0.3">
      <c r="A649" s="100">
        <v>134</v>
      </c>
      <c r="B649" s="24" t="s">
        <v>12428</v>
      </c>
      <c r="C649" s="24" t="s">
        <v>14616</v>
      </c>
      <c r="D649" s="25" t="s">
        <v>14617</v>
      </c>
      <c r="E649" s="29"/>
      <c r="F649" s="101" t="s">
        <v>15588</v>
      </c>
      <c r="G649" s="102" t="s">
        <v>15538</v>
      </c>
      <c r="H649" s="103" t="s">
        <v>3910</v>
      </c>
      <c r="I649" s="29"/>
      <c r="J649" s="29"/>
      <c r="K649" s="29"/>
      <c r="L649" s="29"/>
      <c r="M649" s="29"/>
      <c r="N649" s="29"/>
      <c r="O649" s="29"/>
      <c r="P649" s="29"/>
    </row>
    <row r="650" spans="1:16" ht="112.5" hidden="1" customHeight="1" x14ac:dyDescent="0.3">
      <c r="A650" s="104">
        <v>135</v>
      </c>
      <c r="B650" s="28" t="s">
        <v>12428</v>
      </c>
      <c r="C650" s="28" t="s">
        <v>14390</v>
      </c>
      <c r="D650" s="27" t="s">
        <v>14391</v>
      </c>
      <c r="E650" s="29"/>
      <c r="F650" s="105" t="s">
        <v>15647</v>
      </c>
      <c r="G650" s="98" t="s">
        <v>15538</v>
      </c>
      <c r="H650" s="99" t="s">
        <v>3913</v>
      </c>
      <c r="I650" s="29"/>
      <c r="J650" s="29"/>
      <c r="K650" s="29"/>
      <c r="L650" s="29"/>
      <c r="M650" s="29"/>
      <c r="N650" s="29"/>
      <c r="O650" s="29"/>
      <c r="P650" s="29"/>
    </row>
    <row r="651" spans="1:16" ht="112.5" hidden="1" customHeight="1" x14ac:dyDescent="0.3">
      <c r="A651" s="100">
        <v>136</v>
      </c>
      <c r="B651" s="24" t="s">
        <v>12428</v>
      </c>
      <c r="C651" s="24" t="s">
        <v>14742</v>
      </c>
      <c r="D651" s="25" t="s">
        <v>14743</v>
      </c>
      <c r="E651" s="29"/>
      <c r="F651" s="101" t="s">
        <v>15678</v>
      </c>
      <c r="G651" s="102" t="s">
        <v>15538</v>
      </c>
      <c r="H651" s="103" t="s">
        <v>3916</v>
      </c>
      <c r="I651" s="29"/>
      <c r="J651" s="29"/>
      <c r="K651" s="29"/>
      <c r="L651" s="29"/>
      <c r="M651" s="29"/>
      <c r="N651" s="29"/>
      <c r="O651" s="29"/>
      <c r="P651" s="29"/>
    </row>
    <row r="652" spans="1:16" ht="112.5" hidden="1" customHeight="1" x14ac:dyDescent="0.3">
      <c r="A652" s="104">
        <v>137</v>
      </c>
      <c r="B652" s="28" t="s">
        <v>12428</v>
      </c>
      <c r="C652" s="28" t="s">
        <v>13643</v>
      </c>
      <c r="D652" s="27" t="s">
        <v>13644</v>
      </c>
      <c r="E652" s="29"/>
      <c r="F652" s="105" t="s">
        <v>15583</v>
      </c>
      <c r="G652" s="98" t="s">
        <v>15538</v>
      </c>
      <c r="H652" s="99" t="s">
        <v>3919</v>
      </c>
      <c r="I652" s="29"/>
      <c r="J652" s="29"/>
      <c r="K652" s="29"/>
      <c r="L652" s="29"/>
      <c r="M652" s="29"/>
      <c r="N652" s="29"/>
      <c r="O652" s="29"/>
      <c r="P652" s="29"/>
    </row>
    <row r="653" spans="1:16" ht="112.5" hidden="1" customHeight="1" x14ac:dyDescent="0.3">
      <c r="A653" s="100">
        <v>138</v>
      </c>
      <c r="B653" s="24" t="s">
        <v>12428</v>
      </c>
      <c r="C653" s="24" t="s">
        <v>14423</v>
      </c>
      <c r="D653" s="25" t="s">
        <v>14424</v>
      </c>
      <c r="E653" s="29"/>
      <c r="F653" s="101" t="s">
        <v>15535</v>
      </c>
      <c r="G653" s="102" t="s">
        <v>15538</v>
      </c>
      <c r="H653" s="103" t="s">
        <v>3922</v>
      </c>
      <c r="I653" s="29"/>
      <c r="J653" s="29"/>
      <c r="K653" s="29"/>
      <c r="L653" s="29"/>
      <c r="M653" s="29"/>
      <c r="N653" s="29"/>
      <c r="O653" s="29"/>
      <c r="P653" s="29"/>
    </row>
    <row r="654" spans="1:16" ht="112.5" customHeight="1" x14ac:dyDescent="0.2">
      <c r="A654" s="75">
        <v>277</v>
      </c>
      <c r="B654" s="94" t="s">
        <v>12428</v>
      </c>
      <c r="C654" s="94" t="s">
        <v>14688</v>
      </c>
      <c r="D654" s="95" t="s">
        <v>14689</v>
      </c>
      <c r="E654" s="96"/>
      <c r="F654" s="97" t="s">
        <v>15797</v>
      </c>
      <c r="G654" s="98" t="s">
        <v>15945</v>
      </c>
      <c r="H654" s="99" t="s">
        <v>3937</v>
      </c>
      <c r="I654" s="29"/>
      <c r="J654" s="29"/>
      <c r="K654" s="29"/>
      <c r="L654" s="29"/>
      <c r="M654" s="29"/>
      <c r="N654" s="29"/>
      <c r="O654" s="29"/>
      <c r="P654" s="29"/>
    </row>
    <row r="655" spans="1:16" ht="112.5" hidden="1" customHeight="1" x14ac:dyDescent="0.3">
      <c r="A655" s="100">
        <v>152</v>
      </c>
      <c r="B655" s="24" t="s">
        <v>12428</v>
      </c>
      <c r="C655" s="24" t="s">
        <v>15217</v>
      </c>
      <c r="D655" s="25" t="s">
        <v>15218</v>
      </c>
      <c r="E655" s="29"/>
      <c r="F655" s="101" t="s">
        <v>15648</v>
      </c>
      <c r="G655" s="102" t="s">
        <v>15538</v>
      </c>
      <c r="H655" s="103" t="s">
        <v>3964</v>
      </c>
      <c r="I655" s="29"/>
      <c r="J655" s="29"/>
      <c r="K655" s="29"/>
      <c r="L655" s="29"/>
      <c r="M655" s="29"/>
      <c r="N655" s="29"/>
      <c r="O655" s="29"/>
      <c r="P655" s="29"/>
    </row>
    <row r="656" spans="1:16" ht="112.5" hidden="1" customHeight="1" x14ac:dyDescent="0.3">
      <c r="A656" s="104">
        <v>153</v>
      </c>
      <c r="B656" s="28" t="s">
        <v>12428</v>
      </c>
      <c r="C656" s="28" t="s">
        <v>15220</v>
      </c>
      <c r="D656" s="27" t="s">
        <v>15221</v>
      </c>
      <c r="E656" s="29"/>
      <c r="F656" s="105" t="s">
        <v>15930</v>
      </c>
      <c r="G656" s="98" t="s">
        <v>15538</v>
      </c>
      <c r="H656" s="99" t="s">
        <v>3967</v>
      </c>
      <c r="I656" s="29"/>
      <c r="J656" s="29"/>
      <c r="K656" s="29"/>
      <c r="L656" s="29"/>
      <c r="M656" s="29"/>
      <c r="N656" s="29"/>
      <c r="O656" s="29"/>
      <c r="P656" s="29"/>
    </row>
    <row r="657" spans="1:16" ht="112.5" customHeight="1" x14ac:dyDescent="0.2">
      <c r="A657" s="75">
        <v>278</v>
      </c>
      <c r="B657" s="94" t="s">
        <v>12428</v>
      </c>
      <c r="C657" s="94" t="s">
        <v>14841</v>
      </c>
      <c r="D657" s="95" t="s">
        <v>14842</v>
      </c>
      <c r="E657" s="96"/>
      <c r="F657" s="97" t="s">
        <v>15717</v>
      </c>
      <c r="G657" s="102" t="s">
        <v>15946</v>
      </c>
      <c r="H657" s="103" t="s">
        <v>3970</v>
      </c>
      <c r="I657" s="29"/>
      <c r="J657" s="29"/>
      <c r="K657" s="29"/>
      <c r="L657" s="29"/>
      <c r="M657" s="29"/>
      <c r="N657" s="29"/>
      <c r="O657" s="29"/>
      <c r="P657" s="29"/>
    </row>
    <row r="658" spans="1:16" ht="112.5" customHeight="1" x14ac:dyDescent="0.2">
      <c r="A658" s="75">
        <v>279</v>
      </c>
      <c r="B658" s="94" t="s">
        <v>12428</v>
      </c>
      <c r="C658" s="94" t="s">
        <v>15407</v>
      </c>
      <c r="D658" s="95" t="s">
        <v>15408</v>
      </c>
      <c r="E658" s="96"/>
      <c r="F658" s="97" t="s">
        <v>15706</v>
      </c>
      <c r="G658" s="98" t="s">
        <v>15572</v>
      </c>
      <c r="H658" s="99" t="s">
        <v>3973</v>
      </c>
      <c r="I658" s="29"/>
      <c r="J658" s="29"/>
      <c r="K658" s="29"/>
      <c r="L658" s="29"/>
      <c r="M658" s="29"/>
      <c r="N658" s="29"/>
      <c r="O658" s="29"/>
      <c r="P658" s="29"/>
    </row>
    <row r="659" spans="1:16" ht="112.5" hidden="1" customHeight="1" x14ac:dyDescent="0.3">
      <c r="A659" s="100">
        <v>160</v>
      </c>
      <c r="B659" s="24" t="s">
        <v>12428</v>
      </c>
      <c r="C659" s="24" t="s">
        <v>13652</v>
      </c>
      <c r="D659" s="25" t="s">
        <v>13653</v>
      </c>
      <c r="E659" s="29"/>
      <c r="F659" s="101" t="s">
        <v>15947</v>
      </c>
      <c r="G659" s="102" t="s">
        <v>15538</v>
      </c>
      <c r="H659" s="103" t="s">
        <v>3988</v>
      </c>
      <c r="I659" s="29"/>
      <c r="J659" s="29"/>
      <c r="K659" s="29"/>
      <c r="L659" s="29"/>
      <c r="M659" s="29"/>
      <c r="N659" s="29"/>
      <c r="O659" s="29"/>
      <c r="P659" s="29"/>
    </row>
    <row r="660" spans="1:16" ht="112.5" hidden="1" customHeight="1" x14ac:dyDescent="0.3">
      <c r="A660" s="100">
        <v>162</v>
      </c>
      <c r="B660" s="24" t="s">
        <v>12428</v>
      </c>
      <c r="C660" s="24" t="s">
        <v>14754</v>
      </c>
      <c r="D660" s="25" t="s">
        <v>14755</v>
      </c>
      <c r="E660" s="29"/>
      <c r="F660" s="101" t="s">
        <v>15948</v>
      </c>
      <c r="G660" s="102" t="s">
        <v>15538</v>
      </c>
      <c r="H660" s="103" t="s">
        <v>3994</v>
      </c>
      <c r="I660" s="29"/>
      <c r="J660" s="29"/>
      <c r="K660" s="29"/>
      <c r="L660" s="29"/>
      <c r="M660" s="29"/>
      <c r="N660" s="29"/>
      <c r="O660" s="29"/>
      <c r="P660" s="29"/>
    </row>
    <row r="661" spans="1:16" ht="112.5" hidden="1" customHeight="1" x14ac:dyDescent="0.3">
      <c r="A661" s="104">
        <v>165</v>
      </c>
      <c r="B661" s="28" t="s">
        <v>12428</v>
      </c>
      <c r="C661" s="28" t="s">
        <v>15422</v>
      </c>
      <c r="D661" s="27" t="s">
        <v>15423</v>
      </c>
      <c r="E661" s="29"/>
      <c r="F661" s="105" t="s">
        <v>15757</v>
      </c>
      <c r="G661" s="98" t="s">
        <v>15538</v>
      </c>
      <c r="H661" s="99" t="s">
        <v>4003</v>
      </c>
      <c r="I661" s="29"/>
      <c r="J661" s="29"/>
      <c r="K661" s="29"/>
      <c r="L661" s="29"/>
      <c r="M661" s="29"/>
      <c r="N661" s="29"/>
      <c r="O661" s="29"/>
      <c r="P661" s="29"/>
    </row>
    <row r="662" spans="1:16" ht="112.5" hidden="1" customHeight="1" x14ac:dyDescent="0.3">
      <c r="A662" s="100">
        <v>178</v>
      </c>
      <c r="B662" s="24" t="s">
        <v>12428</v>
      </c>
      <c r="C662" s="24" t="s">
        <v>15458</v>
      </c>
      <c r="D662" s="25" t="s">
        <v>15459</v>
      </c>
      <c r="E662" s="29"/>
      <c r="F662" s="101" t="s">
        <v>15949</v>
      </c>
      <c r="G662" s="102" t="s">
        <v>15538</v>
      </c>
      <c r="H662" s="103" t="s">
        <v>4042</v>
      </c>
      <c r="I662" s="29"/>
      <c r="J662" s="29"/>
      <c r="K662" s="29"/>
      <c r="L662" s="29"/>
      <c r="M662" s="29"/>
      <c r="N662" s="29"/>
      <c r="O662" s="29"/>
      <c r="P662" s="29"/>
    </row>
    <row r="663" spans="1:16" ht="112.5" hidden="1" customHeight="1" x14ac:dyDescent="0.3">
      <c r="A663" s="104">
        <v>179</v>
      </c>
      <c r="B663" s="28" t="s">
        <v>12428</v>
      </c>
      <c r="C663" s="28" t="s">
        <v>13902</v>
      </c>
      <c r="D663" s="27" t="s">
        <v>13903</v>
      </c>
      <c r="E663" s="29"/>
      <c r="F663" s="105" t="s">
        <v>15730</v>
      </c>
      <c r="G663" s="98" t="s">
        <v>15538</v>
      </c>
      <c r="H663" s="99" t="s">
        <v>4045</v>
      </c>
      <c r="I663" s="29"/>
      <c r="J663" s="29"/>
      <c r="K663" s="29"/>
      <c r="L663" s="29"/>
      <c r="M663" s="29"/>
      <c r="N663" s="29"/>
      <c r="O663" s="29"/>
      <c r="P663" s="29"/>
    </row>
    <row r="664" spans="1:16" ht="112.5" hidden="1" customHeight="1" x14ac:dyDescent="0.3">
      <c r="A664" s="100">
        <v>184</v>
      </c>
      <c r="B664" s="24" t="s">
        <v>12428</v>
      </c>
      <c r="C664" s="24" t="s">
        <v>15268</v>
      </c>
      <c r="D664" s="25" t="s">
        <v>15269</v>
      </c>
      <c r="E664" s="29"/>
      <c r="F664" s="101" t="s">
        <v>15581</v>
      </c>
      <c r="G664" s="102" t="s">
        <v>15538</v>
      </c>
      <c r="H664" s="103" t="s">
        <v>4060</v>
      </c>
      <c r="I664" s="29"/>
      <c r="J664" s="29"/>
      <c r="K664" s="29"/>
      <c r="L664" s="29"/>
      <c r="M664" s="29"/>
      <c r="N664" s="29"/>
      <c r="O664" s="29"/>
      <c r="P664" s="29"/>
    </row>
    <row r="665" spans="1:16" ht="112.5" customHeight="1" x14ac:dyDescent="0.2">
      <c r="A665" s="75">
        <v>280</v>
      </c>
      <c r="B665" s="94" t="s">
        <v>12428</v>
      </c>
      <c r="C665" s="94" t="s">
        <v>14444</v>
      </c>
      <c r="D665" s="95" t="s">
        <v>14445</v>
      </c>
      <c r="E665" s="96"/>
      <c r="F665" s="97" t="s">
        <v>15950</v>
      </c>
      <c r="G665" s="98" t="s">
        <v>15904</v>
      </c>
      <c r="H665" s="99" t="s">
        <v>4063</v>
      </c>
      <c r="I665" s="29"/>
      <c r="J665" s="29"/>
      <c r="K665" s="29"/>
      <c r="L665" s="29"/>
      <c r="M665" s="29"/>
      <c r="N665" s="29"/>
      <c r="O665" s="29"/>
      <c r="P665" s="29"/>
    </row>
    <row r="666" spans="1:16" ht="112.5" customHeight="1" x14ac:dyDescent="0.2">
      <c r="A666" s="75">
        <v>281</v>
      </c>
      <c r="B666" s="94" t="s">
        <v>12428</v>
      </c>
      <c r="C666" s="94" t="s">
        <v>15250</v>
      </c>
      <c r="D666" s="95" t="s">
        <v>15251</v>
      </c>
      <c r="E666" s="96"/>
      <c r="F666" s="97" t="s">
        <v>15951</v>
      </c>
      <c r="G666" s="102" t="s">
        <v>15952</v>
      </c>
      <c r="H666" s="103" t="s">
        <v>4066</v>
      </c>
      <c r="I666" s="29"/>
      <c r="J666" s="29"/>
      <c r="K666" s="29"/>
      <c r="L666" s="29"/>
      <c r="M666" s="29"/>
      <c r="N666" s="29"/>
      <c r="O666" s="29"/>
      <c r="P666" s="29"/>
    </row>
    <row r="667" spans="1:16" ht="112.5" customHeight="1" x14ac:dyDescent="0.2">
      <c r="A667" s="75">
        <v>282</v>
      </c>
      <c r="B667" s="94" t="s">
        <v>12428</v>
      </c>
      <c r="C667" s="94" t="s">
        <v>15325</v>
      </c>
      <c r="D667" s="95" t="s">
        <v>15326</v>
      </c>
      <c r="E667" s="96"/>
      <c r="F667" s="97" t="s">
        <v>15953</v>
      </c>
      <c r="G667" s="98" t="s">
        <v>15954</v>
      </c>
      <c r="H667" s="99" t="s">
        <v>4069</v>
      </c>
      <c r="I667" s="29"/>
      <c r="J667" s="29"/>
      <c r="K667" s="29"/>
      <c r="L667" s="29"/>
      <c r="M667" s="29"/>
      <c r="N667" s="29"/>
      <c r="O667" s="29"/>
      <c r="P667" s="29"/>
    </row>
    <row r="668" spans="1:16" ht="112.5" customHeight="1" x14ac:dyDescent="0.2">
      <c r="A668" s="75">
        <v>283</v>
      </c>
      <c r="B668" s="94" t="s">
        <v>12428</v>
      </c>
      <c r="C668" s="94" t="s">
        <v>14447</v>
      </c>
      <c r="D668" s="95" t="s">
        <v>14448</v>
      </c>
      <c r="E668" s="96"/>
      <c r="F668" s="97" t="s">
        <v>15955</v>
      </c>
      <c r="G668" s="102" t="s">
        <v>15687</v>
      </c>
      <c r="H668" s="103" t="s">
        <v>4072</v>
      </c>
      <c r="I668" s="29"/>
      <c r="J668" s="29"/>
      <c r="K668" s="29"/>
      <c r="L668" s="29"/>
      <c r="M668" s="29"/>
      <c r="N668" s="29"/>
      <c r="O668" s="29"/>
      <c r="P668" s="29"/>
    </row>
    <row r="669" spans="1:16" ht="112.5" customHeight="1" x14ac:dyDescent="0.2">
      <c r="A669" s="75">
        <v>284</v>
      </c>
      <c r="B669" s="94" t="s">
        <v>12428</v>
      </c>
      <c r="C669" s="94" t="s">
        <v>14450</v>
      </c>
      <c r="D669" s="95" t="s">
        <v>14451</v>
      </c>
      <c r="E669" s="96"/>
      <c r="F669" s="97" t="s">
        <v>15956</v>
      </c>
      <c r="G669" s="98" t="s">
        <v>15687</v>
      </c>
      <c r="H669" s="99" t="s">
        <v>4075</v>
      </c>
      <c r="I669" s="29"/>
      <c r="J669" s="29"/>
      <c r="K669" s="29"/>
      <c r="L669" s="29"/>
      <c r="M669" s="29"/>
      <c r="N669" s="29"/>
      <c r="O669" s="29"/>
      <c r="P669" s="29"/>
    </row>
    <row r="670" spans="1:16" ht="112.5" customHeight="1" x14ac:dyDescent="0.2">
      <c r="A670" s="75">
        <v>285</v>
      </c>
      <c r="B670" s="94" t="s">
        <v>12428</v>
      </c>
      <c r="C670" s="94" t="s">
        <v>14453</v>
      </c>
      <c r="D670" s="95" t="s">
        <v>14454</v>
      </c>
      <c r="E670" s="96"/>
      <c r="F670" s="97" t="s">
        <v>15957</v>
      </c>
      <c r="G670" s="98" t="s">
        <v>15958</v>
      </c>
      <c r="H670" s="99" t="s">
        <v>4081</v>
      </c>
      <c r="I670" s="29"/>
      <c r="J670" s="29"/>
      <c r="K670" s="29"/>
      <c r="L670" s="29"/>
      <c r="M670" s="29"/>
      <c r="N670" s="29"/>
      <c r="O670" s="29"/>
      <c r="P670" s="29"/>
    </row>
    <row r="671" spans="1:16" ht="112.5" hidden="1" customHeight="1" x14ac:dyDescent="0.3">
      <c r="A671" s="104">
        <v>203</v>
      </c>
      <c r="B671" s="28" t="s">
        <v>12428</v>
      </c>
      <c r="C671" s="28">
        <v>8936123890667</v>
      </c>
      <c r="D671" s="27" t="s">
        <v>14405</v>
      </c>
      <c r="E671" s="29"/>
      <c r="F671" s="105" t="s">
        <v>15604</v>
      </c>
      <c r="G671" s="98" t="s">
        <v>15538</v>
      </c>
      <c r="H671" s="99" t="s">
        <v>4116</v>
      </c>
      <c r="I671" s="29"/>
      <c r="J671" s="29"/>
      <c r="K671" s="29"/>
      <c r="L671" s="29"/>
      <c r="M671" s="29"/>
      <c r="N671" s="29"/>
      <c r="O671" s="29"/>
      <c r="P671" s="29"/>
    </row>
    <row r="672" spans="1:16" ht="112.5" hidden="1" customHeight="1" x14ac:dyDescent="0.3">
      <c r="A672" s="104">
        <v>205</v>
      </c>
      <c r="B672" s="28" t="s">
        <v>12428</v>
      </c>
      <c r="C672" s="28" t="s">
        <v>14568</v>
      </c>
      <c r="D672" s="27" t="s">
        <v>14569</v>
      </c>
      <c r="E672" s="29"/>
      <c r="F672" s="105" t="s">
        <v>15581</v>
      </c>
      <c r="G672" s="98" t="s">
        <v>15538</v>
      </c>
      <c r="H672" s="99" t="s">
        <v>4122</v>
      </c>
      <c r="I672" s="29"/>
      <c r="J672" s="29"/>
      <c r="K672" s="29"/>
      <c r="L672" s="29"/>
      <c r="M672" s="29"/>
      <c r="N672" s="29"/>
      <c r="O672" s="29"/>
      <c r="P672" s="29"/>
    </row>
    <row r="673" spans="1:16" ht="112.5" hidden="1" customHeight="1" x14ac:dyDescent="0.3">
      <c r="A673" s="100">
        <v>210</v>
      </c>
      <c r="B673" s="24" t="s">
        <v>12428</v>
      </c>
      <c r="C673" s="24" t="s">
        <v>15128</v>
      </c>
      <c r="D673" s="25" t="s">
        <v>15129</v>
      </c>
      <c r="E673" s="29"/>
      <c r="F673" s="101" t="s">
        <v>15609</v>
      </c>
      <c r="G673" s="102" t="s">
        <v>15538</v>
      </c>
      <c r="H673" s="103" t="s">
        <v>4137</v>
      </c>
      <c r="I673" s="29"/>
      <c r="J673" s="29"/>
      <c r="K673" s="29"/>
      <c r="L673" s="29"/>
      <c r="M673" s="29"/>
      <c r="N673" s="29"/>
      <c r="O673" s="29"/>
      <c r="P673" s="29"/>
    </row>
    <row r="674" spans="1:16" ht="112.5" hidden="1" customHeight="1" x14ac:dyDescent="0.3">
      <c r="A674" s="104">
        <v>211</v>
      </c>
      <c r="B674" s="28" t="s">
        <v>12428</v>
      </c>
      <c r="C674" s="28" t="s">
        <v>13472</v>
      </c>
      <c r="D674" s="27" t="s">
        <v>13473</v>
      </c>
      <c r="E674" s="29"/>
      <c r="F674" s="105" t="s">
        <v>15656</v>
      </c>
      <c r="G674" s="98" t="s">
        <v>15538</v>
      </c>
      <c r="H674" s="99" t="s">
        <v>4140</v>
      </c>
      <c r="I674" s="29"/>
      <c r="J674" s="29"/>
      <c r="K674" s="29"/>
      <c r="L674" s="29"/>
      <c r="M674" s="29"/>
      <c r="N674" s="29"/>
      <c r="O674" s="29"/>
      <c r="P674" s="29"/>
    </row>
    <row r="675" spans="1:16" ht="112.5" hidden="1" customHeight="1" x14ac:dyDescent="0.3">
      <c r="A675" s="104">
        <v>213</v>
      </c>
      <c r="B675" s="28" t="s">
        <v>12428</v>
      </c>
      <c r="C675" s="28" t="s">
        <v>13549</v>
      </c>
      <c r="D675" s="27" t="s">
        <v>13550</v>
      </c>
      <c r="E675" s="29"/>
      <c r="F675" s="105" t="s">
        <v>15706</v>
      </c>
      <c r="G675" s="98" t="s">
        <v>15538</v>
      </c>
      <c r="H675" s="99" t="s">
        <v>4146</v>
      </c>
      <c r="I675" s="29"/>
      <c r="J675" s="29"/>
      <c r="K675" s="29"/>
      <c r="L675" s="29"/>
      <c r="M675" s="29"/>
      <c r="N675" s="29"/>
      <c r="O675" s="29"/>
      <c r="P675" s="29"/>
    </row>
    <row r="676" spans="1:16" ht="112.5" hidden="1" customHeight="1" x14ac:dyDescent="0.3">
      <c r="A676" s="100">
        <v>214</v>
      </c>
      <c r="B676" s="24" t="s">
        <v>12428</v>
      </c>
      <c r="C676" s="24" t="s">
        <v>13757</v>
      </c>
      <c r="D676" s="25" t="s">
        <v>13758</v>
      </c>
      <c r="E676" s="29"/>
      <c r="F676" s="101" t="s">
        <v>15706</v>
      </c>
      <c r="G676" s="102" t="s">
        <v>15538</v>
      </c>
      <c r="H676" s="103" t="s">
        <v>4149</v>
      </c>
      <c r="I676" s="29"/>
      <c r="J676" s="29"/>
      <c r="K676" s="29"/>
      <c r="L676" s="29"/>
      <c r="M676" s="29"/>
      <c r="N676" s="29"/>
      <c r="O676" s="29"/>
      <c r="P676" s="29"/>
    </row>
    <row r="677" spans="1:16" ht="112.5" hidden="1" customHeight="1" x14ac:dyDescent="0.3">
      <c r="A677" s="104">
        <v>221</v>
      </c>
      <c r="B677" s="28" t="s">
        <v>12428</v>
      </c>
      <c r="C677" s="28" t="s">
        <v>14778</v>
      </c>
      <c r="D677" s="27" t="s">
        <v>14779</v>
      </c>
      <c r="E677" s="29"/>
      <c r="F677" s="105" t="s">
        <v>15595</v>
      </c>
      <c r="G677" s="107" t="s">
        <v>4171</v>
      </c>
      <c r="H677" s="99" t="s">
        <v>4170</v>
      </c>
      <c r="I677" s="29"/>
      <c r="J677" s="29"/>
      <c r="K677" s="29"/>
      <c r="L677" s="29"/>
      <c r="M677" s="29"/>
      <c r="N677" s="29"/>
      <c r="O677" s="29"/>
      <c r="P677" s="29"/>
    </row>
    <row r="678" spans="1:16" ht="112.5" hidden="1" customHeight="1" x14ac:dyDescent="0.3">
      <c r="A678" s="104">
        <v>225</v>
      </c>
      <c r="B678" s="28" t="s">
        <v>12428</v>
      </c>
      <c r="C678" s="28" t="s">
        <v>12889</v>
      </c>
      <c r="D678" s="27" t="s">
        <v>12890</v>
      </c>
      <c r="E678" s="29"/>
      <c r="F678" s="105" t="s">
        <v>15655</v>
      </c>
      <c r="G678" s="98" t="s">
        <v>15538</v>
      </c>
      <c r="H678" s="99" t="s">
        <v>4183</v>
      </c>
      <c r="I678" s="29"/>
      <c r="J678" s="29"/>
      <c r="K678" s="29"/>
      <c r="L678" s="29"/>
      <c r="M678" s="29"/>
      <c r="N678" s="29"/>
      <c r="O678" s="29"/>
      <c r="P678" s="29"/>
    </row>
    <row r="679" spans="1:16" ht="112.5" hidden="1" customHeight="1" x14ac:dyDescent="0.3">
      <c r="A679" s="104">
        <v>231</v>
      </c>
      <c r="B679" s="28" t="s">
        <v>12428</v>
      </c>
      <c r="C679" s="28" t="s">
        <v>13616</v>
      </c>
      <c r="D679" s="27" t="s">
        <v>13617</v>
      </c>
      <c r="E679" s="29"/>
      <c r="F679" s="105" t="s">
        <v>15581</v>
      </c>
      <c r="G679" s="98" t="s">
        <v>15538</v>
      </c>
      <c r="H679" s="99" t="s">
        <v>4201</v>
      </c>
      <c r="I679" s="29"/>
      <c r="J679" s="29"/>
      <c r="K679" s="29"/>
      <c r="L679" s="29"/>
      <c r="M679" s="29"/>
      <c r="N679" s="29"/>
      <c r="O679" s="29"/>
      <c r="P679" s="29"/>
    </row>
    <row r="680" spans="1:16" ht="112.5" hidden="1" customHeight="1" x14ac:dyDescent="0.3">
      <c r="A680" s="100">
        <v>238</v>
      </c>
      <c r="B680" s="24" t="s">
        <v>12428</v>
      </c>
      <c r="C680" s="24" t="s">
        <v>14988</v>
      </c>
      <c r="D680" s="25" t="s">
        <v>14989</v>
      </c>
      <c r="E680" s="29"/>
      <c r="F680" s="101" t="s">
        <v>15632</v>
      </c>
      <c r="G680" s="102" t="s">
        <v>15538</v>
      </c>
      <c r="H680" s="103" t="s">
        <v>4222</v>
      </c>
      <c r="I680" s="29"/>
      <c r="J680" s="29"/>
      <c r="K680" s="29"/>
      <c r="L680" s="29"/>
      <c r="M680" s="29"/>
      <c r="N680" s="29"/>
      <c r="O680" s="29"/>
      <c r="P680" s="29"/>
    </row>
    <row r="681" spans="1:16" ht="112.5" hidden="1" customHeight="1" x14ac:dyDescent="0.3">
      <c r="A681" s="100">
        <v>240</v>
      </c>
      <c r="B681" s="24" t="s">
        <v>12428</v>
      </c>
      <c r="C681" s="24" t="s">
        <v>15431</v>
      </c>
      <c r="D681" s="25" t="s">
        <v>15432</v>
      </c>
      <c r="E681" s="29"/>
      <c r="F681" s="101" t="s">
        <v>15593</v>
      </c>
      <c r="G681" s="102" t="s">
        <v>15538</v>
      </c>
      <c r="H681" s="103" t="s">
        <v>4228</v>
      </c>
      <c r="I681" s="29"/>
      <c r="J681" s="29"/>
      <c r="K681" s="29"/>
      <c r="L681" s="29"/>
      <c r="M681" s="29"/>
      <c r="N681" s="29"/>
      <c r="O681" s="29"/>
      <c r="P681" s="29"/>
    </row>
    <row r="682" spans="1:16" ht="112.5" hidden="1" customHeight="1" x14ac:dyDescent="0.3">
      <c r="A682" s="104">
        <v>241</v>
      </c>
      <c r="B682" s="28" t="s">
        <v>12428</v>
      </c>
      <c r="C682" s="28" t="s">
        <v>12473</v>
      </c>
      <c r="D682" s="27" t="s">
        <v>12474</v>
      </c>
      <c r="E682" s="29"/>
      <c r="F682" s="105" t="s">
        <v>15656</v>
      </c>
      <c r="G682" s="98" t="s">
        <v>15538</v>
      </c>
      <c r="H682" s="99" t="s">
        <v>4231</v>
      </c>
      <c r="I682" s="29"/>
      <c r="J682" s="29"/>
      <c r="K682" s="29"/>
      <c r="L682" s="29"/>
      <c r="M682" s="29"/>
      <c r="N682" s="29"/>
      <c r="O682" s="29"/>
      <c r="P682" s="29"/>
    </row>
    <row r="683" spans="1:16" ht="112.5" hidden="1" customHeight="1" x14ac:dyDescent="0.3">
      <c r="A683" s="100">
        <v>242</v>
      </c>
      <c r="B683" s="24" t="s">
        <v>12428</v>
      </c>
      <c r="C683" s="24" t="s">
        <v>13470</v>
      </c>
      <c r="D683" s="25" t="s">
        <v>13471</v>
      </c>
      <c r="E683" s="29"/>
      <c r="F683" s="101" t="s">
        <v>15539</v>
      </c>
      <c r="G683" s="102" t="s">
        <v>15538</v>
      </c>
      <c r="H683" s="103" t="s">
        <v>4234</v>
      </c>
      <c r="I683" s="29"/>
      <c r="J683" s="29"/>
      <c r="K683" s="29"/>
      <c r="L683" s="29"/>
      <c r="M683" s="29"/>
      <c r="N683" s="29"/>
      <c r="O683" s="29"/>
      <c r="P683" s="29"/>
    </row>
    <row r="684" spans="1:16" ht="112.5" hidden="1" customHeight="1" x14ac:dyDescent="0.3">
      <c r="A684" s="104">
        <v>243</v>
      </c>
      <c r="B684" s="28" t="s">
        <v>12428</v>
      </c>
      <c r="C684" s="28" t="s">
        <v>12470</v>
      </c>
      <c r="D684" s="27" t="s">
        <v>12471</v>
      </c>
      <c r="E684" s="29"/>
      <c r="F684" s="105" t="s">
        <v>15551</v>
      </c>
      <c r="G684" s="98" t="s">
        <v>15538</v>
      </c>
      <c r="H684" s="99" t="s">
        <v>4237</v>
      </c>
      <c r="I684" s="29"/>
      <c r="J684" s="29"/>
      <c r="K684" s="29"/>
      <c r="L684" s="29"/>
      <c r="M684" s="29"/>
      <c r="N684" s="29"/>
      <c r="O684" s="29"/>
      <c r="P684" s="29"/>
    </row>
    <row r="685" spans="1:16" ht="112.5" hidden="1" customHeight="1" x14ac:dyDescent="0.3">
      <c r="A685" s="100">
        <v>244</v>
      </c>
      <c r="B685" s="24" t="s">
        <v>12428</v>
      </c>
      <c r="C685" s="24" t="s">
        <v>13852</v>
      </c>
      <c r="D685" s="25" t="s">
        <v>13853</v>
      </c>
      <c r="E685" s="29"/>
      <c r="F685" s="101" t="s">
        <v>15959</v>
      </c>
      <c r="G685" s="102" t="s">
        <v>15538</v>
      </c>
      <c r="H685" s="103" t="s">
        <v>4240</v>
      </c>
      <c r="I685" s="29"/>
      <c r="J685" s="29"/>
      <c r="K685" s="29"/>
      <c r="L685" s="29"/>
      <c r="M685" s="29"/>
      <c r="N685" s="29"/>
      <c r="O685" s="29"/>
      <c r="P685" s="29"/>
    </row>
    <row r="686" spans="1:16" ht="112.5" hidden="1" customHeight="1" x14ac:dyDescent="0.3">
      <c r="A686" s="104">
        <v>245</v>
      </c>
      <c r="B686" s="28" t="s">
        <v>12428</v>
      </c>
      <c r="C686" s="28" t="s">
        <v>13619</v>
      </c>
      <c r="D686" s="27" t="s">
        <v>13620</v>
      </c>
      <c r="E686" s="29"/>
      <c r="F686" s="105" t="s">
        <v>15609</v>
      </c>
      <c r="G686" s="98" t="s">
        <v>15538</v>
      </c>
      <c r="H686" s="99" t="s">
        <v>4243</v>
      </c>
      <c r="I686" s="29"/>
      <c r="J686" s="29"/>
      <c r="K686" s="29"/>
      <c r="L686" s="29"/>
      <c r="M686" s="29"/>
      <c r="N686" s="29"/>
      <c r="O686" s="29"/>
      <c r="P686" s="29"/>
    </row>
    <row r="687" spans="1:16" ht="112.5" hidden="1" customHeight="1" x14ac:dyDescent="0.3">
      <c r="A687" s="104">
        <v>247</v>
      </c>
      <c r="B687" s="28" t="s">
        <v>12428</v>
      </c>
      <c r="C687" s="28" t="s">
        <v>14628</v>
      </c>
      <c r="D687" s="27" t="s">
        <v>14629</v>
      </c>
      <c r="E687" s="29"/>
      <c r="F687" s="105" t="s">
        <v>15632</v>
      </c>
      <c r="G687" s="98" t="s">
        <v>15538</v>
      </c>
      <c r="H687" s="99" t="s">
        <v>4249</v>
      </c>
      <c r="I687" s="29"/>
      <c r="J687" s="29"/>
      <c r="K687" s="29"/>
      <c r="L687" s="29"/>
      <c r="M687" s="29"/>
      <c r="N687" s="29"/>
      <c r="O687" s="29"/>
      <c r="P687" s="29"/>
    </row>
    <row r="688" spans="1:16" ht="112.5" hidden="1" customHeight="1" x14ac:dyDescent="0.3">
      <c r="A688" s="100">
        <v>248</v>
      </c>
      <c r="B688" s="24" t="s">
        <v>12428</v>
      </c>
      <c r="C688" s="24" t="s">
        <v>14622</v>
      </c>
      <c r="D688" s="25" t="s">
        <v>14623</v>
      </c>
      <c r="E688" s="29"/>
      <c r="F688" s="101" t="s">
        <v>15563</v>
      </c>
      <c r="G688" s="102" t="s">
        <v>15538</v>
      </c>
      <c r="H688" s="103" t="s">
        <v>4252</v>
      </c>
      <c r="I688" s="29"/>
      <c r="J688" s="29"/>
      <c r="K688" s="29"/>
      <c r="L688" s="29"/>
      <c r="M688" s="29"/>
      <c r="N688" s="29"/>
      <c r="O688" s="29"/>
      <c r="P688" s="29"/>
    </row>
    <row r="689" spans="1:16" ht="112.5" hidden="1" customHeight="1" x14ac:dyDescent="0.3">
      <c r="A689" s="100">
        <v>252</v>
      </c>
      <c r="B689" s="24" t="s">
        <v>12428</v>
      </c>
      <c r="C689" s="24" t="s">
        <v>14706</v>
      </c>
      <c r="D689" s="25" t="s">
        <v>14707</v>
      </c>
      <c r="E689" s="29"/>
      <c r="F689" s="101" t="s">
        <v>15960</v>
      </c>
      <c r="G689" s="102" t="s">
        <v>15538</v>
      </c>
      <c r="H689" s="103" t="s">
        <v>4264</v>
      </c>
      <c r="I689" s="29"/>
      <c r="J689" s="29"/>
      <c r="K689" s="29"/>
      <c r="L689" s="29"/>
      <c r="M689" s="29"/>
      <c r="N689" s="29"/>
      <c r="O689" s="29"/>
      <c r="P689" s="29"/>
    </row>
    <row r="690" spans="1:16" ht="112.5" customHeight="1" x14ac:dyDescent="0.2">
      <c r="A690" s="75">
        <v>286</v>
      </c>
      <c r="B690" s="94" t="s">
        <v>12428</v>
      </c>
      <c r="C690" s="94" t="s">
        <v>15378</v>
      </c>
      <c r="D690" s="95" t="s">
        <v>15379</v>
      </c>
      <c r="E690" s="96"/>
      <c r="F690" s="97" t="s">
        <v>15548</v>
      </c>
      <c r="G690" s="98" t="s">
        <v>15961</v>
      </c>
      <c r="H690" s="99" t="s">
        <v>4279</v>
      </c>
      <c r="I690" s="29"/>
      <c r="J690" s="29"/>
      <c r="K690" s="29"/>
      <c r="L690" s="29"/>
      <c r="M690" s="29"/>
      <c r="N690" s="29"/>
      <c r="O690" s="29"/>
      <c r="P690" s="29"/>
    </row>
    <row r="691" spans="1:16" ht="112.5" hidden="1" customHeight="1" x14ac:dyDescent="0.3">
      <c r="A691" s="100">
        <v>408</v>
      </c>
      <c r="B691" s="24" t="s">
        <v>12428</v>
      </c>
      <c r="C691" s="24" t="s">
        <v>14309</v>
      </c>
      <c r="D691" s="25" t="s">
        <v>14310</v>
      </c>
      <c r="E691" s="29"/>
      <c r="F691" s="101" t="s">
        <v>15546</v>
      </c>
      <c r="G691" s="102" t="s">
        <v>15538</v>
      </c>
      <c r="H691" s="103" t="s">
        <v>4733</v>
      </c>
      <c r="I691" s="29"/>
      <c r="J691" s="29"/>
      <c r="K691" s="29"/>
      <c r="L691" s="29"/>
      <c r="M691" s="29"/>
      <c r="N691" s="29"/>
      <c r="O691" s="29"/>
      <c r="P691" s="29"/>
    </row>
    <row r="692" spans="1:16" ht="112.5" hidden="1" customHeight="1" x14ac:dyDescent="0.3">
      <c r="A692" s="104">
        <v>441</v>
      </c>
      <c r="B692" s="28" t="s">
        <v>12428</v>
      </c>
      <c r="C692" s="28" t="s">
        <v>15363</v>
      </c>
      <c r="D692" s="27" t="s">
        <v>15364</v>
      </c>
      <c r="E692" s="29"/>
      <c r="F692" s="105" t="s">
        <v>15962</v>
      </c>
      <c r="G692" s="98" t="s">
        <v>15538</v>
      </c>
      <c r="H692" s="99" t="s">
        <v>4830</v>
      </c>
      <c r="I692" s="29"/>
      <c r="J692" s="29"/>
      <c r="K692" s="29"/>
      <c r="L692" s="29"/>
      <c r="M692" s="29"/>
      <c r="N692" s="29"/>
      <c r="O692" s="29"/>
      <c r="P692" s="29"/>
    </row>
    <row r="693" spans="1:16" ht="112.5" hidden="1" customHeight="1" x14ac:dyDescent="0.3">
      <c r="A693" s="100">
        <v>446</v>
      </c>
      <c r="B693" s="24" t="s">
        <v>12428</v>
      </c>
      <c r="C693" s="24" t="s">
        <v>13413</v>
      </c>
      <c r="D693" s="25" t="s">
        <v>13414</v>
      </c>
      <c r="E693" s="29"/>
      <c r="F693" s="101" t="s">
        <v>15930</v>
      </c>
      <c r="G693" s="102" t="s">
        <v>15538</v>
      </c>
      <c r="H693" s="103" t="s">
        <v>4844</v>
      </c>
      <c r="I693" s="29"/>
      <c r="J693" s="29"/>
      <c r="K693" s="29"/>
      <c r="L693" s="29"/>
      <c r="M693" s="29"/>
      <c r="N693" s="29"/>
      <c r="O693" s="29"/>
      <c r="P693" s="29"/>
    </row>
    <row r="694" spans="1:16" ht="112.5" customHeight="1" x14ac:dyDescent="0.2">
      <c r="A694" s="75">
        <v>287</v>
      </c>
      <c r="B694" s="94" t="s">
        <v>12428</v>
      </c>
      <c r="C694" s="94" t="s">
        <v>15136</v>
      </c>
      <c r="D694" s="95" t="s">
        <v>15137</v>
      </c>
      <c r="E694" s="96"/>
      <c r="F694" s="97" t="s">
        <v>15963</v>
      </c>
      <c r="G694" s="102" t="s">
        <v>15964</v>
      </c>
      <c r="H694" s="103" t="s">
        <v>4850</v>
      </c>
      <c r="I694" s="29"/>
      <c r="J694" s="29"/>
      <c r="K694" s="29"/>
      <c r="L694" s="29"/>
      <c r="M694" s="29"/>
      <c r="N694" s="29"/>
      <c r="O694" s="29"/>
      <c r="P694" s="29"/>
    </row>
    <row r="695" spans="1:16" ht="112.5" hidden="1" customHeight="1" x14ac:dyDescent="0.3">
      <c r="A695" s="104">
        <v>459</v>
      </c>
      <c r="B695" s="28" t="s">
        <v>12428</v>
      </c>
      <c r="C695" s="28" t="s">
        <v>14775</v>
      </c>
      <c r="D695" s="27" t="s">
        <v>14776</v>
      </c>
      <c r="E695" s="29"/>
      <c r="F695" s="105" t="s">
        <v>15539</v>
      </c>
      <c r="G695" s="98" t="s">
        <v>15538</v>
      </c>
      <c r="H695" s="99" t="s">
        <v>4882</v>
      </c>
      <c r="I695" s="29"/>
      <c r="J695" s="29"/>
      <c r="K695" s="29"/>
      <c r="L695" s="29"/>
      <c r="M695" s="29"/>
      <c r="N695" s="29"/>
      <c r="O695" s="29"/>
      <c r="P695" s="29"/>
    </row>
    <row r="696" spans="1:16" ht="112.5" customHeight="1" x14ac:dyDescent="0.2">
      <c r="A696" s="75">
        <v>288</v>
      </c>
      <c r="B696" s="94" t="s">
        <v>12428</v>
      </c>
      <c r="C696" s="94" t="s">
        <v>14864</v>
      </c>
      <c r="D696" s="95" t="s">
        <v>14865</v>
      </c>
      <c r="E696" s="96"/>
      <c r="F696" s="97" t="s">
        <v>15810</v>
      </c>
      <c r="G696" s="102" t="s">
        <v>15965</v>
      </c>
      <c r="H696" s="103" t="s">
        <v>4909</v>
      </c>
      <c r="I696" s="29"/>
      <c r="J696" s="29"/>
      <c r="K696" s="29"/>
      <c r="L696" s="29"/>
      <c r="M696" s="29"/>
      <c r="N696" s="29"/>
      <c r="O696" s="29"/>
      <c r="P696" s="29"/>
    </row>
    <row r="697" spans="1:16" ht="112.5" hidden="1" customHeight="1" x14ac:dyDescent="0.3">
      <c r="A697" s="100">
        <v>470</v>
      </c>
      <c r="B697" s="24" t="s">
        <v>12428</v>
      </c>
      <c r="C697" s="24" t="s">
        <v>12895</v>
      </c>
      <c r="D697" s="25" t="s">
        <v>12896</v>
      </c>
      <c r="E697" s="29"/>
      <c r="F697" s="101" t="s">
        <v>15706</v>
      </c>
      <c r="G697" s="102" t="s">
        <v>15538</v>
      </c>
      <c r="H697" s="103" t="s">
        <v>4915</v>
      </c>
      <c r="I697" s="29"/>
      <c r="J697" s="29"/>
      <c r="K697" s="29"/>
      <c r="L697" s="29"/>
      <c r="M697" s="29"/>
      <c r="N697" s="29"/>
      <c r="O697" s="29"/>
      <c r="P697" s="29"/>
    </row>
    <row r="698" spans="1:16" ht="112.5" hidden="1" customHeight="1" x14ac:dyDescent="0.3">
      <c r="A698" s="104">
        <v>473</v>
      </c>
      <c r="B698" s="28" t="s">
        <v>12428</v>
      </c>
      <c r="C698" s="28" t="s">
        <v>14982</v>
      </c>
      <c r="D698" s="27" t="s">
        <v>14983</v>
      </c>
      <c r="E698" s="29"/>
      <c r="F698" s="105" t="s">
        <v>15632</v>
      </c>
      <c r="G698" s="98" t="s">
        <v>15538</v>
      </c>
      <c r="H698" s="99" t="s">
        <v>4924</v>
      </c>
      <c r="I698" s="29"/>
      <c r="J698" s="29"/>
      <c r="K698" s="29"/>
      <c r="L698" s="29"/>
      <c r="M698" s="29"/>
      <c r="N698" s="29"/>
      <c r="O698" s="29"/>
      <c r="P698" s="29"/>
    </row>
    <row r="699" spans="1:16" ht="112.5" hidden="1" customHeight="1" x14ac:dyDescent="0.3">
      <c r="A699" s="104">
        <v>477</v>
      </c>
      <c r="B699" s="28" t="s">
        <v>12428</v>
      </c>
      <c r="C699" s="28" t="s">
        <v>13360</v>
      </c>
      <c r="D699" s="27" t="s">
        <v>13361</v>
      </c>
      <c r="E699" s="29"/>
      <c r="F699" s="105" t="s">
        <v>15690</v>
      </c>
      <c r="G699" s="98" t="s">
        <v>15538</v>
      </c>
      <c r="H699" s="99" t="s">
        <v>4936</v>
      </c>
      <c r="I699" s="29"/>
      <c r="J699" s="29"/>
      <c r="K699" s="29"/>
      <c r="L699" s="29"/>
      <c r="M699" s="29"/>
      <c r="N699" s="29"/>
      <c r="O699" s="29"/>
      <c r="P699" s="29"/>
    </row>
    <row r="700" spans="1:16" ht="112.5" customHeight="1" x14ac:dyDescent="0.2">
      <c r="A700" s="75">
        <v>289</v>
      </c>
      <c r="B700" s="94" t="s">
        <v>12428</v>
      </c>
      <c r="C700" s="94" t="s">
        <v>13357</v>
      </c>
      <c r="D700" s="95" t="s">
        <v>13358</v>
      </c>
      <c r="E700" s="96"/>
      <c r="F700" s="97" t="s">
        <v>15581</v>
      </c>
      <c r="G700" s="102" t="s">
        <v>15592</v>
      </c>
      <c r="H700" s="103" t="s">
        <v>4939</v>
      </c>
      <c r="I700" s="29"/>
      <c r="J700" s="29"/>
      <c r="K700" s="29"/>
      <c r="L700" s="29"/>
      <c r="M700" s="29"/>
      <c r="N700" s="29"/>
      <c r="O700" s="29"/>
      <c r="P700" s="29"/>
    </row>
    <row r="701" spans="1:16" ht="112.5" hidden="1" customHeight="1" x14ac:dyDescent="0.3">
      <c r="A701" s="104">
        <v>3097</v>
      </c>
      <c r="B701" s="28" t="s">
        <v>12428</v>
      </c>
      <c r="C701" s="28" t="s">
        <v>13887</v>
      </c>
      <c r="D701" s="27" t="s">
        <v>13888</v>
      </c>
      <c r="E701" s="29"/>
      <c r="F701" s="105" t="s">
        <v>15836</v>
      </c>
      <c r="G701" s="98" t="s">
        <v>15538</v>
      </c>
      <c r="H701" s="99" t="s">
        <v>12693</v>
      </c>
      <c r="I701" s="29"/>
      <c r="J701" s="29"/>
      <c r="K701" s="29"/>
      <c r="L701" s="29"/>
      <c r="M701" s="29"/>
      <c r="N701" s="29"/>
      <c r="O701" s="29"/>
      <c r="P701" s="29"/>
    </row>
    <row r="702" spans="1:16" ht="112.5" hidden="1" customHeight="1" x14ac:dyDescent="0.3">
      <c r="A702" s="100">
        <v>3172</v>
      </c>
      <c r="B702" s="24" t="s">
        <v>12428</v>
      </c>
      <c r="C702" s="24" t="s">
        <v>13120</v>
      </c>
      <c r="D702" s="25" t="s">
        <v>13121</v>
      </c>
      <c r="E702" s="29"/>
      <c r="F702" s="101" t="s">
        <v>15634</v>
      </c>
      <c r="G702" s="102" t="s">
        <v>15538</v>
      </c>
      <c r="H702" s="103" t="s">
        <v>12915</v>
      </c>
      <c r="I702" s="29"/>
      <c r="J702" s="29"/>
      <c r="K702" s="29"/>
      <c r="L702" s="29"/>
      <c r="M702" s="29"/>
      <c r="N702" s="29"/>
      <c r="O702" s="29"/>
      <c r="P702" s="29"/>
    </row>
    <row r="703" spans="1:16" ht="112.5" hidden="1" customHeight="1" x14ac:dyDescent="0.3">
      <c r="A703" s="104">
        <v>3219</v>
      </c>
      <c r="B703" s="28" t="s">
        <v>12428</v>
      </c>
      <c r="C703" s="28" t="s">
        <v>13198</v>
      </c>
      <c r="D703" s="27" t="s">
        <v>13199</v>
      </c>
      <c r="E703" s="29"/>
      <c r="F703" s="105" t="s">
        <v>15546</v>
      </c>
      <c r="G703" s="98" t="s">
        <v>15538</v>
      </c>
      <c r="H703" s="99" t="s">
        <v>4733</v>
      </c>
      <c r="I703" s="29"/>
      <c r="J703" s="29"/>
      <c r="K703" s="29"/>
      <c r="L703" s="29"/>
      <c r="M703" s="29"/>
      <c r="N703" s="29"/>
      <c r="O703" s="29"/>
      <c r="P703" s="29"/>
    </row>
    <row r="704" spans="1:16" ht="112.5" hidden="1" customHeight="1" x14ac:dyDescent="0.3">
      <c r="A704" s="104">
        <v>3395</v>
      </c>
      <c r="B704" s="28" t="s">
        <v>12428</v>
      </c>
      <c r="C704" s="28" t="s">
        <v>13540</v>
      </c>
      <c r="D704" s="27" t="s">
        <v>13541</v>
      </c>
      <c r="E704" s="29"/>
      <c r="F704" s="105" t="s">
        <v>15626</v>
      </c>
      <c r="G704" s="98" t="s">
        <v>15538</v>
      </c>
      <c r="H704" s="99" t="s">
        <v>13561</v>
      </c>
      <c r="I704" s="29"/>
      <c r="J704" s="29"/>
      <c r="K704" s="29"/>
      <c r="L704" s="29"/>
      <c r="M704" s="29"/>
      <c r="N704" s="29"/>
      <c r="O704" s="29"/>
      <c r="P704" s="29"/>
    </row>
    <row r="705" spans="1:16" ht="112.5" hidden="1" customHeight="1" x14ac:dyDescent="0.3">
      <c r="A705" s="104">
        <v>3459</v>
      </c>
      <c r="B705" s="28" t="s">
        <v>12428</v>
      </c>
      <c r="C705" s="28" t="s">
        <v>13261</v>
      </c>
      <c r="D705" s="27" t="s">
        <v>13262</v>
      </c>
      <c r="E705" s="29"/>
      <c r="F705" s="105" t="s">
        <v>15647</v>
      </c>
      <c r="G705" s="98" t="s">
        <v>15538</v>
      </c>
      <c r="H705" s="99" t="s">
        <v>13746</v>
      </c>
      <c r="I705" s="29"/>
      <c r="J705" s="29"/>
      <c r="K705" s="29"/>
      <c r="L705" s="29"/>
      <c r="M705" s="29"/>
      <c r="N705" s="29"/>
      <c r="O705" s="29"/>
      <c r="P705" s="29"/>
    </row>
    <row r="706" spans="1:16" ht="112.5" hidden="1" customHeight="1" x14ac:dyDescent="0.3">
      <c r="A706" s="104">
        <v>3479</v>
      </c>
      <c r="B706" s="28" t="s">
        <v>12428</v>
      </c>
      <c r="C706" s="28" t="s">
        <v>12637</v>
      </c>
      <c r="D706" s="27" t="s">
        <v>12638</v>
      </c>
      <c r="E706" s="29"/>
      <c r="F706" s="105" t="s">
        <v>15930</v>
      </c>
      <c r="G706" s="98" t="s">
        <v>15538</v>
      </c>
      <c r="H706" s="99" t="s">
        <v>13803</v>
      </c>
      <c r="I706" s="29"/>
      <c r="J706" s="29"/>
      <c r="K706" s="29"/>
      <c r="L706" s="29"/>
      <c r="M706" s="29"/>
      <c r="N706" s="29"/>
      <c r="O706" s="29"/>
      <c r="P706" s="29"/>
    </row>
    <row r="707" spans="1:16" ht="112.5" customHeight="1" x14ac:dyDescent="0.2">
      <c r="A707" s="75">
        <v>290</v>
      </c>
      <c r="B707" s="94" t="s">
        <v>12428</v>
      </c>
      <c r="C707" s="94" t="s">
        <v>15488</v>
      </c>
      <c r="D707" s="95" t="s">
        <v>15489</v>
      </c>
      <c r="E707" s="96"/>
      <c r="F707" s="97" t="s">
        <v>15836</v>
      </c>
      <c r="G707" s="102" t="s">
        <v>15925</v>
      </c>
      <c r="H707" s="103" t="s">
        <v>13806</v>
      </c>
      <c r="I707" s="29"/>
      <c r="J707" s="29"/>
      <c r="K707" s="29"/>
      <c r="L707" s="29"/>
      <c r="M707" s="29"/>
      <c r="N707" s="29"/>
      <c r="O707" s="29"/>
      <c r="P707" s="29"/>
    </row>
    <row r="708" spans="1:16" ht="112.5" hidden="1" customHeight="1" x14ac:dyDescent="0.3">
      <c r="A708" s="100">
        <v>3486</v>
      </c>
      <c r="B708" s="24" t="s">
        <v>12428</v>
      </c>
      <c r="C708" s="24" t="s">
        <v>14757</v>
      </c>
      <c r="D708" s="25" t="s">
        <v>14758</v>
      </c>
      <c r="E708" s="29"/>
      <c r="F708" s="101" t="s">
        <v>15603</v>
      </c>
      <c r="G708" s="102" t="s">
        <v>15538</v>
      </c>
      <c r="H708" s="103" t="s">
        <v>13824</v>
      </c>
      <c r="I708" s="29"/>
      <c r="J708" s="29"/>
      <c r="K708" s="29"/>
      <c r="L708" s="29"/>
      <c r="M708" s="29"/>
      <c r="N708" s="29"/>
      <c r="O708" s="29"/>
      <c r="P708" s="29"/>
    </row>
    <row r="709" spans="1:16" ht="112.5" customHeight="1" x14ac:dyDescent="0.2">
      <c r="A709" s="75">
        <v>291</v>
      </c>
      <c r="B709" s="94" t="s">
        <v>12428</v>
      </c>
      <c r="C709" s="94" t="s">
        <v>14475</v>
      </c>
      <c r="D709" s="95" t="s">
        <v>14476</v>
      </c>
      <c r="E709" s="96"/>
      <c r="F709" s="97" t="s">
        <v>15557</v>
      </c>
      <c r="G709" s="102" t="s">
        <v>15966</v>
      </c>
      <c r="H709" s="103" t="s">
        <v>13830</v>
      </c>
      <c r="I709" s="29"/>
      <c r="J709" s="29"/>
      <c r="K709" s="29"/>
      <c r="L709" s="29"/>
      <c r="M709" s="29"/>
      <c r="N709" s="29"/>
      <c r="O709" s="29"/>
      <c r="P709" s="29"/>
    </row>
    <row r="710" spans="1:16" ht="112.5" hidden="1" customHeight="1" x14ac:dyDescent="0.3">
      <c r="A710" s="104">
        <v>3489</v>
      </c>
      <c r="B710" s="28" t="s">
        <v>12428</v>
      </c>
      <c r="C710" s="28" t="s">
        <v>14426</v>
      </c>
      <c r="D710" s="27" t="s">
        <v>14427</v>
      </c>
      <c r="E710" s="29"/>
      <c r="F710" s="105" t="s">
        <v>15535</v>
      </c>
      <c r="G710" s="98" t="s">
        <v>15538</v>
      </c>
      <c r="H710" s="99" t="s">
        <v>13833</v>
      </c>
      <c r="I710" s="29"/>
      <c r="J710" s="29"/>
      <c r="K710" s="29"/>
      <c r="L710" s="29"/>
      <c r="M710" s="29"/>
      <c r="N710" s="29"/>
      <c r="O710" s="29"/>
      <c r="P710" s="29"/>
    </row>
    <row r="711" spans="1:16" ht="112.5" hidden="1" customHeight="1" x14ac:dyDescent="0.3">
      <c r="A711" s="100">
        <v>3490</v>
      </c>
      <c r="B711" s="24" t="s">
        <v>12428</v>
      </c>
      <c r="C711" s="24" t="s">
        <v>12568</v>
      </c>
      <c r="D711" s="25" t="s">
        <v>12569</v>
      </c>
      <c r="E711" s="29"/>
      <c r="F711" s="101" t="s">
        <v>15548</v>
      </c>
      <c r="G711" s="102" t="s">
        <v>15538</v>
      </c>
      <c r="H711" s="103" t="s">
        <v>13836</v>
      </c>
      <c r="I711" s="29"/>
      <c r="J711" s="29"/>
      <c r="K711" s="29"/>
      <c r="L711" s="29"/>
      <c r="M711" s="29"/>
      <c r="N711" s="29"/>
      <c r="O711" s="29"/>
      <c r="P711" s="29"/>
    </row>
    <row r="712" spans="1:16" ht="112.5" hidden="1" customHeight="1" x14ac:dyDescent="0.3">
      <c r="A712" s="104">
        <v>3491</v>
      </c>
      <c r="B712" s="28" t="s">
        <v>12428</v>
      </c>
      <c r="C712" s="28" t="s">
        <v>15116</v>
      </c>
      <c r="D712" s="27" t="s">
        <v>15117</v>
      </c>
      <c r="E712" s="29"/>
      <c r="F712" s="105" t="s">
        <v>15967</v>
      </c>
      <c r="G712" s="98" t="s">
        <v>15538</v>
      </c>
      <c r="H712" s="99" t="s">
        <v>13839</v>
      </c>
      <c r="I712" s="29"/>
      <c r="J712" s="29"/>
      <c r="K712" s="29"/>
      <c r="L712" s="29"/>
      <c r="M712" s="29"/>
      <c r="N712" s="29"/>
      <c r="O712" s="29"/>
      <c r="P712" s="29"/>
    </row>
    <row r="713" spans="1:16" ht="112.5" hidden="1" customHeight="1" x14ac:dyDescent="0.3">
      <c r="A713" s="100">
        <v>3492</v>
      </c>
      <c r="B713" s="24" t="s">
        <v>12428</v>
      </c>
      <c r="C713" s="24" t="s">
        <v>14922</v>
      </c>
      <c r="D713" s="25" t="s">
        <v>14923</v>
      </c>
      <c r="E713" s="29"/>
      <c r="F713" s="101" t="s">
        <v>15963</v>
      </c>
      <c r="G713" s="102" t="s">
        <v>15538</v>
      </c>
      <c r="H713" s="103" t="s">
        <v>13842</v>
      </c>
      <c r="I713" s="29"/>
      <c r="J713" s="29"/>
      <c r="K713" s="29"/>
      <c r="L713" s="29"/>
      <c r="M713" s="29"/>
      <c r="N713" s="29"/>
      <c r="O713" s="29"/>
      <c r="P713" s="29"/>
    </row>
    <row r="714" spans="1:16" ht="112.5" hidden="1" customHeight="1" x14ac:dyDescent="0.3">
      <c r="A714" s="104">
        <v>3493</v>
      </c>
      <c r="B714" s="28" t="s">
        <v>12428</v>
      </c>
      <c r="C714" s="28" t="s">
        <v>13858</v>
      </c>
      <c r="D714" s="27" t="s">
        <v>13859</v>
      </c>
      <c r="E714" s="29"/>
      <c r="F714" s="105" t="s">
        <v>15581</v>
      </c>
      <c r="G714" s="98" t="s">
        <v>15538</v>
      </c>
      <c r="H714" s="99" t="s">
        <v>13845</v>
      </c>
      <c r="I714" s="29"/>
      <c r="J714" s="29"/>
      <c r="K714" s="29"/>
      <c r="L714" s="29"/>
      <c r="M714" s="29"/>
      <c r="N714" s="29"/>
      <c r="O714" s="29"/>
      <c r="P714" s="29"/>
    </row>
    <row r="715" spans="1:16" ht="112.5" hidden="1" customHeight="1" x14ac:dyDescent="0.3">
      <c r="A715" s="100">
        <v>3496</v>
      </c>
      <c r="B715" s="24" t="s">
        <v>12428</v>
      </c>
      <c r="C715" s="24" t="s">
        <v>15401</v>
      </c>
      <c r="D715" s="25" t="s">
        <v>15402</v>
      </c>
      <c r="E715" s="29"/>
      <c r="F715" s="101" t="s">
        <v>15556</v>
      </c>
      <c r="G715" s="102" t="s">
        <v>15538</v>
      </c>
      <c r="H715" s="103" t="s">
        <v>13854</v>
      </c>
      <c r="I715" s="29"/>
      <c r="J715" s="29"/>
      <c r="K715" s="29"/>
      <c r="L715" s="29"/>
      <c r="M715" s="29"/>
      <c r="N715" s="29"/>
      <c r="O715" s="29"/>
      <c r="P715" s="29"/>
    </row>
    <row r="716" spans="1:16" ht="112.5" hidden="1" customHeight="1" x14ac:dyDescent="0.3">
      <c r="A716" s="104">
        <v>3499</v>
      </c>
      <c r="B716" s="28" t="s">
        <v>12428</v>
      </c>
      <c r="C716" s="28" t="s">
        <v>13552</v>
      </c>
      <c r="D716" s="27" t="s">
        <v>13553</v>
      </c>
      <c r="E716" s="29"/>
      <c r="F716" s="105" t="s">
        <v>15538</v>
      </c>
      <c r="G716" s="98" t="s">
        <v>15538</v>
      </c>
      <c r="H716" s="99" t="s">
        <v>13863</v>
      </c>
      <c r="I716" s="29"/>
      <c r="J716" s="29"/>
      <c r="K716" s="29"/>
      <c r="L716" s="29"/>
      <c r="M716" s="29"/>
      <c r="N716" s="29"/>
      <c r="O716" s="29"/>
      <c r="P716" s="29"/>
    </row>
    <row r="717" spans="1:16" ht="112.5" hidden="1" customHeight="1" x14ac:dyDescent="0.3">
      <c r="A717" s="100">
        <v>3510</v>
      </c>
      <c r="B717" s="24" t="s">
        <v>12428</v>
      </c>
      <c r="C717" s="24" t="s">
        <v>12634</v>
      </c>
      <c r="D717" s="25" t="s">
        <v>12635</v>
      </c>
      <c r="E717" s="29"/>
      <c r="F717" s="101" t="s">
        <v>15706</v>
      </c>
      <c r="G717" s="102" t="s">
        <v>15538</v>
      </c>
      <c r="H717" s="103" t="s">
        <v>13895</v>
      </c>
      <c r="I717" s="29"/>
      <c r="J717" s="29"/>
      <c r="K717" s="29"/>
      <c r="L717" s="29"/>
      <c r="M717" s="29"/>
      <c r="N717" s="29"/>
      <c r="O717" s="29"/>
      <c r="P717" s="29"/>
    </row>
    <row r="718" spans="1:16" ht="112.5" hidden="1" customHeight="1" x14ac:dyDescent="0.3">
      <c r="A718" s="104">
        <v>3511</v>
      </c>
      <c r="B718" s="28" t="s">
        <v>12428</v>
      </c>
      <c r="C718" s="28" t="s">
        <v>12631</v>
      </c>
      <c r="D718" s="27" t="s">
        <v>12632</v>
      </c>
      <c r="E718" s="29"/>
      <c r="F718" s="105" t="s">
        <v>15593</v>
      </c>
      <c r="G718" s="98" t="s">
        <v>15538</v>
      </c>
      <c r="H718" s="99" t="s">
        <v>13898</v>
      </c>
      <c r="I718" s="29"/>
      <c r="J718" s="29"/>
      <c r="K718" s="29"/>
      <c r="L718" s="29"/>
      <c r="M718" s="29"/>
      <c r="N718" s="29"/>
      <c r="O718" s="29"/>
      <c r="P718" s="29"/>
    </row>
    <row r="719" spans="1:16" ht="112.5" hidden="1" customHeight="1" x14ac:dyDescent="0.3">
      <c r="A719" s="100">
        <v>3514</v>
      </c>
      <c r="B719" s="24" t="s">
        <v>12428</v>
      </c>
      <c r="C719" s="24" t="s">
        <v>12788</v>
      </c>
      <c r="D719" s="25" t="s">
        <v>12789</v>
      </c>
      <c r="E719" s="29"/>
      <c r="F719" s="101" t="s">
        <v>15551</v>
      </c>
      <c r="G719" s="102" t="s">
        <v>15538</v>
      </c>
      <c r="H719" s="103" t="s">
        <v>13907</v>
      </c>
      <c r="I719" s="29"/>
      <c r="J719" s="29"/>
      <c r="K719" s="29"/>
      <c r="L719" s="29"/>
      <c r="M719" s="29"/>
      <c r="N719" s="29"/>
      <c r="O719" s="29"/>
      <c r="P719" s="29"/>
    </row>
    <row r="720" spans="1:16" ht="112.5" hidden="1" customHeight="1" x14ac:dyDescent="0.3">
      <c r="A720" s="100">
        <v>3520</v>
      </c>
      <c r="B720" s="24" t="s">
        <v>12428</v>
      </c>
      <c r="C720" s="24" t="s">
        <v>12851</v>
      </c>
      <c r="D720" s="25" t="s">
        <v>12852</v>
      </c>
      <c r="E720" s="29"/>
      <c r="F720" s="101" t="s">
        <v>15549</v>
      </c>
      <c r="G720" s="102" t="s">
        <v>15538</v>
      </c>
      <c r="H720" s="103" t="s">
        <v>13924</v>
      </c>
      <c r="I720" s="29"/>
      <c r="J720" s="29"/>
      <c r="K720" s="29"/>
      <c r="L720" s="29"/>
      <c r="M720" s="29"/>
      <c r="N720" s="29"/>
      <c r="O720" s="29"/>
      <c r="P720" s="29"/>
    </row>
    <row r="721" spans="1:16" ht="112.5" hidden="1" customHeight="1" x14ac:dyDescent="0.3">
      <c r="A721" s="104">
        <v>3521</v>
      </c>
      <c r="B721" s="28" t="s">
        <v>12428</v>
      </c>
      <c r="C721" s="28" t="s">
        <v>12506</v>
      </c>
      <c r="D721" s="27" t="s">
        <v>12507</v>
      </c>
      <c r="E721" s="29"/>
      <c r="F721" s="105" t="s">
        <v>15757</v>
      </c>
      <c r="G721" s="98" t="s">
        <v>15538</v>
      </c>
      <c r="H721" s="99" t="s">
        <v>13927</v>
      </c>
      <c r="I721" s="29"/>
      <c r="J721" s="29"/>
      <c r="K721" s="29"/>
      <c r="L721" s="29"/>
      <c r="M721" s="29"/>
      <c r="N721" s="29"/>
      <c r="O721" s="29"/>
      <c r="P721" s="29"/>
    </row>
    <row r="722" spans="1:16" ht="112.5" customHeight="1" x14ac:dyDescent="0.2">
      <c r="A722" s="75">
        <v>292</v>
      </c>
      <c r="B722" s="94" t="s">
        <v>12428</v>
      </c>
      <c r="C722" s="94" t="s">
        <v>15518</v>
      </c>
      <c r="D722" s="95" t="s">
        <v>15519</v>
      </c>
      <c r="E722" s="96"/>
      <c r="F722" s="97" t="s">
        <v>15595</v>
      </c>
      <c r="G722" s="102" t="s">
        <v>15968</v>
      </c>
      <c r="H722" s="103" t="s">
        <v>13936</v>
      </c>
      <c r="I722" s="29"/>
      <c r="J722" s="29"/>
      <c r="K722" s="29"/>
      <c r="L722" s="29"/>
      <c r="M722" s="29"/>
      <c r="N722" s="29"/>
      <c r="O722" s="29"/>
      <c r="P722" s="29"/>
    </row>
    <row r="723" spans="1:16" ht="112.5" hidden="1" customHeight="1" x14ac:dyDescent="0.3">
      <c r="A723" s="100">
        <v>3526</v>
      </c>
      <c r="B723" s="24" t="s">
        <v>12428</v>
      </c>
      <c r="C723" s="24" t="s">
        <v>15524</v>
      </c>
      <c r="D723" s="25" t="s">
        <v>15525</v>
      </c>
      <c r="E723" s="29"/>
      <c r="F723" s="101" t="s">
        <v>15754</v>
      </c>
      <c r="G723" s="102" t="s">
        <v>15538</v>
      </c>
      <c r="H723" s="103" t="s">
        <v>13942</v>
      </c>
      <c r="I723" s="29"/>
      <c r="J723" s="29"/>
      <c r="K723" s="29"/>
      <c r="L723" s="29"/>
      <c r="M723" s="29"/>
      <c r="N723" s="29"/>
      <c r="O723" s="29"/>
      <c r="P723" s="29"/>
    </row>
    <row r="724" spans="1:16" ht="112.5" hidden="1" customHeight="1" x14ac:dyDescent="0.3">
      <c r="A724" s="104">
        <v>3527</v>
      </c>
      <c r="B724" s="28" t="s">
        <v>12428</v>
      </c>
      <c r="C724" s="28" t="s">
        <v>15521</v>
      </c>
      <c r="D724" s="27" t="s">
        <v>15522</v>
      </c>
      <c r="E724" s="29"/>
      <c r="F724" s="105" t="s">
        <v>15754</v>
      </c>
      <c r="G724" s="98" t="s">
        <v>15538</v>
      </c>
      <c r="H724" s="99" t="s">
        <v>13945</v>
      </c>
      <c r="I724" s="29"/>
      <c r="J724" s="29"/>
      <c r="K724" s="29"/>
      <c r="L724" s="29"/>
      <c r="M724" s="29"/>
      <c r="N724" s="29"/>
      <c r="O724" s="29"/>
      <c r="P724" s="29"/>
    </row>
    <row r="725" spans="1:16" ht="112.5" customHeight="1" x14ac:dyDescent="0.2">
      <c r="A725" s="75">
        <v>293</v>
      </c>
      <c r="B725" s="94" t="s">
        <v>12428</v>
      </c>
      <c r="C725" s="94" t="s">
        <v>15497</v>
      </c>
      <c r="D725" s="95" t="s">
        <v>15498</v>
      </c>
      <c r="E725" s="96"/>
      <c r="F725" s="97" t="s">
        <v>15706</v>
      </c>
      <c r="G725" s="98" t="s">
        <v>15969</v>
      </c>
      <c r="H725" s="99" t="s">
        <v>13981</v>
      </c>
      <c r="I725" s="29"/>
      <c r="J725" s="29"/>
      <c r="K725" s="29"/>
      <c r="L725" s="29"/>
      <c r="M725" s="29"/>
      <c r="N725" s="29"/>
      <c r="O725" s="29"/>
      <c r="P725" s="29"/>
    </row>
    <row r="726" spans="1:16" ht="112.5" hidden="1" customHeight="1" x14ac:dyDescent="0.3">
      <c r="A726" s="100">
        <v>3540</v>
      </c>
      <c r="B726" s="24" t="s">
        <v>12428</v>
      </c>
      <c r="C726" s="24" t="s">
        <v>13138</v>
      </c>
      <c r="D726" s="25" t="s">
        <v>13139</v>
      </c>
      <c r="E726" s="29"/>
      <c r="F726" s="101" t="s">
        <v>15551</v>
      </c>
      <c r="G726" s="102" t="s">
        <v>15538</v>
      </c>
      <c r="H726" s="103" t="s">
        <v>13984</v>
      </c>
      <c r="I726" s="29"/>
      <c r="J726" s="29"/>
      <c r="K726" s="29"/>
      <c r="L726" s="29"/>
      <c r="M726" s="29"/>
      <c r="N726" s="29"/>
      <c r="O726" s="29"/>
      <c r="P726" s="29"/>
    </row>
    <row r="727" spans="1:16" ht="112.5" hidden="1" customHeight="1" x14ac:dyDescent="0.3">
      <c r="A727" s="104">
        <v>3541</v>
      </c>
      <c r="B727" s="28" t="s">
        <v>12428</v>
      </c>
      <c r="C727" s="28" t="s">
        <v>15470</v>
      </c>
      <c r="D727" s="27" t="s">
        <v>15471</v>
      </c>
      <c r="E727" s="29"/>
      <c r="F727" s="105" t="s">
        <v>15635</v>
      </c>
      <c r="G727" s="98" t="s">
        <v>15538</v>
      </c>
      <c r="H727" s="99" t="s">
        <v>13987</v>
      </c>
      <c r="I727" s="29"/>
      <c r="J727" s="29"/>
      <c r="K727" s="29"/>
      <c r="L727" s="29"/>
      <c r="M727" s="29"/>
      <c r="N727" s="29"/>
      <c r="O727" s="29"/>
      <c r="P727" s="29"/>
    </row>
    <row r="728" spans="1:16" ht="112.5" customHeight="1" x14ac:dyDescent="0.2">
      <c r="A728" s="75">
        <v>294</v>
      </c>
      <c r="B728" s="94" t="s">
        <v>12428</v>
      </c>
      <c r="C728" s="94" t="s">
        <v>15479</v>
      </c>
      <c r="D728" s="95" t="s">
        <v>15480</v>
      </c>
      <c r="E728" s="96"/>
      <c r="F728" s="97" t="s">
        <v>15583</v>
      </c>
      <c r="G728" s="102" t="s">
        <v>15970</v>
      </c>
      <c r="H728" s="103" t="s">
        <v>13990</v>
      </c>
      <c r="I728" s="29"/>
      <c r="J728" s="29"/>
      <c r="K728" s="29"/>
      <c r="L728" s="29"/>
      <c r="M728" s="29"/>
      <c r="N728" s="29"/>
      <c r="O728" s="29"/>
      <c r="P728" s="29"/>
    </row>
    <row r="729" spans="1:16" ht="112.5" hidden="1" customHeight="1" x14ac:dyDescent="0.3">
      <c r="A729" s="104">
        <v>3543</v>
      </c>
      <c r="B729" s="28" t="s">
        <v>12428</v>
      </c>
      <c r="C729" s="28" t="s">
        <v>15464</v>
      </c>
      <c r="D729" s="27" t="s">
        <v>15465</v>
      </c>
      <c r="E729" s="29"/>
      <c r="F729" s="105" t="s">
        <v>15535</v>
      </c>
      <c r="G729" s="98" t="s">
        <v>15538</v>
      </c>
      <c r="H729" s="99" t="s">
        <v>13993</v>
      </c>
      <c r="I729" s="29"/>
      <c r="J729" s="29"/>
      <c r="K729" s="29"/>
      <c r="L729" s="29"/>
      <c r="M729" s="29"/>
      <c r="N729" s="29"/>
      <c r="O729" s="29"/>
      <c r="P729" s="29"/>
    </row>
    <row r="730" spans="1:16" ht="112.5" hidden="1" customHeight="1" x14ac:dyDescent="0.3">
      <c r="A730" s="100">
        <v>3544</v>
      </c>
      <c r="B730" s="24" t="s">
        <v>12428</v>
      </c>
      <c r="C730" s="24" t="s">
        <v>15461</v>
      </c>
      <c r="D730" s="25" t="s">
        <v>15462</v>
      </c>
      <c r="E730" s="29"/>
      <c r="F730" s="101" t="s">
        <v>15546</v>
      </c>
      <c r="G730" s="102" t="s">
        <v>15538</v>
      </c>
      <c r="H730" s="103" t="s">
        <v>13996</v>
      </c>
      <c r="I730" s="29"/>
      <c r="J730" s="29"/>
      <c r="K730" s="29"/>
      <c r="L730" s="29"/>
      <c r="M730" s="29"/>
      <c r="N730" s="29"/>
      <c r="O730" s="29"/>
      <c r="P730" s="29"/>
    </row>
    <row r="731" spans="1:16" ht="112.5" hidden="1" customHeight="1" x14ac:dyDescent="0.3">
      <c r="A731" s="100">
        <v>3546</v>
      </c>
      <c r="B731" s="24" t="s">
        <v>12428</v>
      </c>
      <c r="C731" s="24" t="s">
        <v>13214</v>
      </c>
      <c r="D731" s="25" t="s">
        <v>13215</v>
      </c>
      <c r="E731" s="29"/>
      <c r="F731" s="101" t="s">
        <v>15820</v>
      </c>
      <c r="G731" s="102" t="s">
        <v>15538</v>
      </c>
      <c r="H731" s="103" t="s">
        <v>14002</v>
      </c>
      <c r="I731" s="29"/>
      <c r="J731" s="29"/>
      <c r="K731" s="29"/>
      <c r="L731" s="29"/>
      <c r="M731" s="29"/>
      <c r="N731" s="29"/>
      <c r="O731" s="29"/>
      <c r="P731" s="29"/>
    </row>
    <row r="732" spans="1:16" ht="112.5" hidden="1" customHeight="1" x14ac:dyDescent="0.3">
      <c r="A732" s="104">
        <v>3547</v>
      </c>
      <c r="B732" s="28" t="s">
        <v>12428</v>
      </c>
      <c r="C732" s="28" t="s">
        <v>15455</v>
      </c>
      <c r="D732" s="27" t="s">
        <v>15456</v>
      </c>
      <c r="E732" s="29"/>
      <c r="F732" s="105" t="s">
        <v>15581</v>
      </c>
      <c r="G732" s="98" t="s">
        <v>15538</v>
      </c>
      <c r="H732" s="99" t="s">
        <v>14005</v>
      </c>
      <c r="I732" s="29"/>
      <c r="J732" s="29"/>
      <c r="K732" s="29"/>
      <c r="L732" s="29"/>
      <c r="M732" s="29"/>
      <c r="N732" s="29"/>
      <c r="O732" s="29"/>
      <c r="P732" s="29"/>
    </row>
    <row r="733" spans="1:16" ht="112.5" hidden="1" customHeight="1" x14ac:dyDescent="0.3">
      <c r="A733" s="104">
        <v>3549</v>
      </c>
      <c r="B733" s="28" t="s">
        <v>12428</v>
      </c>
      <c r="C733" s="28" t="s">
        <v>12455</v>
      </c>
      <c r="D733" s="27" t="s">
        <v>12456</v>
      </c>
      <c r="E733" s="29"/>
      <c r="F733" s="105" t="s">
        <v>15647</v>
      </c>
      <c r="G733" s="98" t="s">
        <v>15538</v>
      </c>
      <c r="H733" s="99" t="s">
        <v>14011</v>
      </c>
      <c r="I733" s="29"/>
      <c r="J733" s="29"/>
      <c r="K733" s="29"/>
      <c r="L733" s="29"/>
      <c r="M733" s="29"/>
      <c r="N733" s="29"/>
      <c r="O733" s="29"/>
      <c r="P733" s="29"/>
    </row>
    <row r="734" spans="1:16" ht="112.5" hidden="1" customHeight="1" x14ac:dyDescent="0.3">
      <c r="A734" s="100">
        <v>3550</v>
      </c>
      <c r="B734" s="24" t="s">
        <v>12428</v>
      </c>
      <c r="C734" s="24" t="s">
        <v>15452</v>
      </c>
      <c r="D734" s="25" t="s">
        <v>15453</v>
      </c>
      <c r="E734" s="29"/>
      <c r="F734" s="101" t="s">
        <v>15647</v>
      </c>
      <c r="G734" s="102" t="s">
        <v>15538</v>
      </c>
      <c r="H734" s="103" t="s">
        <v>14014</v>
      </c>
      <c r="I734" s="29"/>
      <c r="J734" s="29"/>
      <c r="K734" s="29"/>
      <c r="L734" s="29"/>
      <c r="M734" s="29"/>
      <c r="N734" s="29"/>
      <c r="O734" s="29"/>
      <c r="P734" s="29"/>
    </row>
    <row r="735" spans="1:16" ht="112.5" customHeight="1" x14ac:dyDescent="0.2">
      <c r="A735" s="75">
        <v>295</v>
      </c>
      <c r="B735" s="94" t="s">
        <v>12428</v>
      </c>
      <c r="C735" s="94" t="s">
        <v>15449</v>
      </c>
      <c r="D735" s="95" t="s">
        <v>15450</v>
      </c>
      <c r="E735" s="96"/>
      <c r="F735" s="97" t="s">
        <v>15677</v>
      </c>
      <c r="G735" s="98" t="s">
        <v>15971</v>
      </c>
      <c r="H735" s="99" t="s">
        <v>14017</v>
      </c>
      <c r="I735" s="29"/>
      <c r="J735" s="29"/>
      <c r="K735" s="29"/>
      <c r="L735" s="29"/>
      <c r="M735" s="29"/>
      <c r="N735" s="29"/>
      <c r="O735" s="29"/>
      <c r="P735" s="29"/>
    </row>
    <row r="736" spans="1:16" ht="112.5" customHeight="1" x14ac:dyDescent="0.2">
      <c r="A736" s="75">
        <v>296</v>
      </c>
      <c r="B736" s="94" t="s">
        <v>12428</v>
      </c>
      <c r="C736" s="94" t="s">
        <v>15446</v>
      </c>
      <c r="D736" s="95" t="s">
        <v>15447</v>
      </c>
      <c r="E736" s="96"/>
      <c r="F736" s="97" t="s">
        <v>15677</v>
      </c>
      <c r="G736" s="102" t="s">
        <v>15972</v>
      </c>
      <c r="H736" s="103" t="s">
        <v>14020</v>
      </c>
      <c r="I736" s="29"/>
      <c r="J736" s="29"/>
      <c r="K736" s="29"/>
      <c r="L736" s="29"/>
      <c r="M736" s="29"/>
      <c r="N736" s="29"/>
      <c r="O736" s="29"/>
      <c r="P736" s="29"/>
    </row>
    <row r="737" spans="1:16" ht="112.5" hidden="1" customHeight="1" x14ac:dyDescent="0.3">
      <c r="A737" s="104">
        <v>3553</v>
      </c>
      <c r="B737" s="28" t="s">
        <v>12428</v>
      </c>
      <c r="C737" s="28" t="s">
        <v>13043</v>
      </c>
      <c r="D737" s="27" t="s">
        <v>13044</v>
      </c>
      <c r="E737" s="29"/>
      <c r="F737" s="105" t="s">
        <v>15535</v>
      </c>
      <c r="G737" s="98" t="s">
        <v>15538</v>
      </c>
      <c r="H737" s="99" t="s">
        <v>14023</v>
      </c>
      <c r="I737" s="29"/>
      <c r="J737" s="29"/>
      <c r="K737" s="29"/>
      <c r="L737" s="29"/>
      <c r="M737" s="29"/>
      <c r="N737" s="29"/>
      <c r="O737" s="29"/>
      <c r="P737" s="29"/>
    </row>
    <row r="738" spans="1:16" ht="112.5" customHeight="1" x14ac:dyDescent="0.2">
      <c r="A738" s="75">
        <v>297</v>
      </c>
      <c r="B738" s="94" t="s">
        <v>12428</v>
      </c>
      <c r="C738" s="94" t="s">
        <v>15443</v>
      </c>
      <c r="D738" s="95" t="s">
        <v>15444</v>
      </c>
      <c r="E738" s="96"/>
      <c r="F738" s="97" t="s">
        <v>15930</v>
      </c>
      <c r="G738" s="102" t="s">
        <v>15973</v>
      </c>
      <c r="H738" s="103" t="s">
        <v>14026</v>
      </c>
      <c r="I738" s="29"/>
      <c r="J738" s="29"/>
      <c r="K738" s="29"/>
      <c r="L738" s="29"/>
      <c r="M738" s="29"/>
      <c r="N738" s="29"/>
      <c r="O738" s="29"/>
      <c r="P738" s="29"/>
    </row>
    <row r="739" spans="1:16" ht="112.5" hidden="1" customHeight="1" x14ac:dyDescent="0.3">
      <c r="A739" s="104">
        <v>3555</v>
      </c>
      <c r="B739" s="28" t="s">
        <v>12428</v>
      </c>
      <c r="C739" s="28" t="s">
        <v>12676</v>
      </c>
      <c r="D739" s="27" t="s">
        <v>12677</v>
      </c>
      <c r="E739" s="29"/>
      <c r="F739" s="105" t="s">
        <v>15599</v>
      </c>
      <c r="G739" s="98" t="s">
        <v>15538</v>
      </c>
      <c r="H739" s="99" t="s">
        <v>14029</v>
      </c>
      <c r="I739" s="29"/>
      <c r="J739" s="29"/>
      <c r="K739" s="29"/>
      <c r="L739" s="29"/>
      <c r="M739" s="29"/>
      <c r="N739" s="29"/>
      <c r="O739" s="29"/>
      <c r="P739" s="29"/>
    </row>
    <row r="740" spans="1:16" ht="112.5" hidden="1" customHeight="1" x14ac:dyDescent="0.3">
      <c r="A740" s="100">
        <v>3556</v>
      </c>
      <c r="B740" s="24" t="s">
        <v>12428</v>
      </c>
      <c r="C740" s="24" t="s">
        <v>15434</v>
      </c>
      <c r="D740" s="25" t="s">
        <v>15435</v>
      </c>
      <c r="E740" s="29"/>
      <c r="F740" s="101" t="s">
        <v>15693</v>
      </c>
      <c r="G740" s="102" t="s">
        <v>15538</v>
      </c>
      <c r="H740" s="103" t="s">
        <v>14032</v>
      </c>
      <c r="I740" s="29"/>
      <c r="J740" s="29"/>
      <c r="K740" s="29"/>
      <c r="L740" s="29"/>
      <c r="M740" s="29"/>
      <c r="N740" s="29"/>
      <c r="O740" s="29"/>
      <c r="P740" s="29"/>
    </row>
    <row r="741" spans="1:16" ht="112.5" hidden="1" customHeight="1" x14ac:dyDescent="0.3">
      <c r="A741" s="104">
        <v>3557</v>
      </c>
      <c r="B741" s="28" t="s">
        <v>12428</v>
      </c>
      <c r="C741" s="28" t="s">
        <v>15419</v>
      </c>
      <c r="D741" s="27" t="s">
        <v>15420</v>
      </c>
      <c r="E741" s="29"/>
      <c r="F741" s="105" t="s">
        <v>15545</v>
      </c>
      <c r="G741" s="98" t="s">
        <v>15538</v>
      </c>
      <c r="H741" s="99" t="s">
        <v>14035</v>
      </c>
      <c r="I741" s="29"/>
      <c r="J741" s="29"/>
      <c r="K741" s="29"/>
      <c r="L741" s="29"/>
      <c r="M741" s="29"/>
      <c r="N741" s="29"/>
      <c r="O741" s="29"/>
      <c r="P741" s="29"/>
    </row>
    <row r="742" spans="1:16" ht="112.5" customHeight="1" x14ac:dyDescent="0.2">
      <c r="A742" s="75">
        <v>298</v>
      </c>
      <c r="B742" s="94" t="s">
        <v>12428</v>
      </c>
      <c r="C742" s="94" t="s">
        <v>15386</v>
      </c>
      <c r="D742" s="95" t="s">
        <v>15387</v>
      </c>
      <c r="E742" s="96"/>
      <c r="F742" s="97" t="s">
        <v>15686</v>
      </c>
      <c r="G742" s="102" t="s">
        <v>15974</v>
      </c>
      <c r="H742" s="103" t="s">
        <v>14050</v>
      </c>
      <c r="I742" s="29"/>
      <c r="J742" s="29"/>
      <c r="K742" s="29"/>
      <c r="L742" s="29"/>
      <c r="M742" s="29"/>
      <c r="N742" s="29"/>
      <c r="O742" s="29"/>
      <c r="P742" s="29"/>
    </row>
    <row r="743" spans="1:16" ht="112.5" hidden="1" customHeight="1" x14ac:dyDescent="0.3">
      <c r="A743" s="104">
        <v>3563</v>
      </c>
      <c r="B743" s="28" t="s">
        <v>12428</v>
      </c>
      <c r="C743" s="28" t="s">
        <v>12700</v>
      </c>
      <c r="D743" s="27" t="s">
        <v>12701</v>
      </c>
      <c r="E743" s="29"/>
      <c r="F743" s="105" t="s">
        <v>15678</v>
      </c>
      <c r="G743" s="98" t="s">
        <v>15538</v>
      </c>
      <c r="H743" s="99" t="s">
        <v>14053</v>
      </c>
      <c r="I743" s="29"/>
      <c r="J743" s="29"/>
      <c r="K743" s="29"/>
      <c r="L743" s="29"/>
      <c r="M743" s="29"/>
      <c r="N743" s="29"/>
      <c r="O743" s="29"/>
      <c r="P743" s="29"/>
    </row>
    <row r="744" spans="1:16" ht="112.5" hidden="1" customHeight="1" x14ac:dyDescent="0.3">
      <c r="A744" s="104">
        <v>3565</v>
      </c>
      <c r="B744" s="28" t="s">
        <v>12428</v>
      </c>
      <c r="C744" s="28" t="s">
        <v>15357</v>
      </c>
      <c r="D744" s="27" t="s">
        <v>15358</v>
      </c>
      <c r="E744" s="29"/>
      <c r="F744" s="105" t="s">
        <v>15749</v>
      </c>
      <c r="G744" s="98" t="s">
        <v>15538</v>
      </c>
      <c r="H744" s="99" t="s">
        <v>14059</v>
      </c>
      <c r="I744" s="29"/>
      <c r="J744" s="29"/>
      <c r="K744" s="29"/>
      <c r="L744" s="29"/>
      <c r="M744" s="29"/>
      <c r="N744" s="29"/>
      <c r="O744" s="29"/>
      <c r="P744" s="29"/>
    </row>
    <row r="745" spans="1:16" ht="112.5" hidden="1" customHeight="1" x14ac:dyDescent="0.3">
      <c r="A745" s="104">
        <v>3567</v>
      </c>
      <c r="B745" s="28" t="s">
        <v>12428</v>
      </c>
      <c r="C745" s="28" t="s">
        <v>15330</v>
      </c>
      <c r="D745" s="27" t="s">
        <v>15331</v>
      </c>
      <c r="E745" s="29"/>
      <c r="F745" s="105" t="s">
        <v>15638</v>
      </c>
      <c r="G745" s="98" t="s">
        <v>15538</v>
      </c>
      <c r="H745" s="99" t="s">
        <v>14065</v>
      </c>
      <c r="I745" s="29"/>
      <c r="J745" s="29"/>
      <c r="K745" s="29"/>
      <c r="L745" s="29"/>
      <c r="M745" s="29"/>
      <c r="N745" s="29"/>
      <c r="O745" s="29"/>
      <c r="P745" s="29"/>
    </row>
    <row r="746" spans="1:16" ht="112.5" hidden="1" customHeight="1" x14ac:dyDescent="0.3">
      <c r="A746" s="100">
        <v>3568</v>
      </c>
      <c r="B746" s="24" t="s">
        <v>12428</v>
      </c>
      <c r="C746" s="24" t="s">
        <v>13306</v>
      </c>
      <c r="D746" s="25" t="s">
        <v>13307</v>
      </c>
      <c r="E746" s="29"/>
      <c r="F746" s="101" t="s">
        <v>15757</v>
      </c>
      <c r="G746" s="102" t="s">
        <v>15538</v>
      </c>
      <c r="H746" s="103" t="s">
        <v>14068</v>
      </c>
      <c r="I746" s="29"/>
      <c r="J746" s="29"/>
      <c r="K746" s="29"/>
      <c r="L746" s="29"/>
      <c r="M746" s="29"/>
      <c r="N746" s="29"/>
      <c r="O746" s="29"/>
      <c r="P746" s="29"/>
    </row>
    <row r="747" spans="1:16" ht="112.5" hidden="1" customHeight="1" x14ac:dyDescent="0.3">
      <c r="A747" s="100">
        <v>3584</v>
      </c>
      <c r="B747" s="24" t="s">
        <v>12428</v>
      </c>
      <c r="C747" s="24" t="s">
        <v>12868</v>
      </c>
      <c r="D747" s="25" t="s">
        <v>12869</v>
      </c>
      <c r="E747" s="29"/>
      <c r="F747" s="101" t="s">
        <v>15757</v>
      </c>
      <c r="G747" s="102" t="s">
        <v>15538</v>
      </c>
      <c r="H747" s="103" t="s">
        <v>14115</v>
      </c>
      <c r="I747" s="29"/>
      <c r="J747" s="29"/>
      <c r="K747" s="29"/>
      <c r="L747" s="29"/>
      <c r="M747" s="29"/>
      <c r="N747" s="29"/>
      <c r="O747" s="29"/>
      <c r="P747" s="29"/>
    </row>
    <row r="748" spans="1:16" ht="112.5" hidden="1" customHeight="1" x14ac:dyDescent="0.3">
      <c r="A748" s="100">
        <v>3594</v>
      </c>
      <c r="B748" s="24" t="s">
        <v>12428</v>
      </c>
      <c r="C748" s="24" t="s">
        <v>15244</v>
      </c>
      <c r="D748" s="25" t="s">
        <v>15245</v>
      </c>
      <c r="E748" s="29"/>
      <c r="F748" s="101" t="s">
        <v>15588</v>
      </c>
      <c r="G748" s="102" t="s">
        <v>15538</v>
      </c>
      <c r="H748" s="103" t="s">
        <v>14144</v>
      </c>
      <c r="I748" s="29"/>
      <c r="J748" s="29"/>
      <c r="K748" s="29"/>
      <c r="L748" s="29"/>
      <c r="M748" s="29"/>
      <c r="N748" s="29"/>
      <c r="O748" s="29"/>
      <c r="P748" s="29"/>
    </row>
    <row r="749" spans="1:16" ht="112.5" hidden="1" customHeight="1" x14ac:dyDescent="0.3">
      <c r="A749" s="100">
        <v>3602</v>
      </c>
      <c r="B749" s="24" t="s">
        <v>12428</v>
      </c>
      <c r="C749" s="24" t="s">
        <v>15202</v>
      </c>
      <c r="D749" s="25" t="s">
        <v>15203</v>
      </c>
      <c r="E749" s="29"/>
      <c r="F749" s="101" t="s">
        <v>15551</v>
      </c>
      <c r="G749" s="102" t="s">
        <v>15538</v>
      </c>
      <c r="H749" s="103" t="s">
        <v>14167</v>
      </c>
      <c r="I749" s="29"/>
      <c r="J749" s="29"/>
      <c r="K749" s="29"/>
      <c r="L749" s="29"/>
      <c r="M749" s="29"/>
      <c r="N749" s="29"/>
      <c r="O749" s="29"/>
      <c r="P749" s="29"/>
    </row>
    <row r="750" spans="1:16" ht="112.5" hidden="1" customHeight="1" x14ac:dyDescent="0.3">
      <c r="A750" s="100">
        <v>3608</v>
      </c>
      <c r="B750" s="24" t="s">
        <v>12428</v>
      </c>
      <c r="C750" s="24" t="s">
        <v>15181</v>
      </c>
      <c r="D750" s="25" t="s">
        <v>15182</v>
      </c>
      <c r="E750" s="29"/>
      <c r="F750" s="101" t="s">
        <v>15564</v>
      </c>
      <c r="G750" s="102" t="s">
        <v>15538</v>
      </c>
      <c r="H750" s="103" t="s">
        <v>14185</v>
      </c>
      <c r="I750" s="29"/>
      <c r="J750" s="29"/>
      <c r="K750" s="29"/>
      <c r="L750" s="29"/>
      <c r="M750" s="29"/>
      <c r="N750" s="29"/>
      <c r="O750" s="29"/>
      <c r="P750" s="29"/>
    </row>
    <row r="751" spans="1:16" ht="112.5" hidden="1" customHeight="1" x14ac:dyDescent="0.3">
      <c r="A751" s="100">
        <v>3612</v>
      </c>
      <c r="B751" s="24" t="s">
        <v>12428</v>
      </c>
      <c r="C751" s="24" t="s">
        <v>13321</v>
      </c>
      <c r="D751" s="25" t="s">
        <v>13322</v>
      </c>
      <c r="E751" s="29"/>
      <c r="F751" s="101" t="s">
        <v>15551</v>
      </c>
      <c r="G751" s="102" t="s">
        <v>15538</v>
      </c>
      <c r="H751" s="103" t="s">
        <v>14197</v>
      </c>
      <c r="I751" s="29"/>
      <c r="J751" s="29"/>
      <c r="K751" s="29"/>
      <c r="L751" s="29"/>
      <c r="M751" s="29"/>
      <c r="N751" s="29"/>
      <c r="O751" s="29"/>
      <c r="P751" s="29"/>
    </row>
    <row r="752" spans="1:16" ht="112.5" hidden="1" customHeight="1" x14ac:dyDescent="0.3">
      <c r="A752" s="100">
        <v>3618</v>
      </c>
      <c r="B752" s="24" t="s">
        <v>12428</v>
      </c>
      <c r="C752" s="24" t="s">
        <v>15154</v>
      </c>
      <c r="D752" s="25" t="s">
        <v>15155</v>
      </c>
      <c r="E752" s="29"/>
      <c r="F752" s="101" t="s">
        <v>15548</v>
      </c>
      <c r="G752" s="102" t="s">
        <v>15538</v>
      </c>
      <c r="H752" s="103" t="s">
        <v>14215</v>
      </c>
      <c r="I752" s="29"/>
      <c r="J752" s="29"/>
      <c r="K752" s="29"/>
      <c r="L752" s="29"/>
      <c r="M752" s="29"/>
      <c r="N752" s="29"/>
      <c r="O752" s="29"/>
      <c r="P752" s="29"/>
    </row>
    <row r="753" spans="1:16" ht="112.5" hidden="1" customHeight="1" x14ac:dyDescent="0.3">
      <c r="A753" s="104">
        <v>3643</v>
      </c>
      <c r="B753" s="28" t="s">
        <v>12428</v>
      </c>
      <c r="C753" s="28" t="s">
        <v>13220</v>
      </c>
      <c r="D753" s="27" t="s">
        <v>13221</v>
      </c>
      <c r="E753" s="29"/>
      <c r="F753" s="105" t="s">
        <v>15693</v>
      </c>
      <c r="G753" s="98" t="s">
        <v>15538</v>
      </c>
      <c r="H753" s="99" t="s">
        <v>14290</v>
      </c>
      <c r="I753" s="29"/>
      <c r="J753" s="29"/>
      <c r="K753" s="29"/>
      <c r="L753" s="29"/>
      <c r="M753" s="29"/>
      <c r="N753" s="29"/>
      <c r="O753" s="29"/>
      <c r="P753" s="29"/>
    </row>
    <row r="754" spans="1:16" ht="112.5" hidden="1" customHeight="1" x14ac:dyDescent="0.3">
      <c r="A754" s="100">
        <v>3644</v>
      </c>
      <c r="B754" s="24" t="s">
        <v>12428</v>
      </c>
      <c r="C754" s="24" t="s">
        <v>15086</v>
      </c>
      <c r="D754" s="25" t="s">
        <v>15087</v>
      </c>
      <c r="E754" s="29"/>
      <c r="F754" s="101" t="s">
        <v>15770</v>
      </c>
      <c r="G754" s="102" t="s">
        <v>15538</v>
      </c>
      <c r="H754" s="103" t="s">
        <v>14293</v>
      </c>
      <c r="I754" s="29"/>
      <c r="J754" s="29"/>
      <c r="K754" s="29"/>
      <c r="L754" s="29"/>
      <c r="M754" s="29"/>
      <c r="N754" s="29"/>
      <c r="O754" s="29"/>
      <c r="P754" s="29"/>
    </row>
    <row r="755" spans="1:16" ht="112.5" hidden="1" customHeight="1" x14ac:dyDescent="0.3">
      <c r="A755" s="104">
        <v>3645</v>
      </c>
      <c r="B755" s="28" t="s">
        <v>12428</v>
      </c>
      <c r="C755" s="28" t="s">
        <v>12809</v>
      </c>
      <c r="D755" s="27" t="s">
        <v>12810</v>
      </c>
      <c r="E755" s="29"/>
      <c r="F755" s="105" t="s">
        <v>15535</v>
      </c>
      <c r="G755" s="98" t="s">
        <v>15538</v>
      </c>
      <c r="H755" s="99" t="s">
        <v>14296</v>
      </c>
      <c r="I755" s="29"/>
      <c r="J755" s="29"/>
      <c r="K755" s="29"/>
      <c r="L755" s="29"/>
      <c r="M755" s="29"/>
      <c r="N755" s="29"/>
      <c r="O755" s="29"/>
      <c r="P755" s="29"/>
    </row>
    <row r="756" spans="1:16" ht="112.5" customHeight="1" x14ac:dyDescent="0.2">
      <c r="A756" s="75">
        <v>299</v>
      </c>
      <c r="B756" s="94" t="s">
        <v>12428</v>
      </c>
      <c r="C756" s="94" t="s">
        <v>12973</v>
      </c>
      <c r="D756" s="95" t="s">
        <v>12974</v>
      </c>
      <c r="E756" s="96"/>
      <c r="F756" s="97" t="s">
        <v>15586</v>
      </c>
      <c r="G756" s="102" t="s">
        <v>15975</v>
      </c>
      <c r="H756" s="103" t="s">
        <v>14335</v>
      </c>
      <c r="I756" s="29"/>
      <c r="J756" s="29"/>
      <c r="K756" s="29"/>
      <c r="L756" s="29"/>
      <c r="M756" s="29"/>
      <c r="N756" s="29"/>
      <c r="O756" s="29"/>
      <c r="P756" s="29"/>
    </row>
    <row r="757" spans="1:16" ht="112.5" customHeight="1" x14ac:dyDescent="0.2">
      <c r="A757" s="75">
        <v>300</v>
      </c>
      <c r="B757" s="94" t="s">
        <v>12428</v>
      </c>
      <c r="C757" s="94" t="s">
        <v>15050</v>
      </c>
      <c r="D757" s="95" t="s">
        <v>15051</v>
      </c>
      <c r="E757" s="96"/>
      <c r="F757" s="97" t="s">
        <v>15976</v>
      </c>
      <c r="G757" s="102" t="s">
        <v>15862</v>
      </c>
      <c r="H757" s="103" t="s">
        <v>14341</v>
      </c>
      <c r="I757" s="29"/>
      <c r="J757" s="29"/>
      <c r="K757" s="29"/>
      <c r="L757" s="29"/>
      <c r="M757" s="29"/>
      <c r="N757" s="29"/>
      <c r="O757" s="29"/>
      <c r="P757" s="29"/>
    </row>
    <row r="758" spans="1:16" ht="112.5" customHeight="1" x14ac:dyDescent="0.2">
      <c r="A758" s="75">
        <v>301</v>
      </c>
      <c r="B758" s="94" t="s">
        <v>12428</v>
      </c>
      <c r="C758" s="94" t="s">
        <v>12764</v>
      </c>
      <c r="D758" s="95" t="s">
        <v>12765</v>
      </c>
      <c r="E758" s="96"/>
      <c r="F758" s="97" t="s">
        <v>15762</v>
      </c>
      <c r="G758" s="98" t="s">
        <v>15572</v>
      </c>
      <c r="H758" s="99" t="s">
        <v>14344</v>
      </c>
      <c r="I758" s="29"/>
      <c r="J758" s="29"/>
      <c r="K758" s="29"/>
      <c r="L758" s="29"/>
      <c r="M758" s="29"/>
      <c r="N758" s="29"/>
      <c r="O758" s="29"/>
      <c r="P758" s="29"/>
    </row>
    <row r="759" spans="1:16" ht="112.5" hidden="1" customHeight="1" x14ac:dyDescent="0.3">
      <c r="A759" s="104">
        <v>3663</v>
      </c>
      <c r="B759" s="28" t="s">
        <v>12428</v>
      </c>
      <c r="C759" s="28" t="s">
        <v>12491</v>
      </c>
      <c r="D759" s="27" t="s">
        <v>12492</v>
      </c>
      <c r="E759" s="29"/>
      <c r="F759" s="105" t="s">
        <v>15609</v>
      </c>
      <c r="G759" s="98" t="s">
        <v>15538</v>
      </c>
      <c r="H759" s="99" t="s">
        <v>14350</v>
      </c>
      <c r="I759" s="29"/>
      <c r="J759" s="29"/>
      <c r="K759" s="29"/>
      <c r="L759" s="29"/>
      <c r="M759" s="29"/>
      <c r="N759" s="29"/>
      <c r="O759" s="29"/>
      <c r="P759" s="29"/>
    </row>
    <row r="760" spans="1:16" ht="112.5" hidden="1" customHeight="1" x14ac:dyDescent="0.3">
      <c r="A760" s="100">
        <v>3664</v>
      </c>
      <c r="B760" s="24" t="s">
        <v>12428</v>
      </c>
      <c r="C760" s="24" t="s">
        <v>12604</v>
      </c>
      <c r="D760" s="25" t="s">
        <v>12605</v>
      </c>
      <c r="E760" s="29"/>
      <c r="F760" s="101" t="s">
        <v>15609</v>
      </c>
      <c r="G760" s="102" t="s">
        <v>15538</v>
      </c>
      <c r="H760" s="103" t="s">
        <v>14353</v>
      </c>
      <c r="I760" s="29"/>
      <c r="J760" s="29"/>
      <c r="K760" s="29"/>
      <c r="L760" s="29"/>
      <c r="M760" s="29"/>
      <c r="N760" s="29"/>
      <c r="O760" s="29"/>
      <c r="P760" s="29"/>
    </row>
    <row r="761" spans="1:16" ht="112.5" hidden="1" customHeight="1" x14ac:dyDescent="0.3">
      <c r="A761" s="104">
        <v>3667</v>
      </c>
      <c r="B761" s="28" t="s">
        <v>12428</v>
      </c>
      <c r="C761" s="28" t="s">
        <v>13398</v>
      </c>
      <c r="D761" s="27" t="s">
        <v>13399</v>
      </c>
      <c r="E761" s="29"/>
      <c r="F761" s="105" t="s">
        <v>15583</v>
      </c>
      <c r="G761" s="98" t="s">
        <v>15538</v>
      </c>
      <c r="H761" s="99" t="s">
        <v>14362</v>
      </c>
      <c r="I761" s="29"/>
      <c r="J761" s="29"/>
      <c r="K761" s="29"/>
      <c r="L761" s="29"/>
      <c r="M761" s="29"/>
      <c r="N761" s="29"/>
      <c r="O761" s="29"/>
      <c r="P761" s="29"/>
    </row>
    <row r="762" spans="1:16" ht="112.5" hidden="1" customHeight="1" x14ac:dyDescent="0.3">
      <c r="A762" s="100">
        <v>3668</v>
      </c>
      <c r="B762" s="24" t="s">
        <v>12428</v>
      </c>
      <c r="C762" s="24" t="s">
        <v>15039</v>
      </c>
      <c r="D762" s="25" t="s">
        <v>15040</v>
      </c>
      <c r="E762" s="29"/>
      <c r="F762" s="101" t="s">
        <v>15686</v>
      </c>
      <c r="G762" s="102" t="s">
        <v>15538</v>
      </c>
      <c r="H762" s="103" t="s">
        <v>14365</v>
      </c>
      <c r="I762" s="29"/>
      <c r="J762" s="29"/>
      <c r="K762" s="29"/>
      <c r="L762" s="29"/>
      <c r="M762" s="29"/>
      <c r="N762" s="29"/>
      <c r="O762" s="29"/>
      <c r="P762" s="29"/>
    </row>
    <row r="763" spans="1:16" ht="112.5" hidden="1" customHeight="1" x14ac:dyDescent="0.3">
      <c r="A763" s="104">
        <v>3669</v>
      </c>
      <c r="B763" s="28" t="s">
        <v>12428</v>
      </c>
      <c r="C763" s="28" t="s">
        <v>15036</v>
      </c>
      <c r="D763" s="27" t="s">
        <v>15037</v>
      </c>
      <c r="E763" s="29"/>
      <c r="F763" s="105" t="s">
        <v>15635</v>
      </c>
      <c r="G763" s="98" t="s">
        <v>15538</v>
      </c>
      <c r="H763" s="99" t="s">
        <v>14368</v>
      </c>
      <c r="I763" s="29"/>
      <c r="J763" s="29"/>
      <c r="K763" s="29"/>
      <c r="L763" s="29"/>
      <c r="M763" s="29"/>
      <c r="N763" s="29"/>
      <c r="O763" s="29"/>
      <c r="P763" s="29"/>
    </row>
    <row r="764" spans="1:16" ht="112.5" customHeight="1" x14ac:dyDescent="0.2">
      <c r="A764" s="75">
        <v>302</v>
      </c>
      <c r="B764" s="94" t="s">
        <v>12428</v>
      </c>
      <c r="C764" s="94" t="s">
        <v>12845</v>
      </c>
      <c r="D764" s="95" t="s">
        <v>12846</v>
      </c>
      <c r="E764" s="96"/>
      <c r="F764" s="97" t="s">
        <v>15686</v>
      </c>
      <c r="G764" s="102" t="s">
        <v>15977</v>
      </c>
      <c r="H764" s="103" t="s">
        <v>14477</v>
      </c>
      <c r="I764" s="29"/>
      <c r="J764" s="29"/>
      <c r="K764" s="29"/>
      <c r="L764" s="29"/>
      <c r="M764" s="29"/>
      <c r="N764" s="29"/>
      <c r="O764" s="29"/>
      <c r="P764" s="29"/>
    </row>
    <row r="765" spans="1:16" ht="112.5" customHeight="1" x14ac:dyDescent="0.2">
      <c r="A765" s="75">
        <v>303</v>
      </c>
      <c r="B765" s="94" t="s">
        <v>12428</v>
      </c>
      <c r="C765" s="94" t="s">
        <v>13273</v>
      </c>
      <c r="D765" s="95" t="s">
        <v>13274</v>
      </c>
      <c r="E765" s="96"/>
      <c r="F765" s="97" t="s">
        <v>15626</v>
      </c>
      <c r="G765" s="102" t="s">
        <v>15978</v>
      </c>
      <c r="H765" s="103" t="s">
        <v>14501</v>
      </c>
      <c r="I765" s="29"/>
      <c r="J765" s="29"/>
      <c r="K765" s="29"/>
      <c r="L765" s="29"/>
      <c r="M765" s="29"/>
      <c r="N765" s="29"/>
      <c r="O765" s="29"/>
      <c r="P765" s="29"/>
    </row>
    <row r="766" spans="1:16" ht="112.5" hidden="1" customHeight="1" x14ac:dyDescent="0.3">
      <c r="A766" s="100">
        <v>3718</v>
      </c>
      <c r="B766" s="24" t="s">
        <v>12428</v>
      </c>
      <c r="C766" s="24" t="s">
        <v>14904</v>
      </c>
      <c r="D766" s="25" t="s">
        <v>14905</v>
      </c>
      <c r="E766" s="29"/>
      <c r="F766" s="101" t="s">
        <v>15599</v>
      </c>
      <c r="G766" s="102" t="s">
        <v>15538</v>
      </c>
      <c r="H766" s="103" t="s">
        <v>14513</v>
      </c>
      <c r="I766" s="29"/>
      <c r="J766" s="29"/>
      <c r="K766" s="29"/>
      <c r="L766" s="29"/>
      <c r="M766" s="29"/>
      <c r="N766" s="29"/>
      <c r="O766" s="29"/>
      <c r="P766" s="29"/>
    </row>
    <row r="767" spans="1:16" ht="112.5" hidden="1" customHeight="1" x14ac:dyDescent="0.3">
      <c r="A767" s="104">
        <v>3719</v>
      </c>
      <c r="B767" s="28" t="s">
        <v>12428</v>
      </c>
      <c r="C767" s="28" t="s">
        <v>14907</v>
      </c>
      <c r="D767" s="27" t="s">
        <v>14908</v>
      </c>
      <c r="E767" s="29"/>
      <c r="F767" s="105" t="s">
        <v>15599</v>
      </c>
      <c r="G767" s="98" t="s">
        <v>15538</v>
      </c>
      <c r="H767" s="99" t="s">
        <v>14516</v>
      </c>
      <c r="I767" s="29"/>
      <c r="J767" s="29"/>
      <c r="K767" s="29"/>
      <c r="L767" s="29"/>
      <c r="M767" s="29"/>
      <c r="N767" s="29"/>
      <c r="O767" s="29"/>
      <c r="P767" s="29"/>
    </row>
    <row r="768" spans="1:16" ht="112.5" hidden="1" customHeight="1" x14ac:dyDescent="0.3">
      <c r="A768" s="100">
        <v>3734</v>
      </c>
      <c r="B768" s="24" t="s">
        <v>12428</v>
      </c>
      <c r="C768" s="24" t="s">
        <v>13389</v>
      </c>
      <c r="D768" s="25" t="s">
        <v>13390</v>
      </c>
      <c r="E768" s="29"/>
      <c r="F768" s="101" t="s">
        <v>15770</v>
      </c>
      <c r="G768" s="102" t="s">
        <v>15538</v>
      </c>
      <c r="H768" s="103" t="s">
        <v>14561</v>
      </c>
      <c r="I768" s="29"/>
      <c r="J768" s="29"/>
      <c r="K768" s="29"/>
      <c r="L768" s="29"/>
      <c r="M768" s="29"/>
      <c r="N768" s="29"/>
      <c r="O768" s="29"/>
      <c r="P768" s="29"/>
    </row>
    <row r="769" spans="1:16" ht="112.5" hidden="1" customHeight="1" x14ac:dyDescent="0.3">
      <c r="A769" s="104">
        <v>3737</v>
      </c>
      <c r="B769" s="28" t="s">
        <v>12428</v>
      </c>
      <c r="C769" s="28" t="s">
        <v>12542</v>
      </c>
      <c r="D769" s="27" t="s">
        <v>12543</v>
      </c>
      <c r="E769" s="29"/>
      <c r="F769" s="105" t="s">
        <v>15651</v>
      </c>
      <c r="G769" s="98" t="s">
        <v>15538</v>
      </c>
      <c r="H769" s="99" t="s">
        <v>14570</v>
      </c>
      <c r="I769" s="29"/>
      <c r="J769" s="29"/>
      <c r="K769" s="29"/>
      <c r="L769" s="29"/>
      <c r="M769" s="29"/>
      <c r="N769" s="29"/>
      <c r="O769" s="29"/>
      <c r="P769" s="29"/>
    </row>
    <row r="770" spans="1:16" ht="112.5" hidden="1" customHeight="1" x14ac:dyDescent="0.3">
      <c r="A770" s="100">
        <v>3738</v>
      </c>
      <c r="B770" s="24" t="s">
        <v>12428</v>
      </c>
      <c r="C770" s="24" t="s">
        <v>12949</v>
      </c>
      <c r="D770" s="25" t="s">
        <v>12950</v>
      </c>
      <c r="E770" s="29"/>
      <c r="F770" s="101" t="s">
        <v>15689</v>
      </c>
      <c r="G770" s="102" t="s">
        <v>15538</v>
      </c>
      <c r="H770" s="103" t="s">
        <v>14573</v>
      </c>
      <c r="I770" s="29"/>
      <c r="J770" s="29"/>
      <c r="K770" s="29"/>
      <c r="L770" s="29"/>
      <c r="M770" s="29"/>
      <c r="N770" s="29"/>
      <c r="O770" s="29"/>
      <c r="P770" s="29"/>
    </row>
    <row r="771" spans="1:16" ht="112.5" customHeight="1" x14ac:dyDescent="0.2">
      <c r="A771" s="75">
        <v>304</v>
      </c>
      <c r="B771" s="94" t="s">
        <v>12428</v>
      </c>
      <c r="C771" s="94" t="s">
        <v>12520</v>
      </c>
      <c r="D771" s="95" t="s">
        <v>12521</v>
      </c>
      <c r="E771" s="96"/>
      <c r="F771" s="97" t="s">
        <v>15574</v>
      </c>
      <c r="G771" s="102" t="s">
        <v>15979</v>
      </c>
      <c r="H771" s="103" t="s">
        <v>14579</v>
      </c>
      <c r="I771" s="29"/>
      <c r="J771" s="29"/>
      <c r="K771" s="29"/>
      <c r="L771" s="29"/>
      <c r="M771" s="29"/>
      <c r="N771" s="29"/>
      <c r="O771" s="29"/>
      <c r="P771" s="29"/>
    </row>
    <row r="772" spans="1:16" ht="112.5" customHeight="1" x14ac:dyDescent="0.2">
      <c r="A772" s="75">
        <v>305</v>
      </c>
      <c r="B772" s="94" t="s">
        <v>12428</v>
      </c>
      <c r="C772" s="94" t="s">
        <v>14838</v>
      </c>
      <c r="D772" s="95" t="s">
        <v>14839</v>
      </c>
      <c r="E772" s="96"/>
      <c r="F772" s="97" t="s">
        <v>15638</v>
      </c>
      <c r="G772" s="102" t="s">
        <v>15630</v>
      </c>
      <c r="H772" s="103" t="s">
        <v>14603</v>
      </c>
      <c r="I772" s="29"/>
      <c r="J772" s="29"/>
      <c r="K772" s="29"/>
      <c r="L772" s="29"/>
      <c r="M772" s="29"/>
      <c r="N772" s="29"/>
      <c r="O772" s="29"/>
      <c r="P772" s="29"/>
    </row>
    <row r="773" spans="1:16" ht="112.5" hidden="1" customHeight="1" x14ac:dyDescent="0.3">
      <c r="A773" s="104">
        <v>3771</v>
      </c>
      <c r="B773" s="28" t="s">
        <v>12428</v>
      </c>
      <c r="C773" s="28" t="s">
        <v>14787</v>
      </c>
      <c r="D773" s="27" t="s">
        <v>14788</v>
      </c>
      <c r="E773" s="29"/>
      <c r="F773" s="105" t="s">
        <v>15677</v>
      </c>
      <c r="G773" s="98" t="s">
        <v>15538</v>
      </c>
      <c r="H773" s="99" t="s">
        <v>14672</v>
      </c>
      <c r="I773" s="29"/>
      <c r="J773" s="29"/>
      <c r="K773" s="29"/>
      <c r="L773" s="29"/>
      <c r="M773" s="29"/>
      <c r="N773" s="29"/>
      <c r="O773" s="29"/>
      <c r="P773" s="29"/>
    </row>
    <row r="774" spans="1:16" ht="112.5" hidden="1" customHeight="1" x14ac:dyDescent="0.3">
      <c r="A774" s="100">
        <v>3772</v>
      </c>
      <c r="B774" s="24" t="s">
        <v>12428</v>
      </c>
      <c r="C774" s="24" t="s">
        <v>13300</v>
      </c>
      <c r="D774" s="25" t="s">
        <v>13301</v>
      </c>
      <c r="E774" s="29"/>
      <c r="F774" s="101" t="s">
        <v>15677</v>
      </c>
      <c r="G774" s="102" t="s">
        <v>15538</v>
      </c>
      <c r="H774" s="103" t="s">
        <v>14675</v>
      </c>
      <c r="I774" s="29"/>
      <c r="J774" s="29"/>
      <c r="K774" s="29"/>
      <c r="L774" s="29"/>
      <c r="M774" s="29"/>
      <c r="N774" s="29"/>
      <c r="O774" s="29"/>
      <c r="P774" s="29"/>
    </row>
    <row r="775" spans="1:16" ht="112.5" hidden="1" customHeight="1" x14ac:dyDescent="0.3">
      <c r="A775" s="104">
        <v>3773</v>
      </c>
      <c r="B775" s="28" t="s">
        <v>12428</v>
      </c>
      <c r="C775" s="28" t="s">
        <v>13380</v>
      </c>
      <c r="D775" s="27" t="s">
        <v>13381</v>
      </c>
      <c r="E775" s="29"/>
      <c r="F775" s="105" t="s">
        <v>15836</v>
      </c>
      <c r="G775" s="98" t="s">
        <v>15538</v>
      </c>
      <c r="H775" s="99" t="s">
        <v>14678</v>
      </c>
      <c r="I775" s="29"/>
      <c r="J775" s="29"/>
      <c r="K775" s="29"/>
      <c r="L775" s="29"/>
      <c r="M775" s="29"/>
      <c r="N775" s="29"/>
      <c r="O775" s="29"/>
      <c r="P775" s="29"/>
    </row>
    <row r="776" spans="1:16" ht="112.5" hidden="1" customHeight="1" x14ac:dyDescent="0.3">
      <c r="A776" s="100">
        <v>3778</v>
      </c>
      <c r="B776" s="24" t="s">
        <v>12428</v>
      </c>
      <c r="C776" s="24" t="s">
        <v>12770</v>
      </c>
      <c r="D776" s="25" t="s">
        <v>12771</v>
      </c>
      <c r="E776" s="29"/>
      <c r="F776" s="101" t="s">
        <v>15930</v>
      </c>
      <c r="G776" s="102" t="s">
        <v>15538</v>
      </c>
      <c r="H776" s="103" t="s">
        <v>14693</v>
      </c>
      <c r="I776" s="29"/>
      <c r="J776" s="29"/>
      <c r="K776" s="29"/>
      <c r="L776" s="29"/>
      <c r="M776" s="29"/>
      <c r="N776" s="29"/>
      <c r="O776" s="29"/>
      <c r="P776" s="29"/>
    </row>
    <row r="777" spans="1:16" ht="112.5" hidden="1" customHeight="1" x14ac:dyDescent="0.3">
      <c r="A777" s="104">
        <v>3779</v>
      </c>
      <c r="B777" s="28" t="s">
        <v>12428</v>
      </c>
      <c r="C777" s="28" t="s">
        <v>14769</v>
      </c>
      <c r="D777" s="27" t="s">
        <v>14770</v>
      </c>
      <c r="E777" s="29"/>
      <c r="F777" s="105" t="s">
        <v>15930</v>
      </c>
      <c r="G777" s="98" t="s">
        <v>15538</v>
      </c>
      <c r="H777" s="99" t="s">
        <v>14696</v>
      </c>
      <c r="I777" s="29"/>
      <c r="J777" s="29"/>
      <c r="K777" s="29"/>
      <c r="L777" s="29"/>
      <c r="M777" s="29"/>
      <c r="N777" s="29"/>
      <c r="O777" s="29"/>
      <c r="P777" s="29"/>
    </row>
    <row r="778" spans="1:16" ht="112.5" customHeight="1" x14ac:dyDescent="0.2">
      <c r="A778" s="75">
        <v>306</v>
      </c>
      <c r="B778" s="94" t="s">
        <v>12428</v>
      </c>
      <c r="C778" s="94" t="s">
        <v>14766</v>
      </c>
      <c r="D778" s="95" t="s">
        <v>14767</v>
      </c>
      <c r="E778" s="96"/>
      <c r="F778" s="97" t="s">
        <v>15634</v>
      </c>
      <c r="G778" s="102" t="s">
        <v>15980</v>
      </c>
      <c r="H778" s="103" t="s">
        <v>14699</v>
      </c>
      <c r="I778" s="29"/>
      <c r="J778" s="29"/>
      <c r="K778" s="29"/>
      <c r="L778" s="29"/>
      <c r="M778" s="29"/>
      <c r="N778" s="29"/>
      <c r="O778" s="29"/>
      <c r="P778" s="29"/>
    </row>
    <row r="779" spans="1:16" ht="112.5" customHeight="1" x14ac:dyDescent="0.2">
      <c r="A779" s="75">
        <v>307</v>
      </c>
      <c r="B779" s="94" t="s">
        <v>12428</v>
      </c>
      <c r="C779" s="94" t="s">
        <v>14763</v>
      </c>
      <c r="D779" s="95" t="s">
        <v>14764</v>
      </c>
      <c r="E779" s="96"/>
      <c r="F779" s="97" t="s">
        <v>15634</v>
      </c>
      <c r="G779" s="98" t="s">
        <v>15981</v>
      </c>
      <c r="H779" s="99" t="s">
        <v>14702</v>
      </c>
      <c r="I779" s="29"/>
      <c r="J779" s="29"/>
      <c r="K779" s="29"/>
      <c r="L779" s="29"/>
      <c r="M779" s="29"/>
      <c r="N779" s="29"/>
      <c r="O779" s="29"/>
      <c r="P779" s="29"/>
    </row>
    <row r="780" spans="1:16" ht="112.5" customHeight="1" x14ac:dyDescent="0.2">
      <c r="A780" s="75">
        <v>308</v>
      </c>
      <c r="B780" s="94" t="s">
        <v>12428</v>
      </c>
      <c r="C780" s="94" t="s">
        <v>14760</v>
      </c>
      <c r="D780" s="95" t="s">
        <v>14761</v>
      </c>
      <c r="E780" s="96"/>
      <c r="F780" s="97" t="s">
        <v>15762</v>
      </c>
      <c r="G780" s="102" t="s">
        <v>15827</v>
      </c>
      <c r="H780" s="103" t="s">
        <v>14705</v>
      </c>
      <c r="I780" s="29"/>
      <c r="J780" s="29"/>
      <c r="K780" s="29"/>
      <c r="L780" s="29"/>
      <c r="M780" s="29"/>
      <c r="N780" s="29"/>
      <c r="O780" s="29"/>
      <c r="P780" s="29"/>
    </row>
    <row r="781" spans="1:16" ht="112.5" customHeight="1" x14ac:dyDescent="0.2">
      <c r="A781" s="75">
        <v>309</v>
      </c>
      <c r="B781" s="94" t="s">
        <v>12428</v>
      </c>
      <c r="C781" s="94" t="s">
        <v>12931</v>
      </c>
      <c r="D781" s="95" t="s">
        <v>12932</v>
      </c>
      <c r="E781" s="96"/>
      <c r="F781" s="97" t="s">
        <v>15762</v>
      </c>
      <c r="G781" s="98" t="s">
        <v>15982</v>
      </c>
      <c r="H781" s="99" t="s">
        <v>14708</v>
      </c>
      <c r="I781" s="29"/>
      <c r="J781" s="29"/>
      <c r="K781" s="29"/>
      <c r="L781" s="29"/>
      <c r="M781" s="29"/>
      <c r="N781" s="29"/>
      <c r="O781" s="29"/>
      <c r="P781" s="29"/>
    </row>
    <row r="782" spans="1:16" ht="112.5" customHeight="1" x14ac:dyDescent="0.2">
      <c r="A782" s="75">
        <v>310</v>
      </c>
      <c r="B782" s="94" t="s">
        <v>12428</v>
      </c>
      <c r="C782" s="94" t="s">
        <v>14751</v>
      </c>
      <c r="D782" s="95" t="s">
        <v>14752</v>
      </c>
      <c r="E782" s="96"/>
      <c r="F782" s="97" t="s">
        <v>15626</v>
      </c>
      <c r="G782" s="98" t="s">
        <v>15592</v>
      </c>
      <c r="H782" s="99" t="s">
        <v>14714</v>
      </c>
      <c r="I782" s="29"/>
      <c r="J782" s="29"/>
      <c r="K782" s="29"/>
      <c r="L782" s="29"/>
      <c r="M782" s="29"/>
      <c r="N782" s="29"/>
      <c r="O782" s="29"/>
      <c r="P782" s="29"/>
    </row>
    <row r="783" spans="1:16" ht="112.5" hidden="1" customHeight="1" x14ac:dyDescent="0.3">
      <c r="A783" s="104">
        <v>3789</v>
      </c>
      <c r="B783" s="28" t="s">
        <v>12428</v>
      </c>
      <c r="C783" s="28" t="s">
        <v>14745</v>
      </c>
      <c r="D783" s="27" t="s">
        <v>14746</v>
      </c>
      <c r="E783" s="29"/>
      <c r="F783" s="105" t="s">
        <v>15647</v>
      </c>
      <c r="G783" s="98" t="s">
        <v>15538</v>
      </c>
      <c r="H783" s="99" t="s">
        <v>14726</v>
      </c>
      <c r="I783" s="29"/>
      <c r="J783" s="29"/>
      <c r="K783" s="29"/>
      <c r="L783" s="29"/>
      <c r="M783" s="29"/>
      <c r="N783" s="29"/>
      <c r="O783" s="29"/>
      <c r="P783" s="29"/>
    </row>
    <row r="784" spans="1:16" ht="112.5" hidden="1" customHeight="1" x14ac:dyDescent="0.3">
      <c r="A784" s="100">
        <v>3796</v>
      </c>
      <c r="B784" s="24" t="s">
        <v>12428</v>
      </c>
      <c r="C784" s="24" t="s">
        <v>14724</v>
      </c>
      <c r="D784" s="25" t="s">
        <v>14725</v>
      </c>
      <c r="E784" s="29"/>
      <c r="F784" s="101" t="s">
        <v>15618</v>
      </c>
      <c r="G784" s="102" t="s">
        <v>15538</v>
      </c>
      <c r="H784" s="103" t="s">
        <v>14747</v>
      </c>
      <c r="I784" s="29"/>
      <c r="J784" s="29"/>
      <c r="K784" s="29"/>
      <c r="L784" s="29"/>
      <c r="M784" s="29"/>
      <c r="N784" s="29"/>
      <c r="O784" s="29"/>
      <c r="P784" s="29"/>
    </row>
    <row r="785" spans="1:16" ht="112.5" hidden="1" customHeight="1" x14ac:dyDescent="0.3">
      <c r="A785" s="100">
        <v>3798</v>
      </c>
      <c r="B785" s="24" t="s">
        <v>12428</v>
      </c>
      <c r="C785" s="24" t="s">
        <v>12762</v>
      </c>
      <c r="D785" s="25" t="s">
        <v>12763</v>
      </c>
      <c r="E785" s="29"/>
      <c r="F785" s="101" t="s">
        <v>15583</v>
      </c>
      <c r="G785" s="102" t="s">
        <v>15538</v>
      </c>
      <c r="H785" s="103" t="s">
        <v>14753</v>
      </c>
      <c r="I785" s="29"/>
      <c r="J785" s="29"/>
      <c r="K785" s="29"/>
      <c r="L785" s="29"/>
      <c r="M785" s="29"/>
      <c r="N785" s="29"/>
      <c r="O785" s="29"/>
      <c r="P785" s="29"/>
    </row>
    <row r="786" spans="1:16" ht="112.5" hidden="1" customHeight="1" x14ac:dyDescent="0.3">
      <c r="A786" s="100">
        <v>3800</v>
      </c>
      <c r="B786" s="24" t="s">
        <v>12428</v>
      </c>
      <c r="C786" s="24" t="s">
        <v>13057</v>
      </c>
      <c r="D786" s="25" t="s">
        <v>13058</v>
      </c>
      <c r="E786" s="29"/>
      <c r="F786" s="101" t="s">
        <v>15677</v>
      </c>
      <c r="G786" s="102" t="s">
        <v>15538</v>
      </c>
      <c r="H786" s="103" t="s">
        <v>14759</v>
      </c>
      <c r="I786" s="29"/>
      <c r="J786" s="29"/>
      <c r="K786" s="29"/>
      <c r="L786" s="29"/>
      <c r="M786" s="29"/>
      <c r="N786" s="29"/>
      <c r="O786" s="29"/>
      <c r="P786" s="29"/>
    </row>
    <row r="787" spans="1:16" ht="112.5" customHeight="1" x14ac:dyDescent="0.2">
      <c r="A787" s="75">
        <v>311</v>
      </c>
      <c r="B787" s="94" t="s">
        <v>12428</v>
      </c>
      <c r="C787" s="94" t="s">
        <v>12607</v>
      </c>
      <c r="D787" s="95" t="s">
        <v>12608</v>
      </c>
      <c r="E787" s="96"/>
      <c r="F787" s="97" t="s">
        <v>15757</v>
      </c>
      <c r="G787" s="98" t="s">
        <v>15687</v>
      </c>
      <c r="H787" s="99" t="s">
        <v>14762</v>
      </c>
      <c r="I787" s="29"/>
      <c r="J787" s="29"/>
      <c r="K787" s="29"/>
      <c r="L787" s="29"/>
      <c r="M787" s="29"/>
      <c r="N787" s="29"/>
      <c r="O787" s="29"/>
      <c r="P787" s="29"/>
    </row>
    <row r="788" spans="1:16" ht="112.5" customHeight="1" x14ac:dyDescent="0.2">
      <c r="A788" s="75">
        <v>312</v>
      </c>
      <c r="B788" s="94" t="s">
        <v>12428</v>
      </c>
      <c r="C788" s="94" t="s">
        <v>14700</v>
      </c>
      <c r="D788" s="95" t="s">
        <v>14701</v>
      </c>
      <c r="E788" s="96"/>
      <c r="F788" s="97" t="s">
        <v>15907</v>
      </c>
      <c r="G788" s="98" t="s">
        <v>15983</v>
      </c>
      <c r="H788" s="99" t="s">
        <v>14768</v>
      </c>
      <c r="I788" s="29"/>
      <c r="J788" s="29"/>
      <c r="K788" s="29"/>
      <c r="L788" s="29"/>
      <c r="M788" s="29"/>
      <c r="N788" s="29"/>
      <c r="O788" s="29"/>
      <c r="P788" s="29"/>
    </row>
    <row r="789" spans="1:16" ht="112.5" customHeight="1" x14ac:dyDescent="0.2">
      <c r="A789" s="75">
        <v>313</v>
      </c>
      <c r="B789" s="94" t="s">
        <v>12428</v>
      </c>
      <c r="C789" s="94" t="s">
        <v>14697</v>
      </c>
      <c r="D789" s="95" t="s">
        <v>14698</v>
      </c>
      <c r="E789" s="96"/>
      <c r="F789" s="97" t="s">
        <v>15573</v>
      </c>
      <c r="G789" s="102" t="s">
        <v>15984</v>
      </c>
      <c r="H789" s="103" t="s">
        <v>14771</v>
      </c>
      <c r="I789" s="29"/>
      <c r="J789" s="29"/>
      <c r="K789" s="29"/>
      <c r="L789" s="29"/>
      <c r="M789" s="29"/>
      <c r="N789" s="29"/>
      <c r="O789" s="29"/>
      <c r="P789" s="29"/>
    </row>
    <row r="790" spans="1:16" ht="112.5" hidden="1" customHeight="1" x14ac:dyDescent="0.3">
      <c r="A790" s="104">
        <v>3805</v>
      </c>
      <c r="B790" s="28" t="s">
        <v>12428</v>
      </c>
      <c r="C790" s="28" t="s">
        <v>14694</v>
      </c>
      <c r="D790" s="27" t="s">
        <v>14695</v>
      </c>
      <c r="E790" s="29"/>
      <c r="F790" s="105" t="s">
        <v>15548</v>
      </c>
      <c r="G790" s="98" t="s">
        <v>15538</v>
      </c>
      <c r="H790" s="99" t="s">
        <v>14774</v>
      </c>
      <c r="I790" s="29"/>
      <c r="J790" s="29"/>
      <c r="K790" s="29"/>
      <c r="L790" s="29"/>
      <c r="M790" s="29"/>
      <c r="N790" s="29"/>
      <c r="O790" s="29"/>
      <c r="P790" s="29"/>
    </row>
    <row r="791" spans="1:16" ht="112.5" hidden="1" customHeight="1" x14ac:dyDescent="0.3">
      <c r="A791" s="100">
        <v>3806</v>
      </c>
      <c r="B791" s="24" t="s">
        <v>12428</v>
      </c>
      <c r="C791" s="24" t="s">
        <v>13342</v>
      </c>
      <c r="D791" s="25" t="s">
        <v>13343</v>
      </c>
      <c r="E791" s="29"/>
      <c r="F791" s="101" t="s">
        <v>15554</v>
      </c>
      <c r="G791" s="102" t="s">
        <v>15538</v>
      </c>
      <c r="H791" s="103" t="s">
        <v>14777</v>
      </c>
      <c r="I791" s="29"/>
      <c r="J791" s="29"/>
      <c r="K791" s="29"/>
      <c r="L791" s="29"/>
      <c r="M791" s="29"/>
      <c r="N791" s="29"/>
      <c r="O791" s="29"/>
      <c r="P791" s="29"/>
    </row>
    <row r="792" spans="1:16" ht="112.5" hidden="1" customHeight="1" x14ac:dyDescent="0.3">
      <c r="A792" s="104">
        <v>3807</v>
      </c>
      <c r="B792" s="28" t="s">
        <v>12428</v>
      </c>
      <c r="C792" s="28" t="s">
        <v>14685</v>
      </c>
      <c r="D792" s="27" t="s">
        <v>14686</v>
      </c>
      <c r="E792" s="29"/>
      <c r="F792" s="105" t="s">
        <v>15784</v>
      </c>
      <c r="G792" s="98" t="s">
        <v>15538</v>
      </c>
      <c r="H792" s="99" t="s">
        <v>14780</v>
      </c>
      <c r="I792" s="29"/>
      <c r="J792" s="29"/>
      <c r="K792" s="29"/>
      <c r="L792" s="29"/>
      <c r="M792" s="29"/>
      <c r="N792" s="29"/>
      <c r="O792" s="29"/>
      <c r="P792" s="29"/>
    </row>
    <row r="793" spans="1:16" ht="112.5" customHeight="1" x14ac:dyDescent="0.2">
      <c r="A793" s="75">
        <v>314</v>
      </c>
      <c r="B793" s="94" t="s">
        <v>12428</v>
      </c>
      <c r="C793" s="94" t="s">
        <v>12985</v>
      </c>
      <c r="D793" s="95" t="s">
        <v>12986</v>
      </c>
      <c r="E793" s="96"/>
      <c r="F793" s="97" t="s">
        <v>15985</v>
      </c>
      <c r="G793" s="102" t="s">
        <v>15734</v>
      </c>
      <c r="H793" s="103" t="s">
        <v>14783</v>
      </c>
      <c r="I793" s="29"/>
      <c r="J793" s="29"/>
      <c r="K793" s="29"/>
      <c r="L793" s="29"/>
      <c r="M793" s="29"/>
      <c r="N793" s="29"/>
      <c r="O793" s="29"/>
      <c r="P793" s="29"/>
    </row>
    <row r="794" spans="1:16" ht="112.5" hidden="1" customHeight="1" x14ac:dyDescent="0.3">
      <c r="A794" s="104">
        <v>3813</v>
      </c>
      <c r="B794" s="28" t="s">
        <v>12428</v>
      </c>
      <c r="C794" s="28" t="s">
        <v>13339</v>
      </c>
      <c r="D794" s="27" t="s">
        <v>13340</v>
      </c>
      <c r="E794" s="29"/>
      <c r="F794" s="105" t="s">
        <v>15986</v>
      </c>
      <c r="G794" s="98" t="s">
        <v>15538</v>
      </c>
      <c r="H794" s="99" t="s">
        <v>14798</v>
      </c>
      <c r="I794" s="29"/>
      <c r="J794" s="29"/>
      <c r="K794" s="29"/>
      <c r="L794" s="29"/>
      <c r="M794" s="29"/>
      <c r="N794" s="29"/>
      <c r="O794" s="29"/>
      <c r="P794" s="29"/>
    </row>
    <row r="795" spans="1:16" ht="112.5" hidden="1" customHeight="1" x14ac:dyDescent="0.3">
      <c r="A795" s="100">
        <v>3816</v>
      </c>
      <c r="B795" s="24" t="s">
        <v>12428</v>
      </c>
      <c r="C795" s="24" t="s">
        <v>14673</v>
      </c>
      <c r="D795" s="25" t="s">
        <v>14674</v>
      </c>
      <c r="E795" s="29"/>
      <c r="F795" s="101" t="s">
        <v>15757</v>
      </c>
      <c r="G795" s="102" t="s">
        <v>15538</v>
      </c>
      <c r="H795" s="103" t="s">
        <v>14807</v>
      </c>
      <c r="I795" s="29"/>
      <c r="J795" s="29"/>
      <c r="K795" s="29"/>
      <c r="L795" s="29"/>
      <c r="M795" s="29"/>
      <c r="N795" s="29"/>
      <c r="O795" s="29"/>
      <c r="P795" s="29"/>
    </row>
    <row r="796" spans="1:16" ht="112.5" customHeight="1" x14ac:dyDescent="0.2">
      <c r="A796" s="75">
        <v>315</v>
      </c>
      <c r="B796" s="94" t="s">
        <v>12428</v>
      </c>
      <c r="C796" s="94" t="s">
        <v>14670</v>
      </c>
      <c r="D796" s="95" t="s">
        <v>14671</v>
      </c>
      <c r="E796" s="96"/>
      <c r="F796" s="97" t="s">
        <v>15539</v>
      </c>
      <c r="G796" s="102" t="s">
        <v>15987</v>
      </c>
      <c r="H796" s="103" t="s">
        <v>14813</v>
      </c>
      <c r="I796" s="29"/>
      <c r="J796" s="29"/>
      <c r="K796" s="29"/>
      <c r="L796" s="29"/>
      <c r="M796" s="29"/>
      <c r="N796" s="29"/>
      <c r="O796" s="29"/>
      <c r="P796" s="29"/>
    </row>
    <row r="797" spans="1:16" ht="112.5" customHeight="1" x14ac:dyDescent="0.2">
      <c r="A797" s="75">
        <v>316</v>
      </c>
      <c r="B797" s="94" t="s">
        <v>12428</v>
      </c>
      <c r="C797" s="94" t="s">
        <v>12706</v>
      </c>
      <c r="D797" s="95" t="s">
        <v>12707</v>
      </c>
      <c r="E797" s="96"/>
      <c r="F797" s="97" t="s">
        <v>15988</v>
      </c>
      <c r="G797" s="102" t="s">
        <v>15989</v>
      </c>
      <c r="H797" s="103" t="s">
        <v>14831</v>
      </c>
      <c r="I797" s="29"/>
      <c r="J797" s="29"/>
      <c r="K797" s="29"/>
      <c r="L797" s="29"/>
      <c r="M797" s="29"/>
      <c r="N797" s="29"/>
      <c r="O797" s="29"/>
      <c r="P797" s="29"/>
    </row>
    <row r="798" spans="1:16" ht="112.5" hidden="1" customHeight="1" x14ac:dyDescent="0.3">
      <c r="A798" s="104">
        <v>3825</v>
      </c>
      <c r="B798" s="28" t="s">
        <v>12428</v>
      </c>
      <c r="C798" s="28" t="s">
        <v>13312</v>
      </c>
      <c r="D798" s="27" t="s">
        <v>13313</v>
      </c>
      <c r="E798" s="29"/>
      <c r="F798" s="105" t="s">
        <v>15564</v>
      </c>
      <c r="G798" s="98" t="s">
        <v>15538</v>
      </c>
      <c r="H798" s="99" t="s">
        <v>14834</v>
      </c>
      <c r="I798" s="29"/>
      <c r="J798" s="29"/>
      <c r="K798" s="29"/>
      <c r="L798" s="29"/>
      <c r="M798" s="29"/>
      <c r="N798" s="29"/>
      <c r="O798" s="29"/>
      <c r="P798" s="29"/>
    </row>
    <row r="799" spans="1:16" ht="112.5" hidden="1" customHeight="1" x14ac:dyDescent="0.3">
      <c r="A799" s="104">
        <v>3829</v>
      </c>
      <c r="B799" s="28" t="s">
        <v>12428</v>
      </c>
      <c r="C799" s="28" t="s">
        <v>12877</v>
      </c>
      <c r="D799" s="27" t="s">
        <v>12878</v>
      </c>
      <c r="E799" s="29"/>
      <c r="F799" s="105" t="s">
        <v>15647</v>
      </c>
      <c r="G799" s="98" t="s">
        <v>15538</v>
      </c>
      <c r="H799" s="99" t="s">
        <v>14845</v>
      </c>
      <c r="I799" s="29"/>
      <c r="J799" s="29"/>
      <c r="K799" s="29"/>
      <c r="L799" s="29"/>
      <c r="M799" s="29"/>
      <c r="N799" s="29"/>
      <c r="O799" s="29"/>
      <c r="P799" s="29"/>
    </row>
    <row r="800" spans="1:16" ht="112.5" hidden="1" customHeight="1" x14ac:dyDescent="0.3">
      <c r="A800" s="100">
        <v>3830</v>
      </c>
      <c r="B800" s="24" t="s">
        <v>12428</v>
      </c>
      <c r="C800" s="24" t="s">
        <v>12767</v>
      </c>
      <c r="D800" s="25" t="s">
        <v>12768</v>
      </c>
      <c r="E800" s="29"/>
      <c r="F800" s="101" t="s">
        <v>15656</v>
      </c>
      <c r="G800" s="102" t="s">
        <v>15538</v>
      </c>
      <c r="H800" s="103" t="s">
        <v>14848</v>
      </c>
      <c r="I800" s="29"/>
      <c r="J800" s="29"/>
      <c r="K800" s="29"/>
      <c r="L800" s="29"/>
      <c r="M800" s="29"/>
      <c r="N800" s="29"/>
      <c r="O800" s="29"/>
      <c r="P800" s="29"/>
    </row>
    <row r="801" spans="1:16" ht="112.5" hidden="1" customHeight="1" x14ac:dyDescent="0.3">
      <c r="A801" s="104">
        <v>3831</v>
      </c>
      <c r="B801" s="28" t="s">
        <v>12428</v>
      </c>
      <c r="C801" s="28" t="s">
        <v>12955</v>
      </c>
      <c r="D801" s="27" t="s">
        <v>12956</v>
      </c>
      <c r="E801" s="29"/>
      <c r="F801" s="105" t="s">
        <v>15718</v>
      </c>
      <c r="G801" s="98" t="s">
        <v>15538</v>
      </c>
      <c r="H801" s="99" t="s">
        <v>14851</v>
      </c>
      <c r="I801" s="29"/>
      <c r="J801" s="29"/>
      <c r="K801" s="29"/>
      <c r="L801" s="29"/>
      <c r="M801" s="29"/>
      <c r="N801" s="29"/>
      <c r="O801" s="29"/>
      <c r="P801" s="29"/>
    </row>
    <row r="802" spans="1:16" ht="112.5" customHeight="1" x14ac:dyDescent="0.2">
      <c r="A802" s="75">
        <v>317</v>
      </c>
      <c r="B802" s="94" t="s">
        <v>12428</v>
      </c>
      <c r="C802" s="94" t="s">
        <v>14604</v>
      </c>
      <c r="D802" s="95" t="s">
        <v>14605</v>
      </c>
      <c r="E802" s="96"/>
      <c r="F802" s="97" t="s">
        <v>15836</v>
      </c>
      <c r="G802" s="102" t="s">
        <v>15990</v>
      </c>
      <c r="H802" s="103" t="s">
        <v>14854</v>
      </c>
      <c r="I802" s="29"/>
      <c r="J802" s="29"/>
      <c r="K802" s="29"/>
      <c r="L802" s="29"/>
      <c r="M802" s="29"/>
      <c r="N802" s="29"/>
      <c r="O802" s="29"/>
      <c r="P802" s="29"/>
    </row>
    <row r="803" spans="1:16" ht="112.5" customHeight="1" x14ac:dyDescent="0.2">
      <c r="A803" s="75">
        <v>318</v>
      </c>
      <c r="B803" s="94" t="s">
        <v>12428</v>
      </c>
      <c r="C803" s="94" t="s">
        <v>14601</v>
      </c>
      <c r="D803" s="95" t="s">
        <v>14602</v>
      </c>
      <c r="E803" s="96"/>
      <c r="F803" s="97" t="s">
        <v>15836</v>
      </c>
      <c r="G803" s="98" t="s">
        <v>15991</v>
      </c>
      <c r="H803" s="99" t="s">
        <v>14857</v>
      </c>
      <c r="I803" s="29"/>
      <c r="J803" s="29"/>
      <c r="K803" s="29"/>
      <c r="L803" s="29"/>
      <c r="M803" s="29"/>
      <c r="N803" s="29"/>
      <c r="O803" s="29"/>
      <c r="P803" s="29"/>
    </row>
    <row r="804" spans="1:16" ht="112.5" hidden="1" customHeight="1" x14ac:dyDescent="0.3">
      <c r="A804" s="100">
        <v>3854</v>
      </c>
      <c r="B804" s="24" t="s">
        <v>12428</v>
      </c>
      <c r="C804" s="24" t="s">
        <v>14553</v>
      </c>
      <c r="D804" s="25" t="s">
        <v>14554</v>
      </c>
      <c r="E804" s="29"/>
      <c r="F804" s="101" t="s">
        <v>15551</v>
      </c>
      <c r="G804" s="102" t="s">
        <v>15538</v>
      </c>
      <c r="H804" s="103" t="s">
        <v>14918</v>
      </c>
      <c r="I804" s="29"/>
      <c r="J804" s="29"/>
      <c r="K804" s="29"/>
      <c r="L804" s="29"/>
      <c r="M804" s="29"/>
      <c r="N804" s="29"/>
      <c r="O804" s="29"/>
      <c r="P804" s="29"/>
    </row>
    <row r="805" spans="1:16" ht="112.5" customHeight="1" x14ac:dyDescent="0.2">
      <c r="A805" s="75">
        <v>319</v>
      </c>
      <c r="B805" s="94" t="s">
        <v>12428</v>
      </c>
      <c r="C805" s="94" t="s">
        <v>14556</v>
      </c>
      <c r="D805" s="95" t="s">
        <v>14557</v>
      </c>
      <c r="E805" s="96"/>
      <c r="F805" s="97" t="s">
        <v>15810</v>
      </c>
      <c r="G805" s="98" t="s">
        <v>15992</v>
      </c>
      <c r="H805" s="99" t="s">
        <v>14921</v>
      </c>
      <c r="I805" s="29"/>
      <c r="J805" s="29"/>
      <c r="K805" s="29"/>
      <c r="L805" s="29"/>
      <c r="M805" s="29"/>
      <c r="N805" s="29"/>
      <c r="O805" s="29"/>
      <c r="P805" s="29"/>
    </row>
    <row r="806" spans="1:16" ht="112.5" hidden="1" customHeight="1" x14ac:dyDescent="0.3">
      <c r="A806" s="100">
        <v>3856</v>
      </c>
      <c r="B806" s="24" t="s">
        <v>12428</v>
      </c>
      <c r="C806" s="24" t="s">
        <v>12747</v>
      </c>
      <c r="D806" s="25" t="s">
        <v>12748</v>
      </c>
      <c r="E806" s="29"/>
      <c r="F806" s="101" t="s">
        <v>15551</v>
      </c>
      <c r="G806" s="102" t="s">
        <v>15538</v>
      </c>
      <c r="H806" s="103" t="s">
        <v>14924</v>
      </c>
      <c r="I806" s="29"/>
      <c r="J806" s="29"/>
      <c r="K806" s="29"/>
      <c r="L806" s="29"/>
      <c r="M806" s="29"/>
      <c r="N806" s="29"/>
      <c r="O806" s="29"/>
      <c r="P806" s="29"/>
    </row>
    <row r="807" spans="1:16" ht="112.5" customHeight="1" x14ac:dyDescent="0.2">
      <c r="A807" s="75">
        <v>320</v>
      </c>
      <c r="B807" s="94" t="s">
        <v>12428</v>
      </c>
      <c r="C807" s="94" t="s">
        <v>14550</v>
      </c>
      <c r="D807" s="95" t="s">
        <v>14551</v>
      </c>
      <c r="E807" s="96"/>
      <c r="F807" s="97" t="s">
        <v>15810</v>
      </c>
      <c r="G807" s="98" t="s">
        <v>15993</v>
      </c>
      <c r="H807" s="99" t="s">
        <v>14927</v>
      </c>
      <c r="I807" s="29"/>
      <c r="J807" s="29"/>
      <c r="K807" s="29"/>
      <c r="L807" s="29"/>
      <c r="M807" s="29"/>
      <c r="N807" s="29"/>
      <c r="O807" s="29"/>
      <c r="P807" s="29"/>
    </row>
    <row r="808" spans="1:16" ht="112.5" hidden="1" customHeight="1" x14ac:dyDescent="0.3">
      <c r="A808" s="104">
        <v>3859</v>
      </c>
      <c r="B808" s="28" t="s">
        <v>12428</v>
      </c>
      <c r="C808" s="28" t="s">
        <v>14544</v>
      </c>
      <c r="D808" s="27" t="s">
        <v>14545</v>
      </c>
      <c r="E808" s="29"/>
      <c r="F808" s="105" t="s">
        <v>15825</v>
      </c>
      <c r="G808" s="98" t="s">
        <v>15538</v>
      </c>
      <c r="H808" s="99" t="s">
        <v>14933</v>
      </c>
      <c r="I808" s="29"/>
      <c r="J808" s="29"/>
      <c r="K808" s="29"/>
      <c r="L808" s="29"/>
      <c r="M808" s="29"/>
      <c r="N808" s="29"/>
      <c r="O808" s="29"/>
      <c r="P808" s="29"/>
    </row>
    <row r="809" spans="1:16" ht="112.5" hidden="1" customHeight="1" x14ac:dyDescent="0.3">
      <c r="A809" s="100">
        <v>3860</v>
      </c>
      <c r="B809" s="24" t="s">
        <v>12428</v>
      </c>
      <c r="C809" s="24" t="s">
        <v>14541</v>
      </c>
      <c r="D809" s="25" t="s">
        <v>14542</v>
      </c>
      <c r="E809" s="29"/>
      <c r="F809" s="101" t="s">
        <v>15606</v>
      </c>
      <c r="G809" s="102" t="s">
        <v>15538</v>
      </c>
      <c r="H809" s="103" t="s">
        <v>14936</v>
      </c>
      <c r="I809" s="29"/>
      <c r="J809" s="29"/>
      <c r="K809" s="29"/>
      <c r="L809" s="29"/>
      <c r="M809" s="29"/>
      <c r="N809" s="29"/>
      <c r="O809" s="29"/>
      <c r="P809" s="29"/>
    </row>
    <row r="810" spans="1:16" ht="112.5" hidden="1" customHeight="1" x14ac:dyDescent="0.3">
      <c r="A810" s="104">
        <v>3861</v>
      </c>
      <c r="B810" s="28" t="s">
        <v>12428</v>
      </c>
      <c r="C810" s="28" t="s">
        <v>14538</v>
      </c>
      <c r="D810" s="27" t="s">
        <v>14539</v>
      </c>
      <c r="E810" s="29"/>
      <c r="F810" s="105" t="s">
        <v>15632</v>
      </c>
      <c r="G810" s="98" t="s">
        <v>15538</v>
      </c>
      <c r="H810" s="99" t="s">
        <v>14939</v>
      </c>
      <c r="I810" s="29"/>
      <c r="J810" s="29"/>
      <c r="K810" s="29"/>
      <c r="L810" s="29"/>
      <c r="M810" s="29"/>
      <c r="N810" s="29"/>
      <c r="O810" s="29"/>
      <c r="P810" s="29"/>
    </row>
    <row r="811" spans="1:16" ht="112.5" hidden="1" customHeight="1" x14ac:dyDescent="0.3">
      <c r="A811" s="100">
        <v>3862</v>
      </c>
      <c r="B811" s="24" t="s">
        <v>12428</v>
      </c>
      <c r="C811" s="24" t="s">
        <v>12613</v>
      </c>
      <c r="D811" s="25" t="s">
        <v>12614</v>
      </c>
      <c r="E811" s="29"/>
      <c r="F811" s="101" t="s">
        <v>15693</v>
      </c>
      <c r="G811" s="102" t="s">
        <v>15538</v>
      </c>
      <c r="H811" s="103" t="s">
        <v>14942</v>
      </c>
      <c r="I811" s="29"/>
      <c r="J811" s="29"/>
      <c r="K811" s="29"/>
      <c r="L811" s="29"/>
      <c r="M811" s="29"/>
      <c r="N811" s="29"/>
      <c r="O811" s="29"/>
      <c r="P811" s="29"/>
    </row>
    <row r="812" spans="1:16" ht="112.5" hidden="1" customHeight="1" x14ac:dyDescent="0.3">
      <c r="A812" s="104">
        <v>3865</v>
      </c>
      <c r="B812" s="28" t="s">
        <v>12428</v>
      </c>
      <c r="C812" s="28" t="s">
        <v>14526</v>
      </c>
      <c r="D812" s="27" t="s">
        <v>14527</v>
      </c>
      <c r="E812" s="29"/>
      <c r="F812" s="105" t="s">
        <v>15796</v>
      </c>
      <c r="G812" s="98" t="s">
        <v>15538</v>
      </c>
      <c r="H812" s="99" t="s">
        <v>14951</v>
      </c>
      <c r="I812" s="29"/>
      <c r="J812" s="29"/>
      <c r="K812" s="29"/>
      <c r="L812" s="29"/>
      <c r="M812" s="29"/>
      <c r="N812" s="29"/>
      <c r="O812" s="29"/>
      <c r="P812" s="29"/>
    </row>
    <row r="813" spans="1:16" ht="112.5" hidden="1" customHeight="1" x14ac:dyDescent="0.3">
      <c r="A813" s="104">
        <v>3867</v>
      </c>
      <c r="B813" s="28" t="s">
        <v>12428</v>
      </c>
      <c r="C813" s="28" t="s">
        <v>14517</v>
      </c>
      <c r="D813" s="27" t="s">
        <v>14518</v>
      </c>
      <c r="E813" s="29"/>
      <c r="F813" s="105" t="s">
        <v>15936</v>
      </c>
      <c r="G813" s="98" t="s">
        <v>15538</v>
      </c>
      <c r="H813" s="99" t="s">
        <v>14957</v>
      </c>
      <c r="I813" s="29"/>
      <c r="J813" s="29"/>
      <c r="K813" s="29"/>
      <c r="L813" s="29"/>
      <c r="M813" s="29"/>
      <c r="N813" s="29"/>
      <c r="O813" s="29"/>
      <c r="P813" s="29"/>
    </row>
    <row r="814" spans="1:16" ht="112.5" hidden="1" customHeight="1" x14ac:dyDescent="0.3">
      <c r="A814" s="104">
        <v>3869</v>
      </c>
      <c r="B814" s="28" t="s">
        <v>12428</v>
      </c>
      <c r="C814" s="28" t="s">
        <v>14508</v>
      </c>
      <c r="D814" s="27" t="s">
        <v>14509</v>
      </c>
      <c r="E814" s="29"/>
      <c r="F814" s="105" t="s">
        <v>15694</v>
      </c>
      <c r="G814" s="98" t="s">
        <v>15538</v>
      </c>
      <c r="H814" s="99" t="s">
        <v>14963</v>
      </c>
      <c r="I814" s="29"/>
      <c r="J814" s="29"/>
      <c r="K814" s="29"/>
      <c r="L814" s="29"/>
      <c r="M814" s="29"/>
      <c r="N814" s="29"/>
      <c r="O814" s="29"/>
      <c r="P814" s="29"/>
    </row>
    <row r="815" spans="1:16" ht="112.5" customHeight="1" x14ac:dyDescent="0.2">
      <c r="A815" s="75">
        <v>321</v>
      </c>
      <c r="B815" s="94" t="s">
        <v>12428</v>
      </c>
      <c r="C815" s="94" t="s">
        <v>14490</v>
      </c>
      <c r="D815" s="95" t="s">
        <v>14491</v>
      </c>
      <c r="E815" s="96"/>
      <c r="F815" s="97" t="s">
        <v>15994</v>
      </c>
      <c r="G815" s="98" t="s">
        <v>15995</v>
      </c>
      <c r="H815" s="99" t="s">
        <v>14981</v>
      </c>
      <c r="I815" s="29"/>
      <c r="J815" s="29"/>
      <c r="K815" s="29"/>
      <c r="L815" s="29"/>
      <c r="M815" s="29"/>
      <c r="N815" s="29"/>
      <c r="O815" s="29"/>
      <c r="P815" s="29"/>
    </row>
    <row r="816" spans="1:16" ht="112.5" hidden="1" customHeight="1" x14ac:dyDescent="0.3">
      <c r="A816" s="104">
        <v>3881</v>
      </c>
      <c r="B816" s="28" t="s">
        <v>12428</v>
      </c>
      <c r="C816" s="28" t="s">
        <v>12803</v>
      </c>
      <c r="D816" s="27" t="s">
        <v>12804</v>
      </c>
      <c r="E816" s="29"/>
      <c r="F816" s="105" t="s">
        <v>15552</v>
      </c>
      <c r="G816" s="98" t="s">
        <v>15538</v>
      </c>
      <c r="H816" s="99" t="s">
        <v>14999</v>
      </c>
      <c r="I816" s="29"/>
      <c r="J816" s="29"/>
      <c r="K816" s="29"/>
      <c r="L816" s="29"/>
      <c r="M816" s="29"/>
      <c r="N816" s="29"/>
      <c r="O816" s="29"/>
      <c r="P816" s="29"/>
    </row>
    <row r="817" spans="1:16" ht="112.5" hidden="1" customHeight="1" x14ac:dyDescent="0.3">
      <c r="A817" s="100">
        <v>3882</v>
      </c>
      <c r="B817" s="24" t="s">
        <v>12428</v>
      </c>
      <c r="C817" s="24" t="s">
        <v>14478</v>
      </c>
      <c r="D817" s="25" t="s">
        <v>14479</v>
      </c>
      <c r="E817" s="29"/>
      <c r="F817" s="101" t="s">
        <v>15599</v>
      </c>
      <c r="G817" s="102" t="s">
        <v>15538</v>
      </c>
      <c r="H817" s="103" t="s">
        <v>15002</v>
      </c>
      <c r="I817" s="29"/>
      <c r="J817" s="29"/>
      <c r="K817" s="29"/>
      <c r="L817" s="29"/>
      <c r="M817" s="29"/>
      <c r="N817" s="29"/>
      <c r="O817" s="29"/>
      <c r="P817" s="29"/>
    </row>
    <row r="818" spans="1:16" ht="112.5" hidden="1" customHeight="1" x14ac:dyDescent="0.3">
      <c r="A818" s="100">
        <v>3896</v>
      </c>
      <c r="B818" s="24" t="s">
        <v>12428</v>
      </c>
      <c r="C818" s="24" t="s">
        <v>13371</v>
      </c>
      <c r="D818" s="25" t="s">
        <v>13372</v>
      </c>
      <c r="E818" s="29"/>
      <c r="F818" s="101" t="s">
        <v>15678</v>
      </c>
      <c r="G818" s="106" t="s">
        <v>4171</v>
      </c>
      <c r="H818" s="103" t="s">
        <v>15044</v>
      </c>
      <c r="I818" s="29"/>
      <c r="J818" s="29"/>
      <c r="K818" s="29"/>
      <c r="L818" s="29"/>
      <c r="M818" s="29"/>
      <c r="N818" s="29"/>
      <c r="O818" s="29"/>
      <c r="P818" s="29"/>
    </row>
    <row r="819" spans="1:16" ht="112.5" customHeight="1" x14ac:dyDescent="0.2">
      <c r="A819" s="75">
        <v>322</v>
      </c>
      <c r="B819" s="94" t="s">
        <v>12428</v>
      </c>
      <c r="C819" s="94" t="s">
        <v>14472</v>
      </c>
      <c r="D819" s="95" t="s">
        <v>14473</v>
      </c>
      <c r="E819" s="96"/>
      <c r="F819" s="97" t="s">
        <v>15588</v>
      </c>
      <c r="G819" s="98" t="s">
        <v>15996</v>
      </c>
      <c r="H819" s="99" t="s">
        <v>15047</v>
      </c>
      <c r="I819" s="29"/>
      <c r="J819" s="29"/>
      <c r="K819" s="29"/>
      <c r="L819" s="29"/>
      <c r="M819" s="29"/>
      <c r="N819" s="29"/>
      <c r="O819" s="29"/>
      <c r="P819" s="29"/>
    </row>
    <row r="820" spans="1:16" ht="112.5" hidden="1" customHeight="1" x14ac:dyDescent="0.3">
      <c r="A820" s="100">
        <v>3900</v>
      </c>
      <c r="B820" s="24" t="s">
        <v>12428</v>
      </c>
      <c r="C820" s="24" t="s">
        <v>13016</v>
      </c>
      <c r="D820" s="25" t="s">
        <v>13017</v>
      </c>
      <c r="E820" s="29"/>
      <c r="F820" s="101" t="s">
        <v>15754</v>
      </c>
      <c r="G820" s="102" t="s">
        <v>15538</v>
      </c>
      <c r="H820" s="103" t="s">
        <v>15055</v>
      </c>
      <c r="I820" s="29"/>
      <c r="J820" s="29"/>
      <c r="K820" s="29"/>
      <c r="L820" s="29"/>
      <c r="M820" s="29"/>
      <c r="N820" s="29"/>
      <c r="O820" s="29"/>
      <c r="P820" s="29"/>
    </row>
    <row r="821" spans="1:16" ht="112.5" hidden="1" customHeight="1" x14ac:dyDescent="0.3">
      <c r="A821" s="100">
        <v>3902</v>
      </c>
      <c r="B821" s="24" t="s">
        <v>12428</v>
      </c>
      <c r="C821" s="24" t="s">
        <v>12646</v>
      </c>
      <c r="D821" s="25" t="s">
        <v>12647</v>
      </c>
      <c r="E821" s="29"/>
      <c r="F821" s="101" t="s">
        <v>15586</v>
      </c>
      <c r="G821" s="102" t="s">
        <v>15538</v>
      </c>
      <c r="H821" s="103" t="s">
        <v>15061</v>
      </c>
      <c r="I821" s="29"/>
      <c r="J821" s="29"/>
      <c r="K821" s="29"/>
      <c r="L821" s="29"/>
      <c r="M821" s="29"/>
      <c r="N821" s="29"/>
      <c r="O821" s="29"/>
      <c r="P821" s="29"/>
    </row>
    <row r="822" spans="1:16" ht="112.5" hidden="1" customHeight="1" x14ac:dyDescent="0.3">
      <c r="A822" s="104">
        <v>3903</v>
      </c>
      <c r="B822" s="28" t="s">
        <v>12428</v>
      </c>
      <c r="C822" s="28" t="s">
        <v>14378</v>
      </c>
      <c r="D822" s="27" t="s">
        <v>14379</v>
      </c>
      <c r="E822" s="29"/>
      <c r="F822" s="105" t="s">
        <v>15770</v>
      </c>
      <c r="G822" s="98" t="s">
        <v>15538</v>
      </c>
      <c r="H822" s="99" t="s">
        <v>15064</v>
      </c>
      <c r="I822" s="29"/>
      <c r="J822" s="29"/>
      <c r="K822" s="29"/>
      <c r="L822" s="29"/>
      <c r="M822" s="29"/>
      <c r="N822" s="29"/>
      <c r="O822" s="29"/>
      <c r="P822" s="29"/>
    </row>
    <row r="823" spans="1:16" ht="112.5" hidden="1" customHeight="1" x14ac:dyDescent="0.3">
      <c r="A823" s="100">
        <v>3904</v>
      </c>
      <c r="B823" s="24" t="s">
        <v>12428</v>
      </c>
      <c r="C823" s="24" t="s">
        <v>14375</v>
      </c>
      <c r="D823" s="25" t="s">
        <v>14376</v>
      </c>
      <c r="E823" s="29"/>
      <c r="F823" s="101" t="s">
        <v>15632</v>
      </c>
      <c r="G823" s="102" t="s">
        <v>15538</v>
      </c>
      <c r="H823" s="103" t="s">
        <v>15067</v>
      </c>
      <c r="I823" s="29"/>
      <c r="J823" s="29"/>
      <c r="K823" s="29"/>
      <c r="L823" s="29"/>
      <c r="M823" s="29"/>
      <c r="N823" s="29"/>
      <c r="O823" s="29"/>
      <c r="P823" s="29"/>
    </row>
    <row r="824" spans="1:16" ht="112.5" hidden="1" customHeight="1" x14ac:dyDescent="0.3">
      <c r="A824" s="104">
        <v>3905</v>
      </c>
      <c r="B824" s="28" t="s">
        <v>12428</v>
      </c>
      <c r="C824" s="28" t="s">
        <v>12545</v>
      </c>
      <c r="D824" s="27" t="s">
        <v>12546</v>
      </c>
      <c r="E824" s="29"/>
      <c r="F824" s="105" t="s">
        <v>15757</v>
      </c>
      <c r="G824" s="98" t="s">
        <v>15538</v>
      </c>
      <c r="H824" s="99" t="s">
        <v>15070</v>
      </c>
      <c r="I824" s="29"/>
      <c r="J824" s="29"/>
      <c r="K824" s="29"/>
      <c r="L824" s="29"/>
      <c r="M824" s="29"/>
      <c r="N824" s="29"/>
      <c r="O824" s="29"/>
      <c r="P824" s="29"/>
    </row>
    <row r="825" spans="1:16" ht="112.5" hidden="1" customHeight="1" x14ac:dyDescent="0.3">
      <c r="A825" s="100">
        <v>3906</v>
      </c>
      <c r="B825" s="24" t="s">
        <v>12428</v>
      </c>
      <c r="C825" s="24" t="s">
        <v>12744</v>
      </c>
      <c r="D825" s="25" t="s">
        <v>12745</v>
      </c>
      <c r="E825" s="29"/>
      <c r="F825" s="101" t="s">
        <v>15569</v>
      </c>
      <c r="G825" s="102" t="s">
        <v>15538</v>
      </c>
      <c r="H825" s="103" t="s">
        <v>15073</v>
      </c>
      <c r="I825" s="29"/>
      <c r="J825" s="29"/>
      <c r="K825" s="29"/>
      <c r="L825" s="29"/>
      <c r="M825" s="29"/>
      <c r="N825" s="29"/>
      <c r="O825" s="29"/>
      <c r="P825" s="29"/>
    </row>
    <row r="826" spans="1:16" ht="112.5" hidden="1" customHeight="1" x14ac:dyDescent="0.3">
      <c r="A826" s="104">
        <v>3907</v>
      </c>
      <c r="B826" s="28" t="s">
        <v>12428</v>
      </c>
      <c r="C826" s="28" t="s">
        <v>13365</v>
      </c>
      <c r="D826" s="27" t="s">
        <v>13366</v>
      </c>
      <c r="E826" s="29"/>
      <c r="F826" s="105" t="s">
        <v>15701</v>
      </c>
      <c r="G826" s="98" t="s">
        <v>15538</v>
      </c>
      <c r="H826" s="99" t="s">
        <v>15076</v>
      </c>
      <c r="I826" s="29"/>
      <c r="J826" s="29"/>
      <c r="K826" s="29"/>
      <c r="L826" s="29"/>
      <c r="M826" s="29"/>
      <c r="N826" s="29"/>
      <c r="O826" s="29"/>
      <c r="P826" s="29"/>
    </row>
    <row r="827" spans="1:16" ht="112.5" hidden="1" customHeight="1" x14ac:dyDescent="0.3">
      <c r="A827" s="100">
        <v>3908</v>
      </c>
      <c r="B827" s="24" t="s">
        <v>12428</v>
      </c>
      <c r="C827" s="24" t="s">
        <v>13913</v>
      </c>
      <c r="D827" s="25" t="s">
        <v>13914</v>
      </c>
      <c r="E827" s="29"/>
      <c r="F827" s="101" t="s">
        <v>15726</v>
      </c>
      <c r="G827" s="102" t="s">
        <v>15538</v>
      </c>
      <c r="H827" s="103" t="s">
        <v>15079</v>
      </c>
      <c r="I827" s="29"/>
      <c r="J827" s="29"/>
      <c r="K827" s="29"/>
      <c r="L827" s="29"/>
      <c r="M827" s="29"/>
      <c r="N827" s="29"/>
      <c r="O827" s="29"/>
      <c r="P827" s="29"/>
    </row>
    <row r="828" spans="1:16" ht="112.5" hidden="1" customHeight="1" x14ac:dyDescent="0.3">
      <c r="A828" s="104">
        <v>3909</v>
      </c>
      <c r="B828" s="28" t="s">
        <v>12428</v>
      </c>
      <c r="C828" s="28" t="s">
        <v>13911</v>
      </c>
      <c r="D828" s="27" t="s">
        <v>13912</v>
      </c>
      <c r="E828" s="29"/>
      <c r="F828" s="105" t="s">
        <v>15997</v>
      </c>
      <c r="G828" s="98" t="s">
        <v>15538</v>
      </c>
      <c r="H828" s="99" t="s">
        <v>15082</v>
      </c>
      <c r="I828" s="29"/>
      <c r="J828" s="29"/>
      <c r="K828" s="29"/>
      <c r="L828" s="29"/>
      <c r="M828" s="29"/>
      <c r="N828" s="29"/>
      <c r="O828" s="29"/>
      <c r="P828" s="29"/>
    </row>
    <row r="829" spans="1:16" ht="112.5" customHeight="1" x14ac:dyDescent="0.2">
      <c r="A829" s="75">
        <v>323</v>
      </c>
      <c r="B829" s="94" t="s">
        <v>12428</v>
      </c>
      <c r="C829" s="94" t="s">
        <v>13908</v>
      </c>
      <c r="D829" s="95" t="s">
        <v>13909</v>
      </c>
      <c r="E829" s="96"/>
      <c r="F829" s="97" t="s">
        <v>15998</v>
      </c>
      <c r="G829" s="102" t="s">
        <v>15999</v>
      </c>
      <c r="H829" s="103" t="s">
        <v>15085</v>
      </c>
      <c r="I829" s="29"/>
      <c r="J829" s="29"/>
      <c r="K829" s="29"/>
      <c r="L829" s="29"/>
      <c r="M829" s="29"/>
      <c r="N829" s="29"/>
      <c r="O829" s="29"/>
      <c r="P829" s="29"/>
    </row>
    <row r="830" spans="1:16" ht="112.5" hidden="1" customHeight="1" x14ac:dyDescent="0.3">
      <c r="A830" s="104">
        <v>3911</v>
      </c>
      <c r="B830" s="28" t="s">
        <v>12428</v>
      </c>
      <c r="C830" s="28" t="s">
        <v>12429</v>
      </c>
      <c r="D830" s="27" t="s">
        <v>12430</v>
      </c>
      <c r="E830" s="29"/>
      <c r="F830" s="105" t="s">
        <v>15935</v>
      </c>
      <c r="G830" s="98" t="s">
        <v>15538</v>
      </c>
      <c r="H830" s="99" t="s">
        <v>15088</v>
      </c>
      <c r="I830" s="29"/>
      <c r="J830" s="29"/>
      <c r="K830" s="29"/>
      <c r="L830" s="29"/>
      <c r="M830" s="29"/>
      <c r="N830" s="29"/>
      <c r="O830" s="29"/>
      <c r="P830" s="29"/>
    </row>
    <row r="831" spans="1:16" ht="112.5" customHeight="1" x14ac:dyDescent="0.2">
      <c r="A831" s="75">
        <v>324</v>
      </c>
      <c r="B831" s="94" t="s">
        <v>12428</v>
      </c>
      <c r="C831" s="94" t="s">
        <v>13905</v>
      </c>
      <c r="D831" s="95" t="s">
        <v>13906</v>
      </c>
      <c r="E831" s="96"/>
      <c r="F831" s="97" t="s">
        <v>15998</v>
      </c>
      <c r="G831" s="102" t="s">
        <v>16000</v>
      </c>
      <c r="H831" s="103" t="s">
        <v>15091</v>
      </c>
      <c r="I831" s="29"/>
      <c r="J831" s="29"/>
      <c r="K831" s="29"/>
      <c r="L831" s="29"/>
      <c r="M831" s="29"/>
      <c r="N831" s="29"/>
      <c r="O831" s="29"/>
      <c r="P831" s="29"/>
    </row>
    <row r="832" spans="1:16" ht="112.5" hidden="1" customHeight="1" x14ac:dyDescent="0.3">
      <c r="A832" s="104">
        <v>3913</v>
      </c>
      <c r="B832" s="28" t="s">
        <v>12428</v>
      </c>
      <c r="C832" s="28" t="s">
        <v>12898</v>
      </c>
      <c r="D832" s="27" t="s">
        <v>12899</v>
      </c>
      <c r="E832" s="29"/>
      <c r="F832" s="105" t="s">
        <v>15618</v>
      </c>
      <c r="G832" s="98" t="s">
        <v>15538</v>
      </c>
      <c r="H832" s="99" t="s">
        <v>15094</v>
      </c>
      <c r="I832" s="29"/>
      <c r="J832" s="29"/>
      <c r="K832" s="29"/>
      <c r="L832" s="29"/>
      <c r="M832" s="29"/>
      <c r="N832" s="29"/>
      <c r="O832" s="29"/>
      <c r="P832" s="29"/>
    </row>
    <row r="833" spans="1:16" ht="112.5" hidden="1" customHeight="1" x14ac:dyDescent="0.3">
      <c r="A833" s="100">
        <v>3914</v>
      </c>
      <c r="B833" s="24" t="s">
        <v>12428</v>
      </c>
      <c r="C833" s="24" t="s">
        <v>13899</v>
      </c>
      <c r="D833" s="25" t="s">
        <v>13900</v>
      </c>
      <c r="E833" s="29"/>
      <c r="F833" s="101" t="s">
        <v>15701</v>
      </c>
      <c r="G833" s="102" t="s">
        <v>15538</v>
      </c>
      <c r="H833" s="103" t="s">
        <v>15097</v>
      </c>
      <c r="I833" s="29"/>
      <c r="J833" s="29"/>
      <c r="K833" s="29"/>
      <c r="L833" s="29"/>
      <c r="M833" s="29"/>
      <c r="N833" s="29"/>
      <c r="O833" s="29"/>
      <c r="P833" s="29"/>
    </row>
    <row r="834" spans="1:16" ht="112.5" hidden="1" customHeight="1" x14ac:dyDescent="0.3">
      <c r="A834" s="100">
        <v>3916</v>
      </c>
      <c r="B834" s="24" t="s">
        <v>12428</v>
      </c>
      <c r="C834" s="24" t="s">
        <v>12982</v>
      </c>
      <c r="D834" s="25" t="s">
        <v>12983</v>
      </c>
      <c r="E834" s="29"/>
      <c r="F834" s="101" t="s">
        <v>15595</v>
      </c>
      <c r="G834" s="102" t="s">
        <v>15538</v>
      </c>
      <c r="H834" s="103" t="s">
        <v>15103</v>
      </c>
      <c r="I834" s="29"/>
      <c r="J834" s="29"/>
      <c r="K834" s="29"/>
      <c r="L834" s="29"/>
      <c r="M834" s="29"/>
      <c r="N834" s="29"/>
      <c r="O834" s="29"/>
      <c r="P834" s="29"/>
    </row>
    <row r="835" spans="1:16" ht="112.5" hidden="1" customHeight="1" x14ac:dyDescent="0.3">
      <c r="A835" s="104">
        <v>3917</v>
      </c>
      <c r="B835" s="28" t="s">
        <v>12428</v>
      </c>
      <c r="C835" s="28" t="s">
        <v>13896</v>
      </c>
      <c r="D835" s="27" t="s">
        <v>13897</v>
      </c>
      <c r="E835" s="29"/>
      <c r="F835" s="105" t="s">
        <v>15998</v>
      </c>
      <c r="G835" s="98" t="s">
        <v>15538</v>
      </c>
      <c r="H835" s="99" t="s">
        <v>15106</v>
      </c>
      <c r="I835" s="29"/>
      <c r="J835" s="29"/>
      <c r="K835" s="29"/>
      <c r="L835" s="29"/>
      <c r="M835" s="29"/>
      <c r="N835" s="29"/>
      <c r="O835" s="29"/>
      <c r="P835" s="29"/>
    </row>
    <row r="836" spans="1:16" ht="112.5" hidden="1" customHeight="1" x14ac:dyDescent="0.3">
      <c r="A836" s="100">
        <v>3918</v>
      </c>
      <c r="B836" s="24" t="s">
        <v>12428</v>
      </c>
      <c r="C836" s="24" t="s">
        <v>13168</v>
      </c>
      <c r="D836" s="25" t="s">
        <v>13169</v>
      </c>
      <c r="E836" s="29"/>
      <c r="F836" s="101" t="s">
        <v>15546</v>
      </c>
      <c r="G836" s="102" t="s">
        <v>15538</v>
      </c>
      <c r="H836" s="103" t="s">
        <v>15109</v>
      </c>
      <c r="I836" s="29"/>
      <c r="J836" s="29"/>
      <c r="K836" s="29"/>
      <c r="L836" s="29"/>
      <c r="M836" s="29"/>
      <c r="N836" s="29"/>
      <c r="O836" s="29"/>
      <c r="P836" s="29"/>
    </row>
    <row r="837" spans="1:16" ht="112.5" hidden="1" customHeight="1" x14ac:dyDescent="0.3">
      <c r="A837" s="100">
        <v>3920</v>
      </c>
      <c r="B837" s="24" t="s">
        <v>12428</v>
      </c>
      <c r="C837" s="24" t="s">
        <v>13884</v>
      </c>
      <c r="D837" s="25" t="s">
        <v>13885</v>
      </c>
      <c r="E837" s="29"/>
      <c r="F837" s="101" t="s">
        <v>15726</v>
      </c>
      <c r="G837" s="102" t="s">
        <v>15538</v>
      </c>
      <c r="H837" s="103" t="s">
        <v>15115</v>
      </c>
      <c r="I837" s="29"/>
      <c r="J837" s="29"/>
      <c r="K837" s="29"/>
      <c r="L837" s="29"/>
      <c r="M837" s="29"/>
      <c r="N837" s="29"/>
      <c r="O837" s="29"/>
      <c r="P837" s="29"/>
    </row>
    <row r="838" spans="1:16" ht="112.5" hidden="1" customHeight="1" x14ac:dyDescent="0.3">
      <c r="A838" s="100">
        <v>3930</v>
      </c>
      <c r="B838" s="24" t="s">
        <v>12428</v>
      </c>
      <c r="C838" s="24" t="s">
        <v>13866</v>
      </c>
      <c r="D838" s="25" t="s">
        <v>13867</v>
      </c>
      <c r="E838" s="29"/>
      <c r="F838" s="101" t="s">
        <v>15581</v>
      </c>
      <c r="G838" s="102" t="s">
        <v>15538</v>
      </c>
      <c r="H838" s="103" t="s">
        <v>15144</v>
      </c>
      <c r="I838" s="29"/>
      <c r="J838" s="29"/>
      <c r="K838" s="29"/>
      <c r="L838" s="29"/>
      <c r="M838" s="29"/>
      <c r="N838" s="29"/>
      <c r="O838" s="29"/>
      <c r="P838" s="29"/>
    </row>
    <row r="839" spans="1:16" ht="112.5" hidden="1" customHeight="1" x14ac:dyDescent="0.3">
      <c r="A839" s="100">
        <v>3932</v>
      </c>
      <c r="B839" s="24" t="s">
        <v>12428</v>
      </c>
      <c r="C839" s="24" t="s">
        <v>12782</v>
      </c>
      <c r="D839" s="25" t="s">
        <v>12783</v>
      </c>
      <c r="E839" s="29"/>
      <c r="F839" s="101" t="s">
        <v>15647</v>
      </c>
      <c r="G839" s="102" t="s">
        <v>15538</v>
      </c>
      <c r="H839" s="103" t="s">
        <v>15150</v>
      </c>
      <c r="I839" s="29"/>
      <c r="J839" s="29"/>
      <c r="K839" s="29"/>
      <c r="L839" s="29"/>
      <c r="M839" s="29"/>
      <c r="N839" s="29"/>
      <c r="O839" s="29"/>
      <c r="P839" s="29"/>
    </row>
    <row r="840" spans="1:16" ht="112.5" hidden="1" customHeight="1" x14ac:dyDescent="0.3">
      <c r="A840" s="104">
        <v>3963</v>
      </c>
      <c r="B840" s="28" t="s">
        <v>12428</v>
      </c>
      <c r="C840" s="28" t="s">
        <v>13084</v>
      </c>
      <c r="D840" s="27" t="s">
        <v>13085</v>
      </c>
      <c r="E840" s="29"/>
      <c r="F840" s="105" t="s">
        <v>15626</v>
      </c>
      <c r="G840" s="98" t="s">
        <v>15538</v>
      </c>
      <c r="H840" s="99" t="s">
        <v>15243</v>
      </c>
      <c r="I840" s="29"/>
      <c r="J840" s="29"/>
      <c r="K840" s="29"/>
      <c r="L840" s="29"/>
      <c r="M840" s="29"/>
      <c r="N840" s="29"/>
      <c r="O840" s="29"/>
      <c r="P840" s="29"/>
    </row>
    <row r="841" spans="1:16" ht="112.5" hidden="1" customHeight="1" x14ac:dyDescent="0.3">
      <c r="A841" s="100">
        <v>3964</v>
      </c>
      <c r="B841" s="24" t="s">
        <v>12428</v>
      </c>
      <c r="C841" s="24" t="s">
        <v>13327</v>
      </c>
      <c r="D841" s="25" t="s">
        <v>13328</v>
      </c>
      <c r="E841" s="29"/>
      <c r="F841" s="101" t="s">
        <v>15539</v>
      </c>
      <c r="G841" s="102" t="s">
        <v>15538</v>
      </c>
      <c r="H841" s="103" t="s">
        <v>15246</v>
      </c>
      <c r="I841" s="29"/>
      <c r="J841" s="29"/>
      <c r="K841" s="29"/>
      <c r="L841" s="29"/>
      <c r="M841" s="29"/>
      <c r="N841" s="29"/>
      <c r="O841" s="29"/>
      <c r="P841" s="29"/>
    </row>
    <row r="842" spans="1:16" ht="112.5" customHeight="1" x14ac:dyDescent="0.2">
      <c r="A842" s="75">
        <v>325</v>
      </c>
      <c r="B842" s="94" t="s">
        <v>12428</v>
      </c>
      <c r="C842" s="94" t="s">
        <v>13747</v>
      </c>
      <c r="D842" s="95" t="s">
        <v>13748</v>
      </c>
      <c r="E842" s="96"/>
      <c r="F842" s="97" t="s">
        <v>15589</v>
      </c>
      <c r="G842" s="98" t="s">
        <v>16001</v>
      </c>
      <c r="H842" s="99" t="s">
        <v>15255</v>
      </c>
      <c r="I842" s="29"/>
      <c r="J842" s="29"/>
      <c r="K842" s="29"/>
      <c r="L842" s="29"/>
      <c r="M842" s="29"/>
      <c r="N842" s="29"/>
      <c r="O842" s="29"/>
      <c r="P842" s="29"/>
    </row>
    <row r="843" spans="1:16" ht="112.5" customHeight="1" x14ac:dyDescent="0.2">
      <c r="A843" s="75">
        <v>326</v>
      </c>
      <c r="B843" s="94" t="s">
        <v>12428</v>
      </c>
      <c r="C843" s="94" t="s">
        <v>13738</v>
      </c>
      <c r="D843" s="95" t="s">
        <v>13739</v>
      </c>
      <c r="E843" s="96"/>
      <c r="F843" s="97" t="s">
        <v>15651</v>
      </c>
      <c r="G843" s="102" t="s">
        <v>16002</v>
      </c>
      <c r="H843" s="103" t="s">
        <v>15258</v>
      </c>
      <c r="I843" s="29"/>
      <c r="J843" s="29"/>
      <c r="K843" s="29"/>
      <c r="L843" s="29"/>
      <c r="M843" s="29"/>
      <c r="N843" s="29"/>
      <c r="O843" s="29"/>
      <c r="P843" s="29"/>
    </row>
    <row r="844" spans="1:16" ht="112.5" customHeight="1" x14ac:dyDescent="0.2">
      <c r="A844" s="75">
        <v>327</v>
      </c>
      <c r="B844" s="94" t="s">
        <v>12428</v>
      </c>
      <c r="C844" s="94" t="s">
        <v>13744</v>
      </c>
      <c r="D844" s="95" t="s">
        <v>13745</v>
      </c>
      <c r="E844" s="96"/>
      <c r="F844" s="97" t="s">
        <v>15557</v>
      </c>
      <c r="G844" s="98" t="s">
        <v>16003</v>
      </c>
      <c r="H844" s="99" t="s">
        <v>15261</v>
      </c>
      <c r="I844" s="29"/>
      <c r="J844" s="29"/>
      <c r="K844" s="29"/>
      <c r="L844" s="29"/>
      <c r="M844" s="29"/>
      <c r="N844" s="29"/>
      <c r="O844" s="29"/>
      <c r="P844" s="29"/>
    </row>
    <row r="845" spans="1:16" ht="112.5" hidden="1" customHeight="1" x14ac:dyDescent="0.3">
      <c r="A845" s="100">
        <v>3970</v>
      </c>
      <c r="B845" s="24" t="s">
        <v>12428</v>
      </c>
      <c r="C845" s="24" t="s">
        <v>13741</v>
      </c>
      <c r="D845" s="25" t="s">
        <v>13742</v>
      </c>
      <c r="E845" s="29"/>
      <c r="F845" s="101" t="s">
        <v>15689</v>
      </c>
      <c r="G845" s="102" t="s">
        <v>15538</v>
      </c>
      <c r="H845" s="103" t="s">
        <v>15264</v>
      </c>
      <c r="I845" s="29"/>
      <c r="J845" s="29"/>
      <c r="K845" s="29"/>
      <c r="L845" s="29"/>
      <c r="M845" s="29"/>
      <c r="N845" s="29"/>
      <c r="O845" s="29"/>
      <c r="P845" s="29"/>
    </row>
    <row r="846" spans="1:16" ht="112.5" customHeight="1" x14ac:dyDescent="0.2">
      <c r="A846" s="75">
        <v>328</v>
      </c>
      <c r="B846" s="94" t="s">
        <v>12428</v>
      </c>
      <c r="C846" s="94" t="s">
        <v>12886</v>
      </c>
      <c r="D846" s="95" t="s">
        <v>12887</v>
      </c>
      <c r="E846" s="96"/>
      <c r="F846" s="97" t="s">
        <v>15537</v>
      </c>
      <c r="G846" s="98" t="s">
        <v>16004</v>
      </c>
      <c r="H846" s="99" t="s">
        <v>15297</v>
      </c>
      <c r="I846" s="29"/>
      <c r="J846" s="29"/>
      <c r="K846" s="29"/>
      <c r="L846" s="29"/>
      <c r="M846" s="29"/>
      <c r="N846" s="29"/>
      <c r="O846" s="29"/>
      <c r="P846" s="29"/>
    </row>
    <row r="847" spans="1:16" ht="112.5" customHeight="1" x14ac:dyDescent="0.2">
      <c r="A847" s="75">
        <v>329</v>
      </c>
      <c r="B847" s="94" t="s">
        <v>12428</v>
      </c>
      <c r="C847" s="94" t="s">
        <v>13708</v>
      </c>
      <c r="D847" s="95" t="s">
        <v>13709</v>
      </c>
      <c r="E847" s="96"/>
      <c r="F847" s="97" t="s">
        <v>15749</v>
      </c>
      <c r="G847" s="102" t="s">
        <v>16005</v>
      </c>
      <c r="H847" s="103" t="s">
        <v>15318</v>
      </c>
      <c r="I847" s="29"/>
      <c r="J847" s="29"/>
      <c r="K847" s="29"/>
      <c r="L847" s="29"/>
      <c r="M847" s="29"/>
      <c r="N847" s="29"/>
      <c r="O847" s="29"/>
      <c r="P847" s="29"/>
    </row>
    <row r="848" spans="1:16" ht="112.5" customHeight="1" x14ac:dyDescent="0.2">
      <c r="A848" s="75">
        <v>330</v>
      </c>
      <c r="B848" s="94" t="s">
        <v>12428</v>
      </c>
      <c r="C848" s="94" t="s">
        <v>13706</v>
      </c>
      <c r="D848" s="95" t="s">
        <v>13707</v>
      </c>
      <c r="E848" s="96"/>
      <c r="F848" s="97" t="s">
        <v>15749</v>
      </c>
      <c r="G848" s="98" t="s">
        <v>16006</v>
      </c>
      <c r="H848" s="99" t="s">
        <v>15321</v>
      </c>
      <c r="I848" s="29"/>
      <c r="J848" s="29"/>
      <c r="K848" s="29"/>
      <c r="L848" s="29"/>
      <c r="M848" s="29"/>
      <c r="N848" s="29"/>
      <c r="O848" s="29"/>
      <c r="P848" s="29"/>
    </row>
    <row r="849" spans="1:16" ht="112.5" hidden="1" customHeight="1" x14ac:dyDescent="0.3">
      <c r="A849" s="100">
        <v>3990</v>
      </c>
      <c r="B849" s="24" t="s">
        <v>12428</v>
      </c>
      <c r="C849" s="24" t="s">
        <v>12815</v>
      </c>
      <c r="D849" s="25" t="s">
        <v>12816</v>
      </c>
      <c r="E849" s="29"/>
      <c r="F849" s="101" t="s">
        <v>15935</v>
      </c>
      <c r="G849" s="102" t="s">
        <v>15538</v>
      </c>
      <c r="H849" s="103" t="s">
        <v>15324</v>
      </c>
      <c r="I849" s="29"/>
      <c r="J849" s="29"/>
      <c r="K849" s="29"/>
      <c r="L849" s="29"/>
      <c r="M849" s="29"/>
      <c r="N849" s="29"/>
      <c r="O849" s="29"/>
      <c r="P849" s="29"/>
    </row>
    <row r="850" spans="1:16" ht="112.5" hidden="1" customHeight="1" x14ac:dyDescent="0.3">
      <c r="A850" s="100">
        <v>3998</v>
      </c>
      <c r="B850" s="24" t="s">
        <v>12428</v>
      </c>
      <c r="C850" s="24" t="s">
        <v>12682</v>
      </c>
      <c r="D850" s="25" t="s">
        <v>12683</v>
      </c>
      <c r="E850" s="29"/>
      <c r="F850" s="101" t="s">
        <v>15717</v>
      </c>
      <c r="G850" s="102" t="s">
        <v>15538</v>
      </c>
      <c r="H850" s="103" t="s">
        <v>15347</v>
      </c>
      <c r="I850" s="29"/>
      <c r="J850" s="29"/>
      <c r="K850" s="29"/>
      <c r="L850" s="29"/>
      <c r="M850" s="29"/>
      <c r="N850" s="29"/>
      <c r="O850" s="29"/>
      <c r="P850" s="29"/>
    </row>
    <row r="851" spans="1:16" ht="112.5" customHeight="1" x14ac:dyDescent="0.2">
      <c r="A851" s="75">
        <v>331</v>
      </c>
      <c r="B851" s="94" t="s">
        <v>12428</v>
      </c>
      <c r="C851" s="94" t="s">
        <v>13655</v>
      </c>
      <c r="D851" s="95" t="s">
        <v>13656</v>
      </c>
      <c r="E851" s="96"/>
      <c r="F851" s="97" t="s">
        <v>15539</v>
      </c>
      <c r="G851" s="98" t="s">
        <v>16007</v>
      </c>
      <c r="H851" s="99" t="s">
        <v>15350</v>
      </c>
      <c r="I851" s="29"/>
      <c r="J851" s="29"/>
      <c r="K851" s="29"/>
      <c r="L851" s="29"/>
      <c r="M851" s="29"/>
      <c r="N851" s="29"/>
      <c r="O851" s="29"/>
      <c r="P851" s="29"/>
    </row>
    <row r="852" spans="1:16" ht="112.5" hidden="1" customHeight="1" x14ac:dyDescent="0.3">
      <c r="A852" s="104">
        <v>4001</v>
      </c>
      <c r="B852" s="28" t="s">
        <v>12428</v>
      </c>
      <c r="C852" s="28" t="s">
        <v>13078</v>
      </c>
      <c r="D852" s="27" t="s">
        <v>13079</v>
      </c>
      <c r="E852" s="29"/>
      <c r="F852" s="105" t="s">
        <v>15535</v>
      </c>
      <c r="G852" s="98" t="s">
        <v>15538</v>
      </c>
      <c r="H852" s="99" t="s">
        <v>15356</v>
      </c>
      <c r="I852" s="29"/>
      <c r="J852" s="29"/>
      <c r="K852" s="29"/>
      <c r="L852" s="29"/>
      <c r="M852" s="29"/>
      <c r="N852" s="29"/>
      <c r="O852" s="29"/>
      <c r="P852" s="29"/>
    </row>
    <row r="853" spans="1:16" ht="112.5" hidden="1" customHeight="1" x14ac:dyDescent="0.3">
      <c r="A853" s="104">
        <v>4007</v>
      </c>
      <c r="B853" s="28" t="s">
        <v>12428</v>
      </c>
      <c r="C853" s="28" t="s">
        <v>13628</v>
      </c>
      <c r="D853" s="27" t="s">
        <v>13629</v>
      </c>
      <c r="E853" s="29"/>
      <c r="F853" s="105" t="s">
        <v>15796</v>
      </c>
      <c r="G853" s="98" t="s">
        <v>15538</v>
      </c>
      <c r="H853" s="99" t="s">
        <v>15374</v>
      </c>
      <c r="I853" s="29"/>
      <c r="J853" s="29"/>
      <c r="K853" s="29"/>
      <c r="L853" s="29"/>
      <c r="M853" s="29"/>
      <c r="N853" s="29"/>
      <c r="O853" s="29"/>
      <c r="P853" s="29"/>
    </row>
    <row r="854" spans="1:16" ht="112.5" hidden="1" customHeight="1" x14ac:dyDescent="0.3">
      <c r="A854" s="104">
        <v>4023</v>
      </c>
      <c r="B854" s="28" t="s">
        <v>12428</v>
      </c>
      <c r="C854" s="28" t="s">
        <v>13117</v>
      </c>
      <c r="D854" s="27" t="s">
        <v>13118</v>
      </c>
      <c r="E854" s="29"/>
      <c r="F854" s="105" t="s">
        <v>15746</v>
      </c>
      <c r="G854" s="98" t="s">
        <v>15538</v>
      </c>
      <c r="H854" s="99" t="s">
        <v>15421</v>
      </c>
      <c r="I854" s="29"/>
      <c r="J854" s="29"/>
      <c r="K854" s="29"/>
      <c r="L854" s="29"/>
      <c r="M854" s="29"/>
      <c r="N854" s="29"/>
      <c r="O854" s="29"/>
      <c r="P854" s="29"/>
    </row>
    <row r="855" spans="1:16" ht="112.5" hidden="1" customHeight="1" x14ac:dyDescent="0.3">
      <c r="A855" s="104">
        <v>4033</v>
      </c>
      <c r="B855" s="28" t="s">
        <v>12428</v>
      </c>
      <c r="C855" s="28" t="s">
        <v>12679</v>
      </c>
      <c r="D855" s="27" t="s">
        <v>12680</v>
      </c>
      <c r="E855" s="29"/>
      <c r="F855" s="105" t="s">
        <v>15678</v>
      </c>
      <c r="G855" s="98" t="s">
        <v>15538</v>
      </c>
      <c r="H855" s="99" t="s">
        <v>15451</v>
      </c>
      <c r="I855" s="29"/>
      <c r="J855" s="29"/>
      <c r="K855" s="29"/>
      <c r="L855" s="29"/>
      <c r="M855" s="29"/>
      <c r="N855" s="29"/>
      <c r="O855" s="29"/>
      <c r="P855" s="29"/>
    </row>
    <row r="856" spans="1:16" ht="112.5" hidden="1" customHeight="1" x14ac:dyDescent="0.3">
      <c r="A856" s="104">
        <v>4059</v>
      </c>
      <c r="B856" s="28" t="s">
        <v>12428</v>
      </c>
      <c r="C856" s="28" t="s">
        <v>13475</v>
      </c>
      <c r="D856" s="27" t="s">
        <v>13476</v>
      </c>
      <c r="E856" s="29"/>
      <c r="F856" s="105" t="s">
        <v>15656</v>
      </c>
      <c r="G856" s="98" t="s">
        <v>15538</v>
      </c>
      <c r="H856" s="99" t="s">
        <v>15529</v>
      </c>
      <c r="I856" s="29"/>
      <c r="J856" s="29"/>
      <c r="K856" s="29"/>
      <c r="L856" s="29"/>
      <c r="M856" s="29"/>
      <c r="N856" s="29"/>
      <c r="O856" s="29"/>
      <c r="P856" s="29"/>
    </row>
    <row r="857" spans="1:16" ht="112.5" hidden="1" customHeight="1" x14ac:dyDescent="0.3">
      <c r="A857" s="100">
        <v>4060</v>
      </c>
      <c r="B857" s="24" t="s">
        <v>12428</v>
      </c>
      <c r="C857" s="24" t="s">
        <v>13467</v>
      </c>
      <c r="D857" s="25" t="s">
        <v>13468</v>
      </c>
      <c r="E857" s="29"/>
      <c r="F857" s="101" t="s">
        <v>15599</v>
      </c>
      <c r="G857" s="102" t="s">
        <v>15538</v>
      </c>
      <c r="H857" s="103" t="s">
        <v>15532</v>
      </c>
      <c r="I857" s="29"/>
      <c r="J857" s="29"/>
      <c r="K857" s="29"/>
      <c r="L857" s="29"/>
      <c r="M857" s="29"/>
      <c r="N857" s="29"/>
      <c r="O857" s="29"/>
      <c r="P857" s="29"/>
    </row>
    <row r="858" spans="1:16" ht="112.5" customHeight="1" x14ac:dyDescent="0.2">
      <c r="A858" s="75">
        <v>332</v>
      </c>
      <c r="B858" s="94" t="s">
        <v>3496</v>
      </c>
      <c r="C858" s="94" t="s">
        <v>14417</v>
      </c>
      <c r="D858" s="95" t="s">
        <v>14418</v>
      </c>
      <c r="E858" s="96"/>
      <c r="F858" s="97" t="s">
        <v>15550</v>
      </c>
      <c r="G858" s="98" t="s">
        <v>15977</v>
      </c>
      <c r="H858" s="99" t="s">
        <v>3666</v>
      </c>
      <c r="I858" s="29"/>
      <c r="J858" s="29"/>
      <c r="K858" s="29"/>
      <c r="L858" s="29"/>
      <c r="M858" s="29"/>
      <c r="N858" s="29"/>
      <c r="O858" s="29"/>
      <c r="P858" s="29"/>
    </row>
    <row r="859" spans="1:16" ht="112.5" hidden="1" customHeight="1" x14ac:dyDescent="0.3">
      <c r="A859" s="104">
        <v>61</v>
      </c>
      <c r="B859" s="28" t="s">
        <v>3496</v>
      </c>
      <c r="C859" s="28" t="s">
        <v>14718</v>
      </c>
      <c r="D859" s="27" t="s">
        <v>14719</v>
      </c>
      <c r="E859" s="29"/>
      <c r="F859" s="105" t="s">
        <v>15628</v>
      </c>
      <c r="G859" s="98" t="s">
        <v>15538</v>
      </c>
      <c r="H859" s="99" t="s">
        <v>3685</v>
      </c>
      <c r="I859" s="29"/>
      <c r="J859" s="29"/>
      <c r="K859" s="29"/>
      <c r="L859" s="29"/>
      <c r="M859" s="29"/>
      <c r="N859" s="29"/>
      <c r="O859" s="29"/>
      <c r="P859" s="29"/>
    </row>
    <row r="860" spans="1:16" ht="112.5" customHeight="1" x14ac:dyDescent="0.2">
      <c r="A860" s="75">
        <v>333</v>
      </c>
      <c r="B860" s="94" t="s">
        <v>3496</v>
      </c>
      <c r="C860" s="94" t="s">
        <v>15226</v>
      </c>
      <c r="D860" s="95" t="s">
        <v>15227</v>
      </c>
      <c r="E860" s="96"/>
      <c r="F860" s="97" t="s">
        <v>15606</v>
      </c>
      <c r="G860" s="98" t="s">
        <v>16008</v>
      </c>
      <c r="H860" s="99" t="s">
        <v>4128</v>
      </c>
      <c r="I860" s="29"/>
      <c r="J860" s="29"/>
      <c r="K860" s="29"/>
      <c r="L860" s="29"/>
      <c r="M860" s="29"/>
      <c r="N860" s="29"/>
      <c r="O860" s="29"/>
      <c r="P860" s="29"/>
    </row>
    <row r="861" spans="1:16" ht="112.5" hidden="1" customHeight="1" x14ac:dyDescent="0.3">
      <c r="A861" s="100">
        <v>2268</v>
      </c>
      <c r="B861" s="24" t="s">
        <v>3496</v>
      </c>
      <c r="C861" s="24" t="s">
        <v>13000</v>
      </c>
      <c r="D861" s="25" t="s">
        <v>13001</v>
      </c>
      <c r="E861" s="29"/>
      <c r="F861" s="101" t="s">
        <v>15902</v>
      </c>
      <c r="G861" s="102" t="s">
        <v>15538</v>
      </c>
      <c r="H861" s="103" t="s">
        <v>10251</v>
      </c>
      <c r="I861" s="29"/>
      <c r="J861" s="29"/>
      <c r="K861" s="29"/>
      <c r="L861" s="29"/>
      <c r="M861" s="29"/>
      <c r="N861" s="29"/>
      <c r="O861" s="29"/>
      <c r="P861" s="29"/>
    </row>
    <row r="862" spans="1:16" ht="112.5" hidden="1" customHeight="1" x14ac:dyDescent="0.3">
      <c r="A862" s="104">
        <v>2523</v>
      </c>
      <c r="B862" s="28" t="s">
        <v>3496</v>
      </c>
      <c r="C862" s="28" t="s">
        <v>12997</v>
      </c>
      <c r="D862" s="27" t="s">
        <v>12998</v>
      </c>
      <c r="E862" s="29"/>
      <c r="F862" s="105" t="s">
        <v>15664</v>
      </c>
      <c r="G862" s="98" t="s">
        <v>15538</v>
      </c>
      <c r="H862" s="99" t="s">
        <v>11002</v>
      </c>
      <c r="I862" s="29"/>
      <c r="J862" s="29"/>
      <c r="K862" s="29"/>
      <c r="L862" s="29"/>
      <c r="M862" s="29"/>
      <c r="N862" s="29"/>
      <c r="O862" s="29"/>
      <c r="P862" s="29"/>
    </row>
    <row r="863" spans="1:16" ht="112.5" hidden="1" customHeight="1" x14ac:dyDescent="0.3">
      <c r="A863" s="100">
        <v>3482</v>
      </c>
      <c r="B863" s="24" t="s">
        <v>3496</v>
      </c>
      <c r="C863" s="24" t="s">
        <v>13837</v>
      </c>
      <c r="D863" s="25" t="s">
        <v>13838</v>
      </c>
      <c r="E863" s="29"/>
      <c r="F863" s="101" t="s">
        <v>15638</v>
      </c>
      <c r="G863" s="102" t="s">
        <v>15538</v>
      </c>
      <c r="H863" s="103" t="s">
        <v>13812</v>
      </c>
      <c r="I863" s="29"/>
      <c r="J863" s="29"/>
      <c r="K863" s="29"/>
      <c r="L863" s="29"/>
      <c r="M863" s="29"/>
      <c r="N863" s="29"/>
      <c r="O863" s="29"/>
      <c r="P863" s="29"/>
    </row>
    <row r="864" spans="1:16" ht="112.5" customHeight="1" x14ac:dyDescent="0.2">
      <c r="A864" s="75">
        <v>334</v>
      </c>
      <c r="B864" s="94" t="s">
        <v>3496</v>
      </c>
      <c r="C864" s="94" t="s">
        <v>15527</v>
      </c>
      <c r="D864" s="95" t="s">
        <v>15528</v>
      </c>
      <c r="E864" s="96"/>
      <c r="F864" s="97" t="s">
        <v>15988</v>
      </c>
      <c r="G864" s="98" t="s">
        <v>16009</v>
      </c>
      <c r="H864" s="99" t="s">
        <v>13933</v>
      </c>
      <c r="I864" s="29"/>
      <c r="J864" s="29"/>
      <c r="K864" s="29"/>
      <c r="L864" s="29"/>
      <c r="M864" s="29"/>
      <c r="N864" s="29"/>
      <c r="O864" s="29"/>
      <c r="P864" s="29"/>
    </row>
    <row r="865" spans="1:16" ht="112.5" hidden="1" customHeight="1" x14ac:dyDescent="0.3">
      <c r="A865" s="100">
        <v>3528</v>
      </c>
      <c r="B865" s="24" t="s">
        <v>3496</v>
      </c>
      <c r="C865" s="24" t="s">
        <v>15515</v>
      </c>
      <c r="D865" s="25" t="s">
        <v>15516</v>
      </c>
      <c r="E865" s="29"/>
      <c r="F865" s="101" t="s">
        <v>15754</v>
      </c>
      <c r="G865" s="102" t="s">
        <v>15538</v>
      </c>
      <c r="H865" s="103" t="s">
        <v>13948</v>
      </c>
      <c r="I865" s="29"/>
      <c r="J865" s="29"/>
      <c r="K865" s="29"/>
      <c r="L865" s="29"/>
      <c r="M865" s="29"/>
      <c r="N865" s="29"/>
      <c r="O865" s="29"/>
      <c r="P865" s="29"/>
    </row>
    <row r="866" spans="1:16" ht="112.5" hidden="1" customHeight="1" x14ac:dyDescent="0.3">
      <c r="A866" s="100">
        <v>3548</v>
      </c>
      <c r="B866" s="24" t="s">
        <v>3496</v>
      </c>
      <c r="C866" s="24" t="s">
        <v>13003</v>
      </c>
      <c r="D866" s="25" t="s">
        <v>13004</v>
      </c>
      <c r="E866" s="29"/>
      <c r="F866" s="101" t="s">
        <v>15902</v>
      </c>
      <c r="G866" s="102" t="s">
        <v>15538</v>
      </c>
      <c r="H866" s="103" t="s">
        <v>14008</v>
      </c>
      <c r="I866" s="29"/>
      <c r="J866" s="29"/>
      <c r="K866" s="29"/>
      <c r="L866" s="29"/>
      <c r="M866" s="29"/>
      <c r="N866" s="29"/>
      <c r="O866" s="29"/>
      <c r="P866" s="29"/>
    </row>
    <row r="867" spans="1:16" ht="112.5" hidden="1" customHeight="1" x14ac:dyDescent="0.3">
      <c r="A867" s="100">
        <v>3560</v>
      </c>
      <c r="B867" s="24" t="s">
        <v>3496</v>
      </c>
      <c r="C867" s="24" t="s">
        <v>15395</v>
      </c>
      <c r="D867" s="25" t="s">
        <v>15396</v>
      </c>
      <c r="E867" s="29"/>
      <c r="F867" s="101" t="s">
        <v>15998</v>
      </c>
      <c r="G867" s="102" t="s">
        <v>15538</v>
      </c>
      <c r="H867" s="103" t="s">
        <v>14044</v>
      </c>
      <c r="I867" s="29"/>
      <c r="J867" s="29"/>
      <c r="K867" s="29"/>
      <c r="L867" s="29"/>
      <c r="M867" s="29"/>
      <c r="N867" s="29"/>
      <c r="O867" s="29"/>
      <c r="P867" s="29"/>
    </row>
    <row r="868" spans="1:16" ht="112.5" hidden="1" customHeight="1" x14ac:dyDescent="0.3">
      <c r="A868" s="104">
        <v>3571</v>
      </c>
      <c r="B868" s="28" t="s">
        <v>3496</v>
      </c>
      <c r="C868" s="28" t="s">
        <v>13247</v>
      </c>
      <c r="D868" s="27" t="s">
        <v>13248</v>
      </c>
      <c r="E868" s="29"/>
      <c r="F868" s="105" t="s">
        <v>15557</v>
      </c>
      <c r="G868" s="98" t="s">
        <v>15538</v>
      </c>
      <c r="H868" s="99" t="s">
        <v>14077</v>
      </c>
      <c r="I868" s="29"/>
      <c r="J868" s="29"/>
      <c r="K868" s="29"/>
      <c r="L868" s="29"/>
      <c r="M868" s="29"/>
      <c r="N868" s="29"/>
      <c r="O868" s="29"/>
      <c r="P868" s="29"/>
    </row>
    <row r="869" spans="1:16" ht="112.5" hidden="1" customHeight="1" x14ac:dyDescent="0.3">
      <c r="A869" s="100">
        <v>3574</v>
      </c>
      <c r="B869" s="24" t="s">
        <v>3496</v>
      </c>
      <c r="C869" s="24" t="s">
        <v>13309</v>
      </c>
      <c r="D869" s="25" t="s">
        <v>13310</v>
      </c>
      <c r="E869" s="29"/>
      <c r="F869" s="101" t="s">
        <v>15618</v>
      </c>
      <c r="G869" s="102" t="s">
        <v>15538</v>
      </c>
      <c r="H869" s="103" t="s">
        <v>14086</v>
      </c>
      <c r="I869" s="29"/>
      <c r="J869" s="29"/>
      <c r="K869" s="29"/>
      <c r="L869" s="29"/>
      <c r="M869" s="29"/>
      <c r="N869" s="29"/>
      <c r="O869" s="29"/>
      <c r="P869" s="29"/>
    </row>
    <row r="870" spans="1:16" ht="112.5" hidden="1" customHeight="1" x14ac:dyDescent="0.3">
      <c r="A870" s="100">
        <v>3576</v>
      </c>
      <c r="B870" s="24" t="s">
        <v>3496</v>
      </c>
      <c r="C870" s="24" t="s">
        <v>13434</v>
      </c>
      <c r="D870" s="25" t="s">
        <v>13435</v>
      </c>
      <c r="E870" s="29"/>
      <c r="F870" s="101" t="s">
        <v>15557</v>
      </c>
      <c r="G870" s="102" t="s">
        <v>15538</v>
      </c>
      <c r="H870" s="103" t="s">
        <v>14092</v>
      </c>
      <c r="I870" s="29"/>
      <c r="J870" s="29"/>
      <c r="K870" s="29"/>
      <c r="L870" s="29"/>
      <c r="M870" s="29"/>
      <c r="N870" s="29"/>
      <c r="O870" s="29"/>
      <c r="P870" s="29"/>
    </row>
    <row r="871" spans="1:16" ht="112.5" hidden="1" customHeight="1" x14ac:dyDescent="0.3">
      <c r="A871" s="104">
        <v>3579</v>
      </c>
      <c r="B871" s="28" t="s">
        <v>3496</v>
      </c>
      <c r="C871" s="28" t="s">
        <v>15295</v>
      </c>
      <c r="D871" s="27" t="s">
        <v>15296</v>
      </c>
      <c r="E871" s="29"/>
      <c r="F871" s="105" t="s">
        <v>15550</v>
      </c>
      <c r="G871" s="98" t="s">
        <v>15538</v>
      </c>
      <c r="H871" s="99" t="s">
        <v>14101</v>
      </c>
      <c r="I871" s="29"/>
      <c r="J871" s="29"/>
      <c r="K871" s="29"/>
      <c r="L871" s="29"/>
      <c r="M871" s="29"/>
      <c r="N871" s="29"/>
      <c r="O871" s="29"/>
      <c r="P871" s="29"/>
    </row>
    <row r="872" spans="1:16" ht="112.5" hidden="1" customHeight="1" x14ac:dyDescent="0.3">
      <c r="A872" s="104">
        <v>3583</v>
      </c>
      <c r="B872" s="28" t="s">
        <v>3496</v>
      </c>
      <c r="C872" s="28" t="s">
        <v>15289</v>
      </c>
      <c r="D872" s="27" t="s">
        <v>15290</v>
      </c>
      <c r="E872" s="29"/>
      <c r="F872" s="105" t="s">
        <v>15538</v>
      </c>
      <c r="G872" s="98" t="s">
        <v>15538</v>
      </c>
      <c r="H872" s="99" t="s">
        <v>14112</v>
      </c>
      <c r="I872" s="29"/>
      <c r="J872" s="29"/>
      <c r="K872" s="29"/>
      <c r="L872" s="29"/>
      <c r="M872" s="29"/>
      <c r="N872" s="29"/>
      <c r="O872" s="29"/>
      <c r="P872" s="29"/>
    </row>
    <row r="873" spans="1:16" ht="112.5" hidden="1" customHeight="1" x14ac:dyDescent="0.3">
      <c r="A873" s="104">
        <v>3585</v>
      </c>
      <c r="B873" s="28" t="s">
        <v>3496</v>
      </c>
      <c r="C873" s="28" t="s">
        <v>13256</v>
      </c>
      <c r="D873" s="27" t="s">
        <v>13257</v>
      </c>
      <c r="E873" s="29"/>
      <c r="F873" s="105" t="s">
        <v>15618</v>
      </c>
      <c r="G873" s="98" t="s">
        <v>15538</v>
      </c>
      <c r="H873" s="99" t="s">
        <v>14118</v>
      </c>
      <c r="I873" s="29"/>
      <c r="J873" s="29"/>
      <c r="K873" s="29"/>
      <c r="L873" s="29"/>
      <c r="M873" s="29"/>
      <c r="N873" s="29"/>
      <c r="O873" s="29"/>
      <c r="P873" s="29"/>
    </row>
    <row r="874" spans="1:16" ht="112.5" hidden="1" customHeight="1" x14ac:dyDescent="0.3">
      <c r="A874" s="100">
        <v>3588</v>
      </c>
      <c r="B874" s="24" t="s">
        <v>3496</v>
      </c>
      <c r="C874" s="24" t="s">
        <v>15283</v>
      </c>
      <c r="D874" s="25" t="s">
        <v>15284</v>
      </c>
      <c r="E874" s="29"/>
      <c r="F874" s="101" t="s">
        <v>15869</v>
      </c>
      <c r="G874" s="106" t="s">
        <v>4171</v>
      </c>
      <c r="H874" s="103" t="s">
        <v>14127</v>
      </c>
      <c r="I874" s="29"/>
      <c r="J874" s="29"/>
      <c r="K874" s="29"/>
      <c r="L874" s="29"/>
      <c r="M874" s="29"/>
      <c r="N874" s="29"/>
      <c r="O874" s="29"/>
      <c r="P874" s="29"/>
    </row>
    <row r="875" spans="1:16" ht="112.5" customHeight="1" x14ac:dyDescent="0.2">
      <c r="A875" s="75">
        <v>335</v>
      </c>
      <c r="B875" s="94" t="s">
        <v>3496</v>
      </c>
      <c r="C875" s="94" t="s">
        <v>12422</v>
      </c>
      <c r="D875" s="95" t="s">
        <v>12423</v>
      </c>
      <c r="E875" s="96"/>
      <c r="F875" s="97" t="s">
        <v>15635</v>
      </c>
      <c r="G875" s="98" t="s">
        <v>16010</v>
      </c>
      <c r="H875" s="99" t="s">
        <v>14158</v>
      </c>
      <c r="I875" s="29"/>
      <c r="J875" s="29"/>
      <c r="K875" s="29"/>
      <c r="L875" s="29"/>
      <c r="M875" s="29"/>
      <c r="N875" s="29"/>
      <c r="O875" s="29"/>
      <c r="P875" s="29"/>
    </row>
    <row r="876" spans="1:16" ht="112.5" hidden="1" customHeight="1" x14ac:dyDescent="0.3">
      <c r="A876" s="104">
        <v>3611</v>
      </c>
      <c r="B876" s="28" t="s">
        <v>3496</v>
      </c>
      <c r="C876" s="28" t="s">
        <v>12883</v>
      </c>
      <c r="D876" s="27" t="s">
        <v>12884</v>
      </c>
      <c r="E876" s="29"/>
      <c r="F876" s="105" t="s">
        <v>15749</v>
      </c>
      <c r="G876" s="98" t="s">
        <v>15538</v>
      </c>
      <c r="H876" s="99" t="s">
        <v>14194</v>
      </c>
      <c r="I876" s="29"/>
      <c r="J876" s="29"/>
      <c r="K876" s="29"/>
      <c r="L876" s="29"/>
      <c r="M876" s="29"/>
      <c r="N876" s="29"/>
      <c r="O876" s="29"/>
      <c r="P876" s="29"/>
    </row>
    <row r="877" spans="1:16" ht="112.5" customHeight="1" x14ac:dyDescent="0.2">
      <c r="A877" s="75">
        <v>336</v>
      </c>
      <c r="B877" s="94" t="s">
        <v>3496</v>
      </c>
      <c r="C877" s="94" t="s">
        <v>15148</v>
      </c>
      <c r="D877" s="95" t="s">
        <v>15149</v>
      </c>
      <c r="E877" s="96"/>
      <c r="F877" s="97" t="s">
        <v>15827</v>
      </c>
      <c r="G877" s="98" t="s">
        <v>16011</v>
      </c>
      <c r="H877" s="99" t="s">
        <v>14248</v>
      </c>
      <c r="I877" s="29"/>
      <c r="J877" s="29"/>
      <c r="K877" s="29"/>
      <c r="L877" s="29"/>
      <c r="M877" s="29"/>
      <c r="N877" s="29"/>
      <c r="O877" s="29"/>
      <c r="P877" s="29"/>
    </row>
    <row r="878" spans="1:16" ht="112.5" hidden="1" customHeight="1" x14ac:dyDescent="0.3">
      <c r="A878" s="100">
        <v>3632</v>
      </c>
      <c r="B878" s="24" t="s">
        <v>3496</v>
      </c>
      <c r="C878" s="24" t="s">
        <v>15122</v>
      </c>
      <c r="D878" s="25" t="s">
        <v>15123</v>
      </c>
      <c r="E878" s="29"/>
      <c r="F878" s="101" t="s">
        <v>16012</v>
      </c>
      <c r="G878" s="102" t="s">
        <v>15538</v>
      </c>
      <c r="H878" s="103" t="s">
        <v>14257</v>
      </c>
      <c r="I878" s="29"/>
      <c r="J878" s="29"/>
      <c r="K878" s="29"/>
      <c r="L878" s="29"/>
      <c r="M878" s="29"/>
      <c r="N878" s="29"/>
      <c r="O878" s="29"/>
      <c r="P878" s="29"/>
    </row>
    <row r="879" spans="1:16" ht="112.5" hidden="1" customHeight="1" x14ac:dyDescent="0.3">
      <c r="A879" s="100">
        <v>3634</v>
      </c>
      <c r="B879" s="24" t="s">
        <v>3496</v>
      </c>
      <c r="C879" s="24" t="s">
        <v>13250</v>
      </c>
      <c r="D879" s="25" t="s">
        <v>13251</v>
      </c>
      <c r="E879" s="29"/>
      <c r="F879" s="101" t="s">
        <v>15726</v>
      </c>
      <c r="G879" s="102" t="s">
        <v>15538</v>
      </c>
      <c r="H879" s="103" t="s">
        <v>14263</v>
      </c>
      <c r="I879" s="29"/>
      <c r="J879" s="29"/>
      <c r="K879" s="29"/>
      <c r="L879" s="29"/>
      <c r="M879" s="29"/>
      <c r="N879" s="29"/>
      <c r="O879" s="29"/>
      <c r="P879" s="29"/>
    </row>
    <row r="880" spans="1:16" ht="112.5" hidden="1" customHeight="1" x14ac:dyDescent="0.3">
      <c r="A880" s="100">
        <v>3638</v>
      </c>
      <c r="B880" s="24" t="s">
        <v>3496</v>
      </c>
      <c r="C880" s="24" t="s">
        <v>13235</v>
      </c>
      <c r="D880" s="25" t="s">
        <v>13236</v>
      </c>
      <c r="E880" s="29"/>
      <c r="F880" s="101" t="s">
        <v>15590</v>
      </c>
      <c r="G880" s="102" t="s">
        <v>15538</v>
      </c>
      <c r="H880" s="103" t="s">
        <v>14275</v>
      </c>
      <c r="I880" s="29"/>
      <c r="J880" s="29"/>
      <c r="K880" s="29"/>
      <c r="L880" s="29"/>
      <c r="M880" s="29"/>
      <c r="N880" s="29"/>
      <c r="O880" s="29"/>
      <c r="P880" s="29"/>
    </row>
    <row r="881" spans="1:16" ht="112.5" hidden="1" customHeight="1" x14ac:dyDescent="0.3">
      <c r="A881" s="104">
        <v>3655</v>
      </c>
      <c r="B881" s="28" t="s">
        <v>3496</v>
      </c>
      <c r="C881" s="28" t="s">
        <v>12619</v>
      </c>
      <c r="D881" s="27" t="s">
        <v>12620</v>
      </c>
      <c r="E881" s="29"/>
      <c r="F881" s="105" t="s">
        <v>15611</v>
      </c>
      <c r="G881" s="98" t="s">
        <v>15538</v>
      </c>
      <c r="H881" s="99" t="s">
        <v>14326</v>
      </c>
      <c r="I881" s="29"/>
      <c r="J881" s="29"/>
      <c r="K881" s="29"/>
      <c r="L881" s="29"/>
      <c r="M881" s="29"/>
      <c r="N881" s="29"/>
      <c r="O881" s="29"/>
      <c r="P881" s="29"/>
    </row>
    <row r="882" spans="1:16" ht="112.5" hidden="1" customHeight="1" x14ac:dyDescent="0.3">
      <c r="A882" s="104">
        <v>3693</v>
      </c>
      <c r="B882" s="28" t="s">
        <v>3496</v>
      </c>
      <c r="C882" s="28" t="s">
        <v>14952</v>
      </c>
      <c r="D882" s="27" t="s">
        <v>14953</v>
      </c>
      <c r="E882" s="29"/>
      <c r="F882" s="105" t="s">
        <v>15907</v>
      </c>
      <c r="G882" s="98" t="s">
        <v>15538</v>
      </c>
      <c r="H882" s="99" t="s">
        <v>14440</v>
      </c>
      <c r="I882" s="29"/>
      <c r="J882" s="29"/>
      <c r="K882" s="29"/>
      <c r="L882" s="29"/>
      <c r="M882" s="29"/>
      <c r="N882" s="29"/>
      <c r="O882" s="29"/>
      <c r="P882" s="29"/>
    </row>
    <row r="883" spans="1:16" ht="112.5" hidden="1" customHeight="1" x14ac:dyDescent="0.3">
      <c r="A883" s="104">
        <v>3699</v>
      </c>
      <c r="B883" s="28" t="s">
        <v>3496</v>
      </c>
      <c r="C883" s="28" t="s">
        <v>14928</v>
      </c>
      <c r="D883" s="27" t="s">
        <v>14929</v>
      </c>
      <c r="E883" s="29"/>
      <c r="F883" s="105" t="s">
        <v>16013</v>
      </c>
      <c r="G883" s="98" t="s">
        <v>15538</v>
      </c>
      <c r="H883" s="99" t="s">
        <v>14458</v>
      </c>
      <c r="I883" s="29"/>
      <c r="J883" s="29"/>
      <c r="K883" s="29"/>
      <c r="L883" s="29"/>
      <c r="M883" s="29"/>
      <c r="N883" s="29"/>
      <c r="O883" s="29"/>
      <c r="P883" s="29"/>
    </row>
    <row r="884" spans="1:16" ht="112.5" hidden="1" customHeight="1" x14ac:dyDescent="0.3">
      <c r="A884" s="104">
        <v>3721</v>
      </c>
      <c r="B884" s="28" t="s">
        <v>3496</v>
      </c>
      <c r="C884" s="28" t="s">
        <v>13291</v>
      </c>
      <c r="D884" s="27" t="s">
        <v>13292</v>
      </c>
      <c r="E884" s="29"/>
      <c r="F884" s="105" t="s">
        <v>15632</v>
      </c>
      <c r="G884" s="98" t="s">
        <v>15538</v>
      </c>
      <c r="H884" s="99" t="s">
        <v>14522</v>
      </c>
      <c r="I884" s="29"/>
      <c r="J884" s="29"/>
      <c r="K884" s="29"/>
      <c r="L884" s="29"/>
      <c r="M884" s="29"/>
      <c r="N884" s="29"/>
      <c r="O884" s="29"/>
      <c r="P884" s="29"/>
    </row>
    <row r="885" spans="1:16" ht="112.5" hidden="1" customHeight="1" x14ac:dyDescent="0.3">
      <c r="A885" s="100">
        <v>3722</v>
      </c>
      <c r="B885" s="24" t="s">
        <v>3496</v>
      </c>
      <c r="C885" s="24" t="s">
        <v>14893</v>
      </c>
      <c r="D885" s="25" t="s">
        <v>14894</v>
      </c>
      <c r="E885" s="29"/>
      <c r="F885" s="101" t="s">
        <v>15538</v>
      </c>
      <c r="G885" s="102" t="s">
        <v>15538</v>
      </c>
      <c r="H885" s="103" t="s">
        <v>14525</v>
      </c>
      <c r="I885" s="29"/>
      <c r="J885" s="29"/>
      <c r="K885" s="29"/>
      <c r="L885" s="29"/>
      <c r="M885" s="29"/>
      <c r="N885" s="29"/>
      <c r="O885" s="29"/>
      <c r="P885" s="29"/>
    </row>
    <row r="886" spans="1:16" ht="112.5" customHeight="1" x14ac:dyDescent="0.2">
      <c r="A886" s="75">
        <v>337</v>
      </c>
      <c r="B886" s="94" t="s">
        <v>3496</v>
      </c>
      <c r="C886" s="94" t="s">
        <v>14887</v>
      </c>
      <c r="D886" s="95" t="s">
        <v>14888</v>
      </c>
      <c r="E886" s="96"/>
      <c r="F886" s="97" t="s">
        <v>15557</v>
      </c>
      <c r="G886" s="102" t="s">
        <v>16014</v>
      </c>
      <c r="H886" s="103" t="s">
        <v>14531</v>
      </c>
      <c r="I886" s="29"/>
      <c r="J886" s="29"/>
      <c r="K886" s="29"/>
      <c r="L886" s="29"/>
      <c r="M886" s="29"/>
      <c r="N886" s="29"/>
      <c r="O886" s="29"/>
      <c r="P886" s="29"/>
    </row>
    <row r="887" spans="1:16" ht="112.5" hidden="1" customHeight="1" x14ac:dyDescent="0.3">
      <c r="A887" s="100">
        <v>3750</v>
      </c>
      <c r="B887" s="24" t="s">
        <v>3496</v>
      </c>
      <c r="C887" s="24" t="s">
        <v>14832</v>
      </c>
      <c r="D887" s="25" t="s">
        <v>14833</v>
      </c>
      <c r="E887" s="29"/>
      <c r="F887" s="101" t="s">
        <v>15538</v>
      </c>
      <c r="G887" s="102" t="s">
        <v>15538</v>
      </c>
      <c r="H887" s="103" t="s">
        <v>14609</v>
      </c>
      <c r="I887" s="29"/>
      <c r="J887" s="29"/>
      <c r="K887" s="29"/>
      <c r="L887" s="29"/>
      <c r="M887" s="29"/>
      <c r="N887" s="29"/>
      <c r="O887" s="29"/>
      <c r="P887" s="29"/>
    </row>
    <row r="888" spans="1:16" ht="112.5" customHeight="1" x14ac:dyDescent="0.2">
      <c r="A888" s="75">
        <v>338</v>
      </c>
      <c r="B888" s="94" t="s">
        <v>3496</v>
      </c>
      <c r="C888" s="94" t="s">
        <v>14811</v>
      </c>
      <c r="D888" s="95" t="s">
        <v>14812</v>
      </c>
      <c r="E888" s="96"/>
      <c r="F888" s="97" t="s">
        <v>16015</v>
      </c>
      <c r="G888" s="98" t="s">
        <v>16016</v>
      </c>
      <c r="H888" s="99" t="s">
        <v>14654</v>
      </c>
      <c r="I888" s="29"/>
      <c r="J888" s="29"/>
      <c r="K888" s="29"/>
      <c r="L888" s="29"/>
      <c r="M888" s="29"/>
      <c r="N888" s="29"/>
      <c r="O888" s="29"/>
      <c r="P888" s="29"/>
    </row>
    <row r="889" spans="1:16" ht="112.5" customHeight="1" x14ac:dyDescent="0.2">
      <c r="A889" s="75">
        <v>339</v>
      </c>
      <c r="B889" s="94" t="s">
        <v>3496</v>
      </c>
      <c r="C889" s="94" t="s">
        <v>14808</v>
      </c>
      <c r="D889" s="95" t="s">
        <v>14809</v>
      </c>
      <c r="E889" s="96"/>
      <c r="F889" s="97" t="s">
        <v>15581</v>
      </c>
      <c r="G889" s="102" t="s">
        <v>16017</v>
      </c>
      <c r="H889" s="103" t="s">
        <v>14657</v>
      </c>
      <c r="I889" s="29"/>
      <c r="J889" s="29"/>
      <c r="K889" s="29"/>
      <c r="L889" s="29"/>
      <c r="M889" s="29"/>
      <c r="N889" s="29"/>
      <c r="O889" s="29"/>
      <c r="P889" s="29"/>
    </row>
    <row r="890" spans="1:16" ht="112.5" hidden="1" customHeight="1" x14ac:dyDescent="0.3">
      <c r="A890" s="104">
        <v>3767</v>
      </c>
      <c r="B890" s="28" t="s">
        <v>3496</v>
      </c>
      <c r="C890" s="28" t="s">
        <v>14799</v>
      </c>
      <c r="D890" s="27" t="s">
        <v>14800</v>
      </c>
      <c r="E890" s="29"/>
      <c r="F890" s="105" t="s">
        <v>15538</v>
      </c>
      <c r="G890" s="98" t="s">
        <v>15538</v>
      </c>
      <c r="H890" s="99" t="s">
        <v>14660</v>
      </c>
      <c r="I890" s="29"/>
      <c r="J890" s="29"/>
      <c r="K890" s="29"/>
      <c r="L890" s="29"/>
      <c r="M890" s="29"/>
      <c r="N890" s="29"/>
      <c r="O890" s="29"/>
      <c r="P890" s="29"/>
    </row>
    <row r="891" spans="1:16" ht="112.5" hidden="1" customHeight="1" x14ac:dyDescent="0.3">
      <c r="A891" s="100">
        <v>4050</v>
      </c>
      <c r="B891" s="24" t="s">
        <v>3496</v>
      </c>
      <c r="C891" s="24" t="s">
        <v>13351</v>
      </c>
      <c r="D891" s="25" t="s">
        <v>13352</v>
      </c>
      <c r="E891" s="29"/>
      <c r="F891" s="101" t="s">
        <v>15599</v>
      </c>
      <c r="G891" s="102" t="s">
        <v>15538</v>
      </c>
      <c r="H891" s="103" t="s">
        <v>15502</v>
      </c>
      <c r="I891" s="29"/>
      <c r="J891" s="29"/>
      <c r="K891" s="29"/>
      <c r="L891" s="29"/>
      <c r="M891" s="29"/>
      <c r="N891" s="29"/>
      <c r="O891" s="29"/>
      <c r="P891" s="29"/>
    </row>
    <row r="892" spans="1:16" ht="112.5" customHeight="1" x14ac:dyDescent="0.2">
      <c r="A892" s="75">
        <v>340</v>
      </c>
      <c r="B892" s="94" t="s">
        <v>3749</v>
      </c>
      <c r="C892" s="94" t="s">
        <v>35</v>
      </c>
      <c r="D892" s="95" t="s">
        <v>14844</v>
      </c>
      <c r="E892" s="96"/>
      <c r="F892" s="97" t="s">
        <v>15551</v>
      </c>
      <c r="G892" s="98" t="s">
        <v>15572</v>
      </c>
      <c r="H892" s="99" t="s">
        <v>3501</v>
      </c>
      <c r="I892" s="29"/>
      <c r="J892" s="29"/>
      <c r="K892" s="29"/>
      <c r="L892" s="29"/>
      <c r="M892" s="29"/>
      <c r="N892" s="29"/>
      <c r="O892" s="29"/>
      <c r="P892" s="29"/>
    </row>
    <row r="893" spans="1:16" ht="112.5" customHeight="1" x14ac:dyDescent="0.2">
      <c r="A893" s="75">
        <v>341</v>
      </c>
      <c r="B893" s="94" t="s">
        <v>3749</v>
      </c>
      <c r="C893" s="94" t="s">
        <v>14739</v>
      </c>
      <c r="D893" s="95" t="s">
        <v>14740</v>
      </c>
      <c r="E893" s="96"/>
      <c r="F893" s="97" t="s">
        <v>16018</v>
      </c>
      <c r="G893" s="102" t="s">
        <v>15572</v>
      </c>
      <c r="H893" s="103" t="s">
        <v>3545</v>
      </c>
      <c r="I893" s="29"/>
      <c r="J893" s="29"/>
      <c r="K893" s="29"/>
      <c r="L893" s="29"/>
      <c r="M893" s="29"/>
      <c r="N893" s="29"/>
      <c r="O893" s="29"/>
      <c r="P893" s="29"/>
    </row>
    <row r="894" spans="1:16" ht="112.5" customHeight="1" x14ac:dyDescent="0.2">
      <c r="A894" s="75">
        <v>342</v>
      </c>
      <c r="B894" s="94" t="s">
        <v>3749</v>
      </c>
      <c r="C894" s="94" t="s">
        <v>13777</v>
      </c>
      <c r="D894" s="95" t="s">
        <v>13778</v>
      </c>
      <c r="E894" s="96"/>
      <c r="F894" s="97" t="s">
        <v>15606</v>
      </c>
      <c r="G894" s="98" t="s">
        <v>16019</v>
      </c>
      <c r="H894" s="99" t="s">
        <v>3548</v>
      </c>
      <c r="I894" s="29"/>
      <c r="J894" s="29"/>
      <c r="K894" s="29"/>
      <c r="L894" s="29"/>
      <c r="M894" s="29"/>
      <c r="N894" s="29"/>
      <c r="O894" s="29"/>
      <c r="P894" s="29"/>
    </row>
    <row r="895" spans="1:16" ht="112.5" customHeight="1" x14ac:dyDescent="0.2">
      <c r="A895" s="75">
        <v>343</v>
      </c>
      <c r="B895" s="94" t="s">
        <v>3749</v>
      </c>
      <c r="C895" s="94" t="s">
        <v>14881</v>
      </c>
      <c r="D895" s="95" t="s">
        <v>14882</v>
      </c>
      <c r="E895" s="96"/>
      <c r="F895" s="97" t="s">
        <v>15577</v>
      </c>
      <c r="G895" s="102" t="s">
        <v>15572</v>
      </c>
      <c r="H895" s="103" t="s">
        <v>3571</v>
      </c>
      <c r="I895" s="29"/>
      <c r="J895" s="29"/>
      <c r="K895" s="29"/>
      <c r="L895" s="29"/>
      <c r="M895" s="29"/>
      <c r="N895" s="29"/>
      <c r="O895" s="29"/>
      <c r="P895" s="29"/>
    </row>
    <row r="896" spans="1:16" ht="112.5" customHeight="1" x14ac:dyDescent="0.2">
      <c r="A896" s="75">
        <v>344</v>
      </c>
      <c r="B896" s="94" t="s">
        <v>3749</v>
      </c>
      <c r="C896" s="94" t="s">
        <v>14535</v>
      </c>
      <c r="D896" s="95" t="s">
        <v>14536</v>
      </c>
      <c r="E896" s="96"/>
      <c r="F896" s="97" t="s">
        <v>16020</v>
      </c>
      <c r="G896" s="102" t="s">
        <v>15684</v>
      </c>
      <c r="H896" s="103" t="s">
        <v>3810</v>
      </c>
      <c r="I896" s="29"/>
      <c r="J896" s="29"/>
      <c r="K896" s="29"/>
      <c r="L896" s="29"/>
      <c r="M896" s="29"/>
      <c r="N896" s="29"/>
      <c r="O896" s="29"/>
      <c r="P896" s="29"/>
    </row>
    <row r="897" spans="1:16" ht="112.5" customHeight="1" x14ac:dyDescent="0.2">
      <c r="A897" s="75">
        <v>345</v>
      </c>
      <c r="B897" s="94" t="s">
        <v>3749</v>
      </c>
      <c r="C897" s="94" t="s">
        <v>15214</v>
      </c>
      <c r="D897" s="95" t="s">
        <v>15215</v>
      </c>
      <c r="E897" s="96"/>
      <c r="F897" s="97" t="s">
        <v>16021</v>
      </c>
      <c r="G897" s="102" t="s">
        <v>15724</v>
      </c>
      <c r="H897" s="103" t="s">
        <v>3940</v>
      </c>
      <c r="I897" s="29"/>
      <c r="J897" s="29"/>
      <c r="K897" s="29"/>
      <c r="L897" s="29"/>
      <c r="M897" s="29"/>
      <c r="N897" s="29"/>
      <c r="O897" s="29"/>
      <c r="P897" s="29"/>
    </row>
    <row r="898" spans="1:16" ht="112.5" customHeight="1" x14ac:dyDescent="0.2">
      <c r="A898" s="75">
        <v>346</v>
      </c>
      <c r="B898" s="94" t="s">
        <v>3749</v>
      </c>
      <c r="C898" s="94" t="s">
        <v>15211</v>
      </c>
      <c r="D898" s="95" t="s">
        <v>15212</v>
      </c>
      <c r="E898" s="96"/>
      <c r="F898" s="97" t="s">
        <v>16022</v>
      </c>
      <c r="G898" s="98" t="s">
        <v>15721</v>
      </c>
      <c r="H898" s="99" t="s">
        <v>3943</v>
      </c>
      <c r="I898" s="29"/>
      <c r="J898" s="29"/>
      <c r="K898" s="29"/>
      <c r="L898" s="29"/>
      <c r="M898" s="29"/>
      <c r="N898" s="29"/>
      <c r="O898" s="29"/>
      <c r="P898" s="29"/>
    </row>
    <row r="899" spans="1:16" ht="112.5" hidden="1" customHeight="1" x14ac:dyDescent="0.3">
      <c r="A899" s="104">
        <v>149</v>
      </c>
      <c r="B899" s="28" t="s">
        <v>3749</v>
      </c>
      <c r="C899" s="28" t="s">
        <v>15083</v>
      </c>
      <c r="D899" s="27" t="s">
        <v>15084</v>
      </c>
      <c r="E899" s="29"/>
      <c r="F899" s="105" t="s">
        <v>15588</v>
      </c>
      <c r="G899" s="98" t="s">
        <v>15538</v>
      </c>
      <c r="H899" s="99" t="s">
        <v>3955</v>
      </c>
      <c r="I899" s="29"/>
      <c r="J899" s="29"/>
      <c r="K899" s="29"/>
      <c r="L899" s="29"/>
      <c r="M899" s="29"/>
      <c r="N899" s="29"/>
      <c r="O899" s="29"/>
      <c r="P899" s="29"/>
    </row>
    <row r="900" spans="1:16" ht="112.5" hidden="1" customHeight="1" x14ac:dyDescent="0.3">
      <c r="A900" s="100">
        <v>180</v>
      </c>
      <c r="B900" s="24" t="s">
        <v>3749</v>
      </c>
      <c r="C900" s="24" t="s">
        <v>15142</v>
      </c>
      <c r="D900" s="25" t="s">
        <v>15143</v>
      </c>
      <c r="E900" s="29"/>
      <c r="F900" s="101" t="s">
        <v>15609</v>
      </c>
      <c r="G900" s="102" t="s">
        <v>15538</v>
      </c>
      <c r="H900" s="103" t="s">
        <v>4048</v>
      </c>
      <c r="I900" s="29"/>
      <c r="J900" s="29"/>
      <c r="K900" s="29"/>
      <c r="L900" s="29"/>
      <c r="M900" s="29"/>
      <c r="N900" s="29"/>
      <c r="O900" s="29"/>
      <c r="P900" s="29"/>
    </row>
    <row r="901" spans="1:16" ht="112.5" hidden="1" customHeight="1" x14ac:dyDescent="0.3">
      <c r="A901" s="100">
        <v>196</v>
      </c>
      <c r="B901" s="24" t="s">
        <v>3749</v>
      </c>
      <c r="C901" s="24" t="s">
        <v>14898</v>
      </c>
      <c r="D901" s="25" t="s">
        <v>14899</v>
      </c>
      <c r="E901" s="29"/>
      <c r="F901" s="101" t="s">
        <v>15618</v>
      </c>
      <c r="G901" s="102" t="s">
        <v>15538</v>
      </c>
      <c r="H901" s="110"/>
      <c r="I901" s="29"/>
      <c r="J901" s="29"/>
      <c r="K901" s="29"/>
      <c r="L901" s="29"/>
      <c r="M901" s="29"/>
      <c r="N901" s="29"/>
      <c r="O901" s="29"/>
      <c r="P901" s="29"/>
    </row>
    <row r="902" spans="1:16" ht="112.5" hidden="1" customHeight="1" x14ac:dyDescent="0.3">
      <c r="A902" s="100">
        <v>476</v>
      </c>
      <c r="B902" s="24" t="s">
        <v>3749</v>
      </c>
      <c r="C902" s="24" t="s">
        <v>12738</v>
      </c>
      <c r="D902" s="25" t="s">
        <v>12739</v>
      </c>
      <c r="E902" s="29"/>
      <c r="F902" s="101" t="s">
        <v>15552</v>
      </c>
      <c r="G902" s="102" t="s">
        <v>15538</v>
      </c>
      <c r="H902" s="103" t="s">
        <v>4933</v>
      </c>
      <c r="I902" s="29"/>
      <c r="J902" s="29"/>
      <c r="K902" s="29"/>
      <c r="L902" s="29"/>
      <c r="M902" s="29"/>
      <c r="N902" s="29"/>
      <c r="O902" s="29"/>
      <c r="P902" s="29"/>
    </row>
    <row r="903" spans="1:16" ht="112.5" customHeight="1" x14ac:dyDescent="0.2">
      <c r="A903" s="75">
        <v>347</v>
      </c>
      <c r="B903" s="94" t="s">
        <v>3749</v>
      </c>
      <c r="C903" s="94" t="s">
        <v>12440</v>
      </c>
      <c r="D903" s="95" t="s">
        <v>12441</v>
      </c>
      <c r="E903" s="96"/>
      <c r="F903" s="97" t="s">
        <v>15589</v>
      </c>
      <c r="G903" s="98" t="s">
        <v>16023</v>
      </c>
      <c r="H903" s="99" t="s">
        <v>13957</v>
      </c>
      <c r="I903" s="29"/>
      <c r="J903" s="29"/>
      <c r="K903" s="29"/>
      <c r="L903" s="29"/>
      <c r="M903" s="29"/>
      <c r="N903" s="29"/>
      <c r="O903" s="29"/>
      <c r="P903" s="29"/>
    </row>
    <row r="904" spans="1:16" ht="112.5" customHeight="1" x14ac:dyDescent="0.2">
      <c r="A904" s="75">
        <v>348</v>
      </c>
      <c r="B904" s="94" t="s">
        <v>3749</v>
      </c>
      <c r="C904" s="94" t="s">
        <v>15277</v>
      </c>
      <c r="D904" s="95" t="s">
        <v>15278</v>
      </c>
      <c r="E904" s="96"/>
      <c r="F904" s="97" t="s">
        <v>15770</v>
      </c>
      <c r="G904" s="98" t="s">
        <v>16024</v>
      </c>
      <c r="H904" s="99" t="s">
        <v>14130</v>
      </c>
      <c r="I904" s="29"/>
      <c r="J904" s="29"/>
      <c r="K904" s="29"/>
      <c r="L904" s="29"/>
      <c r="M904" s="29"/>
      <c r="N904" s="29"/>
      <c r="O904" s="29"/>
      <c r="P904" s="29"/>
    </row>
    <row r="905" spans="1:16" ht="112.5" customHeight="1" x14ac:dyDescent="0.2">
      <c r="A905" s="75">
        <v>349</v>
      </c>
      <c r="B905" s="94" t="s">
        <v>3749</v>
      </c>
      <c r="C905" s="94" t="s">
        <v>14407</v>
      </c>
      <c r="D905" s="95" t="s">
        <v>14408</v>
      </c>
      <c r="E905" s="96"/>
      <c r="F905" s="97" t="s">
        <v>15551</v>
      </c>
      <c r="G905" s="98" t="s">
        <v>16025</v>
      </c>
      <c r="H905" s="99" t="s">
        <v>14242</v>
      </c>
      <c r="I905" s="29"/>
      <c r="J905" s="29"/>
      <c r="K905" s="29"/>
      <c r="L905" s="29"/>
      <c r="M905" s="29"/>
      <c r="N905" s="29"/>
      <c r="O905" s="29"/>
      <c r="P905" s="29"/>
    </row>
    <row r="906" spans="1:16" ht="112.5" hidden="1" customHeight="1" x14ac:dyDescent="0.3">
      <c r="A906" s="104">
        <v>3883</v>
      </c>
      <c r="B906" s="28" t="s">
        <v>3749</v>
      </c>
      <c r="C906" s="28" t="s">
        <v>14459</v>
      </c>
      <c r="D906" s="27" t="s">
        <v>14460</v>
      </c>
      <c r="E906" s="29"/>
      <c r="F906" s="105" t="s">
        <v>15552</v>
      </c>
      <c r="G906" s="98" t="s">
        <v>15538</v>
      </c>
      <c r="H906" s="99" t="s">
        <v>15005</v>
      </c>
      <c r="I906" s="29"/>
      <c r="J906" s="29"/>
      <c r="K906" s="29"/>
      <c r="L906" s="29"/>
      <c r="M906" s="29"/>
      <c r="N906" s="29"/>
      <c r="O906" s="29"/>
      <c r="P906" s="29"/>
    </row>
    <row r="907" spans="1:16" ht="112.5" hidden="1" customHeight="1" x14ac:dyDescent="0.3">
      <c r="A907" s="100">
        <v>3884</v>
      </c>
      <c r="B907" s="24" t="s">
        <v>3749</v>
      </c>
      <c r="C907" s="24" t="s">
        <v>12860</v>
      </c>
      <c r="D907" s="25" t="s">
        <v>12861</v>
      </c>
      <c r="E907" s="29"/>
      <c r="F907" s="101" t="s">
        <v>15583</v>
      </c>
      <c r="G907" s="102" t="s">
        <v>15538</v>
      </c>
      <c r="H907" s="103" t="s">
        <v>15008</v>
      </c>
      <c r="I907" s="29"/>
      <c r="J907" s="29"/>
      <c r="K907" s="29"/>
      <c r="L907" s="29"/>
      <c r="M907" s="29"/>
      <c r="N907" s="29"/>
      <c r="O907" s="29"/>
      <c r="P907" s="29"/>
    </row>
    <row r="908" spans="1:16" ht="112.5" customHeight="1" x14ac:dyDescent="0.2">
      <c r="A908" s="75">
        <v>350</v>
      </c>
      <c r="B908" s="94" t="s">
        <v>3749</v>
      </c>
      <c r="C908" s="94" t="s">
        <v>14402</v>
      </c>
      <c r="D908" s="95" t="s">
        <v>14403</v>
      </c>
      <c r="E908" s="96"/>
      <c r="F908" s="97" t="s">
        <v>15596</v>
      </c>
      <c r="G908" s="98" t="s">
        <v>16026</v>
      </c>
      <c r="H908" s="99" t="s">
        <v>15041</v>
      </c>
      <c r="I908" s="29"/>
      <c r="J908" s="29"/>
      <c r="K908" s="29"/>
      <c r="L908" s="29"/>
      <c r="M908" s="29"/>
      <c r="N908" s="29"/>
      <c r="O908" s="29"/>
      <c r="P908" s="29"/>
    </row>
    <row r="909" spans="1:16" ht="112.5" customHeight="1" x14ac:dyDescent="0.2">
      <c r="A909" s="75">
        <v>351</v>
      </c>
      <c r="B909" s="94" t="s">
        <v>3749</v>
      </c>
      <c r="C909" s="94" t="s">
        <v>13717</v>
      </c>
      <c r="D909" s="95" t="s">
        <v>13718</v>
      </c>
      <c r="E909" s="96"/>
      <c r="F909" s="97" t="s">
        <v>15609</v>
      </c>
      <c r="G909" s="98" t="s">
        <v>16027</v>
      </c>
      <c r="H909" s="99" t="s">
        <v>15303</v>
      </c>
      <c r="I909" s="29"/>
      <c r="J909" s="29"/>
      <c r="K909" s="29"/>
      <c r="L909" s="29"/>
      <c r="M909" s="29"/>
      <c r="N909" s="29"/>
      <c r="O909" s="29"/>
      <c r="P909" s="29"/>
    </row>
    <row r="910" spans="1:16" ht="112.5" hidden="1" customHeight="1" x14ac:dyDescent="0.3">
      <c r="A910" s="100">
        <v>4026</v>
      </c>
      <c r="B910" s="24" t="s">
        <v>3749</v>
      </c>
      <c r="C910" s="24" t="s">
        <v>13562</v>
      </c>
      <c r="D910" s="25" t="s">
        <v>13563</v>
      </c>
      <c r="E910" s="29"/>
      <c r="F910" s="101" t="s">
        <v>15935</v>
      </c>
      <c r="G910" s="102" t="s">
        <v>15538</v>
      </c>
      <c r="H910" s="103" t="s">
        <v>15430</v>
      </c>
      <c r="I910" s="29"/>
      <c r="J910" s="29"/>
      <c r="K910" s="29"/>
      <c r="L910" s="29"/>
      <c r="M910" s="29"/>
      <c r="N910" s="29"/>
      <c r="O910" s="29"/>
      <c r="P910" s="29"/>
    </row>
  </sheetData>
  <autoFilter ref="G1:G910" xr:uid="{00000000-0009-0000-0000-000006000000}">
    <filterColumn colId="0">
      <filters>
        <filter val="1,000.0"/>
        <filter val="1,800.0"/>
        <filter val="10,000.0"/>
        <filter val="10.0"/>
        <filter val="100,000.0"/>
        <filter val="100.0"/>
        <filter val="108,388.0"/>
        <filter val="108,877.0"/>
        <filter val="109,319.0"/>
        <filter val="109,603.0"/>
        <filter val="109,640.0"/>
        <filter val="109,760.0"/>
        <filter val="109,818.0"/>
        <filter val="109,868.0"/>
        <filter val="109,974.0"/>
        <filter val="109,998.0"/>
        <filter val="110,000.0"/>
        <filter val="110.0"/>
        <filter val="118,776.0"/>
        <filter val="118.0"/>
        <filter val="12,895.0"/>
        <filter val="12.0"/>
        <filter val="138,001.0"/>
        <filter val="15,010.0"/>
        <filter val="17.0"/>
        <filter val="18,430.0"/>
        <filter val="195.0"/>
        <filter val="198.0"/>
        <filter val="2,422.0"/>
        <filter val="2,525.0"/>
        <filter val="2,766.0"/>
        <filter val="208.0"/>
        <filter val="237.0"/>
        <filter val="3,132.0"/>
        <filter val="3,532.0"/>
        <filter val="3,987.0"/>
        <filter val="307.0"/>
        <filter val="327.0"/>
        <filter val="37.0"/>
        <filter val="371.0"/>
        <filter val="379.0"/>
        <filter val="42,040.0"/>
        <filter val="430.0"/>
        <filter val="44.0"/>
        <filter val="456.0"/>
        <filter val="46.0"/>
        <filter val="47.0"/>
        <filter val="49.0"/>
        <filter val="497.0"/>
        <filter val="5,156.0"/>
        <filter val="5,162.0"/>
        <filter val="5,178.0"/>
        <filter val="5,214.0"/>
        <filter val="5,590.0"/>
        <filter val="5,808.0"/>
        <filter val="5.0"/>
        <filter val="50.0"/>
        <filter val="527.0"/>
        <filter val="574.0"/>
        <filter val="579.0"/>
        <filter val="585.0"/>
        <filter val="6,426.0"/>
        <filter val="6,867.0"/>
        <filter val="608.0"/>
        <filter val="610.0"/>
        <filter val="613.0"/>
        <filter val="628.0"/>
        <filter val="632.0"/>
        <filter val="638.0"/>
        <filter val="662.0"/>
        <filter val="665.0"/>
        <filter val="687.0"/>
        <filter val="69.0"/>
        <filter val="7,428.0"/>
        <filter val="7,562.0"/>
        <filter val="7,708.0"/>
        <filter val="7,853.0"/>
        <filter val="700.0"/>
        <filter val="704.0"/>
        <filter val="706.0"/>
        <filter val="713.0"/>
        <filter val="740.0"/>
        <filter val="742.0"/>
        <filter val="765.0"/>
        <filter val="768.0"/>
        <filter val="77.0"/>
        <filter val="78.0"/>
        <filter val="781.0"/>
        <filter val="783.0"/>
        <filter val="79.0"/>
        <filter val="8,150.0"/>
        <filter val="8,277.0"/>
        <filter val="8,288.0"/>
        <filter val="8,729.0"/>
        <filter val="8,805.0"/>
        <filter val="8,814.0"/>
        <filter val="8,885.0"/>
        <filter val="81.0"/>
        <filter val="812.0"/>
        <filter val="814.0"/>
        <filter val="826.0"/>
        <filter val="827.0"/>
        <filter val="835.0"/>
        <filter val="836.0"/>
        <filter val="839.0"/>
        <filter val="840.0"/>
        <filter val="847.0"/>
        <filter val="85,511.0"/>
        <filter val="85.0"/>
        <filter val="855.0"/>
        <filter val="859.0"/>
        <filter val="860.0"/>
        <filter val="863.0"/>
        <filter val="865.0"/>
        <filter val="87.0"/>
        <filter val="870.0"/>
        <filter val="871.0"/>
        <filter val="875.0"/>
        <filter val="877.0"/>
        <filter val="88,318.0"/>
        <filter val="88.0"/>
        <filter val="880.0"/>
        <filter val="888.0"/>
        <filter val="89,890.0"/>
        <filter val="89.0"/>
        <filter val="890.0"/>
        <filter val="894.0"/>
        <filter val="895.0"/>
        <filter val="899.0"/>
        <filter val="9,048.0"/>
        <filter val="9,051.0"/>
        <filter val="9,084.0"/>
        <filter val="9,113.0"/>
        <filter val="9,165.0"/>
        <filter val="9,234.0"/>
        <filter val="9,300.0"/>
        <filter val="9,358.0"/>
        <filter val="9,361.0"/>
        <filter val="9,370.0"/>
        <filter val="9,391.0"/>
        <filter val="9,394.0"/>
        <filter val="9,451.0"/>
        <filter val="9,460.0"/>
        <filter val="9,549.0"/>
        <filter val="9,606.0"/>
        <filter val="9,613.0"/>
        <filter val="9,701.0"/>
        <filter val="9,737.0"/>
        <filter val="9,740.0"/>
        <filter val="9,787.0"/>
        <filter val="9,788.0"/>
        <filter val="9,805.0"/>
        <filter val="9,812.0"/>
        <filter val="9,851.0"/>
        <filter val="9,878.0"/>
        <filter val="9,884.0"/>
        <filter val="9,897.0"/>
        <filter val="9,935.0"/>
        <filter val="9,941.0"/>
        <filter val="9,950.0"/>
        <filter val="9,960.0"/>
        <filter val="9,962.0"/>
        <filter val="9,970.0"/>
        <filter val="9,985.0"/>
        <filter val="9,999.0"/>
        <filter val="90,241.0"/>
        <filter val="900.0"/>
        <filter val="906.0"/>
        <filter val="91,590.0"/>
        <filter val="91,605.0"/>
        <filter val="91.0"/>
        <filter val="910.0"/>
        <filter val="915.0"/>
        <filter val="916.0"/>
        <filter val="92,175.0"/>
        <filter val="920.0"/>
        <filter val="924.0"/>
        <filter val="927.0"/>
        <filter val="93.0"/>
        <filter val="930.0"/>
        <filter val="931.0"/>
        <filter val="932.0"/>
        <filter val="94,292.0"/>
        <filter val="94,511.0"/>
        <filter val="94,748.0"/>
        <filter val="940.0"/>
        <filter val="941.0"/>
        <filter val="949.0"/>
        <filter val="95,310.0"/>
        <filter val="95,917.0"/>
        <filter val="95.0"/>
        <filter val="950.0"/>
        <filter val="955.0"/>
        <filter val="96,115.0"/>
        <filter val="96.0"/>
        <filter val="960.0"/>
        <filter val="965.0"/>
        <filter val="969.0"/>
        <filter val="97,335.0"/>
        <filter val="97,394.0"/>
        <filter val="97,676.0"/>
        <filter val="970.0"/>
        <filter val="972.0"/>
        <filter val="973.0"/>
        <filter val="975.0"/>
        <filter val="976.0"/>
        <filter val="977.0"/>
        <filter val="979.0"/>
        <filter val="98,013.0"/>
        <filter val="98,112.0"/>
        <filter val="98,169.0"/>
        <filter val="98,214.0"/>
        <filter val="98,275.0"/>
        <filter val="98,382.0"/>
        <filter val="98,401.0"/>
        <filter val="98,442.0"/>
        <filter val="98,494.0"/>
        <filter val="98,729.0"/>
        <filter val="98,898.0"/>
        <filter val="98.0"/>
        <filter val="980,730.0"/>
        <filter val="980.0"/>
        <filter val="984.0"/>
        <filter val="986.0"/>
        <filter val="989.0"/>
        <filter val="99,259.0"/>
        <filter val="99,260.0"/>
        <filter val="99,266.0"/>
        <filter val="99,360.0"/>
        <filter val="99,403.0"/>
        <filter val="99,421.0"/>
        <filter val="99,424.0"/>
        <filter val="99,428.0"/>
        <filter val="99,475.0"/>
        <filter val="99,476.0"/>
        <filter val="99,592.0"/>
        <filter val="99,612.0"/>
        <filter val="99,638.0"/>
        <filter val="99,660.0"/>
        <filter val="99,703.0"/>
        <filter val="99,736.0"/>
        <filter val="99,762.0"/>
        <filter val="99,768.0"/>
        <filter val="99,818.0"/>
        <filter val="99,829.0"/>
        <filter val="99,834.0"/>
        <filter val="99,854.0"/>
        <filter val="99,874.0"/>
        <filter val="99,888.0"/>
        <filter val="99,896.0"/>
        <filter val="99,903.0"/>
        <filter val="99,915.0"/>
        <filter val="99,916.0"/>
        <filter val="99,933.0"/>
        <filter val="99,937.0"/>
        <filter val="99,958.0"/>
        <filter val="99,960.0"/>
        <filter val="99,965.0"/>
        <filter val="99,975.0"/>
        <filter val="99,986.0"/>
        <filter val="99,990.0"/>
        <filter val="99,995.0"/>
        <filter val="99,997.0"/>
        <filter val="99.0"/>
        <filter val="990.0"/>
        <filter val="991.0"/>
        <filter val="992.0"/>
        <filter val="993.0"/>
        <filter val="994.0"/>
        <filter val="995.0"/>
        <filter val="997,727.0"/>
        <filter val="997.0"/>
        <filter val="998,275.0"/>
        <filter val="998,337.0"/>
        <filter val="998.0"/>
        <filter val="999,201.0"/>
        <filter val="999,523.0"/>
        <filter val="999,660.0"/>
        <filter val="999,970.0"/>
        <filter val="999,975.0"/>
        <filter val="999.0"/>
      </filters>
    </filterColumn>
  </autoFilter>
  <hyperlinks>
    <hyperlink ref="H2" r:id="rId1" xr:uid="{00000000-0004-0000-0600-000000000000}"/>
    <hyperlink ref="H3" r:id="rId2" xr:uid="{00000000-0004-0000-0600-000001000000}"/>
    <hyperlink ref="H4" r:id="rId3" xr:uid="{00000000-0004-0000-0600-000002000000}"/>
    <hyperlink ref="H5" r:id="rId4" xr:uid="{00000000-0004-0000-0600-000003000000}"/>
    <hyperlink ref="H6" r:id="rId5" xr:uid="{00000000-0004-0000-0600-000004000000}"/>
    <hyperlink ref="H7" r:id="rId6" xr:uid="{00000000-0004-0000-0600-000005000000}"/>
    <hyperlink ref="H8" r:id="rId7" xr:uid="{00000000-0004-0000-0600-000006000000}"/>
    <hyperlink ref="H9" r:id="rId8" xr:uid="{00000000-0004-0000-0600-000007000000}"/>
    <hyperlink ref="H10" r:id="rId9" xr:uid="{00000000-0004-0000-0600-000008000000}"/>
    <hyperlink ref="H11" r:id="rId10" xr:uid="{00000000-0004-0000-0600-000009000000}"/>
    <hyperlink ref="H12" r:id="rId11" xr:uid="{00000000-0004-0000-0600-00000A000000}"/>
    <hyperlink ref="H13" r:id="rId12" xr:uid="{00000000-0004-0000-0600-00000B000000}"/>
    <hyperlink ref="H14" r:id="rId13" xr:uid="{00000000-0004-0000-0600-00000C000000}"/>
    <hyperlink ref="H15" r:id="rId14" xr:uid="{00000000-0004-0000-0600-00000D000000}"/>
    <hyperlink ref="H16" r:id="rId15" xr:uid="{00000000-0004-0000-0600-00000E000000}"/>
    <hyperlink ref="H17" r:id="rId16" xr:uid="{00000000-0004-0000-0600-00000F000000}"/>
    <hyperlink ref="H18" r:id="rId17" xr:uid="{00000000-0004-0000-0600-000010000000}"/>
    <hyperlink ref="H19" r:id="rId18" xr:uid="{00000000-0004-0000-0600-000011000000}"/>
    <hyperlink ref="H20" r:id="rId19" xr:uid="{00000000-0004-0000-0600-000012000000}"/>
    <hyperlink ref="H21" r:id="rId20" xr:uid="{00000000-0004-0000-0600-000013000000}"/>
    <hyperlink ref="H22" r:id="rId21" xr:uid="{00000000-0004-0000-0600-000014000000}"/>
    <hyperlink ref="H23" r:id="rId22" xr:uid="{00000000-0004-0000-0600-000015000000}"/>
    <hyperlink ref="H24" r:id="rId23" xr:uid="{00000000-0004-0000-0600-000016000000}"/>
    <hyperlink ref="H25" r:id="rId24" xr:uid="{00000000-0004-0000-0600-000017000000}"/>
    <hyperlink ref="H26" r:id="rId25" xr:uid="{00000000-0004-0000-0600-000018000000}"/>
    <hyperlink ref="H27" r:id="rId26" xr:uid="{00000000-0004-0000-0600-000019000000}"/>
    <hyperlink ref="H28" r:id="rId27" xr:uid="{00000000-0004-0000-0600-00001A000000}"/>
    <hyperlink ref="H29" r:id="rId28" xr:uid="{00000000-0004-0000-0600-00001B000000}"/>
    <hyperlink ref="H30" r:id="rId29" xr:uid="{00000000-0004-0000-0600-00001C000000}"/>
    <hyperlink ref="H31" r:id="rId30" xr:uid="{00000000-0004-0000-0600-00001D000000}"/>
    <hyperlink ref="H32" r:id="rId31" xr:uid="{00000000-0004-0000-0600-00001E000000}"/>
    <hyperlink ref="H33" r:id="rId32" xr:uid="{00000000-0004-0000-0600-00001F000000}"/>
    <hyperlink ref="H34" r:id="rId33" xr:uid="{00000000-0004-0000-0600-000020000000}"/>
    <hyperlink ref="H35" r:id="rId34" xr:uid="{00000000-0004-0000-0600-000021000000}"/>
    <hyperlink ref="H36" r:id="rId35" xr:uid="{00000000-0004-0000-0600-000022000000}"/>
    <hyperlink ref="H37" r:id="rId36" xr:uid="{00000000-0004-0000-0600-000023000000}"/>
    <hyperlink ref="H38" r:id="rId37" xr:uid="{00000000-0004-0000-0600-000024000000}"/>
    <hyperlink ref="H39" r:id="rId38" xr:uid="{00000000-0004-0000-0600-000025000000}"/>
    <hyperlink ref="H40" r:id="rId39" xr:uid="{00000000-0004-0000-0600-000026000000}"/>
    <hyperlink ref="H41" r:id="rId40" xr:uid="{00000000-0004-0000-0600-000027000000}"/>
    <hyperlink ref="H42" r:id="rId41" xr:uid="{00000000-0004-0000-0600-000028000000}"/>
    <hyperlink ref="H43" r:id="rId42" xr:uid="{00000000-0004-0000-0600-000029000000}"/>
    <hyperlink ref="H44" r:id="rId43" xr:uid="{00000000-0004-0000-0600-00002A000000}"/>
    <hyperlink ref="H45" r:id="rId44" xr:uid="{00000000-0004-0000-0600-00002B000000}"/>
    <hyperlink ref="H46" r:id="rId45" xr:uid="{00000000-0004-0000-0600-00002C000000}"/>
    <hyperlink ref="H47" r:id="rId46" xr:uid="{00000000-0004-0000-0600-00002D000000}"/>
    <hyperlink ref="H48" r:id="rId47" xr:uid="{00000000-0004-0000-0600-00002E000000}"/>
    <hyperlink ref="H49" r:id="rId48" xr:uid="{00000000-0004-0000-0600-00002F000000}"/>
    <hyperlink ref="H50" r:id="rId49" xr:uid="{00000000-0004-0000-0600-000030000000}"/>
    <hyperlink ref="H51" r:id="rId50" xr:uid="{00000000-0004-0000-0600-000031000000}"/>
    <hyperlink ref="H52" r:id="rId51" xr:uid="{00000000-0004-0000-0600-000032000000}"/>
    <hyperlink ref="H53" r:id="rId52" xr:uid="{00000000-0004-0000-0600-000033000000}"/>
    <hyperlink ref="H54" r:id="rId53" xr:uid="{00000000-0004-0000-0600-000034000000}"/>
    <hyperlink ref="H55" r:id="rId54" xr:uid="{00000000-0004-0000-0600-000035000000}"/>
    <hyperlink ref="H56" r:id="rId55" xr:uid="{00000000-0004-0000-0600-000036000000}"/>
    <hyperlink ref="H57" r:id="rId56" xr:uid="{00000000-0004-0000-0600-000037000000}"/>
    <hyperlink ref="H58" r:id="rId57" xr:uid="{00000000-0004-0000-0600-000038000000}"/>
    <hyperlink ref="H59" r:id="rId58" xr:uid="{00000000-0004-0000-0600-000039000000}"/>
    <hyperlink ref="H60" r:id="rId59" xr:uid="{00000000-0004-0000-0600-00003A000000}"/>
    <hyperlink ref="H61" r:id="rId60" xr:uid="{00000000-0004-0000-0600-00003B000000}"/>
    <hyperlink ref="H62" r:id="rId61" xr:uid="{00000000-0004-0000-0600-00003C000000}"/>
    <hyperlink ref="H63" r:id="rId62" xr:uid="{00000000-0004-0000-0600-00003D000000}"/>
    <hyperlink ref="H64" r:id="rId63" xr:uid="{00000000-0004-0000-0600-00003E000000}"/>
    <hyperlink ref="H65" r:id="rId64" xr:uid="{00000000-0004-0000-0600-00003F000000}"/>
    <hyperlink ref="H66" r:id="rId65" xr:uid="{00000000-0004-0000-0600-000040000000}"/>
    <hyperlink ref="H67" r:id="rId66" xr:uid="{00000000-0004-0000-0600-000041000000}"/>
    <hyperlink ref="H68" r:id="rId67" xr:uid="{00000000-0004-0000-0600-000042000000}"/>
    <hyperlink ref="H69" r:id="rId68" xr:uid="{00000000-0004-0000-0600-000043000000}"/>
    <hyperlink ref="H70" r:id="rId69" xr:uid="{00000000-0004-0000-0600-000044000000}"/>
    <hyperlink ref="H71" r:id="rId70" xr:uid="{00000000-0004-0000-0600-000045000000}"/>
    <hyperlink ref="H72" r:id="rId71" xr:uid="{00000000-0004-0000-0600-000046000000}"/>
    <hyperlink ref="H73" r:id="rId72" xr:uid="{00000000-0004-0000-0600-000047000000}"/>
    <hyperlink ref="H74" r:id="rId73" xr:uid="{00000000-0004-0000-0600-000048000000}"/>
    <hyperlink ref="H75" r:id="rId74" xr:uid="{00000000-0004-0000-0600-000049000000}"/>
    <hyperlink ref="H76" r:id="rId75" xr:uid="{00000000-0004-0000-0600-00004A000000}"/>
    <hyperlink ref="H77" r:id="rId76" xr:uid="{00000000-0004-0000-0600-00004B000000}"/>
    <hyperlink ref="H78" r:id="rId77" xr:uid="{00000000-0004-0000-0600-00004C000000}"/>
    <hyperlink ref="H79" r:id="rId78" xr:uid="{00000000-0004-0000-0600-00004D000000}"/>
    <hyperlink ref="H80" r:id="rId79" xr:uid="{00000000-0004-0000-0600-00004E000000}"/>
    <hyperlink ref="H81" r:id="rId80" xr:uid="{00000000-0004-0000-0600-00004F000000}"/>
    <hyperlink ref="H82" r:id="rId81" xr:uid="{00000000-0004-0000-0600-000050000000}"/>
    <hyperlink ref="H83" r:id="rId82" xr:uid="{00000000-0004-0000-0600-000051000000}"/>
    <hyperlink ref="H84" r:id="rId83" xr:uid="{00000000-0004-0000-0600-000052000000}"/>
    <hyperlink ref="H85" r:id="rId84" xr:uid="{00000000-0004-0000-0600-000053000000}"/>
    <hyperlink ref="H86" r:id="rId85" xr:uid="{00000000-0004-0000-0600-000054000000}"/>
    <hyperlink ref="H87" r:id="rId86" xr:uid="{00000000-0004-0000-0600-000055000000}"/>
    <hyperlink ref="H88" r:id="rId87" xr:uid="{00000000-0004-0000-0600-000056000000}"/>
    <hyperlink ref="H89" r:id="rId88" xr:uid="{00000000-0004-0000-0600-000057000000}"/>
    <hyperlink ref="H90" r:id="rId89" xr:uid="{00000000-0004-0000-0600-000058000000}"/>
    <hyperlink ref="H91" r:id="rId90" xr:uid="{00000000-0004-0000-0600-000059000000}"/>
    <hyperlink ref="H92" r:id="rId91" xr:uid="{00000000-0004-0000-0600-00005A000000}"/>
    <hyperlink ref="H93" r:id="rId92" xr:uid="{00000000-0004-0000-0600-00005B000000}"/>
    <hyperlink ref="H94" r:id="rId93" xr:uid="{00000000-0004-0000-0600-00005C000000}"/>
    <hyperlink ref="H95" r:id="rId94" xr:uid="{00000000-0004-0000-0600-00005D000000}"/>
    <hyperlink ref="H96" r:id="rId95" xr:uid="{00000000-0004-0000-0600-00005E000000}"/>
    <hyperlink ref="H97" r:id="rId96" xr:uid="{00000000-0004-0000-0600-00005F000000}"/>
    <hyperlink ref="H98" r:id="rId97" xr:uid="{00000000-0004-0000-0600-000060000000}"/>
    <hyperlink ref="H99" r:id="rId98" xr:uid="{00000000-0004-0000-0600-000061000000}"/>
    <hyperlink ref="H100" r:id="rId99" xr:uid="{00000000-0004-0000-0600-000062000000}"/>
    <hyperlink ref="H101" r:id="rId100" xr:uid="{00000000-0004-0000-0600-000063000000}"/>
    <hyperlink ref="H102" r:id="rId101" xr:uid="{00000000-0004-0000-0600-000064000000}"/>
    <hyperlink ref="H103" r:id="rId102" xr:uid="{00000000-0004-0000-0600-000065000000}"/>
    <hyperlink ref="H104" r:id="rId103" xr:uid="{00000000-0004-0000-0600-000066000000}"/>
    <hyperlink ref="H105" r:id="rId104" xr:uid="{00000000-0004-0000-0600-000067000000}"/>
    <hyperlink ref="H106" r:id="rId105" xr:uid="{00000000-0004-0000-0600-000068000000}"/>
    <hyperlink ref="H107" r:id="rId106" xr:uid="{00000000-0004-0000-0600-000069000000}"/>
    <hyperlink ref="H108" r:id="rId107" xr:uid="{00000000-0004-0000-0600-00006A000000}"/>
    <hyperlink ref="H109" r:id="rId108" xr:uid="{00000000-0004-0000-0600-00006B000000}"/>
    <hyperlink ref="H110" r:id="rId109" xr:uid="{00000000-0004-0000-0600-00006C000000}"/>
    <hyperlink ref="H111" r:id="rId110" xr:uid="{00000000-0004-0000-0600-00006D000000}"/>
    <hyperlink ref="H112" r:id="rId111" xr:uid="{00000000-0004-0000-0600-00006E000000}"/>
    <hyperlink ref="H113" r:id="rId112" xr:uid="{00000000-0004-0000-0600-00006F000000}"/>
    <hyperlink ref="H114" r:id="rId113" xr:uid="{00000000-0004-0000-0600-000070000000}"/>
    <hyperlink ref="H115" r:id="rId114" xr:uid="{00000000-0004-0000-0600-000071000000}"/>
    <hyperlink ref="H116" r:id="rId115" xr:uid="{00000000-0004-0000-0600-000072000000}"/>
    <hyperlink ref="H117" r:id="rId116" xr:uid="{00000000-0004-0000-0600-000073000000}"/>
    <hyperlink ref="H118" r:id="rId117" xr:uid="{00000000-0004-0000-0600-000074000000}"/>
    <hyperlink ref="H119" r:id="rId118" xr:uid="{00000000-0004-0000-0600-000075000000}"/>
    <hyperlink ref="H120" r:id="rId119" xr:uid="{00000000-0004-0000-0600-000076000000}"/>
    <hyperlink ref="H121" r:id="rId120" xr:uid="{00000000-0004-0000-0600-000077000000}"/>
    <hyperlink ref="H122" r:id="rId121" xr:uid="{00000000-0004-0000-0600-000078000000}"/>
    <hyperlink ref="H123" r:id="rId122" xr:uid="{00000000-0004-0000-0600-000079000000}"/>
    <hyperlink ref="H124" r:id="rId123" xr:uid="{00000000-0004-0000-0600-00007A000000}"/>
    <hyperlink ref="H125" r:id="rId124" xr:uid="{00000000-0004-0000-0600-00007B000000}"/>
    <hyperlink ref="H126" r:id="rId125" xr:uid="{00000000-0004-0000-0600-00007C000000}"/>
    <hyperlink ref="H127" r:id="rId126" xr:uid="{00000000-0004-0000-0600-00007D000000}"/>
    <hyperlink ref="H128" r:id="rId127" xr:uid="{00000000-0004-0000-0600-00007E000000}"/>
    <hyperlink ref="H129" r:id="rId128" xr:uid="{00000000-0004-0000-0600-00007F000000}"/>
    <hyperlink ref="H130" r:id="rId129" xr:uid="{00000000-0004-0000-0600-000080000000}"/>
    <hyperlink ref="H131" r:id="rId130" xr:uid="{00000000-0004-0000-0600-000081000000}"/>
    <hyperlink ref="H132" r:id="rId131" xr:uid="{00000000-0004-0000-0600-000082000000}"/>
    <hyperlink ref="H133" r:id="rId132" xr:uid="{00000000-0004-0000-0600-000083000000}"/>
    <hyperlink ref="H134" r:id="rId133" xr:uid="{00000000-0004-0000-0600-000084000000}"/>
    <hyperlink ref="H135" r:id="rId134" xr:uid="{00000000-0004-0000-0600-000085000000}"/>
    <hyperlink ref="H136" r:id="rId135" xr:uid="{00000000-0004-0000-0600-000086000000}"/>
    <hyperlink ref="H137" r:id="rId136" xr:uid="{00000000-0004-0000-0600-000087000000}"/>
    <hyperlink ref="H138" r:id="rId137" xr:uid="{00000000-0004-0000-0600-000088000000}"/>
    <hyperlink ref="H139" r:id="rId138" xr:uid="{00000000-0004-0000-0600-000089000000}"/>
    <hyperlink ref="H140" r:id="rId139" xr:uid="{00000000-0004-0000-0600-00008A000000}"/>
    <hyperlink ref="H141" r:id="rId140" xr:uid="{00000000-0004-0000-0600-00008B000000}"/>
    <hyperlink ref="H142" r:id="rId141" xr:uid="{00000000-0004-0000-0600-00008C000000}"/>
    <hyperlink ref="H143" r:id="rId142" xr:uid="{00000000-0004-0000-0600-00008D000000}"/>
    <hyperlink ref="H144" r:id="rId143" xr:uid="{00000000-0004-0000-0600-00008E000000}"/>
    <hyperlink ref="H145" r:id="rId144" xr:uid="{00000000-0004-0000-0600-00008F000000}"/>
    <hyperlink ref="H146" r:id="rId145" xr:uid="{00000000-0004-0000-0600-000090000000}"/>
    <hyperlink ref="H147" r:id="rId146" xr:uid="{00000000-0004-0000-0600-000091000000}"/>
    <hyperlink ref="H148" r:id="rId147" xr:uid="{00000000-0004-0000-0600-000092000000}"/>
    <hyperlink ref="H149" r:id="rId148" xr:uid="{00000000-0004-0000-0600-000093000000}"/>
    <hyperlink ref="H150" r:id="rId149" xr:uid="{00000000-0004-0000-0600-000094000000}"/>
    <hyperlink ref="H151" r:id="rId150" xr:uid="{00000000-0004-0000-0600-000095000000}"/>
    <hyperlink ref="H152" r:id="rId151" xr:uid="{00000000-0004-0000-0600-000096000000}"/>
    <hyperlink ref="H153" r:id="rId152" xr:uid="{00000000-0004-0000-0600-000097000000}"/>
    <hyperlink ref="H154" r:id="rId153" xr:uid="{00000000-0004-0000-0600-000098000000}"/>
    <hyperlink ref="H155" r:id="rId154" xr:uid="{00000000-0004-0000-0600-000099000000}"/>
    <hyperlink ref="H156" r:id="rId155" xr:uid="{00000000-0004-0000-0600-00009A000000}"/>
    <hyperlink ref="H157" r:id="rId156" xr:uid="{00000000-0004-0000-0600-00009B000000}"/>
    <hyperlink ref="H158" r:id="rId157" xr:uid="{00000000-0004-0000-0600-00009C000000}"/>
    <hyperlink ref="H159" r:id="rId158" xr:uid="{00000000-0004-0000-0600-00009D000000}"/>
    <hyperlink ref="H160" r:id="rId159" xr:uid="{00000000-0004-0000-0600-00009E000000}"/>
    <hyperlink ref="H161" r:id="rId160" xr:uid="{00000000-0004-0000-0600-00009F000000}"/>
    <hyperlink ref="H162" r:id="rId161" xr:uid="{00000000-0004-0000-0600-0000A0000000}"/>
    <hyperlink ref="H163" r:id="rId162" xr:uid="{00000000-0004-0000-0600-0000A1000000}"/>
    <hyperlink ref="H164" r:id="rId163" xr:uid="{00000000-0004-0000-0600-0000A2000000}"/>
    <hyperlink ref="H165" r:id="rId164" xr:uid="{00000000-0004-0000-0600-0000A3000000}"/>
    <hyperlink ref="H166" r:id="rId165" xr:uid="{00000000-0004-0000-0600-0000A4000000}"/>
    <hyperlink ref="H167" r:id="rId166" xr:uid="{00000000-0004-0000-0600-0000A5000000}"/>
    <hyperlink ref="H168" r:id="rId167" xr:uid="{00000000-0004-0000-0600-0000A6000000}"/>
    <hyperlink ref="H169" r:id="rId168" xr:uid="{00000000-0004-0000-0600-0000A7000000}"/>
    <hyperlink ref="H170" r:id="rId169" xr:uid="{00000000-0004-0000-0600-0000A8000000}"/>
    <hyperlink ref="H171" r:id="rId170" xr:uid="{00000000-0004-0000-0600-0000A9000000}"/>
    <hyperlink ref="H172" r:id="rId171" xr:uid="{00000000-0004-0000-0600-0000AA000000}"/>
    <hyperlink ref="H173" r:id="rId172" xr:uid="{00000000-0004-0000-0600-0000AB000000}"/>
    <hyperlink ref="H174" r:id="rId173" xr:uid="{00000000-0004-0000-0600-0000AC000000}"/>
    <hyperlink ref="H175" r:id="rId174" xr:uid="{00000000-0004-0000-0600-0000AD000000}"/>
    <hyperlink ref="H176" r:id="rId175" xr:uid="{00000000-0004-0000-0600-0000AE000000}"/>
    <hyperlink ref="H177" r:id="rId176" xr:uid="{00000000-0004-0000-0600-0000AF000000}"/>
    <hyperlink ref="H178" r:id="rId177" xr:uid="{00000000-0004-0000-0600-0000B0000000}"/>
    <hyperlink ref="H179" r:id="rId178" xr:uid="{00000000-0004-0000-0600-0000B1000000}"/>
    <hyperlink ref="H180" r:id="rId179" xr:uid="{00000000-0004-0000-0600-0000B2000000}"/>
    <hyperlink ref="H181" r:id="rId180" xr:uid="{00000000-0004-0000-0600-0000B3000000}"/>
    <hyperlink ref="H182" r:id="rId181" xr:uid="{00000000-0004-0000-0600-0000B4000000}"/>
    <hyperlink ref="H183" r:id="rId182" xr:uid="{00000000-0004-0000-0600-0000B5000000}"/>
    <hyperlink ref="H184" r:id="rId183" xr:uid="{00000000-0004-0000-0600-0000B6000000}"/>
    <hyperlink ref="H185" r:id="rId184" xr:uid="{00000000-0004-0000-0600-0000B7000000}"/>
    <hyperlink ref="H186" r:id="rId185" xr:uid="{00000000-0004-0000-0600-0000B8000000}"/>
    <hyperlink ref="H187" r:id="rId186" xr:uid="{00000000-0004-0000-0600-0000B9000000}"/>
    <hyperlink ref="H188" r:id="rId187" xr:uid="{00000000-0004-0000-0600-0000BA000000}"/>
    <hyperlink ref="H189" r:id="rId188" xr:uid="{00000000-0004-0000-0600-0000BB000000}"/>
    <hyperlink ref="H190" r:id="rId189" xr:uid="{00000000-0004-0000-0600-0000BC000000}"/>
    <hyperlink ref="H191" r:id="rId190" xr:uid="{00000000-0004-0000-0600-0000BD000000}"/>
    <hyperlink ref="H192" r:id="rId191" xr:uid="{00000000-0004-0000-0600-0000BE000000}"/>
    <hyperlink ref="H193" r:id="rId192" xr:uid="{00000000-0004-0000-0600-0000BF000000}"/>
    <hyperlink ref="H194" r:id="rId193" xr:uid="{00000000-0004-0000-0600-0000C0000000}"/>
    <hyperlink ref="H195" r:id="rId194" xr:uid="{00000000-0004-0000-0600-0000C1000000}"/>
    <hyperlink ref="H196" r:id="rId195" xr:uid="{00000000-0004-0000-0600-0000C2000000}"/>
    <hyperlink ref="H197" r:id="rId196" xr:uid="{00000000-0004-0000-0600-0000C3000000}"/>
    <hyperlink ref="H198" r:id="rId197" xr:uid="{00000000-0004-0000-0600-0000C4000000}"/>
    <hyperlink ref="H199" r:id="rId198" xr:uid="{00000000-0004-0000-0600-0000C5000000}"/>
    <hyperlink ref="H200" r:id="rId199" xr:uid="{00000000-0004-0000-0600-0000C6000000}"/>
    <hyperlink ref="H201" r:id="rId200" xr:uid="{00000000-0004-0000-0600-0000C7000000}"/>
    <hyperlink ref="H202" r:id="rId201" xr:uid="{00000000-0004-0000-0600-0000C8000000}"/>
    <hyperlink ref="H203" r:id="rId202" xr:uid="{00000000-0004-0000-0600-0000C9000000}"/>
    <hyperlink ref="H204" r:id="rId203" xr:uid="{00000000-0004-0000-0600-0000CA000000}"/>
    <hyperlink ref="H205" r:id="rId204" xr:uid="{00000000-0004-0000-0600-0000CB000000}"/>
    <hyperlink ref="H206" r:id="rId205" xr:uid="{00000000-0004-0000-0600-0000CC000000}"/>
    <hyperlink ref="H207" r:id="rId206" xr:uid="{00000000-0004-0000-0600-0000CD000000}"/>
    <hyperlink ref="H208" r:id="rId207" xr:uid="{00000000-0004-0000-0600-0000CE000000}"/>
    <hyperlink ref="H209" r:id="rId208" xr:uid="{00000000-0004-0000-0600-0000CF000000}"/>
    <hyperlink ref="H210" r:id="rId209" xr:uid="{00000000-0004-0000-0600-0000D0000000}"/>
    <hyperlink ref="H211" r:id="rId210" xr:uid="{00000000-0004-0000-0600-0000D1000000}"/>
    <hyperlink ref="H212" r:id="rId211" xr:uid="{00000000-0004-0000-0600-0000D2000000}"/>
    <hyperlink ref="H213" r:id="rId212" xr:uid="{00000000-0004-0000-0600-0000D3000000}"/>
    <hyperlink ref="H214" r:id="rId213" xr:uid="{00000000-0004-0000-0600-0000D4000000}"/>
    <hyperlink ref="H215" r:id="rId214" xr:uid="{00000000-0004-0000-0600-0000D5000000}"/>
    <hyperlink ref="H216" r:id="rId215" xr:uid="{00000000-0004-0000-0600-0000D6000000}"/>
    <hyperlink ref="H217" r:id="rId216" xr:uid="{00000000-0004-0000-0600-0000D7000000}"/>
    <hyperlink ref="H218" r:id="rId217" xr:uid="{00000000-0004-0000-0600-0000D8000000}"/>
    <hyperlink ref="H219" r:id="rId218" xr:uid="{00000000-0004-0000-0600-0000D9000000}"/>
    <hyperlink ref="H220" r:id="rId219" xr:uid="{00000000-0004-0000-0600-0000DA000000}"/>
    <hyperlink ref="H221" r:id="rId220" xr:uid="{00000000-0004-0000-0600-0000DB000000}"/>
    <hyperlink ref="H222" r:id="rId221" xr:uid="{00000000-0004-0000-0600-0000DC000000}"/>
    <hyperlink ref="H223" r:id="rId222" xr:uid="{00000000-0004-0000-0600-0000DD000000}"/>
    <hyperlink ref="H224" r:id="rId223" xr:uid="{00000000-0004-0000-0600-0000DE000000}"/>
    <hyperlink ref="H225" r:id="rId224" xr:uid="{00000000-0004-0000-0600-0000DF000000}"/>
    <hyperlink ref="H226" r:id="rId225" xr:uid="{00000000-0004-0000-0600-0000E0000000}"/>
    <hyperlink ref="H227" r:id="rId226" xr:uid="{00000000-0004-0000-0600-0000E1000000}"/>
    <hyperlink ref="H228" r:id="rId227" xr:uid="{00000000-0004-0000-0600-0000E2000000}"/>
    <hyperlink ref="H229" r:id="rId228" xr:uid="{00000000-0004-0000-0600-0000E3000000}"/>
    <hyperlink ref="H230" r:id="rId229" xr:uid="{00000000-0004-0000-0600-0000E4000000}"/>
    <hyperlink ref="H231" r:id="rId230" xr:uid="{00000000-0004-0000-0600-0000E5000000}"/>
    <hyperlink ref="H232" r:id="rId231" xr:uid="{00000000-0004-0000-0600-0000E6000000}"/>
    <hyperlink ref="H233" r:id="rId232" xr:uid="{00000000-0004-0000-0600-0000E7000000}"/>
    <hyperlink ref="H234" r:id="rId233" xr:uid="{00000000-0004-0000-0600-0000E8000000}"/>
    <hyperlink ref="H235" r:id="rId234" xr:uid="{00000000-0004-0000-0600-0000E9000000}"/>
    <hyperlink ref="H236" r:id="rId235" xr:uid="{00000000-0004-0000-0600-0000EA000000}"/>
    <hyperlink ref="H237" r:id="rId236" xr:uid="{00000000-0004-0000-0600-0000EB000000}"/>
    <hyperlink ref="H238" r:id="rId237" xr:uid="{00000000-0004-0000-0600-0000EC000000}"/>
    <hyperlink ref="H239" r:id="rId238" xr:uid="{00000000-0004-0000-0600-0000ED000000}"/>
    <hyperlink ref="H240" r:id="rId239" xr:uid="{00000000-0004-0000-0600-0000EE000000}"/>
    <hyperlink ref="H241" r:id="rId240" xr:uid="{00000000-0004-0000-0600-0000EF000000}"/>
    <hyperlink ref="H242" r:id="rId241" xr:uid="{00000000-0004-0000-0600-0000F0000000}"/>
    <hyperlink ref="H243" r:id="rId242" xr:uid="{00000000-0004-0000-0600-0000F1000000}"/>
    <hyperlink ref="H244" r:id="rId243" xr:uid="{00000000-0004-0000-0600-0000F2000000}"/>
    <hyperlink ref="H245" r:id="rId244" xr:uid="{00000000-0004-0000-0600-0000F3000000}"/>
    <hyperlink ref="H246" r:id="rId245" xr:uid="{00000000-0004-0000-0600-0000F4000000}"/>
    <hyperlink ref="H247" r:id="rId246" xr:uid="{00000000-0004-0000-0600-0000F5000000}"/>
    <hyperlink ref="H248" r:id="rId247" xr:uid="{00000000-0004-0000-0600-0000F6000000}"/>
    <hyperlink ref="H249" r:id="rId248" xr:uid="{00000000-0004-0000-0600-0000F7000000}"/>
    <hyperlink ref="H250" r:id="rId249" xr:uid="{00000000-0004-0000-0600-0000F8000000}"/>
    <hyperlink ref="H251" r:id="rId250" xr:uid="{00000000-0004-0000-0600-0000F9000000}"/>
    <hyperlink ref="H252" r:id="rId251" xr:uid="{00000000-0004-0000-0600-0000FA000000}"/>
    <hyperlink ref="H253" r:id="rId252" xr:uid="{00000000-0004-0000-0600-0000FB000000}"/>
    <hyperlink ref="H254" r:id="rId253" xr:uid="{00000000-0004-0000-0600-0000FC000000}"/>
    <hyperlink ref="H255" r:id="rId254" xr:uid="{00000000-0004-0000-0600-0000FD000000}"/>
    <hyperlink ref="H256" r:id="rId255" xr:uid="{00000000-0004-0000-0600-0000FE000000}"/>
    <hyperlink ref="H257" r:id="rId256" xr:uid="{00000000-0004-0000-0600-0000FF000000}"/>
    <hyperlink ref="H258" r:id="rId257" xr:uid="{00000000-0004-0000-0600-000000010000}"/>
    <hyperlink ref="H259" r:id="rId258" xr:uid="{00000000-0004-0000-0600-000001010000}"/>
    <hyperlink ref="H260" r:id="rId259" xr:uid="{00000000-0004-0000-0600-000002010000}"/>
    <hyperlink ref="H261" r:id="rId260" xr:uid="{00000000-0004-0000-0600-000003010000}"/>
    <hyperlink ref="H262" r:id="rId261" xr:uid="{00000000-0004-0000-0600-000004010000}"/>
    <hyperlink ref="H263" r:id="rId262" xr:uid="{00000000-0004-0000-0600-000005010000}"/>
    <hyperlink ref="H264" r:id="rId263" xr:uid="{00000000-0004-0000-0600-000006010000}"/>
    <hyperlink ref="H265" r:id="rId264" xr:uid="{00000000-0004-0000-0600-000007010000}"/>
    <hyperlink ref="H266" r:id="rId265" xr:uid="{00000000-0004-0000-0600-000008010000}"/>
    <hyperlink ref="H267" r:id="rId266" xr:uid="{00000000-0004-0000-0600-000009010000}"/>
    <hyperlink ref="H268" r:id="rId267" xr:uid="{00000000-0004-0000-0600-00000A010000}"/>
    <hyperlink ref="H269" r:id="rId268" xr:uid="{00000000-0004-0000-0600-00000B010000}"/>
    <hyperlink ref="H270" r:id="rId269" xr:uid="{00000000-0004-0000-0600-00000C010000}"/>
    <hyperlink ref="H271" r:id="rId270" xr:uid="{00000000-0004-0000-0600-00000D010000}"/>
    <hyperlink ref="H272" r:id="rId271" xr:uid="{00000000-0004-0000-0600-00000E010000}"/>
    <hyperlink ref="H273" r:id="rId272" xr:uid="{00000000-0004-0000-0600-00000F010000}"/>
    <hyperlink ref="H274" r:id="rId273" xr:uid="{00000000-0004-0000-0600-000010010000}"/>
    <hyperlink ref="H275" r:id="rId274" xr:uid="{00000000-0004-0000-0600-000011010000}"/>
    <hyperlink ref="H276" r:id="rId275" xr:uid="{00000000-0004-0000-0600-000012010000}"/>
    <hyperlink ref="H277" r:id="rId276" xr:uid="{00000000-0004-0000-0600-000013010000}"/>
    <hyperlink ref="H278" r:id="rId277" xr:uid="{00000000-0004-0000-0600-000014010000}"/>
    <hyperlink ref="H279" r:id="rId278" xr:uid="{00000000-0004-0000-0600-000015010000}"/>
    <hyperlink ref="H280" r:id="rId279" xr:uid="{00000000-0004-0000-0600-000016010000}"/>
    <hyperlink ref="H281" r:id="rId280" xr:uid="{00000000-0004-0000-0600-000017010000}"/>
    <hyperlink ref="H282" r:id="rId281" xr:uid="{00000000-0004-0000-0600-000018010000}"/>
    <hyperlink ref="H283" r:id="rId282" xr:uid="{00000000-0004-0000-0600-000019010000}"/>
    <hyperlink ref="H284" r:id="rId283" xr:uid="{00000000-0004-0000-0600-00001A010000}"/>
    <hyperlink ref="H285" r:id="rId284" xr:uid="{00000000-0004-0000-0600-00001B010000}"/>
    <hyperlink ref="H286" r:id="rId285" xr:uid="{00000000-0004-0000-0600-00001C010000}"/>
    <hyperlink ref="H287" r:id="rId286" xr:uid="{00000000-0004-0000-0600-00001D010000}"/>
    <hyperlink ref="H288" r:id="rId287" xr:uid="{00000000-0004-0000-0600-00001E010000}"/>
    <hyperlink ref="H289" r:id="rId288" xr:uid="{00000000-0004-0000-0600-00001F010000}"/>
    <hyperlink ref="H290" r:id="rId289" xr:uid="{00000000-0004-0000-0600-000020010000}"/>
    <hyperlink ref="H291" r:id="rId290" xr:uid="{00000000-0004-0000-0600-000021010000}"/>
    <hyperlink ref="H292" r:id="rId291" xr:uid="{00000000-0004-0000-0600-000022010000}"/>
    <hyperlink ref="H293" r:id="rId292" xr:uid="{00000000-0004-0000-0600-000023010000}"/>
    <hyperlink ref="H294" r:id="rId293" xr:uid="{00000000-0004-0000-0600-000024010000}"/>
    <hyperlink ref="H295" r:id="rId294" xr:uid="{00000000-0004-0000-0600-000025010000}"/>
    <hyperlink ref="H296" r:id="rId295" xr:uid="{00000000-0004-0000-0600-000026010000}"/>
    <hyperlink ref="H297" r:id="rId296" xr:uid="{00000000-0004-0000-0600-000027010000}"/>
    <hyperlink ref="H298" r:id="rId297" xr:uid="{00000000-0004-0000-0600-000028010000}"/>
    <hyperlink ref="H299" r:id="rId298" xr:uid="{00000000-0004-0000-0600-000029010000}"/>
    <hyperlink ref="H300" r:id="rId299" xr:uid="{00000000-0004-0000-0600-00002A010000}"/>
    <hyperlink ref="H301" r:id="rId300" xr:uid="{00000000-0004-0000-0600-00002B010000}"/>
    <hyperlink ref="H302" r:id="rId301" xr:uid="{00000000-0004-0000-0600-00002C010000}"/>
    <hyperlink ref="H303" r:id="rId302" xr:uid="{00000000-0004-0000-0600-00002D010000}"/>
    <hyperlink ref="H304" r:id="rId303" xr:uid="{00000000-0004-0000-0600-00002E010000}"/>
    <hyperlink ref="H305" r:id="rId304" xr:uid="{00000000-0004-0000-0600-00002F010000}"/>
    <hyperlink ref="H306" r:id="rId305" xr:uid="{00000000-0004-0000-0600-000030010000}"/>
    <hyperlink ref="H307" r:id="rId306" xr:uid="{00000000-0004-0000-0600-000031010000}"/>
    <hyperlink ref="H308" r:id="rId307" xr:uid="{00000000-0004-0000-0600-000032010000}"/>
    <hyperlink ref="H309" r:id="rId308" xr:uid="{00000000-0004-0000-0600-000033010000}"/>
    <hyperlink ref="H310" r:id="rId309" xr:uid="{00000000-0004-0000-0600-000034010000}"/>
    <hyperlink ref="H311" r:id="rId310" xr:uid="{00000000-0004-0000-0600-000035010000}"/>
    <hyperlink ref="H312" r:id="rId311" xr:uid="{00000000-0004-0000-0600-000036010000}"/>
    <hyperlink ref="H313" r:id="rId312" xr:uid="{00000000-0004-0000-0600-000037010000}"/>
    <hyperlink ref="H314" r:id="rId313" xr:uid="{00000000-0004-0000-0600-000038010000}"/>
    <hyperlink ref="H315" r:id="rId314" xr:uid="{00000000-0004-0000-0600-000039010000}"/>
    <hyperlink ref="H316" r:id="rId315" xr:uid="{00000000-0004-0000-0600-00003A010000}"/>
    <hyperlink ref="H317" r:id="rId316" xr:uid="{00000000-0004-0000-0600-00003B010000}"/>
    <hyperlink ref="H318" r:id="rId317" xr:uid="{00000000-0004-0000-0600-00003C010000}"/>
    <hyperlink ref="H319" r:id="rId318" xr:uid="{00000000-0004-0000-0600-00003D010000}"/>
    <hyperlink ref="H320" r:id="rId319" xr:uid="{00000000-0004-0000-0600-00003E010000}"/>
    <hyperlink ref="H321" r:id="rId320" xr:uid="{00000000-0004-0000-0600-00003F010000}"/>
    <hyperlink ref="H322" r:id="rId321" xr:uid="{00000000-0004-0000-0600-000040010000}"/>
    <hyperlink ref="H323" r:id="rId322" xr:uid="{00000000-0004-0000-0600-000041010000}"/>
    <hyperlink ref="H324" r:id="rId323" xr:uid="{00000000-0004-0000-0600-000042010000}"/>
    <hyperlink ref="H325" r:id="rId324" xr:uid="{00000000-0004-0000-0600-000043010000}"/>
    <hyperlink ref="H326" r:id="rId325" xr:uid="{00000000-0004-0000-0600-000044010000}"/>
    <hyperlink ref="H327" r:id="rId326" xr:uid="{00000000-0004-0000-0600-000045010000}"/>
    <hyperlink ref="H328" r:id="rId327" xr:uid="{00000000-0004-0000-0600-000046010000}"/>
    <hyperlink ref="H329" r:id="rId328" xr:uid="{00000000-0004-0000-0600-000047010000}"/>
    <hyperlink ref="H330" r:id="rId329" xr:uid="{00000000-0004-0000-0600-000048010000}"/>
    <hyperlink ref="H331" r:id="rId330" xr:uid="{00000000-0004-0000-0600-000049010000}"/>
    <hyperlink ref="H332" r:id="rId331" xr:uid="{00000000-0004-0000-0600-00004A010000}"/>
    <hyperlink ref="H333" r:id="rId332" xr:uid="{00000000-0004-0000-0600-00004B010000}"/>
    <hyperlink ref="H334" r:id="rId333" xr:uid="{00000000-0004-0000-0600-00004C010000}"/>
    <hyperlink ref="H335" r:id="rId334" xr:uid="{00000000-0004-0000-0600-00004D010000}"/>
    <hyperlink ref="H336" r:id="rId335" xr:uid="{00000000-0004-0000-0600-00004E010000}"/>
    <hyperlink ref="H337" r:id="rId336" xr:uid="{00000000-0004-0000-0600-00004F010000}"/>
    <hyperlink ref="H338" r:id="rId337" xr:uid="{00000000-0004-0000-0600-000050010000}"/>
    <hyperlink ref="H339" r:id="rId338" xr:uid="{00000000-0004-0000-0600-000051010000}"/>
    <hyperlink ref="H340" r:id="rId339" xr:uid="{00000000-0004-0000-0600-000052010000}"/>
    <hyperlink ref="H341" r:id="rId340" xr:uid="{00000000-0004-0000-0600-000053010000}"/>
    <hyperlink ref="H342" r:id="rId341" xr:uid="{00000000-0004-0000-0600-000054010000}"/>
    <hyperlink ref="H343" r:id="rId342" xr:uid="{00000000-0004-0000-0600-000055010000}"/>
    <hyperlink ref="H344" r:id="rId343" xr:uid="{00000000-0004-0000-0600-000056010000}"/>
    <hyperlink ref="H345" r:id="rId344" xr:uid="{00000000-0004-0000-0600-000057010000}"/>
    <hyperlink ref="H346" r:id="rId345" xr:uid="{00000000-0004-0000-0600-000058010000}"/>
    <hyperlink ref="H347" r:id="rId346" xr:uid="{00000000-0004-0000-0600-000059010000}"/>
    <hyperlink ref="H348" r:id="rId347" xr:uid="{00000000-0004-0000-0600-00005A010000}"/>
    <hyperlink ref="H349" r:id="rId348" xr:uid="{00000000-0004-0000-0600-00005B010000}"/>
    <hyperlink ref="H350" r:id="rId349" xr:uid="{00000000-0004-0000-0600-00005C010000}"/>
    <hyperlink ref="H352" r:id="rId350" xr:uid="{00000000-0004-0000-0600-00005D010000}"/>
    <hyperlink ref="H353" r:id="rId351" xr:uid="{00000000-0004-0000-0600-00005E010000}"/>
    <hyperlink ref="H354" r:id="rId352" xr:uid="{00000000-0004-0000-0600-00005F010000}"/>
    <hyperlink ref="H355" r:id="rId353" xr:uid="{00000000-0004-0000-0600-000060010000}"/>
    <hyperlink ref="H356" r:id="rId354" xr:uid="{00000000-0004-0000-0600-000061010000}"/>
    <hyperlink ref="H357" r:id="rId355" xr:uid="{00000000-0004-0000-0600-000062010000}"/>
    <hyperlink ref="H358" r:id="rId356" xr:uid="{00000000-0004-0000-0600-000063010000}"/>
    <hyperlink ref="H359" r:id="rId357" xr:uid="{00000000-0004-0000-0600-000064010000}"/>
    <hyperlink ref="H360" r:id="rId358" xr:uid="{00000000-0004-0000-0600-000065010000}"/>
    <hyperlink ref="H361" r:id="rId359" xr:uid="{00000000-0004-0000-0600-000066010000}"/>
    <hyperlink ref="H362" r:id="rId360" xr:uid="{00000000-0004-0000-0600-000067010000}"/>
    <hyperlink ref="H363" r:id="rId361" xr:uid="{00000000-0004-0000-0600-000068010000}"/>
    <hyperlink ref="H364" r:id="rId362" xr:uid="{00000000-0004-0000-0600-000069010000}"/>
    <hyperlink ref="H365" r:id="rId363" xr:uid="{00000000-0004-0000-0600-00006A010000}"/>
    <hyperlink ref="H366" r:id="rId364" xr:uid="{00000000-0004-0000-0600-00006B010000}"/>
    <hyperlink ref="H367" r:id="rId365" xr:uid="{00000000-0004-0000-0600-00006C010000}"/>
    <hyperlink ref="H368" r:id="rId366" xr:uid="{00000000-0004-0000-0600-00006D010000}"/>
    <hyperlink ref="H369" r:id="rId367" xr:uid="{00000000-0004-0000-0600-00006E010000}"/>
    <hyperlink ref="H370" r:id="rId368" xr:uid="{00000000-0004-0000-0600-00006F010000}"/>
    <hyperlink ref="H371" r:id="rId369" xr:uid="{00000000-0004-0000-0600-000070010000}"/>
    <hyperlink ref="H372" r:id="rId370" xr:uid="{00000000-0004-0000-0600-000071010000}"/>
    <hyperlink ref="H373" r:id="rId371" xr:uid="{00000000-0004-0000-0600-000072010000}"/>
    <hyperlink ref="H374" r:id="rId372" xr:uid="{00000000-0004-0000-0600-000073010000}"/>
    <hyperlink ref="H375" r:id="rId373" xr:uid="{00000000-0004-0000-0600-000074010000}"/>
    <hyperlink ref="H376" r:id="rId374" xr:uid="{00000000-0004-0000-0600-000075010000}"/>
    <hyperlink ref="H377" r:id="rId375" xr:uid="{00000000-0004-0000-0600-000076010000}"/>
    <hyperlink ref="H378" r:id="rId376" xr:uid="{00000000-0004-0000-0600-000077010000}"/>
    <hyperlink ref="H379" r:id="rId377" xr:uid="{00000000-0004-0000-0600-000078010000}"/>
    <hyperlink ref="H380" r:id="rId378" xr:uid="{00000000-0004-0000-0600-000079010000}"/>
    <hyperlink ref="H381" r:id="rId379" xr:uid="{00000000-0004-0000-0600-00007A010000}"/>
    <hyperlink ref="H382" r:id="rId380" xr:uid="{00000000-0004-0000-0600-00007B010000}"/>
    <hyperlink ref="H383" r:id="rId381" xr:uid="{00000000-0004-0000-0600-00007C010000}"/>
    <hyperlink ref="H384" r:id="rId382" xr:uid="{00000000-0004-0000-0600-00007D010000}"/>
    <hyperlink ref="H385" r:id="rId383" xr:uid="{00000000-0004-0000-0600-00007E010000}"/>
    <hyperlink ref="H386" r:id="rId384" xr:uid="{00000000-0004-0000-0600-00007F010000}"/>
    <hyperlink ref="H387" r:id="rId385" xr:uid="{00000000-0004-0000-0600-000080010000}"/>
    <hyperlink ref="H388" r:id="rId386" xr:uid="{00000000-0004-0000-0600-000081010000}"/>
    <hyperlink ref="H389" r:id="rId387" xr:uid="{00000000-0004-0000-0600-000082010000}"/>
    <hyperlink ref="H390" r:id="rId388" xr:uid="{00000000-0004-0000-0600-000083010000}"/>
    <hyperlink ref="H391" r:id="rId389" xr:uid="{00000000-0004-0000-0600-000084010000}"/>
    <hyperlink ref="H392" r:id="rId390" xr:uid="{00000000-0004-0000-0600-000085010000}"/>
    <hyperlink ref="H393" r:id="rId391" xr:uid="{00000000-0004-0000-0600-000086010000}"/>
    <hyperlink ref="H394" r:id="rId392" xr:uid="{00000000-0004-0000-0600-000087010000}"/>
    <hyperlink ref="H395" r:id="rId393" xr:uid="{00000000-0004-0000-0600-000088010000}"/>
    <hyperlink ref="H396" r:id="rId394" xr:uid="{00000000-0004-0000-0600-000089010000}"/>
    <hyperlink ref="H397" r:id="rId395" xr:uid="{00000000-0004-0000-0600-00008A010000}"/>
    <hyperlink ref="H398" r:id="rId396" xr:uid="{00000000-0004-0000-0600-00008B010000}"/>
    <hyperlink ref="H399" r:id="rId397" xr:uid="{00000000-0004-0000-0600-00008C010000}"/>
    <hyperlink ref="H400" r:id="rId398" xr:uid="{00000000-0004-0000-0600-00008D010000}"/>
    <hyperlink ref="H401" r:id="rId399" xr:uid="{00000000-0004-0000-0600-00008E010000}"/>
    <hyperlink ref="H402" r:id="rId400" xr:uid="{00000000-0004-0000-0600-00008F010000}"/>
    <hyperlink ref="H403" r:id="rId401" xr:uid="{00000000-0004-0000-0600-000090010000}"/>
    <hyperlink ref="H404" r:id="rId402" xr:uid="{00000000-0004-0000-0600-000091010000}"/>
    <hyperlink ref="H405" r:id="rId403" xr:uid="{00000000-0004-0000-0600-000092010000}"/>
    <hyperlink ref="H406" r:id="rId404" xr:uid="{00000000-0004-0000-0600-000093010000}"/>
    <hyperlink ref="H407" r:id="rId405" xr:uid="{00000000-0004-0000-0600-000094010000}"/>
    <hyperlink ref="H408" r:id="rId406" xr:uid="{00000000-0004-0000-0600-000095010000}"/>
    <hyperlink ref="H409" r:id="rId407" xr:uid="{00000000-0004-0000-0600-000096010000}"/>
    <hyperlink ref="H410" r:id="rId408" xr:uid="{00000000-0004-0000-0600-000097010000}"/>
    <hyperlink ref="H411" r:id="rId409" xr:uid="{00000000-0004-0000-0600-000098010000}"/>
    <hyperlink ref="H412" r:id="rId410" xr:uid="{00000000-0004-0000-0600-000099010000}"/>
    <hyperlink ref="H413" r:id="rId411" xr:uid="{00000000-0004-0000-0600-00009A010000}"/>
    <hyperlink ref="H414" r:id="rId412" xr:uid="{00000000-0004-0000-0600-00009B010000}"/>
    <hyperlink ref="H415" r:id="rId413" xr:uid="{00000000-0004-0000-0600-00009C010000}"/>
    <hyperlink ref="H416" r:id="rId414" xr:uid="{00000000-0004-0000-0600-00009D010000}"/>
    <hyperlink ref="H417" r:id="rId415" xr:uid="{00000000-0004-0000-0600-00009E010000}"/>
    <hyperlink ref="H418" r:id="rId416" xr:uid="{00000000-0004-0000-0600-00009F010000}"/>
    <hyperlink ref="H419" r:id="rId417" xr:uid="{00000000-0004-0000-0600-0000A0010000}"/>
    <hyperlink ref="H420" r:id="rId418" xr:uid="{00000000-0004-0000-0600-0000A1010000}"/>
    <hyperlink ref="H421" r:id="rId419" xr:uid="{00000000-0004-0000-0600-0000A2010000}"/>
    <hyperlink ref="H422" r:id="rId420" xr:uid="{00000000-0004-0000-0600-0000A3010000}"/>
    <hyperlink ref="H423" r:id="rId421" xr:uid="{00000000-0004-0000-0600-0000A4010000}"/>
    <hyperlink ref="H424" r:id="rId422" xr:uid="{00000000-0004-0000-0600-0000A5010000}"/>
    <hyperlink ref="H425" r:id="rId423" xr:uid="{00000000-0004-0000-0600-0000A6010000}"/>
    <hyperlink ref="H426" r:id="rId424" xr:uid="{00000000-0004-0000-0600-0000A7010000}"/>
    <hyperlink ref="H427" r:id="rId425" xr:uid="{00000000-0004-0000-0600-0000A8010000}"/>
    <hyperlink ref="H428" r:id="rId426" xr:uid="{00000000-0004-0000-0600-0000A9010000}"/>
    <hyperlink ref="H429" r:id="rId427" xr:uid="{00000000-0004-0000-0600-0000AA010000}"/>
    <hyperlink ref="H430" r:id="rId428" xr:uid="{00000000-0004-0000-0600-0000AB010000}"/>
    <hyperlink ref="H431" r:id="rId429" xr:uid="{00000000-0004-0000-0600-0000AC010000}"/>
    <hyperlink ref="H432" r:id="rId430" xr:uid="{00000000-0004-0000-0600-0000AD010000}"/>
    <hyperlink ref="H433" r:id="rId431" xr:uid="{00000000-0004-0000-0600-0000AE010000}"/>
    <hyperlink ref="H434" r:id="rId432" xr:uid="{00000000-0004-0000-0600-0000AF010000}"/>
    <hyperlink ref="H435" r:id="rId433" xr:uid="{00000000-0004-0000-0600-0000B0010000}"/>
    <hyperlink ref="H436" r:id="rId434" xr:uid="{00000000-0004-0000-0600-0000B1010000}"/>
    <hyperlink ref="H437" r:id="rId435" xr:uid="{00000000-0004-0000-0600-0000B2010000}"/>
    <hyperlink ref="H438" r:id="rId436" xr:uid="{00000000-0004-0000-0600-0000B3010000}"/>
    <hyperlink ref="H439" r:id="rId437" xr:uid="{00000000-0004-0000-0600-0000B4010000}"/>
    <hyperlink ref="H440" r:id="rId438" xr:uid="{00000000-0004-0000-0600-0000B5010000}"/>
    <hyperlink ref="H441" r:id="rId439" xr:uid="{00000000-0004-0000-0600-0000B6010000}"/>
    <hyperlink ref="H442" r:id="rId440" xr:uid="{00000000-0004-0000-0600-0000B7010000}"/>
    <hyperlink ref="H443" r:id="rId441" xr:uid="{00000000-0004-0000-0600-0000B8010000}"/>
    <hyperlink ref="H444" r:id="rId442" xr:uid="{00000000-0004-0000-0600-0000B9010000}"/>
    <hyperlink ref="H445" r:id="rId443" xr:uid="{00000000-0004-0000-0600-0000BA010000}"/>
    <hyperlink ref="H446" r:id="rId444" xr:uid="{00000000-0004-0000-0600-0000BB010000}"/>
    <hyperlink ref="H447" r:id="rId445" xr:uid="{00000000-0004-0000-0600-0000BC010000}"/>
    <hyperlink ref="H448" r:id="rId446" xr:uid="{00000000-0004-0000-0600-0000BD010000}"/>
    <hyperlink ref="H449" r:id="rId447" xr:uid="{00000000-0004-0000-0600-0000BE010000}"/>
    <hyperlink ref="H450" r:id="rId448" xr:uid="{00000000-0004-0000-0600-0000BF010000}"/>
    <hyperlink ref="H451" r:id="rId449" xr:uid="{00000000-0004-0000-0600-0000C0010000}"/>
    <hyperlink ref="H452" r:id="rId450" xr:uid="{00000000-0004-0000-0600-0000C1010000}"/>
    <hyperlink ref="H453" r:id="rId451" xr:uid="{00000000-0004-0000-0600-0000C2010000}"/>
    <hyperlink ref="H454" r:id="rId452" xr:uid="{00000000-0004-0000-0600-0000C3010000}"/>
    <hyperlink ref="H455" r:id="rId453" xr:uid="{00000000-0004-0000-0600-0000C4010000}"/>
    <hyperlink ref="H456" r:id="rId454" xr:uid="{00000000-0004-0000-0600-0000C5010000}"/>
    <hyperlink ref="H457" r:id="rId455" xr:uid="{00000000-0004-0000-0600-0000C6010000}"/>
    <hyperlink ref="H458" r:id="rId456" xr:uid="{00000000-0004-0000-0600-0000C7010000}"/>
    <hyperlink ref="H459" r:id="rId457" xr:uid="{00000000-0004-0000-0600-0000C8010000}"/>
    <hyperlink ref="H460" r:id="rId458" xr:uid="{00000000-0004-0000-0600-0000C9010000}"/>
    <hyperlink ref="H461" r:id="rId459" xr:uid="{00000000-0004-0000-0600-0000CA010000}"/>
    <hyperlink ref="H462" r:id="rId460" xr:uid="{00000000-0004-0000-0600-0000CB010000}"/>
    <hyperlink ref="H463" r:id="rId461" xr:uid="{00000000-0004-0000-0600-0000CC010000}"/>
    <hyperlink ref="H464" r:id="rId462" xr:uid="{00000000-0004-0000-0600-0000CD010000}"/>
    <hyperlink ref="H465" r:id="rId463" xr:uid="{00000000-0004-0000-0600-0000CE010000}"/>
    <hyperlink ref="H466" r:id="rId464" xr:uid="{00000000-0004-0000-0600-0000CF010000}"/>
    <hyperlink ref="H467" r:id="rId465" xr:uid="{00000000-0004-0000-0600-0000D0010000}"/>
    <hyperlink ref="H468" r:id="rId466" xr:uid="{00000000-0004-0000-0600-0000D1010000}"/>
    <hyperlink ref="H469" r:id="rId467" xr:uid="{00000000-0004-0000-0600-0000D2010000}"/>
    <hyperlink ref="H470" r:id="rId468" xr:uid="{00000000-0004-0000-0600-0000D3010000}"/>
    <hyperlink ref="H471" r:id="rId469" xr:uid="{00000000-0004-0000-0600-0000D4010000}"/>
    <hyperlink ref="H472" r:id="rId470" xr:uid="{00000000-0004-0000-0600-0000D5010000}"/>
    <hyperlink ref="H473" r:id="rId471" xr:uid="{00000000-0004-0000-0600-0000D6010000}"/>
    <hyperlink ref="H474" r:id="rId472" xr:uid="{00000000-0004-0000-0600-0000D7010000}"/>
    <hyperlink ref="H475" r:id="rId473" xr:uid="{00000000-0004-0000-0600-0000D8010000}"/>
    <hyperlink ref="H476" r:id="rId474" xr:uid="{00000000-0004-0000-0600-0000D9010000}"/>
    <hyperlink ref="H477" r:id="rId475" xr:uid="{00000000-0004-0000-0600-0000DA010000}"/>
    <hyperlink ref="H478" r:id="rId476" xr:uid="{00000000-0004-0000-0600-0000DB010000}"/>
    <hyperlink ref="H479" r:id="rId477" xr:uid="{00000000-0004-0000-0600-0000DC010000}"/>
    <hyperlink ref="H480" r:id="rId478" xr:uid="{00000000-0004-0000-0600-0000DD010000}"/>
    <hyperlink ref="H481" r:id="rId479" xr:uid="{00000000-0004-0000-0600-0000DE010000}"/>
    <hyperlink ref="H482" r:id="rId480" xr:uid="{00000000-0004-0000-0600-0000DF010000}"/>
    <hyperlink ref="H484" r:id="rId481" xr:uid="{00000000-0004-0000-0600-0000E0010000}"/>
    <hyperlink ref="H485" r:id="rId482" xr:uid="{00000000-0004-0000-0600-0000E1010000}"/>
    <hyperlink ref="H486" r:id="rId483" xr:uid="{00000000-0004-0000-0600-0000E2010000}"/>
    <hyperlink ref="H487" r:id="rId484" xr:uid="{00000000-0004-0000-0600-0000E3010000}"/>
    <hyperlink ref="H488" r:id="rId485" xr:uid="{00000000-0004-0000-0600-0000E4010000}"/>
    <hyperlink ref="H489" r:id="rId486" xr:uid="{00000000-0004-0000-0600-0000E5010000}"/>
    <hyperlink ref="H490" r:id="rId487" xr:uid="{00000000-0004-0000-0600-0000E6010000}"/>
    <hyperlink ref="H491" r:id="rId488" xr:uid="{00000000-0004-0000-0600-0000E7010000}"/>
    <hyperlink ref="H492" r:id="rId489" xr:uid="{00000000-0004-0000-0600-0000E8010000}"/>
    <hyperlink ref="H493" r:id="rId490" xr:uid="{00000000-0004-0000-0600-0000E9010000}"/>
    <hyperlink ref="H494" r:id="rId491" xr:uid="{00000000-0004-0000-0600-0000EA010000}"/>
    <hyperlink ref="H495" r:id="rId492" xr:uid="{00000000-0004-0000-0600-0000EB010000}"/>
    <hyperlink ref="H496" r:id="rId493" xr:uid="{00000000-0004-0000-0600-0000EC010000}"/>
    <hyperlink ref="H497" r:id="rId494" xr:uid="{00000000-0004-0000-0600-0000ED010000}"/>
    <hyperlink ref="H498" r:id="rId495" xr:uid="{00000000-0004-0000-0600-0000EE010000}"/>
    <hyperlink ref="H499" r:id="rId496" xr:uid="{00000000-0004-0000-0600-0000EF010000}"/>
    <hyperlink ref="H500" r:id="rId497" xr:uid="{00000000-0004-0000-0600-0000F0010000}"/>
    <hyperlink ref="H501" r:id="rId498" xr:uid="{00000000-0004-0000-0600-0000F1010000}"/>
    <hyperlink ref="H502" r:id="rId499" xr:uid="{00000000-0004-0000-0600-0000F2010000}"/>
    <hyperlink ref="H503" r:id="rId500" xr:uid="{00000000-0004-0000-0600-0000F3010000}"/>
    <hyperlink ref="H504" r:id="rId501" xr:uid="{00000000-0004-0000-0600-0000F4010000}"/>
    <hyperlink ref="H505" r:id="rId502" xr:uid="{00000000-0004-0000-0600-0000F5010000}"/>
    <hyperlink ref="H506" r:id="rId503" xr:uid="{00000000-0004-0000-0600-0000F6010000}"/>
    <hyperlink ref="H507" r:id="rId504" xr:uid="{00000000-0004-0000-0600-0000F7010000}"/>
    <hyperlink ref="H508" r:id="rId505" xr:uid="{00000000-0004-0000-0600-0000F8010000}"/>
    <hyperlink ref="H509" r:id="rId506" xr:uid="{00000000-0004-0000-0600-0000F9010000}"/>
    <hyperlink ref="H510" r:id="rId507" xr:uid="{00000000-0004-0000-0600-0000FA010000}"/>
    <hyperlink ref="H511" r:id="rId508" xr:uid="{00000000-0004-0000-0600-0000FB010000}"/>
    <hyperlink ref="H512" r:id="rId509" xr:uid="{00000000-0004-0000-0600-0000FC010000}"/>
    <hyperlink ref="H513" r:id="rId510" xr:uid="{00000000-0004-0000-0600-0000FD010000}"/>
    <hyperlink ref="H514" r:id="rId511" xr:uid="{00000000-0004-0000-0600-0000FE010000}"/>
    <hyperlink ref="H515" r:id="rId512" xr:uid="{00000000-0004-0000-0600-0000FF010000}"/>
    <hyperlink ref="H516" r:id="rId513" xr:uid="{00000000-0004-0000-0600-000000020000}"/>
    <hyperlink ref="H517" r:id="rId514" xr:uid="{00000000-0004-0000-0600-000001020000}"/>
    <hyperlink ref="H518" r:id="rId515" xr:uid="{00000000-0004-0000-0600-000002020000}"/>
    <hyperlink ref="H519" r:id="rId516" xr:uid="{00000000-0004-0000-0600-000003020000}"/>
    <hyperlink ref="H520" r:id="rId517" xr:uid="{00000000-0004-0000-0600-000004020000}"/>
    <hyperlink ref="H521" r:id="rId518" xr:uid="{00000000-0004-0000-0600-000005020000}"/>
    <hyperlink ref="H522" r:id="rId519" xr:uid="{00000000-0004-0000-0600-000006020000}"/>
    <hyperlink ref="H523" r:id="rId520" xr:uid="{00000000-0004-0000-0600-000007020000}"/>
    <hyperlink ref="H524" r:id="rId521" xr:uid="{00000000-0004-0000-0600-000008020000}"/>
    <hyperlink ref="H525" r:id="rId522" xr:uid="{00000000-0004-0000-0600-000009020000}"/>
    <hyperlink ref="H526" r:id="rId523" xr:uid="{00000000-0004-0000-0600-00000A020000}"/>
    <hyperlink ref="H527" r:id="rId524" xr:uid="{00000000-0004-0000-0600-00000B020000}"/>
    <hyperlink ref="H528" r:id="rId525" xr:uid="{00000000-0004-0000-0600-00000C020000}"/>
    <hyperlink ref="H529" r:id="rId526" xr:uid="{00000000-0004-0000-0600-00000D020000}"/>
    <hyperlink ref="H530" r:id="rId527" xr:uid="{00000000-0004-0000-0600-00000E020000}"/>
    <hyperlink ref="H531" r:id="rId528" xr:uid="{00000000-0004-0000-0600-00000F020000}"/>
    <hyperlink ref="H532" r:id="rId529" xr:uid="{00000000-0004-0000-0600-000010020000}"/>
    <hyperlink ref="H533" r:id="rId530" xr:uid="{00000000-0004-0000-0600-000011020000}"/>
    <hyperlink ref="H534" r:id="rId531" xr:uid="{00000000-0004-0000-0600-000012020000}"/>
    <hyperlink ref="H535" r:id="rId532" xr:uid="{00000000-0004-0000-0600-000013020000}"/>
    <hyperlink ref="H536" r:id="rId533" xr:uid="{00000000-0004-0000-0600-000014020000}"/>
    <hyperlink ref="H537" r:id="rId534" xr:uid="{00000000-0004-0000-0600-000015020000}"/>
    <hyperlink ref="H538" r:id="rId535" xr:uid="{00000000-0004-0000-0600-000016020000}"/>
    <hyperlink ref="H539" r:id="rId536" xr:uid="{00000000-0004-0000-0600-000017020000}"/>
    <hyperlink ref="H540" r:id="rId537" xr:uid="{00000000-0004-0000-0600-000018020000}"/>
    <hyperlink ref="H541" r:id="rId538" xr:uid="{00000000-0004-0000-0600-000019020000}"/>
    <hyperlink ref="H542" r:id="rId539" xr:uid="{00000000-0004-0000-0600-00001A020000}"/>
    <hyperlink ref="H543" r:id="rId540" xr:uid="{00000000-0004-0000-0600-00001B020000}"/>
    <hyperlink ref="H544" r:id="rId541" xr:uid="{00000000-0004-0000-0600-00001C020000}"/>
    <hyperlink ref="H545" r:id="rId542" xr:uid="{00000000-0004-0000-0600-00001D020000}"/>
    <hyperlink ref="H546" r:id="rId543" xr:uid="{00000000-0004-0000-0600-00001E020000}"/>
    <hyperlink ref="H547" r:id="rId544" xr:uid="{00000000-0004-0000-0600-00001F020000}"/>
    <hyperlink ref="H548" r:id="rId545" xr:uid="{00000000-0004-0000-0600-000020020000}"/>
    <hyperlink ref="H549" r:id="rId546" xr:uid="{00000000-0004-0000-0600-000021020000}"/>
    <hyperlink ref="H550" r:id="rId547" xr:uid="{00000000-0004-0000-0600-000022020000}"/>
    <hyperlink ref="H551" r:id="rId548" xr:uid="{00000000-0004-0000-0600-000023020000}"/>
    <hyperlink ref="H552" r:id="rId549" xr:uid="{00000000-0004-0000-0600-000024020000}"/>
    <hyperlink ref="H553" r:id="rId550" xr:uid="{00000000-0004-0000-0600-000025020000}"/>
    <hyperlink ref="H554" r:id="rId551" xr:uid="{00000000-0004-0000-0600-000026020000}"/>
    <hyperlink ref="H555" r:id="rId552" xr:uid="{00000000-0004-0000-0600-000027020000}"/>
    <hyperlink ref="H556" r:id="rId553" xr:uid="{00000000-0004-0000-0600-000028020000}"/>
    <hyperlink ref="H557" r:id="rId554" xr:uid="{00000000-0004-0000-0600-000029020000}"/>
    <hyperlink ref="H558" r:id="rId555" xr:uid="{00000000-0004-0000-0600-00002A020000}"/>
    <hyperlink ref="H559" r:id="rId556" xr:uid="{00000000-0004-0000-0600-00002B020000}"/>
    <hyperlink ref="H560" r:id="rId557" xr:uid="{00000000-0004-0000-0600-00002C020000}"/>
    <hyperlink ref="H561" r:id="rId558" xr:uid="{00000000-0004-0000-0600-00002D020000}"/>
    <hyperlink ref="H562" r:id="rId559" xr:uid="{00000000-0004-0000-0600-00002E020000}"/>
    <hyperlink ref="H563" r:id="rId560" xr:uid="{00000000-0004-0000-0600-00002F020000}"/>
    <hyperlink ref="H564" r:id="rId561" xr:uid="{00000000-0004-0000-0600-000030020000}"/>
    <hyperlink ref="H565" r:id="rId562" xr:uid="{00000000-0004-0000-0600-000031020000}"/>
    <hyperlink ref="H566" r:id="rId563" xr:uid="{00000000-0004-0000-0600-000032020000}"/>
    <hyperlink ref="H567" r:id="rId564" xr:uid="{00000000-0004-0000-0600-000033020000}"/>
    <hyperlink ref="H568" r:id="rId565" xr:uid="{00000000-0004-0000-0600-000034020000}"/>
    <hyperlink ref="H569" r:id="rId566" xr:uid="{00000000-0004-0000-0600-000035020000}"/>
    <hyperlink ref="H570" r:id="rId567" xr:uid="{00000000-0004-0000-0600-000036020000}"/>
    <hyperlink ref="H571" r:id="rId568" xr:uid="{00000000-0004-0000-0600-000037020000}"/>
    <hyperlink ref="H572" r:id="rId569" xr:uid="{00000000-0004-0000-0600-000038020000}"/>
    <hyperlink ref="H573" r:id="rId570" xr:uid="{00000000-0004-0000-0600-000039020000}"/>
    <hyperlink ref="H574" r:id="rId571" xr:uid="{00000000-0004-0000-0600-00003A020000}"/>
    <hyperlink ref="H575" r:id="rId572" xr:uid="{00000000-0004-0000-0600-00003B020000}"/>
    <hyperlink ref="H576" r:id="rId573" xr:uid="{00000000-0004-0000-0600-00003C020000}"/>
    <hyperlink ref="H577" r:id="rId574" xr:uid="{00000000-0004-0000-0600-00003D020000}"/>
    <hyperlink ref="H578" r:id="rId575" xr:uid="{00000000-0004-0000-0600-00003E020000}"/>
    <hyperlink ref="H579" r:id="rId576" xr:uid="{00000000-0004-0000-0600-00003F020000}"/>
    <hyperlink ref="H580" r:id="rId577" xr:uid="{00000000-0004-0000-0600-000040020000}"/>
    <hyperlink ref="H581" r:id="rId578" xr:uid="{00000000-0004-0000-0600-000041020000}"/>
    <hyperlink ref="H582" r:id="rId579" xr:uid="{00000000-0004-0000-0600-000042020000}"/>
    <hyperlink ref="H583" r:id="rId580" xr:uid="{00000000-0004-0000-0600-000043020000}"/>
    <hyperlink ref="H584" r:id="rId581" xr:uid="{00000000-0004-0000-0600-000044020000}"/>
    <hyperlink ref="H585" r:id="rId582" xr:uid="{00000000-0004-0000-0600-000045020000}"/>
    <hyperlink ref="H586" r:id="rId583" xr:uid="{00000000-0004-0000-0600-000046020000}"/>
    <hyperlink ref="H587" r:id="rId584" xr:uid="{00000000-0004-0000-0600-000047020000}"/>
    <hyperlink ref="H588" r:id="rId585" xr:uid="{00000000-0004-0000-0600-000048020000}"/>
    <hyperlink ref="H589" r:id="rId586" xr:uid="{00000000-0004-0000-0600-000049020000}"/>
    <hyperlink ref="H590" r:id="rId587" xr:uid="{00000000-0004-0000-0600-00004A020000}"/>
    <hyperlink ref="H591" r:id="rId588" xr:uid="{00000000-0004-0000-0600-00004B020000}"/>
    <hyperlink ref="H592" r:id="rId589" xr:uid="{00000000-0004-0000-0600-00004C020000}"/>
    <hyperlink ref="H593" r:id="rId590" xr:uid="{00000000-0004-0000-0600-00004D020000}"/>
    <hyperlink ref="H594" r:id="rId591" xr:uid="{00000000-0004-0000-0600-00004E020000}"/>
    <hyperlink ref="H595" r:id="rId592" xr:uid="{00000000-0004-0000-0600-00004F020000}"/>
    <hyperlink ref="H596" r:id="rId593" xr:uid="{00000000-0004-0000-0600-000050020000}"/>
    <hyperlink ref="H597" r:id="rId594" xr:uid="{00000000-0004-0000-0600-000051020000}"/>
    <hyperlink ref="H598" r:id="rId595" xr:uid="{00000000-0004-0000-0600-000052020000}"/>
    <hyperlink ref="H599" r:id="rId596" xr:uid="{00000000-0004-0000-0600-000053020000}"/>
    <hyperlink ref="H600" r:id="rId597" xr:uid="{00000000-0004-0000-0600-000054020000}"/>
    <hyperlink ref="H601" r:id="rId598" xr:uid="{00000000-0004-0000-0600-000055020000}"/>
    <hyperlink ref="H602" r:id="rId599" xr:uid="{00000000-0004-0000-0600-000056020000}"/>
    <hyperlink ref="H603" r:id="rId600" xr:uid="{00000000-0004-0000-0600-000057020000}"/>
    <hyperlink ref="H604" r:id="rId601" xr:uid="{00000000-0004-0000-0600-000058020000}"/>
    <hyperlink ref="H605" r:id="rId602" xr:uid="{00000000-0004-0000-0600-000059020000}"/>
    <hyperlink ref="H606" r:id="rId603" xr:uid="{00000000-0004-0000-0600-00005A020000}"/>
    <hyperlink ref="H607" r:id="rId604" xr:uid="{00000000-0004-0000-0600-00005B020000}"/>
    <hyperlink ref="H608" r:id="rId605" xr:uid="{00000000-0004-0000-0600-00005C020000}"/>
    <hyperlink ref="H609" r:id="rId606" xr:uid="{00000000-0004-0000-0600-00005D020000}"/>
    <hyperlink ref="H610" r:id="rId607" xr:uid="{00000000-0004-0000-0600-00005E020000}"/>
    <hyperlink ref="H611" r:id="rId608" xr:uid="{00000000-0004-0000-0600-00005F020000}"/>
    <hyperlink ref="H612" r:id="rId609" xr:uid="{00000000-0004-0000-0600-000060020000}"/>
    <hyperlink ref="H613" r:id="rId610" xr:uid="{00000000-0004-0000-0600-000061020000}"/>
    <hyperlink ref="H614" r:id="rId611" xr:uid="{00000000-0004-0000-0600-000062020000}"/>
    <hyperlink ref="H615" r:id="rId612" xr:uid="{00000000-0004-0000-0600-000063020000}"/>
    <hyperlink ref="H616" r:id="rId613" xr:uid="{00000000-0004-0000-0600-000064020000}"/>
    <hyperlink ref="H617" r:id="rId614" xr:uid="{00000000-0004-0000-0600-000065020000}"/>
    <hyperlink ref="H618" r:id="rId615" xr:uid="{00000000-0004-0000-0600-000066020000}"/>
    <hyperlink ref="H619" r:id="rId616" xr:uid="{00000000-0004-0000-0600-000067020000}"/>
    <hyperlink ref="H620" r:id="rId617" xr:uid="{00000000-0004-0000-0600-000068020000}"/>
    <hyperlink ref="H621" r:id="rId618" xr:uid="{00000000-0004-0000-0600-000069020000}"/>
    <hyperlink ref="H622" r:id="rId619" xr:uid="{00000000-0004-0000-0600-00006A020000}"/>
    <hyperlink ref="H623" r:id="rId620" xr:uid="{00000000-0004-0000-0600-00006B020000}"/>
    <hyperlink ref="H624" r:id="rId621" xr:uid="{00000000-0004-0000-0600-00006C020000}"/>
    <hyperlink ref="H625" r:id="rId622" xr:uid="{00000000-0004-0000-0600-00006D020000}"/>
    <hyperlink ref="H626" r:id="rId623" xr:uid="{00000000-0004-0000-0600-00006E020000}"/>
    <hyperlink ref="H627" r:id="rId624" xr:uid="{00000000-0004-0000-0600-00006F020000}"/>
    <hyperlink ref="H628" r:id="rId625" xr:uid="{00000000-0004-0000-0600-000070020000}"/>
    <hyperlink ref="H629" r:id="rId626" xr:uid="{00000000-0004-0000-0600-000071020000}"/>
    <hyperlink ref="H630" r:id="rId627" xr:uid="{00000000-0004-0000-0600-000072020000}"/>
    <hyperlink ref="H631" r:id="rId628" xr:uid="{00000000-0004-0000-0600-000073020000}"/>
    <hyperlink ref="H632" r:id="rId629" xr:uid="{00000000-0004-0000-0600-000074020000}"/>
    <hyperlink ref="H633" r:id="rId630" xr:uid="{00000000-0004-0000-0600-000075020000}"/>
    <hyperlink ref="H634" r:id="rId631" xr:uid="{00000000-0004-0000-0600-000076020000}"/>
    <hyperlink ref="H635" r:id="rId632" xr:uid="{00000000-0004-0000-0600-000077020000}"/>
    <hyperlink ref="H636" r:id="rId633" xr:uid="{00000000-0004-0000-0600-000078020000}"/>
    <hyperlink ref="H637" r:id="rId634" xr:uid="{00000000-0004-0000-0600-000079020000}"/>
    <hyperlink ref="H638" r:id="rId635" xr:uid="{00000000-0004-0000-0600-00007A020000}"/>
    <hyperlink ref="H639" r:id="rId636" xr:uid="{00000000-0004-0000-0600-00007B020000}"/>
    <hyperlink ref="H640" r:id="rId637" xr:uid="{00000000-0004-0000-0600-00007C020000}"/>
    <hyperlink ref="H641" r:id="rId638" xr:uid="{00000000-0004-0000-0600-00007D020000}"/>
    <hyperlink ref="H642" r:id="rId639" xr:uid="{00000000-0004-0000-0600-00007E020000}"/>
    <hyperlink ref="H643" r:id="rId640" xr:uid="{00000000-0004-0000-0600-00007F020000}"/>
    <hyperlink ref="H644" r:id="rId641" xr:uid="{00000000-0004-0000-0600-000080020000}"/>
    <hyperlink ref="H645" r:id="rId642" xr:uid="{00000000-0004-0000-0600-000081020000}"/>
    <hyperlink ref="H646" r:id="rId643" xr:uid="{00000000-0004-0000-0600-000082020000}"/>
    <hyperlink ref="H647" r:id="rId644" xr:uid="{00000000-0004-0000-0600-000083020000}"/>
    <hyperlink ref="H648" r:id="rId645" xr:uid="{00000000-0004-0000-0600-000084020000}"/>
    <hyperlink ref="H649" r:id="rId646" xr:uid="{00000000-0004-0000-0600-000085020000}"/>
    <hyperlink ref="H650" r:id="rId647" xr:uid="{00000000-0004-0000-0600-000086020000}"/>
    <hyperlink ref="H651" r:id="rId648" xr:uid="{00000000-0004-0000-0600-000087020000}"/>
    <hyperlink ref="H652" r:id="rId649" xr:uid="{00000000-0004-0000-0600-000088020000}"/>
    <hyperlink ref="H653" r:id="rId650" xr:uid="{00000000-0004-0000-0600-000089020000}"/>
    <hyperlink ref="H654" r:id="rId651" xr:uid="{00000000-0004-0000-0600-00008A020000}"/>
    <hyperlink ref="H655" r:id="rId652" xr:uid="{00000000-0004-0000-0600-00008B020000}"/>
    <hyperlink ref="H656" r:id="rId653" xr:uid="{00000000-0004-0000-0600-00008C020000}"/>
    <hyperlink ref="H657" r:id="rId654" xr:uid="{00000000-0004-0000-0600-00008D020000}"/>
    <hyperlink ref="H658" r:id="rId655" xr:uid="{00000000-0004-0000-0600-00008E020000}"/>
    <hyperlink ref="H659" r:id="rId656" xr:uid="{00000000-0004-0000-0600-00008F020000}"/>
    <hyperlink ref="H660" r:id="rId657" xr:uid="{00000000-0004-0000-0600-000090020000}"/>
    <hyperlink ref="H661" r:id="rId658" xr:uid="{00000000-0004-0000-0600-000091020000}"/>
    <hyperlink ref="H662" r:id="rId659" xr:uid="{00000000-0004-0000-0600-000092020000}"/>
    <hyperlink ref="H663" r:id="rId660" xr:uid="{00000000-0004-0000-0600-000093020000}"/>
    <hyperlink ref="H664" r:id="rId661" xr:uid="{00000000-0004-0000-0600-000094020000}"/>
    <hyperlink ref="H665" r:id="rId662" xr:uid="{00000000-0004-0000-0600-000095020000}"/>
    <hyperlink ref="H666" r:id="rId663" xr:uid="{00000000-0004-0000-0600-000096020000}"/>
    <hyperlink ref="H667" r:id="rId664" xr:uid="{00000000-0004-0000-0600-000097020000}"/>
    <hyperlink ref="H668" r:id="rId665" xr:uid="{00000000-0004-0000-0600-000098020000}"/>
    <hyperlink ref="H669" r:id="rId666" xr:uid="{00000000-0004-0000-0600-000099020000}"/>
    <hyperlink ref="H670" r:id="rId667" xr:uid="{00000000-0004-0000-0600-00009A020000}"/>
    <hyperlink ref="H671" r:id="rId668" xr:uid="{00000000-0004-0000-0600-00009B020000}"/>
    <hyperlink ref="H672" r:id="rId669" xr:uid="{00000000-0004-0000-0600-00009C020000}"/>
    <hyperlink ref="H673" r:id="rId670" xr:uid="{00000000-0004-0000-0600-00009D020000}"/>
    <hyperlink ref="H674" r:id="rId671" xr:uid="{00000000-0004-0000-0600-00009E020000}"/>
    <hyperlink ref="H675" r:id="rId672" xr:uid="{00000000-0004-0000-0600-00009F020000}"/>
    <hyperlink ref="H676" r:id="rId673" xr:uid="{00000000-0004-0000-0600-0000A0020000}"/>
    <hyperlink ref="H677" r:id="rId674" xr:uid="{00000000-0004-0000-0600-0000A1020000}"/>
    <hyperlink ref="H678" r:id="rId675" xr:uid="{00000000-0004-0000-0600-0000A2020000}"/>
    <hyperlink ref="H679" r:id="rId676" xr:uid="{00000000-0004-0000-0600-0000A3020000}"/>
    <hyperlink ref="H680" r:id="rId677" xr:uid="{00000000-0004-0000-0600-0000A4020000}"/>
    <hyperlink ref="H681" r:id="rId678" xr:uid="{00000000-0004-0000-0600-0000A5020000}"/>
    <hyperlink ref="H682" r:id="rId679" xr:uid="{00000000-0004-0000-0600-0000A6020000}"/>
    <hyperlink ref="H683" r:id="rId680" xr:uid="{00000000-0004-0000-0600-0000A7020000}"/>
    <hyperlink ref="H684" r:id="rId681" xr:uid="{00000000-0004-0000-0600-0000A8020000}"/>
    <hyperlink ref="H685" r:id="rId682" xr:uid="{00000000-0004-0000-0600-0000A9020000}"/>
    <hyperlink ref="H686" r:id="rId683" xr:uid="{00000000-0004-0000-0600-0000AA020000}"/>
    <hyperlink ref="H687" r:id="rId684" xr:uid="{00000000-0004-0000-0600-0000AB020000}"/>
    <hyperlink ref="H688" r:id="rId685" xr:uid="{00000000-0004-0000-0600-0000AC020000}"/>
    <hyperlink ref="H689" r:id="rId686" xr:uid="{00000000-0004-0000-0600-0000AD020000}"/>
    <hyperlink ref="H690" r:id="rId687" xr:uid="{00000000-0004-0000-0600-0000AE020000}"/>
    <hyperlink ref="H691" r:id="rId688" xr:uid="{00000000-0004-0000-0600-0000AF020000}"/>
    <hyperlink ref="H692" r:id="rId689" xr:uid="{00000000-0004-0000-0600-0000B0020000}"/>
    <hyperlink ref="H693" r:id="rId690" xr:uid="{00000000-0004-0000-0600-0000B1020000}"/>
    <hyperlink ref="H694" r:id="rId691" xr:uid="{00000000-0004-0000-0600-0000B2020000}"/>
    <hyperlink ref="H695" r:id="rId692" xr:uid="{00000000-0004-0000-0600-0000B3020000}"/>
    <hyperlink ref="H696" r:id="rId693" xr:uid="{00000000-0004-0000-0600-0000B4020000}"/>
    <hyperlink ref="H697" r:id="rId694" xr:uid="{00000000-0004-0000-0600-0000B5020000}"/>
    <hyperlink ref="H698" r:id="rId695" xr:uid="{00000000-0004-0000-0600-0000B6020000}"/>
    <hyperlink ref="H699" r:id="rId696" xr:uid="{00000000-0004-0000-0600-0000B7020000}"/>
    <hyperlink ref="H700" r:id="rId697" xr:uid="{00000000-0004-0000-0600-0000B8020000}"/>
    <hyperlink ref="H701" r:id="rId698" xr:uid="{00000000-0004-0000-0600-0000B9020000}"/>
    <hyperlink ref="H702" r:id="rId699" xr:uid="{00000000-0004-0000-0600-0000BA020000}"/>
    <hyperlink ref="H703" r:id="rId700" xr:uid="{00000000-0004-0000-0600-0000BB020000}"/>
    <hyperlink ref="H704" r:id="rId701" xr:uid="{00000000-0004-0000-0600-0000BC020000}"/>
    <hyperlink ref="H705" r:id="rId702" xr:uid="{00000000-0004-0000-0600-0000BD020000}"/>
    <hyperlink ref="H706" r:id="rId703" xr:uid="{00000000-0004-0000-0600-0000BE020000}"/>
    <hyperlink ref="H707" r:id="rId704" xr:uid="{00000000-0004-0000-0600-0000BF020000}"/>
    <hyperlink ref="H708" r:id="rId705" xr:uid="{00000000-0004-0000-0600-0000C0020000}"/>
    <hyperlink ref="H709" r:id="rId706" xr:uid="{00000000-0004-0000-0600-0000C1020000}"/>
    <hyperlink ref="H710" r:id="rId707" xr:uid="{00000000-0004-0000-0600-0000C2020000}"/>
    <hyperlink ref="H711" r:id="rId708" xr:uid="{00000000-0004-0000-0600-0000C3020000}"/>
    <hyperlink ref="H712" r:id="rId709" xr:uid="{00000000-0004-0000-0600-0000C4020000}"/>
    <hyperlink ref="H713" r:id="rId710" xr:uid="{00000000-0004-0000-0600-0000C5020000}"/>
    <hyperlink ref="H714" r:id="rId711" xr:uid="{00000000-0004-0000-0600-0000C6020000}"/>
    <hyperlink ref="H715" r:id="rId712" xr:uid="{00000000-0004-0000-0600-0000C7020000}"/>
    <hyperlink ref="H716" r:id="rId713" xr:uid="{00000000-0004-0000-0600-0000C8020000}"/>
    <hyperlink ref="H717" r:id="rId714" xr:uid="{00000000-0004-0000-0600-0000C9020000}"/>
    <hyperlink ref="H718" r:id="rId715" xr:uid="{00000000-0004-0000-0600-0000CA020000}"/>
    <hyperlink ref="H719" r:id="rId716" xr:uid="{00000000-0004-0000-0600-0000CB020000}"/>
    <hyperlink ref="H720" r:id="rId717" xr:uid="{00000000-0004-0000-0600-0000CC020000}"/>
    <hyperlink ref="H721" r:id="rId718" xr:uid="{00000000-0004-0000-0600-0000CD020000}"/>
    <hyperlink ref="H722" r:id="rId719" xr:uid="{00000000-0004-0000-0600-0000CE020000}"/>
    <hyperlink ref="H723" r:id="rId720" xr:uid="{00000000-0004-0000-0600-0000CF020000}"/>
    <hyperlink ref="H724" r:id="rId721" xr:uid="{00000000-0004-0000-0600-0000D0020000}"/>
    <hyperlink ref="H725" r:id="rId722" xr:uid="{00000000-0004-0000-0600-0000D1020000}"/>
    <hyperlink ref="H726" r:id="rId723" xr:uid="{00000000-0004-0000-0600-0000D2020000}"/>
    <hyperlink ref="H727" r:id="rId724" xr:uid="{00000000-0004-0000-0600-0000D3020000}"/>
    <hyperlink ref="H728" r:id="rId725" xr:uid="{00000000-0004-0000-0600-0000D4020000}"/>
    <hyperlink ref="H729" r:id="rId726" xr:uid="{00000000-0004-0000-0600-0000D5020000}"/>
    <hyperlink ref="H730" r:id="rId727" xr:uid="{00000000-0004-0000-0600-0000D6020000}"/>
    <hyperlink ref="H731" r:id="rId728" xr:uid="{00000000-0004-0000-0600-0000D7020000}"/>
    <hyperlink ref="H732" r:id="rId729" xr:uid="{00000000-0004-0000-0600-0000D8020000}"/>
    <hyperlink ref="H733" r:id="rId730" xr:uid="{00000000-0004-0000-0600-0000D9020000}"/>
    <hyperlink ref="H734" r:id="rId731" xr:uid="{00000000-0004-0000-0600-0000DA020000}"/>
    <hyperlink ref="H735" r:id="rId732" xr:uid="{00000000-0004-0000-0600-0000DB020000}"/>
    <hyperlink ref="H736" r:id="rId733" xr:uid="{00000000-0004-0000-0600-0000DC020000}"/>
    <hyperlink ref="H737" r:id="rId734" xr:uid="{00000000-0004-0000-0600-0000DD020000}"/>
    <hyperlink ref="H738" r:id="rId735" xr:uid="{00000000-0004-0000-0600-0000DE020000}"/>
    <hyperlink ref="H739" r:id="rId736" xr:uid="{00000000-0004-0000-0600-0000DF020000}"/>
    <hyperlink ref="H740" r:id="rId737" xr:uid="{00000000-0004-0000-0600-0000E0020000}"/>
    <hyperlink ref="H741" r:id="rId738" xr:uid="{00000000-0004-0000-0600-0000E1020000}"/>
    <hyperlink ref="H742" r:id="rId739" xr:uid="{00000000-0004-0000-0600-0000E2020000}"/>
    <hyperlink ref="H743" r:id="rId740" xr:uid="{00000000-0004-0000-0600-0000E3020000}"/>
    <hyperlink ref="H744" r:id="rId741" xr:uid="{00000000-0004-0000-0600-0000E4020000}"/>
    <hyperlink ref="H745" r:id="rId742" xr:uid="{00000000-0004-0000-0600-0000E5020000}"/>
    <hyperlink ref="H746" r:id="rId743" xr:uid="{00000000-0004-0000-0600-0000E6020000}"/>
    <hyperlink ref="H747" r:id="rId744" xr:uid="{00000000-0004-0000-0600-0000E7020000}"/>
    <hyperlink ref="H748" r:id="rId745" xr:uid="{00000000-0004-0000-0600-0000E8020000}"/>
    <hyperlink ref="H749" r:id="rId746" xr:uid="{00000000-0004-0000-0600-0000E9020000}"/>
    <hyperlink ref="H750" r:id="rId747" xr:uid="{00000000-0004-0000-0600-0000EA020000}"/>
    <hyperlink ref="H751" r:id="rId748" xr:uid="{00000000-0004-0000-0600-0000EB020000}"/>
    <hyperlink ref="H752" r:id="rId749" xr:uid="{00000000-0004-0000-0600-0000EC020000}"/>
    <hyperlink ref="H753" r:id="rId750" xr:uid="{00000000-0004-0000-0600-0000ED020000}"/>
    <hyperlink ref="H754" r:id="rId751" xr:uid="{00000000-0004-0000-0600-0000EE020000}"/>
    <hyperlink ref="H755" r:id="rId752" xr:uid="{00000000-0004-0000-0600-0000EF020000}"/>
    <hyperlink ref="H756" r:id="rId753" xr:uid="{00000000-0004-0000-0600-0000F0020000}"/>
    <hyperlink ref="H757" r:id="rId754" xr:uid="{00000000-0004-0000-0600-0000F1020000}"/>
    <hyperlink ref="H758" r:id="rId755" xr:uid="{00000000-0004-0000-0600-0000F2020000}"/>
    <hyperlink ref="H759" r:id="rId756" xr:uid="{00000000-0004-0000-0600-0000F3020000}"/>
    <hyperlink ref="H760" r:id="rId757" xr:uid="{00000000-0004-0000-0600-0000F4020000}"/>
    <hyperlink ref="H761" r:id="rId758" xr:uid="{00000000-0004-0000-0600-0000F5020000}"/>
    <hyperlink ref="H762" r:id="rId759" xr:uid="{00000000-0004-0000-0600-0000F6020000}"/>
    <hyperlink ref="H763" r:id="rId760" xr:uid="{00000000-0004-0000-0600-0000F7020000}"/>
    <hyperlink ref="H764" r:id="rId761" xr:uid="{00000000-0004-0000-0600-0000F8020000}"/>
    <hyperlink ref="H765" r:id="rId762" xr:uid="{00000000-0004-0000-0600-0000F9020000}"/>
    <hyperlink ref="H766" r:id="rId763" xr:uid="{00000000-0004-0000-0600-0000FA020000}"/>
    <hyperlink ref="H767" r:id="rId764" xr:uid="{00000000-0004-0000-0600-0000FB020000}"/>
    <hyperlink ref="H768" r:id="rId765" xr:uid="{00000000-0004-0000-0600-0000FC020000}"/>
    <hyperlink ref="H769" r:id="rId766" xr:uid="{00000000-0004-0000-0600-0000FD020000}"/>
    <hyperlink ref="H770" r:id="rId767" xr:uid="{00000000-0004-0000-0600-0000FE020000}"/>
    <hyperlink ref="H771" r:id="rId768" xr:uid="{00000000-0004-0000-0600-0000FF020000}"/>
    <hyperlink ref="H772" r:id="rId769" xr:uid="{00000000-0004-0000-0600-000000030000}"/>
    <hyperlink ref="H773" r:id="rId770" xr:uid="{00000000-0004-0000-0600-000001030000}"/>
    <hyperlink ref="H774" r:id="rId771" xr:uid="{00000000-0004-0000-0600-000002030000}"/>
    <hyperlink ref="H775" r:id="rId772" xr:uid="{00000000-0004-0000-0600-000003030000}"/>
    <hyperlink ref="H776" r:id="rId773" xr:uid="{00000000-0004-0000-0600-000004030000}"/>
    <hyperlink ref="H777" r:id="rId774" xr:uid="{00000000-0004-0000-0600-000005030000}"/>
    <hyperlink ref="H778" r:id="rId775" xr:uid="{00000000-0004-0000-0600-000006030000}"/>
    <hyperlink ref="H779" r:id="rId776" xr:uid="{00000000-0004-0000-0600-000007030000}"/>
    <hyperlink ref="H780" r:id="rId777" xr:uid="{00000000-0004-0000-0600-000008030000}"/>
    <hyperlink ref="H781" r:id="rId778" xr:uid="{00000000-0004-0000-0600-000009030000}"/>
    <hyperlink ref="H782" r:id="rId779" xr:uid="{00000000-0004-0000-0600-00000A030000}"/>
    <hyperlink ref="H783" r:id="rId780" xr:uid="{00000000-0004-0000-0600-00000B030000}"/>
    <hyperlink ref="H784" r:id="rId781" xr:uid="{00000000-0004-0000-0600-00000C030000}"/>
    <hyperlink ref="H785" r:id="rId782" xr:uid="{00000000-0004-0000-0600-00000D030000}"/>
    <hyperlink ref="H786" r:id="rId783" xr:uid="{00000000-0004-0000-0600-00000E030000}"/>
    <hyperlink ref="H787" r:id="rId784" xr:uid="{00000000-0004-0000-0600-00000F030000}"/>
    <hyperlink ref="H788" r:id="rId785" xr:uid="{00000000-0004-0000-0600-000010030000}"/>
    <hyperlink ref="H789" r:id="rId786" xr:uid="{00000000-0004-0000-0600-000011030000}"/>
    <hyperlink ref="H790" r:id="rId787" xr:uid="{00000000-0004-0000-0600-000012030000}"/>
    <hyperlink ref="H791" r:id="rId788" xr:uid="{00000000-0004-0000-0600-000013030000}"/>
    <hyperlink ref="H792" r:id="rId789" xr:uid="{00000000-0004-0000-0600-000014030000}"/>
    <hyperlink ref="H793" r:id="rId790" xr:uid="{00000000-0004-0000-0600-000015030000}"/>
    <hyperlink ref="H794" r:id="rId791" xr:uid="{00000000-0004-0000-0600-000016030000}"/>
    <hyperlink ref="H795" r:id="rId792" xr:uid="{00000000-0004-0000-0600-000017030000}"/>
    <hyperlink ref="H796" r:id="rId793" xr:uid="{00000000-0004-0000-0600-000018030000}"/>
    <hyperlink ref="H797" r:id="rId794" xr:uid="{00000000-0004-0000-0600-000019030000}"/>
    <hyperlink ref="H798" r:id="rId795" xr:uid="{00000000-0004-0000-0600-00001A030000}"/>
    <hyperlink ref="H799" r:id="rId796" xr:uid="{00000000-0004-0000-0600-00001B030000}"/>
    <hyperlink ref="H800" r:id="rId797" xr:uid="{00000000-0004-0000-0600-00001C030000}"/>
    <hyperlink ref="H801" r:id="rId798" xr:uid="{00000000-0004-0000-0600-00001D030000}"/>
    <hyperlink ref="H802" r:id="rId799" xr:uid="{00000000-0004-0000-0600-00001E030000}"/>
    <hyperlink ref="H803" r:id="rId800" xr:uid="{00000000-0004-0000-0600-00001F030000}"/>
    <hyperlink ref="H804" r:id="rId801" xr:uid="{00000000-0004-0000-0600-000020030000}"/>
    <hyperlink ref="H805" r:id="rId802" xr:uid="{00000000-0004-0000-0600-000021030000}"/>
    <hyperlink ref="H806" r:id="rId803" xr:uid="{00000000-0004-0000-0600-000022030000}"/>
    <hyperlink ref="H807" r:id="rId804" xr:uid="{00000000-0004-0000-0600-000023030000}"/>
    <hyperlink ref="H808" r:id="rId805" xr:uid="{00000000-0004-0000-0600-000024030000}"/>
    <hyperlink ref="H809" r:id="rId806" xr:uid="{00000000-0004-0000-0600-000025030000}"/>
    <hyperlink ref="H810" r:id="rId807" xr:uid="{00000000-0004-0000-0600-000026030000}"/>
    <hyperlink ref="H811" r:id="rId808" xr:uid="{00000000-0004-0000-0600-000027030000}"/>
    <hyperlink ref="H812" r:id="rId809" xr:uid="{00000000-0004-0000-0600-000028030000}"/>
    <hyperlink ref="H813" r:id="rId810" xr:uid="{00000000-0004-0000-0600-000029030000}"/>
    <hyperlink ref="H814" r:id="rId811" xr:uid="{00000000-0004-0000-0600-00002A030000}"/>
    <hyperlink ref="H815" r:id="rId812" xr:uid="{00000000-0004-0000-0600-00002B030000}"/>
    <hyperlink ref="H816" r:id="rId813" xr:uid="{00000000-0004-0000-0600-00002C030000}"/>
    <hyperlink ref="H817" r:id="rId814" xr:uid="{00000000-0004-0000-0600-00002D030000}"/>
    <hyperlink ref="H818" r:id="rId815" xr:uid="{00000000-0004-0000-0600-00002E030000}"/>
    <hyperlink ref="H819" r:id="rId816" xr:uid="{00000000-0004-0000-0600-00002F030000}"/>
    <hyperlink ref="H820" r:id="rId817" xr:uid="{00000000-0004-0000-0600-000030030000}"/>
    <hyperlink ref="H821" r:id="rId818" xr:uid="{00000000-0004-0000-0600-000031030000}"/>
    <hyperlink ref="H822" r:id="rId819" xr:uid="{00000000-0004-0000-0600-000032030000}"/>
    <hyperlink ref="H823" r:id="rId820" xr:uid="{00000000-0004-0000-0600-000033030000}"/>
    <hyperlink ref="H824" r:id="rId821" xr:uid="{00000000-0004-0000-0600-000034030000}"/>
    <hyperlink ref="H825" r:id="rId822" xr:uid="{00000000-0004-0000-0600-000035030000}"/>
    <hyperlink ref="H826" r:id="rId823" xr:uid="{00000000-0004-0000-0600-000036030000}"/>
    <hyperlink ref="H827" r:id="rId824" xr:uid="{00000000-0004-0000-0600-000037030000}"/>
    <hyperlink ref="H828" r:id="rId825" xr:uid="{00000000-0004-0000-0600-000038030000}"/>
    <hyperlink ref="H829" r:id="rId826" xr:uid="{00000000-0004-0000-0600-000039030000}"/>
    <hyperlink ref="H830" r:id="rId827" xr:uid="{00000000-0004-0000-0600-00003A030000}"/>
    <hyperlink ref="H831" r:id="rId828" xr:uid="{00000000-0004-0000-0600-00003B030000}"/>
    <hyperlink ref="H832" r:id="rId829" xr:uid="{00000000-0004-0000-0600-00003C030000}"/>
    <hyperlink ref="H833" r:id="rId830" xr:uid="{00000000-0004-0000-0600-00003D030000}"/>
    <hyperlink ref="H834" r:id="rId831" xr:uid="{00000000-0004-0000-0600-00003E030000}"/>
    <hyperlink ref="H835" r:id="rId832" xr:uid="{00000000-0004-0000-0600-00003F030000}"/>
    <hyperlink ref="H836" r:id="rId833" xr:uid="{00000000-0004-0000-0600-000040030000}"/>
    <hyperlink ref="H837" r:id="rId834" xr:uid="{00000000-0004-0000-0600-000041030000}"/>
    <hyperlink ref="H838" r:id="rId835" xr:uid="{00000000-0004-0000-0600-000042030000}"/>
    <hyperlink ref="H839" r:id="rId836" xr:uid="{00000000-0004-0000-0600-000043030000}"/>
    <hyperlink ref="H840" r:id="rId837" xr:uid="{00000000-0004-0000-0600-000044030000}"/>
    <hyperlink ref="H841" r:id="rId838" xr:uid="{00000000-0004-0000-0600-000045030000}"/>
    <hyperlink ref="H842" r:id="rId839" xr:uid="{00000000-0004-0000-0600-000046030000}"/>
    <hyperlink ref="H843" r:id="rId840" xr:uid="{00000000-0004-0000-0600-000047030000}"/>
    <hyperlink ref="H844" r:id="rId841" xr:uid="{00000000-0004-0000-0600-000048030000}"/>
    <hyperlink ref="H845" r:id="rId842" xr:uid="{00000000-0004-0000-0600-000049030000}"/>
    <hyperlink ref="H846" r:id="rId843" xr:uid="{00000000-0004-0000-0600-00004A030000}"/>
    <hyperlink ref="H847" r:id="rId844" xr:uid="{00000000-0004-0000-0600-00004B030000}"/>
    <hyperlink ref="H848" r:id="rId845" xr:uid="{00000000-0004-0000-0600-00004C030000}"/>
    <hyperlink ref="H849" r:id="rId846" xr:uid="{00000000-0004-0000-0600-00004D030000}"/>
    <hyperlink ref="H850" r:id="rId847" xr:uid="{00000000-0004-0000-0600-00004E030000}"/>
    <hyperlink ref="H851" r:id="rId848" xr:uid="{00000000-0004-0000-0600-00004F030000}"/>
    <hyperlink ref="H852" r:id="rId849" xr:uid="{00000000-0004-0000-0600-000050030000}"/>
    <hyperlink ref="H853" r:id="rId850" xr:uid="{00000000-0004-0000-0600-000051030000}"/>
    <hyperlink ref="H854" r:id="rId851" xr:uid="{00000000-0004-0000-0600-000052030000}"/>
    <hyperlink ref="H855" r:id="rId852" xr:uid="{00000000-0004-0000-0600-000053030000}"/>
    <hyperlink ref="H856" r:id="rId853" xr:uid="{00000000-0004-0000-0600-000054030000}"/>
    <hyperlink ref="H857" r:id="rId854" xr:uid="{00000000-0004-0000-0600-000055030000}"/>
    <hyperlink ref="H858" r:id="rId855" xr:uid="{00000000-0004-0000-0600-000056030000}"/>
    <hyperlink ref="H859" r:id="rId856" xr:uid="{00000000-0004-0000-0600-000057030000}"/>
    <hyperlink ref="H860" r:id="rId857" xr:uid="{00000000-0004-0000-0600-000058030000}"/>
    <hyperlink ref="H861" r:id="rId858" xr:uid="{00000000-0004-0000-0600-000059030000}"/>
    <hyperlink ref="H862" r:id="rId859" xr:uid="{00000000-0004-0000-0600-00005A030000}"/>
    <hyperlink ref="H863" r:id="rId860" xr:uid="{00000000-0004-0000-0600-00005B030000}"/>
    <hyperlink ref="H864" r:id="rId861" xr:uid="{00000000-0004-0000-0600-00005C030000}"/>
    <hyperlink ref="H865" r:id="rId862" xr:uid="{00000000-0004-0000-0600-00005D030000}"/>
    <hyperlink ref="H866" r:id="rId863" xr:uid="{00000000-0004-0000-0600-00005E030000}"/>
    <hyperlink ref="H867" r:id="rId864" xr:uid="{00000000-0004-0000-0600-00005F030000}"/>
    <hyperlink ref="H868" r:id="rId865" xr:uid="{00000000-0004-0000-0600-000060030000}"/>
    <hyperlink ref="H869" r:id="rId866" xr:uid="{00000000-0004-0000-0600-000061030000}"/>
    <hyperlink ref="H870" r:id="rId867" xr:uid="{00000000-0004-0000-0600-000062030000}"/>
    <hyperlink ref="H871" r:id="rId868" xr:uid="{00000000-0004-0000-0600-000063030000}"/>
    <hyperlink ref="H872" r:id="rId869" xr:uid="{00000000-0004-0000-0600-000064030000}"/>
    <hyperlink ref="H873" r:id="rId870" xr:uid="{00000000-0004-0000-0600-000065030000}"/>
    <hyperlink ref="H874" r:id="rId871" xr:uid="{00000000-0004-0000-0600-000066030000}"/>
    <hyperlink ref="H875" r:id="rId872" xr:uid="{00000000-0004-0000-0600-000067030000}"/>
    <hyperlink ref="H876" r:id="rId873" xr:uid="{00000000-0004-0000-0600-000068030000}"/>
    <hyperlink ref="H877" r:id="rId874" xr:uid="{00000000-0004-0000-0600-000069030000}"/>
    <hyperlink ref="H878" r:id="rId875" xr:uid="{00000000-0004-0000-0600-00006A030000}"/>
    <hyperlink ref="H879" r:id="rId876" xr:uid="{00000000-0004-0000-0600-00006B030000}"/>
    <hyperlink ref="H880" r:id="rId877" xr:uid="{00000000-0004-0000-0600-00006C030000}"/>
    <hyperlink ref="H881" r:id="rId878" xr:uid="{00000000-0004-0000-0600-00006D030000}"/>
    <hyperlink ref="H882" r:id="rId879" xr:uid="{00000000-0004-0000-0600-00006E030000}"/>
    <hyperlink ref="H883" r:id="rId880" xr:uid="{00000000-0004-0000-0600-00006F030000}"/>
    <hyperlink ref="H884" r:id="rId881" xr:uid="{00000000-0004-0000-0600-000070030000}"/>
    <hyperlink ref="H885" r:id="rId882" xr:uid="{00000000-0004-0000-0600-000071030000}"/>
    <hyperlink ref="H886" r:id="rId883" xr:uid="{00000000-0004-0000-0600-000072030000}"/>
    <hyperlink ref="H887" r:id="rId884" xr:uid="{00000000-0004-0000-0600-000073030000}"/>
    <hyperlink ref="H888" r:id="rId885" xr:uid="{00000000-0004-0000-0600-000074030000}"/>
    <hyperlink ref="H889" r:id="rId886" xr:uid="{00000000-0004-0000-0600-000075030000}"/>
    <hyperlink ref="H890" r:id="rId887" xr:uid="{00000000-0004-0000-0600-000076030000}"/>
    <hyperlink ref="H891" r:id="rId888" xr:uid="{00000000-0004-0000-0600-000077030000}"/>
    <hyperlink ref="H892" r:id="rId889" xr:uid="{00000000-0004-0000-0600-000078030000}"/>
    <hyperlink ref="H893" r:id="rId890" xr:uid="{00000000-0004-0000-0600-000079030000}"/>
    <hyperlink ref="H894" r:id="rId891" xr:uid="{00000000-0004-0000-0600-00007A030000}"/>
    <hyperlink ref="H895" r:id="rId892" xr:uid="{00000000-0004-0000-0600-00007B030000}"/>
    <hyperlink ref="H896" r:id="rId893" xr:uid="{00000000-0004-0000-0600-00007C030000}"/>
    <hyperlink ref="H897" r:id="rId894" xr:uid="{00000000-0004-0000-0600-00007D030000}"/>
    <hyperlink ref="H898" r:id="rId895" xr:uid="{00000000-0004-0000-0600-00007E030000}"/>
    <hyperlink ref="H899" r:id="rId896" xr:uid="{00000000-0004-0000-0600-00007F030000}"/>
    <hyperlink ref="H900" r:id="rId897" xr:uid="{00000000-0004-0000-0600-000080030000}"/>
    <hyperlink ref="H902" r:id="rId898" xr:uid="{00000000-0004-0000-0600-000081030000}"/>
    <hyperlink ref="H903" r:id="rId899" xr:uid="{00000000-0004-0000-0600-000082030000}"/>
    <hyperlink ref="H904" r:id="rId900" xr:uid="{00000000-0004-0000-0600-000083030000}"/>
    <hyperlink ref="H905" r:id="rId901" xr:uid="{00000000-0004-0000-0600-000084030000}"/>
    <hyperlink ref="H906" r:id="rId902" xr:uid="{00000000-0004-0000-0600-000085030000}"/>
    <hyperlink ref="H907" r:id="rId903" xr:uid="{00000000-0004-0000-0600-000086030000}"/>
    <hyperlink ref="H908" r:id="rId904" xr:uid="{00000000-0004-0000-0600-000087030000}"/>
    <hyperlink ref="H909" r:id="rId905" xr:uid="{00000000-0004-0000-0600-000088030000}"/>
    <hyperlink ref="H910" r:id="rId906" xr:uid="{00000000-0004-0000-0600-000089030000}"/>
  </hyperlink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SỔ_THU_CHI</vt:lpstr>
      <vt:lpstr>DANH_MỤC</vt:lpstr>
      <vt:lpstr>PHIẾU_THU_CHI</vt:lpstr>
      <vt:lpstr>TẠO_HÓA_ĐƠN</vt:lpstr>
      <vt:lpstr>DASHBOARD</vt:lpstr>
      <vt:lpstr>MENU</vt:lpstr>
      <vt:lpstr>LÊN HÓA ĐƠN</vt:lpstr>
      <vt:lpstr>SỬA HÓA ĐƠN</vt:lpstr>
      <vt:lpstr>CHI TIẾT HÓA ĐƠN</vt:lpstr>
      <vt:lpstr>CÔNG NỢ THEO HÓA ĐƠN</vt:lpstr>
      <vt:lpstr>KHÁCH HÀNG</vt:lpstr>
      <vt:lpstr>HÀNG HÓA</vt:lpstr>
      <vt:lpstr>Hàng Q302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 Tran Khanh</cp:lastModifiedBy>
  <dcterms:modified xsi:type="dcterms:W3CDTF">2026-04-15T07:42:03Z</dcterms:modified>
</cp:coreProperties>
</file>